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0. AI\DATA ANALYTICS\DATA ANALYST PROJECT\ON GOING\PROJECT_ANALYSIS_EXCEL_X_SQL\"/>
    </mc:Choice>
  </mc:AlternateContent>
  <xr:revisionPtr revIDLastSave="0" documentId="13_ncr:1_{2C7CFC77-DC78-4FB6-8A40-635114370098}" xr6:coauthVersionLast="47" xr6:coauthVersionMax="47" xr10:uidLastSave="{00000000-0000-0000-0000-000000000000}"/>
  <bookViews>
    <workbookView xWindow="-110" yWindow="-110" windowWidth="19420" windowHeight="10300" firstSheet="5" activeTab="6" xr2:uid="{4AD5A9E8-3E9E-470E-98D7-D64AF9357A5B}"/>
  </bookViews>
  <sheets>
    <sheet name="group by avg product_name" sheetId="6" state="hidden" r:id="rId1"/>
    <sheet name="Median quantity" sheetId="5" state="hidden" r:id="rId2"/>
    <sheet name="count after remove duplicate" sheetId="4" state="hidden" r:id="rId3"/>
    <sheet name="count before remove duplicate" sheetId="3" state="hidden" r:id="rId4"/>
    <sheet name="data" sheetId="2" r:id="rId5"/>
    <sheet name="calculation_KPI" sheetId="1" r:id="rId6"/>
    <sheet name="dashboard" sheetId="8" r:id="rId7"/>
  </sheets>
  <definedNames>
    <definedName name="Chart_Axis">OFFSET(calculation_KPI!$AB$2, 0, 0, 1, IF(calculation_KPI!$S$2="Multiple", 4, IF(calculation_KPI!$U$2="Multiple", 12, DAY(EOMONTH(DATE(calculation_KPI!$S$2, calculation_KPI!$U$2, 1), 0)))))</definedName>
    <definedName name="Chart_Current">OFFSET(calculation_KPI!$AB$3, 0, 0, 1, COLUMNS(Chart_Axis))</definedName>
    <definedName name="Chart_Previous">OFFSET(calculation_KPI!$AB$4, 0, 0, 1, COLUMNS(Chart_Axis))</definedName>
    <definedName name="ExternalData_1" localSheetId="4" hidden="1">data!$A$1:$M$1770</definedName>
    <definedName name="ExternalData_2" localSheetId="3" hidden="1">'count before remove duplicate'!$A$1:$A$2</definedName>
    <definedName name="ExternalData_3" localSheetId="2" hidden="1">'count after remove duplicate'!$A$1:$A$2</definedName>
    <definedName name="ExternalData_4" localSheetId="1" hidden="1">'Median quantity'!$A$1:$A$2</definedName>
    <definedName name="ExternalData_5" localSheetId="0" hidden="1">'group by avg product_name'!$A$1:$O$1770</definedName>
    <definedName name="GrafikOrderDinamis">OFFSET(calculation_KPI!$AB$4, 0, 0, 1,  COUNT(calculation_KPI!$AB$4:$BF$4))</definedName>
    <definedName name="GrafikProfitDinamis">OFFSET(calculation_KPI!$AB$3, 0, 0, 1,  COUNT(calculation_KPI!$AB$3:$BF$3))</definedName>
    <definedName name="GrafikProfitMarginDinamis">OFFSET(calculation_KPI!$AB$5, 0, 0, 1,  COUNT(calculation_KPI!$AB$5:$BF$5))</definedName>
    <definedName name="GrafikSalesDinamis">OFFSET(calculation_KPI!$AB$2, 0, 0, 1,  COUNT(calculation_KPI!$AB$2:$BF$2))</definedName>
    <definedName name="Slicer_category">#N/A</definedName>
    <definedName name="Slicer_month">#N/A</definedName>
    <definedName name="Slicer_region">#N/A</definedName>
    <definedName name="Slicer_segmen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 i="1" l="1" a="1"/>
  <c r="AB1" i="1" s="1"/>
  <c r="CA2" i="1" a="1"/>
  <c r="CA2" i="1" s="1"/>
  <c r="BW2" i="1" a="1"/>
  <c r="BW2" i="1" s="1"/>
  <c r="P2" i="1" a="1"/>
  <c r="P2" i="1" s="1"/>
  <c r="Q2" i="1" a="1"/>
  <c r="Q2" i="1" s="1"/>
  <c r="S2" i="1" a="1"/>
  <c r="S2" i="1" s="1"/>
  <c r="T2" i="1" a="1"/>
  <c r="T2" i="1" s="1"/>
  <c r="U2" i="1" s="1"/>
  <c r="R2" i="1" a="1"/>
  <c r="R2" i="1" s="1"/>
  <c r="N2" i="2"/>
  <c r="N3" i="2"/>
  <c r="N4" i="2"/>
  <c r="N5" i="2"/>
  <c r="O5" i="2" s="1"/>
  <c r="N6" i="2"/>
  <c r="N7" i="2"/>
  <c r="N8" i="2"/>
  <c r="N9" i="2"/>
  <c r="O9" i="2" s="1"/>
  <c r="N10" i="2"/>
  <c r="N11" i="2"/>
  <c r="N12" i="2"/>
  <c r="N13" i="2"/>
  <c r="O13" i="2" s="1"/>
  <c r="N14" i="2"/>
  <c r="N15" i="2"/>
  <c r="N16" i="2"/>
  <c r="N17" i="2"/>
  <c r="O17" i="2" s="1"/>
  <c r="N18" i="2"/>
  <c r="N19" i="2"/>
  <c r="N20" i="2"/>
  <c r="N21" i="2"/>
  <c r="O21" i="2" s="1"/>
  <c r="N22" i="2"/>
  <c r="N23" i="2"/>
  <c r="N24" i="2"/>
  <c r="N25" i="2"/>
  <c r="O25" i="2" s="1"/>
  <c r="N26" i="2"/>
  <c r="N27" i="2"/>
  <c r="N28" i="2"/>
  <c r="N29" i="2"/>
  <c r="O29" i="2" s="1"/>
  <c r="N30" i="2"/>
  <c r="N31" i="2"/>
  <c r="N32" i="2"/>
  <c r="N33" i="2"/>
  <c r="O33" i="2" s="1"/>
  <c r="N34" i="2"/>
  <c r="N35" i="2"/>
  <c r="N36" i="2"/>
  <c r="N37" i="2"/>
  <c r="O37" i="2" s="1"/>
  <c r="N38" i="2"/>
  <c r="N39" i="2"/>
  <c r="N40" i="2"/>
  <c r="N41" i="2"/>
  <c r="O41" i="2" s="1"/>
  <c r="N42" i="2"/>
  <c r="N43" i="2"/>
  <c r="N44" i="2"/>
  <c r="N45" i="2"/>
  <c r="O45" i="2" s="1"/>
  <c r="N46" i="2"/>
  <c r="N47" i="2"/>
  <c r="N48" i="2"/>
  <c r="N49" i="2"/>
  <c r="O49" i="2" s="1"/>
  <c r="N50" i="2"/>
  <c r="N51" i="2"/>
  <c r="N52" i="2"/>
  <c r="N53" i="2"/>
  <c r="O53" i="2" s="1"/>
  <c r="N54" i="2"/>
  <c r="N55" i="2"/>
  <c r="N56" i="2"/>
  <c r="N57" i="2"/>
  <c r="O57" i="2" s="1"/>
  <c r="N58" i="2"/>
  <c r="N59" i="2"/>
  <c r="N60" i="2"/>
  <c r="N61" i="2"/>
  <c r="O61" i="2" s="1"/>
  <c r="N62" i="2"/>
  <c r="N63" i="2"/>
  <c r="N64" i="2"/>
  <c r="N65" i="2"/>
  <c r="O65" i="2" s="1"/>
  <c r="N66" i="2"/>
  <c r="N67" i="2"/>
  <c r="N68" i="2"/>
  <c r="N69" i="2"/>
  <c r="O69" i="2" s="1"/>
  <c r="N70" i="2"/>
  <c r="N71" i="2"/>
  <c r="N72" i="2"/>
  <c r="N73" i="2"/>
  <c r="O73" i="2" s="1"/>
  <c r="N74" i="2"/>
  <c r="N75" i="2"/>
  <c r="N76" i="2"/>
  <c r="N77" i="2"/>
  <c r="O77" i="2" s="1"/>
  <c r="N78" i="2"/>
  <c r="N79" i="2"/>
  <c r="N80" i="2"/>
  <c r="N81" i="2"/>
  <c r="O81" i="2" s="1"/>
  <c r="N82" i="2"/>
  <c r="N83" i="2"/>
  <c r="N84" i="2"/>
  <c r="N85" i="2"/>
  <c r="O85" i="2" s="1"/>
  <c r="N86" i="2"/>
  <c r="N87" i="2"/>
  <c r="N88" i="2"/>
  <c r="N89" i="2"/>
  <c r="O89" i="2" s="1"/>
  <c r="N90" i="2"/>
  <c r="N91" i="2"/>
  <c r="N92" i="2"/>
  <c r="N93" i="2"/>
  <c r="O93" i="2" s="1"/>
  <c r="N94" i="2"/>
  <c r="N95" i="2"/>
  <c r="N96" i="2"/>
  <c r="N97" i="2"/>
  <c r="O97" i="2" s="1"/>
  <c r="N98" i="2"/>
  <c r="N99" i="2"/>
  <c r="N100" i="2"/>
  <c r="N101" i="2"/>
  <c r="O101" i="2" s="1"/>
  <c r="N102" i="2"/>
  <c r="N103" i="2"/>
  <c r="N104" i="2"/>
  <c r="N105" i="2"/>
  <c r="O105" i="2" s="1"/>
  <c r="N106" i="2"/>
  <c r="N107" i="2"/>
  <c r="N108" i="2"/>
  <c r="N109" i="2"/>
  <c r="O109" i="2" s="1"/>
  <c r="N110" i="2"/>
  <c r="N111" i="2"/>
  <c r="N112" i="2"/>
  <c r="N113" i="2"/>
  <c r="O113" i="2" s="1"/>
  <c r="N114" i="2"/>
  <c r="N115" i="2"/>
  <c r="N116" i="2"/>
  <c r="N117" i="2"/>
  <c r="O117" i="2" s="1"/>
  <c r="N118" i="2"/>
  <c r="N119" i="2"/>
  <c r="N120" i="2"/>
  <c r="N121" i="2"/>
  <c r="O121" i="2" s="1"/>
  <c r="N122" i="2"/>
  <c r="N123" i="2"/>
  <c r="N124" i="2"/>
  <c r="N125" i="2"/>
  <c r="O125" i="2" s="1"/>
  <c r="N126" i="2"/>
  <c r="N127" i="2"/>
  <c r="N128" i="2"/>
  <c r="N129" i="2"/>
  <c r="O129" i="2" s="1"/>
  <c r="N130" i="2"/>
  <c r="N131" i="2"/>
  <c r="N132" i="2"/>
  <c r="N133" i="2"/>
  <c r="O133" i="2" s="1"/>
  <c r="N134" i="2"/>
  <c r="N135" i="2"/>
  <c r="N136" i="2"/>
  <c r="N137" i="2"/>
  <c r="O137" i="2" s="1"/>
  <c r="N138" i="2"/>
  <c r="N139" i="2"/>
  <c r="N140" i="2"/>
  <c r="N141" i="2"/>
  <c r="O141" i="2" s="1"/>
  <c r="N142" i="2"/>
  <c r="N143" i="2"/>
  <c r="N144" i="2"/>
  <c r="N145" i="2"/>
  <c r="O145" i="2" s="1"/>
  <c r="N146" i="2"/>
  <c r="N147" i="2"/>
  <c r="N148" i="2"/>
  <c r="N149" i="2"/>
  <c r="O149" i="2" s="1"/>
  <c r="N150" i="2"/>
  <c r="N151" i="2"/>
  <c r="N152" i="2"/>
  <c r="N153" i="2"/>
  <c r="O153" i="2" s="1"/>
  <c r="N154" i="2"/>
  <c r="N155" i="2"/>
  <c r="N156" i="2"/>
  <c r="N157" i="2"/>
  <c r="O157" i="2" s="1"/>
  <c r="N158" i="2"/>
  <c r="N159" i="2"/>
  <c r="N160" i="2"/>
  <c r="N161" i="2"/>
  <c r="O161" i="2" s="1"/>
  <c r="N162" i="2"/>
  <c r="N163" i="2"/>
  <c r="N164" i="2"/>
  <c r="N165" i="2"/>
  <c r="O165" i="2" s="1"/>
  <c r="N166" i="2"/>
  <c r="N167" i="2"/>
  <c r="N168" i="2"/>
  <c r="N169" i="2"/>
  <c r="O169" i="2" s="1"/>
  <c r="N170" i="2"/>
  <c r="N171" i="2"/>
  <c r="N172" i="2"/>
  <c r="N173" i="2"/>
  <c r="O173" i="2" s="1"/>
  <c r="N174" i="2"/>
  <c r="N175" i="2"/>
  <c r="N176" i="2"/>
  <c r="N177" i="2"/>
  <c r="O177" i="2" s="1"/>
  <c r="N178" i="2"/>
  <c r="N179" i="2"/>
  <c r="N180" i="2"/>
  <c r="N181" i="2"/>
  <c r="O181" i="2" s="1"/>
  <c r="N182" i="2"/>
  <c r="N183" i="2"/>
  <c r="N184" i="2"/>
  <c r="N185" i="2"/>
  <c r="O185" i="2" s="1"/>
  <c r="N186" i="2"/>
  <c r="N187" i="2"/>
  <c r="N188" i="2"/>
  <c r="N189" i="2"/>
  <c r="O189" i="2" s="1"/>
  <c r="N190" i="2"/>
  <c r="N191" i="2"/>
  <c r="N192" i="2"/>
  <c r="N193" i="2"/>
  <c r="O193" i="2" s="1"/>
  <c r="N194" i="2"/>
  <c r="N195" i="2"/>
  <c r="N196" i="2"/>
  <c r="N197" i="2"/>
  <c r="O197" i="2" s="1"/>
  <c r="N198" i="2"/>
  <c r="N199" i="2"/>
  <c r="N200" i="2"/>
  <c r="N201" i="2"/>
  <c r="O201" i="2" s="1"/>
  <c r="N202" i="2"/>
  <c r="N203" i="2"/>
  <c r="N204" i="2"/>
  <c r="N205" i="2"/>
  <c r="O205" i="2" s="1"/>
  <c r="N206" i="2"/>
  <c r="N207" i="2"/>
  <c r="N208" i="2"/>
  <c r="N209" i="2"/>
  <c r="O209" i="2" s="1"/>
  <c r="N210" i="2"/>
  <c r="N211" i="2"/>
  <c r="N212" i="2"/>
  <c r="N213" i="2"/>
  <c r="O213" i="2" s="1"/>
  <c r="N214" i="2"/>
  <c r="N215" i="2"/>
  <c r="N216" i="2"/>
  <c r="N217" i="2"/>
  <c r="O217" i="2" s="1"/>
  <c r="N218" i="2"/>
  <c r="N219" i="2"/>
  <c r="N220" i="2"/>
  <c r="N221" i="2"/>
  <c r="O221" i="2" s="1"/>
  <c r="N222" i="2"/>
  <c r="N223" i="2"/>
  <c r="N224" i="2"/>
  <c r="N225" i="2"/>
  <c r="O225" i="2" s="1"/>
  <c r="N226" i="2"/>
  <c r="N227" i="2"/>
  <c r="N228" i="2"/>
  <c r="N229" i="2"/>
  <c r="O229" i="2" s="1"/>
  <c r="N230" i="2"/>
  <c r="N231" i="2"/>
  <c r="N232" i="2"/>
  <c r="N233" i="2"/>
  <c r="O233" i="2" s="1"/>
  <c r="N234" i="2"/>
  <c r="N235" i="2"/>
  <c r="N236" i="2"/>
  <c r="N237" i="2"/>
  <c r="O237" i="2" s="1"/>
  <c r="N238" i="2"/>
  <c r="N239" i="2"/>
  <c r="N240" i="2"/>
  <c r="N241" i="2"/>
  <c r="O241" i="2" s="1"/>
  <c r="N242" i="2"/>
  <c r="N243" i="2"/>
  <c r="N244" i="2"/>
  <c r="N245" i="2"/>
  <c r="O245" i="2" s="1"/>
  <c r="N246" i="2"/>
  <c r="N247" i="2"/>
  <c r="N248" i="2"/>
  <c r="N249" i="2"/>
  <c r="O249" i="2" s="1"/>
  <c r="N250" i="2"/>
  <c r="N251" i="2"/>
  <c r="N252" i="2"/>
  <c r="N253" i="2"/>
  <c r="O253" i="2" s="1"/>
  <c r="N254" i="2"/>
  <c r="N255" i="2"/>
  <c r="N256" i="2"/>
  <c r="N257" i="2"/>
  <c r="O257" i="2" s="1"/>
  <c r="N258" i="2"/>
  <c r="N259" i="2"/>
  <c r="N260" i="2"/>
  <c r="N261" i="2"/>
  <c r="O261" i="2" s="1"/>
  <c r="N262" i="2"/>
  <c r="N263" i="2"/>
  <c r="N264" i="2"/>
  <c r="N265" i="2"/>
  <c r="O265" i="2" s="1"/>
  <c r="N266" i="2"/>
  <c r="N267" i="2"/>
  <c r="N268" i="2"/>
  <c r="N269" i="2"/>
  <c r="O269" i="2" s="1"/>
  <c r="N270" i="2"/>
  <c r="N271" i="2"/>
  <c r="N272" i="2"/>
  <c r="N273" i="2"/>
  <c r="O273" i="2" s="1"/>
  <c r="N274" i="2"/>
  <c r="N275" i="2"/>
  <c r="N276" i="2"/>
  <c r="N277" i="2"/>
  <c r="O277" i="2" s="1"/>
  <c r="N278" i="2"/>
  <c r="N279" i="2"/>
  <c r="N280" i="2"/>
  <c r="N281" i="2"/>
  <c r="O281" i="2" s="1"/>
  <c r="N282" i="2"/>
  <c r="N283" i="2"/>
  <c r="N284" i="2"/>
  <c r="N285" i="2"/>
  <c r="O285" i="2" s="1"/>
  <c r="N286" i="2"/>
  <c r="N287" i="2"/>
  <c r="N288" i="2"/>
  <c r="N289" i="2"/>
  <c r="O289" i="2" s="1"/>
  <c r="N290" i="2"/>
  <c r="N291" i="2"/>
  <c r="N292" i="2"/>
  <c r="N293" i="2"/>
  <c r="O293" i="2" s="1"/>
  <c r="N294" i="2"/>
  <c r="N295" i="2"/>
  <c r="N296" i="2"/>
  <c r="N297" i="2"/>
  <c r="O297" i="2" s="1"/>
  <c r="N298" i="2"/>
  <c r="N299" i="2"/>
  <c r="N300" i="2"/>
  <c r="N301" i="2"/>
  <c r="O301" i="2" s="1"/>
  <c r="N302" i="2"/>
  <c r="N303" i="2"/>
  <c r="N304" i="2"/>
  <c r="N305" i="2"/>
  <c r="O305" i="2" s="1"/>
  <c r="N306" i="2"/>
  <c r="N307" i="2"/>
  <c r="N308" i="2"/>
  <c r="N309" i="2"/>
  <c r="O309" i="2" s="1"/>
  <c r="N310" i="2"/>
  <c r="N311" i="2"/>
  <c r="N312" i="2"/>
  <c r="N313" i="2"/>
  <c r="O313" i="2" s="1"/>
  <c r="N314" i="2"/>
  <c r="N315" i="2"/>
  <c r="N316" i="2"/>
  <c r="N317" i="2"/>
  <c r="O317" i="2" s="1"/>
  <c r="N318" i="2"/>
  <c r="N319" i="2"/>
  <c r="N320" i="2"/>
  <c r="N321" i="2"/>
  <c r="O321" i="2" s="1"/>
  <c r="N322" i="2"/>
  <c r="N323" i="2"/>
  <c r="N324" i="2"/>
  <c r="N325" i="2"/>
  <c r="O325" i="2" s="1"/>
  <c r="N326" i="2"/>
  <c r="N327" i="2"/>
  <c r="N328" i="2"/>
  <c r="N329" i="2"/>
  <c r="O329" i="2" s="1"/>
  <c r="N330" i="2"/>
  <c r="N331" i="2"/>
  <c r="N332" i="2"/>
  <c r="N333" i="2"/>
  <c r="O333" i="2" s="1"/>
  <c r="N334" i="2"/>
  <c r="N335" i="2"/>
  <c r="N336" i="2"/>
  <c r="N337" i="2"/>
  <c r="O337" i="2" s="1"/>
  <c r="N338" i="2"/>
  <c r="N339" i="2"/>
  <c r="N340" i="2"/>
  <c r="N341" i="2"/>
  <c r="O341" i="2" s="1"/>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O2" i="2"/>
  <c r="O3" i="2"/>
  <c r="O4" i="2"/>
  <c r="O6" i="2"/>
  <c r="O7" i="2"/>
  <c r="O8" i="2"/>
  <c r="O10" i="2"/>
  <c r="O11" i="2"/>
  <c r="O12" i="2"/>
  <c r="O14" i="2"/>
  <c r="O15" i="2"/>
  <c r="O16" i="2"/>
  <c r="O18" i="2"/>
  <c r="O19" i="2"/>
  <c r="O20" i="2"/>
  <c r="O22" i="2"/>
  <c r="O23" i="2"/>
  <c r="O24" i="2"/>
  <c r="O26" i="2"/>
  <c r="O27" i="2"/>
  <c r="O28" i="2"/>
  <c r="O30" i="2"/>
  <c r="O31" i="2"/>
  <c r="O32" i="2"/>
  <c r="O34" i="2"/>
  <c r="O35" i="2"/>
  <c r="O36" i="2"/>
  <c r="O38" i="2"/>
  <c r="O39" i="2"/>
  <c r="O40" i="2"/>
  <c r="O42" i="2"/>
  <c r="O43" i="2"/>
  <c r="O44" i="2"/>
  <c r="O46" i="2"/>
  <c r="O47" i="2"/>
  <c r="O48" i="2"/>
  <c r="O50" i="2"/>
  <c r="O51" i="2"/>
  <c r="O52" i="2"/>
  <c r="O54" i="2"/>
  <c r="O55" i="2"/>
  <c r="O56" i="2"/>
  <c r="O58" i="2"/>
  <c r="O59" i="2"/>
  <c r="O60" i="2"/>
  <c r="O62" i="2"/>
  <c r="O63" i="2"/>
  <c r="O64" i="2"/>
  <c r="O66" i="2"/>
  <c r="O67" i="2"/>
  <c r="O68" i="2"/>
  <c r="O70" i="2"/>
  <c r="O71" i="2"/>
  <c r="O72" i="2"/>
  <c r="O74" i="2"/>
  <c r="O75" i="2"/>
  <c r="O76" i="2"/>
  <c r="O78" i="2"/>
  <c r="O79" i="2"/>
  <c r="O80" i="2"/>
  <c r="O82" i="2"/>
  <c r="O83" i="2"/>
  <c r="O84" i="2"/>
  <c r="O86" i="2"/>
  <c r="O87" i="2"/>
  <c r="O88" i="2"/>
  <c r="O90" i="2"/>
  <c r="O91" i="2"/>
  <c r="O92" i="2"/>
  <c r="O94" i="2"/>
  <c r="O95" i="2"/>
  <c r="O96" i="2"/>
  <c r="O98" i="2"/>
  <c r="O99" i="2"/>
  <c r="O100" i="2"/>
  <c r="O102" i="2"/>
  <c r="O103" i="2"/>
  <c r="O104" i="2"/>
  <c r="O106" i="2"/>
  <c r="O107" i="2"/>
  <c r="O108" i="2"/>
  <c r="O110" i="2"/>
  <c r="O111" i="2"/>
  <c r="O112" i="2"/>
  <c r="O114" i="2"/>
  <c r="O115" i="2"/>
  <c r="O116" i="2"/>
  <c r="O118" i="2"/>
  <c r="O119" i="2"/>
  <c r="O120" i="2"/>
  <c r="O122" i="2"/>
  <c r="O123" i="2"/>
  <c r="O124" i="2"/>
  <c r="O126" i="2"/>
  <c r="O127" i="2"/>
  <c r="O128" i="2"/>
  <c r="O130" i="2"/>
  <c r="O131" i="2"/>
  <c r="O132" i="2"/>
  <c r="O134" i="2"/>
  <c r="O135" i="2"/>
  <c r="O136" i="2"/>
  <c r="O138" i="2"/>
  <c r="O139" i="2"/>
  <c r="O140" i="2"/>
  <c r="O142" i="2"/>
  <c r="O143" i="2"/>
  <c r="O144" i="2"/>
  <c r="O146" i="2"/>
  <c r="O147" i="2"/>
  <c r="O148" i="2"/>
  <c r="O150" i="2"/>
  <c r="O151" i="2"/>
  <c r="O152" i="2"/>
  <c r="O154" i="2"/>
  <c r="O155" i="2"/>
  <c r="O156" i="2"/>
  <c r="O158" i="2"/>
  <c r="O159" i="2"/>
  <c r="O160" i="2"/>
  <c r="O162" i="2"/>
  <c r="O163" i="2"/>
  <c r="O164" i="2"/>
  <c r="O166" i="2"/>
  <c r="O167" i="2"/>
  <c r="O168" i="2"/>
  <c r="O170" i="2"/>
  <c r="O171" i="2"/>
  <c r="O172" i="2"/>
  <c r="O174" i="2"/>
  <c r="O175" i="2"/>
  <c r="O176" i="2"/>
  <c r="O178" i="2"/>
  <c r="O179" i="2"/>
  <c r="O180" i="2"/>
  <c r="O182" i="2"/>
  <c r="O183" i="2"/>
  <c r="O184" i="2"/>
  <c r="O186" i="2"/>
  <c r="O187" i="2"/>
  <c r="O188" i="2"/>
  <c r="O190" i="2"/>
  <c r="O191" i="2"/>
  <c r="O192" i="2"/>
  <c r="O194" i="2"/>
  <c r="O195" i="2"/>
  <c r="O196" i="2"/>
  <c r="O198" i="2"/>
  <c r="O199" i="2"/>
  <c r="O200" i="2"/>
  <c r="O202" i="2"/>
  <c r="O203" i="2"/>
  <c r="O204" i="2"/>
  <c r="O206" i="2"/>
  <c r="O207" i="2"/>
  <c r="O208" i="2"/>
  <c r="O210" i="2"/>
  <c r="O211" i="2"/>
  <c r="O212" i="2"/>
  <c r="O214" i="2"/>
  <c r="O215" i="2"/>
  <c r="O216" i="2"/>
  <c r="O218" i="2"/>
  <c r="O219" i="2"/>
  <c r="O220" i="2"/>
  <c r="O222" i="2"/>
  <c r="O223" i="2"/>
  <c r="O224" i="2"/>
  <c r="O226" i="2"/>
  <c r="O227" i="2"/>
  <c r="O228" i="2"/>
  <c r="O230" i="2"/>
  <c r="O231" i="2"/>
  <c r="O232" i="2"/>
  <c r="O234" i="2"/>
  <c r="O235" i="2"/>
  <c r="O236" i="2"/>
  <c r="O238" i="2"/>
  <c r="O239" i="2"/>
  <c r="O240" i="2"/>
  <c r="O242" i="2"/>
  <c r="O243" i="2"/>
  <c r="O244" i="2"/>
  <c r="O246" i="2"/>
  <c r="O247" i="2"/>
  <c r="O248" i="2"/>
  <c r="O250" i="2"/>
  <c r="O251" i="2"/>
  <c r="O252" i="2"/>
  <c r="O254" i="2"/>
  <c r="O255" i="2"/>
  <c r="O256" i="2"/>
  <c r="O258" i="2"/>
  <c r="O259" i="2"/>
  <c r="O260" i="2"/>
  <c r="O262" i="2"/>
  <c r="O263" i="2"/>
  <c r="O264" i="2"/>
  <c r="O266" i="2"/>
  <c r="O267" i="2"/>
  <c r="O268" i="2"/>
  <c r="O270" i="2"/>
  <c r="O271" i="2"/>
  <c r="O272" i="2"/>
  <c r="O274" i="2"/>
  <c r="O275" i="2"/>
  <c r="O276" i="2"/>
  <c r="O278" i="2"/>
  <c r="O279" i="2"/>
  <c r="O280" i="2"/>
  <c r="O282" i="2"/>
  <c r="O283" i="2"/>
  <c r="O284" i="2"/>
  <c r="O286" i="2"/>
  <c r="O287" i="2"/>
  <c r="O288" i="2"/>
  <c r="O290" i="2"/>
  <c r="O291" i="2"/>
  <c r="O292" i="2"/>
  <c r="O294" i="2"/>
  <c r="O295" i="2"/>
  <c r="O296" i="2"/>
  <c r="O298" i="2"/>
  <c r="O299" i="2"/>
  <c r="O300" i="2"/>
  <c r="O302" i="2"/>
  <c r="O303" i="2"/>
  <c r="O304" i="2"/>
  <c r="O306" i="2"/>
  <c r="O307" i="2"/>
  <c r="O308" i="2"/>
  <c r="O310" i="2"/>
  <c r="O311" i="2"/>
  <c r="O312" i="2"/>
  <c r="O314" i="2"/>
  <c r="O315" i="2"/>
  <c r="O316" i="2"/>
  <c r="O318" i="2"/>
  <c r="O319" i="2"/>
  <c r="O320" i="2"/>
  <c r="O322" i="2"/>
  <c r="O323" i="2"/>
  <c r="O324" i="2"/>
  <c r="O326" i="2"/>
  <c r="O327" i="2"/>
  <c r="O328" i="2"/>
  <c r="O330" i="2"/>
  <c r="O331" i="2"/>
  <c r="O332" i="2"/>
  <c r="O334" i="2"/>
  <c r="O335" i="2"/>
  <c r="O336" i="2"/>
  <c r="O338" i="2"/>
  <c r="O339" i="2"/>
  <c r="O340"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AB2" i="1" l="1"/>
  <c r="BC2" i="1"/>
  <c r="AY2" i="1"/>
  <c r="AU2" i="1"/>
  <c r="AQ2" i="1"/>
  <c r="AM2" i="1"/>
  <c r="AI2" i="1"/>
  <c r="AE2" i="1"/>
  <c r="BF2" i="1"/>
  <c r="BB2" i="1"/>
  <c r="AX2" i="1"/>
  <c r="AT2" i="1"/>
  <c r="AP2" i="1"/>
  <c r="AL2" i="1"/>
  <c r="AH2" i="1"/>
  <c r="AD2" i="1"/>
  <c r="BE2" i="1"/>
  <c r="BA2" i="1"/>
  <c r="AW2" i="1"/>
  <c r="AS2" i="1"/>
  <c r="AO2" i="1"/>
  <c r="AK2" i="1"/>
  <c r="AG2" i="1"/>
  <c r="AC2" i="1"/>
  <c r="BD2" i="1"/>
  <c r="AZ2" i="1"/>
  <c r="AV2" i="1"/>
  <c r="AR2" i="1"/>
  <c r="AN2" i="1"/>
  <c r="AJ2" i="1"/>
  <c r="AF2" i="1"/>
  <c r="V6" i="1"/>
  <c r="R6" i="1"/>
  <c r="P6" i="1"/>
  <c r="V2" i="1" a="1"/>
  <c r="V2" i="1" s="1"/>
  <c r="W2" i="1"/>
  <c r="X2" i="1" s="1"/>
  <c r="AB4" i="1" l="1"/>
  <c r="AB3" i="1"/>
  <c r="AN4" i="1"/>
  <c r="AN3" i="1"/>
  <c r="BD4" i="1"/>
  <c r="BD3" i="1"/>
  <c r="AO4" i="1"/>
  <c r="AO3" i="1"/>
  <c r="BE4" i="1"/>
  <c r="BE3" i="1"/>
  <c r="AP3" i="1"/>
  <c r="AP4" i="1"/>
  <c r="BF3" i="1"/>
  <c r="BF4" i="1"/>
  <c r="AQ3" i="1"/>
  <c r="AQ4" i="1"/>
  <c r="AR4" i="1"/>
  <c r="AR3" i="1"/>
  <c r="AC4" i="1"/>
  <c r="AC3" i="1"/>
  <c r="AS4" i="1"/>
  <c r="AS3" i="1"/>
  <c r="AD3" i="1"/>
  <c r="AD4" i="1"/>
  <c r="AT3" i="1"/>
  <c r="AT4" i="1"/>
  <c r="AE3" i="1"/>
  <c r="AE4" i="1"/>
  <c r="AU3" i="1"/>
  <c r="AU4" i="1"/>
  <c r="AF4" i="1"/>
  <c r="AF3" i="1"/>
  <c r="AV4" i="1"/>
  <c r="AV3" i="1"/>
  <c r="AG4" i="1"/>
  <c r="AG3" i="1"/>
  <c r="AW4" i="1"/>
  <c r="AW3" i="1"/>
  <c r="AH3" i="1"/>
  <c r="AH4" i="1"/>
  <c r="AX3" i="1"/>
  <c r="AX4" i="1"/>
  <c r="AI3" i="1"/>
  <c r="AI4" i="1"/>
  <c r="AY3" i="1"/>
  <c r="AY4" i="1"/>
  <c r="AJ4" i="1"/>
  <c r="AJ3" i="1"/>
  <c r="AZ4" i="1"/>
  <c r="AZ3" i="1"/>
  <c r="AK4" i="1"/>
  <c r="AK3" i="1"/>
  <c r="BA4" i="1"/>
  <c r="BA3" i="1"/>
  <c r="AL3" i="1"/>
  <c r="AL4" i="1"/>
  <c r="BB3" i="1"/>
  <c r="BB4" i="1"/>
  <c r="AM3" i="1"/>
  <c r="AM4" i="1"/>
  <c r="BC3" i="1"/>
  <c r="BC4" i="1"/>
  <c r="Q6" i="1"/>
  <c r="Q7" i="1" s="1" a="1"/>
  <c r="Q7" i="1" s="1"/>
  <c r="S6" i="1"/>
  <c r="R7" i="1" a="1"/>
  <c r="R7" i="1" s="1"/>
  <c r="T6" i="1"/>
  <c r="W6" i="1"/>
  <c r="P7" i="1" a="1"/>
  <c r="P7" i="1" s="1"/>
  <c r="U6" i="1" l="1"/>
  <c r="P9" i="1"/>
  <c r="Q9" i="1" s="1"/>
  <c r="V9" i="1"/>
  <c r="W9" i="1" s="1"/>
  <c r="S7" i="1" a="1"/>
  <c r="S7" i="1" s="1"/>
  <c r="R9" i="1" l="1"/>
  <c r="S9" i="1" s="1"/>
  <c r="T9" i="1" l="1"/>
  <c r="U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D495A2-3209-4658-AEFD-8112628DE6E8}" keepAlive="1" name="Query - count after remove duplicate" description="Connection to the 'count after remove duplicate' query in the workbook." type="5" refreshedVersion="8" background="1" saveData="1">
    <dbPr connection="Provider=Microsoft.Mashup.OleDb.1;Data Source=$Workbook$;Location=&quot;count after remove duplicate&quot;;Extended Properties=&quot;&quot;" command="SELECT * FROM [count after remove duplicate]"/>
  </connection>
  <connection id="2" xr16:uid="{C32DDCCD-E929-499B-B148-53AAFE9E497E}" keepAlive="1" name="Query - count before remove duplicate" description="Connection to the 'count before remove duplicate' query in the workbook." type="5" refreshedVersion="8" background="1" saveData="1">
    <dbPr connection="Provider=Microsoft.Mashup.OleDb.1;Data Source=$Workbook$;Location=&quot;count before remove duplicate&quot;;Extended Properties=&quot;&quot;" command="SELECT * FROM [count before remove duplicate]"/>
  </connection>
  <connection id="3" xr16:uid="{85FBADDD-ACF7-4702-8594-5C399D309AE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4" xr16:uid="{23BE917D-87B2-42FC-AAC5-959906FE5562}" keepAlive="1" name="Query - group by avg product_name" description="Connection to the 'group by avg product_name' query in the workbook." type="5" refreshedVersion="8" background="1" saveData="1">
    <dbPr connection="Provider=Microsoft.Mashup.OleDb.1;Data Source=$Workbook$;Location=&quot;group by avg product_name&quot;;Extended Properties=&quot;&quot;" command="SELECT * FROM [group by avg product_name]"/>
  </connection>
  <connection id="5" xr16:uid="{52974E90-5B86-48C8-B79A-4EC10CA5A7FA}" keepAlive="1" name="Query - Median quantity" description="Connection to the 'Median quantity' query in the workbook." type="5" refreshedVersion="8" background="1" saveData="1">
    <dbPr connection="Provider=Microsoft.Mashup.OleDb.1;Data Source=$Workbook$;Location=&quot;Median quantity&quot;;Extended Properties=&quot;&quot;" command="SELECT * FROM [Median quantit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<sst xmlns="http://schemas.openxmlformats.org/spreadsheetml/2006/main" count="30416" uniqueCount="2049">
  <si>
    <t>order_id</t>
  </si>
  <si>
    <t>order_date</t>
  </si>
  <si>
    <t>store_id</t>
  </si>
  <si>
    <t>region</t>
  </si>
  <si>
    <t>customer_id</t>
  </si>
  <si>
    <t>segment</t>
  </si>
  <si>
    <t>product_id</t>
  </si>
  <si>
    <t>product_name</t>
  </si>
  <si>
    <t>category</t>
  </si>
  <si>
    <t>quantity</t>
  </si>
  <si>
    <t>unit_price</t>
  </si>
  <si>
    <t>discount</t>
  </si>
  <si>
    <t>cost</t>
  </si>
  <si>
    <t>ID-2023-00077</t>
  </si>
  <si>
    <t>ST-001</t>
  </si>
  <si>
    <t>Jawa</t>
  </si>
  <si>
    <t>CUST-019</t>
  </si>
  <si>
    <t>Corporate</t>
  </si>
  <si>
    <t>PRD-015</t>
  </si>
  <si>
    <t>Blender Miyako 3 In 1</t>
  </si>
  <si>
    <t>Home Appliances</t>
  </si>
  <si>
    <t>ID-2023-01157</t>
  </si>
  <si>
    <t>CUST-057</t>
  </si>
  <si>
    <t>Consumer</t>
  </si>
  <si>
    <t>ID-2023-01216</t>
  </si>
  <si>
    <t>ST-005</t>
  </si>
  <si>
    <t>Bali &amp; Nusa Tenggara</t>
  </si>
  <si>
    <t>CUST-093</t>
  </si>
  <si>
    <t>Home Office</t>
  </si>
  <si>
    <t>ID-2023-00391</t>
  </si>
  <si>
    <t>CUST-117</t>
  </si>
  <si>
    <t>ID-2023-01187</t>
  </si>
  <si>
    <t>CUST-133</t>
  </si>
  <si>
    <t>ID-2023-00326</t>
  </si>
  <si>
    <t>CUST-115</t>
  </si>
  <si>
    <t>ID-2023-00419</t>
  </si>
  <si>
    <t>ST-004</t>
  </si>
  <si>
    <t>Sulawesi</t>
  </si>
  <si>
    <t>ID-2023-01530</t>
  </si>
  <si>
    <t>CUST-017</t>
  </si>
  <si>
    <t>ID-2023-01692</t>
  </si>
  <si>
    <t>ST-002</t>
  </si>
  <si>
    <t xml:space="preserve">Sumatera </t>
  </si>
  <si>
    <t>CUST-082</t>
  </si>
  <si>
    <t>ID-2023-00696</t>
  </si>
  <si>
    <t>CUST-049</t>
  </si>
  <si>
    <t>ID-2023-01518</t>
  </si>
  <si>
    <t>CUST-032</t>
  </si>
  <si>
    <t>ID-2023-01186</t>
  </si>
  <si>
    <t>ST-003</t>
  </si>
  <si>
    <t>Kalimantan</t>
  </si>
  <si>
    <t>CUST-014</t>
  </si>
  <si>
    <t>ID-2023-01077</t>
  </si>
  <si>
    <t>CUST-025</t>
  </si>
  <si>
    <t>ID-2023-01646</t>
  </si>
  <si>
    <t>CUST-029</t>
  </si>
  <si>
    <t>ID-2023-01194</t>
  </si>
  <si>
    <t>CUST-012</t>
  </si>
  <si>
    <t>Unknown</t>
  </si>
  <si>
    <t>ID-2023-00732</t>
  </si>
  <si>
    <t>ID-2023-01056</t>
  </si>
  <si>
    <t>CUST-103</t>
  </si>
  <si>
    <t>ID-2023-00267</t>
  </si>
  <si>
    <t>CUST-092</t>
  </si>
  <si>
    <t>ID-2023-01659</t>
  </si>
  <si>
    <t>CUST-018</t>
  </si>
  <si>
    <t>ID-2023-01609</t>
  </si>
  <si>
    <t>ID-2024-00617</t>
  </si>
  <si>
    <t>ID-2024-01184</t>
  </si>
  <si>
    <t>CUST-089</t>
  </si>
  <si>
    <t>ID-2024-01598</t>
  </si>
  <si>
    <t>CUST-121</t>
  </si>
  <si>
    <t>ID-2024-00517</t>
  </si>
  <si>
    <t>ID-2024-00616</t>
  </si>
  <si>
    <t>CUST-142</t>
  </si>
  <si>
    <t>ID-2024-00407</t>
  </si>
  <si>
    <t>CUST-022</t>
  </si>
  <si>
    <t>ID-2024-00758</t>
  </si>
  <si>
    <t>ID-2024-00955</t>
  </si>
  <si>
    <t>CUST-046</t>
  </si>
  <si>
    <t>ID-2024-01563</t>
  </si>
  <si>
    <t>CUST-094</t>
  </si>
  <si>
    <t>ID-2024-01431</t>
  </si>
  <si>
    <t>CUST-068</t>
  </si>
  <si>
    <t>ID-2024-00275</t>
  </si>
  <si>
    <t>CUST-047</t>
  </si>
  <si>
    <t>ID-2024-01533</t>
  </si>
  <si>
    <t>CUST-042</t>
  </si>
  <si>
    <t>ID-2024-00008</t>
  </si>
  <si>
    <t>CUST-100</t>
  </si>
  <si>
    <t>ID-2024-01512</t>
  </si>
  <si>
    <t>CUST-074</t>
  </si>
  <si>
    <t>ID-2024-00002</t>
  </si>
  <si>
    <t>CUST-129</t>
  </si>
  <si>
    <t>ID-2024-01089</t>
  </si>
  <si>
    <t>CUST-045</t>
  </si>
  <si>
    <t>ID-2024-00500</t>
  </si>
  <si>
    <t>CUST-064</t>
  </si>
  <si>
    <t>ID-2024-00661</t>
  </si>
  <si>
    <t>CUST-007</t>
  </si>
  <si>
    <t>ID-2024-00532</t>
  </si>
  <si>
    <t>ID-2024-00028</t>
  </si>
  <si>
    <t>CUST-140</t>
  </si>
  <si>
    <t>ID-2024-01366</t>
  </si>
  <si>
    <t>CUST-044</t>
  </si>
  <si>
    <t>ID-2025-00040</t>
  </si>
  <si>
    <t>ID-2025-01326</t>
  </si>
  <si>
    <t>ID-2025-01550</t>
  </si>
  <si>
    <t>CUST-058</t>
  </si>
  <si>
    <t>ID-2025-01473</t>
  </si>
  <si>
    <t>CUST-063</t>
  </si>
  <si>
    <t>ID-2025-01018</t>
  </si>
  <si>
    <t>ID-2025-00497</t>
  </si>
  <si>
    <t>CUST-111</t>
  </si>
  <si>
    <t>ID-2025-00003</t>
  </si>
  <si>
    <t>CUST-054</t>
  </si>
  <si>
    <t>ID-2025-01309</t>
  </si>
  <si>
    <t>CUST-099</t>
  </si>
  <si>
    <t>ID-2025-00772</t>
  </si>
  <si>
    <t>CUST-020</t>
  </si>
  <si>
    <t>ID-2025-00885</t>
  </si>
  <si>
    <t>CUST-015</t>
  </si>
  <si>
    <t>ID-2025-00780</t>
  </si>
  <si>
    <t>CUST-076</t>
  </si>
  <si>
    <t>ID-2025-01670</t>
  </si>
  <si>
    <t>ID-2025-00590</t>
  </si>
  <si>
    <t>CUST-039</t>
  </si>
  <si>
    <t>ID-2025-01500</t>
  </si>
  <si>
    <t>ID-2025-01262</t>
  </si>
  <si>
    <t>ID-2025-01130</t>
  </si>
  <si>
    <t>CUST-138</t>
  </si>
  <si>
    <t>ID-2025-01036</t>
  </si>
  <si>
    <t>CUST-135</t>
  </si>
  <si>
    <t>ID-2025-01665</t>
  </si>
  <si>
    <t>CUST-077</t>
  </si>
  <si>
    <t>ID-2025-00677</t>
  </si>
  <si>
    <t>CUST-062</t>
  </si>
  <si>
    <t>ID-2025-00535</t>
  </si>
  <si>
    <t>ID-2025-01072</t>
  </si>
  <si>
    <t>ID-2026-01146</t>
  </si>
  <si>
    <t>ID-2026-01458</t>
  </si>
  <si>
    <t>CUST-126</t>
  </si>
  <si>
    <t>ID-2026-00911</t>
  </si>
  <si>
    <t>ID-2026-01294</t>
  </si>
  <si>
    <t>CUST-067</t>
  </si>
  <si>
    <t>ID-2026-00631</t>
  </si>
  <si>
    <t>CUST-021</t>
  </si>
  <si>
    <t>ID-2026-00467</t>
  </si>
  <si>
    <t>ID-2026-00108</t>
  </si>
  <si>
    <t>ID-2026-01511</t>
  </si>
  <si>
    <t>CUST-034</t>
  </si>
  <si>
    <t>ID-2026-00920</t>
  </si>
  <si>
    <t>CUST-146</t>
  </si>
  <si>
    <t>ID-2026-01681</t>
  </si>
  <si>
    <t>ID-2026-00518</t>
  </si>
  <si>
    <t>CUST-035</t>
  </si>
  <si>
    <t>ID-2023-01389</t>
  </si>
  <si>
    <t>CUST-086</t>
  </si>
  <si>
    <t>PRD-004</t>
  </si>
  <si>
    <t>Smart Tv Aqua 32 Inch</t>
  </si>
  <si>
    <t>Electronics</t>
  </si>
  <si>
    <t>ID-2023-00220</t>
  </si>
  <si>
    <t>CUST-071</t>
  </si>
  <si>
    <t>ID-2023-00007</t>
  </si>
  <si>
    <t>CUST-127</t>
  </si>
  <si>
    <t>ID-2023-00865</t>
  </si>
  <si>
    <t>CUST-056</t>
  </si>
  <si>
    <t>ID-2023-00182</t>
  </si>
  <si>
    <t>CUST-116</t>
  </si>
  <si>
    <t>ID-2023-01593</t>
  </si>
  <si>
    <t>ID-2023-00690</t>
  </si>
  <si>
    <t>ID-2023-01767</t>
  </si>
  <si>
    <t>CUST-109</t>
  </si>
  <si>
    <t>ID-2023-00536</t>
  </si>
  <si>
    <t>CUST-123</t>
  </si>
  <si>
    <t>ID-2023-00366</t>
  </si>
  <si>
    <t>ID-2023-01166</t>
  </si>
  <si>
    <t>CUST-128</t>
  </si>
  <si>
    <t>ID-2023-01702</t>
  </si>
  <si>
    <t>CUST-001</t>
  </si>
  <si>
    <t>ID-2023-01312</t>
  </si>
  <si>
    <t>ID-2023-00330</t>
  </si>
  <si>
    <t>CUST-006</t>
  </si>
  <si>
    <t>ID-2023-00018</t>
  </si>
  <si>
    <t>ID-2024-01641</t>
  </si>
  <si>
    <t>ID-2024-01081</t>
  </si>
  <si>
    <t>CUST-083</t>
  </si>
  <si>
    <t>ID-2024-01579</t>
  </si>
  <si>
    <t>ID-2024-01040</t>
  </si>
  <si>
    <t>ID-2024-00949</t>
  </si>
  <si>
    <t>ID-2024-00801</t>
  </si>
  <si>
    <t>CUST-011</t>
  </si>
  <si>
    <t>ID-2024-00567</t>
  </si>
  <si>
    <t>CUST-150</t>
  </si>
  <si>
    <t>ID-2024-00577</t>
  </si>
  <si>
    <t>CUST-016</t>
  </si>
  <si>
    <t>ID-2024-00092</t>
  </si>
  <si>
    <t>CUST-026</t>
  </si>
  <si>
    <t>ID-2024-01423</t>
  </si>
  <si>
    <t>ID-2024-00350</t>
  </si>
  <si>
    <t>ID-2024-00850</t>
  </si>
  <si>
    <t>CUST-070</t>
  </si>
  <si>
    <t>ID-2024-00676</t>
  </si>
  <si>
    <t>CUST-096</t>
  </si>
  <si>
    <t>ID-2024-00378</t>
  </si>
  <si>
    <t>CUST-009</t>
  </si>
  <si>
    <t>ID-2024-00474</t>
  </si>
  <si>
    <t>ID-2024-00931</t>
  </si>
  <si>
    <t>CUST-078</t>
  </si>
  <si>
    <t>ID-2024-00438</t>
  </si>
  <si>
    <t>CUST-145</t>
  </si>
  <si>
    <t>ID-2024-00393</t>
  </si>
  <si>
    <t>CUST-113</t>
  </si>
  <si>
    <t>ID-2024-01221</t>
  </si>
  <si>
    <t>CUST-079</t>
  </si>
  <si>
    <t>ID-2025-00084</t>
  </si>
  <si>
    <t>CUST-048</t>
  </si>
  <si>
    <t>ID-2025-00120</t>
  </si>
  <si>
    <t>CUST-119</t>
  </si>
  <si>
    <t>ID-2025-00881</t>
  </si>
  <si>
    <t>ID-2025-00614</t>
  </si>
  <si>
    <t>CUST-004</t>
  </si>
  <si>
    <t>ID-2025-00031</t>
  </si>
  <si>
    <t>ID-2025-00627</t>
  </si>
  <si>
    <t>CUST-084</t>
  </si>
  <si>
    <t>ID-2025-01354</t>
  </si>
  <si>
    <t>CUST-040</t>
  </si>
  <si>
    <t>ID-2025-00026</t>
  </si>
  <si>
    <t>CUST-148</t>
  </si>
  <si>
    <t>ID-2025-00656</t>
  </si>
  <si>
    <t>CUST-060</t>
  </si>
  <si>
    <t>ID-2025-00550</t>
  </si>
  <si>
    <t>ID-2025-01539</t>
  </si>
  <si>
    <t>ID-2025-01300</t>
  </si>
  <si>
    <t>CUST-106</t>
  </si>
  <si>
    <t>ID-2025-01604</t>
  </si>
  <si>
    <t>CUST-053</t>
  </si>
  <si>
    <t>ID-2025-01044</t>
  </si>
  <si>
    <t>ID-2025-01120</t>
  </si>
  <si>
    <t>CUST-112</t>
  </si>
  <si>
    <t>ID-2025-01225</t>
  </si>
  <si>
    <t>ID-2025-01017</t>
  </si>
  <si>
    <t>CUST-090</t>
  </si>
  <si>
    <t>ID-2025-00493</t>
  </si>
  <si>
    <t>CUST-120</t>
  </si>
  <si>
    <t>ID-2025-01705</t>
  </si>
  <si>
    <t>ID-2025-01621</t>
  </si>
  <si>
    <t>CUST-130</t>
  </si>
  <si>
    <t>ID-2025-00896</t>
  </si>
  <si>
    <t>ID-2025-00358</t>
  </si>
  <si>
    <t>ID-2025-01338</t>
  </si>
  <si>
    <t>ID-2025-01690</t>
  </si>
  <si>
    <t>ID-2025-01368</t>
  </si>
  <si>
    <t>ID-2025-01370</t>
  </si>
  <si>
    <t>ID-2025-00110</t>
  </si>
  <si>
    <t>CUST-098</t>
  </si>
  <si>
    <t>ID-2025-01578</t>
  </si>
  <si>
    <t>ID-2025-00046</t>
  </si>
  <si>
    <t>CUST-043</t>
  </si>
  <si>
    <t>ID-2025-00874</t>
  </si>
  <si>
    <t>CUST-080</t>
  </si>
  <si>
    <t>ID-2025-00472</t>
  </si>
  <si>
    <t>CUST-050</t>
  </si>
  <si>
    <t>ID-2025-00458</t>
  </si>
  <si>
    <t>ID-2026-00957</t>
  </si>
  <si>
    <t>CUST-072</t>
  </si>
  <si>
    <t>ID-2026-00720</t>
  </si>
  <si>
    <t>ID-2026-01206</t>
  </si>
  <si>
    <t>ID-2026-00213</t>
  </si>
  <si>
    <t>ID-2026-01254</t>
  </si>
  <si>
    <t>CUST-132</t>
  </si>
  <si>
    <t>ID-2026-01386</t>
  </si>
  <si>
    <t>ID-2026-00192</t>
  </si>
  <si>
    <t>ID-2023-00556</t>
  </si>
  <si>
    <t>CUST-002</t>
  </si>
  <si>
    <t>PRD-016</t>
  </si>
  <si>
    <t>Kipas Angin Maspion</t>
  </si>
  <si>
    <t>ID-2023-01282</t>
  </si>
  <si>
    <t>ID-2023-00626</t>
  </si>
  <si>
    <t>ID-2023-01069</t>
  </si>
  <si>
    <t>ID-2023-00841</t>
  </si>
  <si>
    <t>ID-2023-01452</t>
  </si>
  <si>
    <t>ID-2023-01479</t>
  </si>
  <si>
    <t>ID-2023-00451</t>
  </si>
  <si>
    <t>ID-2023-01321</t>
  </si>
  <si>
    <t>ID-2023-01795</t>
  </si>
  <si>
    <t>ID-2023-01398</t>
  </si>
  <si>
    <t>CUST-052</t>
  </si>
  <si>
    <t>ID-2023-01011</t>
  </si>
  <si>
    <t>ID-2023-01783</t>
  </si>
  <si>
    <t>ID-2023-01182</t>
  </si>
  <si>
    <t>CUST-088</t>
  </si>
  <si>
    <t>ID-2023-00103</t>
  </si>
  <si>
    <t>ID-2023-01505</t>
  </si>
  <si>
    <t>ID-2023-01607</t>
  </si>
  <si>
    <t>CUST-139</t>
  </si>
  <si>
    <t>ID-2023-00370</t>
  </si>
  <si>
    <t>ID-2023-00884</t>
  </si>
  <si>
    <t>ID-2023-01584</t>
  </si>
  <si>
    <t>ID-2023-00159</t>
  </si>
  <si>
    <t>ID-2023-01559</t>
  </si>
  <si>
    <t>CUST-108</t>
  </si>
  <si>
    <t>ID-2024-00657</t>
  </si>
  <si>
    <t>ID-2024-01788</t>
  </si>
  <si>
    <t>ID-2024-00164</t>
  </si>
  <si>
    <t>ID-2024-00387</t>
  </si>
  <si>
    <t>ID-2024-00379</t>
  </si>
  <si>
    <t>CUST-010</t>
  </si>
  <si>
    <t>ID-2024-01365</t>
  </si>
  <si>
    <t>CUST-134</t>
  </si>
  <si>
    <t>ID-2024-00695</t>
  </si>
  <si>
    <t>CUST-031</t>
  </si>
  <si>
    <t>ID-2024-00740</t>
  </si>
  <si>
    <t>CUST-143</t>
  </si>
  <si>
    <t>ID-2024-01562</t>
  </si>
  <si>
    <t>CUST-008</t>
  </si>
  <si>
    <t>ID-2024-00269</t>
  </si>
  <si>
    <t>ID-2024-00157</t>
  </si>
  <si>
    <t>ID-2024-01328</t>
  </si>
  <si>
    <t>CUST-122</t>
  </si>
  <si>
    <t>ID-2024-01022</t>
  </si>
  <si>
    <t>ID-2024-00659</t>
  </si>
  <si>
    <t>ID-2024-00646</t>
  </si>
  <si>
    <t>CUST-095</t>
  </si>
  <si>
    <t>ID-2024-01642</t>
  </si>
  <si>
    <t>ID-2024-01396</t>
  </si>
  <si>
    <t>ID-2024-01381</t>
  </si>
  <si>
    <t>CUST-136</t>
  </si>
  <si>
    <t>ID-2025-00276</t>
  </si>
  <si>
    <t>CUST-075</t>
  </si>
  <si>
    <t>ID-2025-01586</t>
  </si>
  <si>
    <t>ID-2025-01281</t>
  </si>
  <si>
    <t>ID-2025-00311</t>
  </si>
  <si>
    <t>CUST-104</t>
  </si>
  <si>
    <t>ID-2025-01546</t>
  </si>
  <si>
    <t>CUST-005</t>
  </si>
  <si>
    <t>ID-2025-01743</t>
  </si>
  <si>
    <t>CUST-118</t>
  </si>
  <si>
    <t>ID-2025-01468</t>
  </si>
  <si>
    <t>ID-2025-01590</t>
  </si>
  <si>
    <t>CUST-149</t>
  </si>
  <si>
    <t>ID-2025-01751</t>
  </si>
  <si>
    <t>ID-2025-00298</t>
  </si>
  <si>
    <t>ID-2025-00483</t>
  </si>
  <si>
    <t>ID-2025-01055</t>
  </si>
  <si>
    <t>ID-2025-00794</t>
  </si>
  <si>
    <t>ID-2025-00172</t>
  </si>
  <si>
    <t>ID-2025-00321</t>
  </si>
  <si>
    <t>ID-2025-00605</t>
  </si>
  <si>
    <t>CUST-059</t>
  </si>
  <si>
    <t>ID-2025-00952</t>
  </si>
  <si>
    <t>ID-2025-00066</t>
  </si>
  <si>
    <t>CUST-024</t>
  </si>
  <si>
    <t>ID-2026-01169</t>
  </si>
  <si>
    <t>ID-2026-00843</t>
  </si>
  <si>
    <t>ID-2026-00895</t>
  </si>
  <si>
    <t>ID-2026-01134</t>
  </si>
  <si>
    <t>ID-2026-00052</t>
  </si>
  <si>
    <t>ID-2026-00376</t>
  </si>
  <si>
    <t>CUST-036</t>
  </si>
  <si>
    <t>ID-2023-00851</t>
  </si>
  <si>
    <t>PRD-026</t>
  </si>
  <si>
    <t>Sepatu Lari Mills</t>
  </si>
  <si>
    <t>Sports</t>
  </si>
  <si>
    <t>ID-2023-00769</t>
  </si>
  <si>
    <t>ID-2023-01296</t>
  </si>
  <si>
    <t>CUST-141</t>
  </si>
  <si>
    <t>ID-2023-01449</t>
  </si>
  <si>
    <t>CUST-023</t>
  </si>
  <si>
    <t>ID-2023-00153</t>
  </si>
  <si>
    <t>ID-2023-00055</t>
  </si>
  <si>
    <t>ID-2023-01401</t>
  </si>
  <si>
    <t>ID-2023-01535</t>
  </si>
  <si>
    <t>CUST-041</t>
  </si>
  <si>
    <t>ID-2023-00155</t>
  </si>
  <si>
    <t>ID-2023-00418</t>
  </si>
  <si>
    <t>ID-2023-00139</t>
  </si>
  <si>
    <t>ID-2023-01739</t>
  </si>
  <si>
    <t>CUST-110</t>
  </si>
  <si>
    <t>ID-2023-01430</t>
  </si>
  <si>
    <t>ID-2023-01490</t>
  </si>
  <si>
    <t>ID-2023-00312</t>
  </si>
  <si>
    <t>ID-2023-01697</t>
  </si>
  <si>
    <t>ID-2023-00184</t>
  </si>
  <si>
    <t>CUST-027</t>
  </si>
  <si>
    <t>ID-2023-01606</t>
  </si>
  <si>
    <t>ID-2023-01725</t>
  </si>
  <si>
    <t>ID-2023-01756</t>
  </si>
  <si>
    <t>ID-2023-00364</t>
  </si>
  <si>
    <t>ID-2024-01572</t>
  </si>
  <si>
    <t>ID-2024-00284</t>
  </si>
  <si>
    <t>ID-2024-00460</t>
  </si>
  <si>
    <t>ID-2024-01443</t>
  </si>
  <si>
    <t>ID-2024-00993</t>
  </si>
  <si>
    <t>CUST-091</t>
  </si>
  <si>
    <t>ID-2024-00864</t>
  </si>
  <si>
    <t>ID-2024-01170</t>
  </si>
  <si>
    <t>ID-2024-00038</t>
  </si>
  <si>
    <t>ID-2024-00849</t>
  </si>
  <si>
    <t>ID-2024-00049</t>
  </si>
  <si>
    <t>ID-2024-01394</t>
  </si>
  <si>
    <t>ID-2024-01718</t>
  </si>
  <si>
    <t>CUST-030</t>
  </si>
  <si>
    <t>ID-2024-01513</t>
  </si>
  <si>
    <t>ID-2024-00313</t>
  </si>
  <si>
    <t>ID-2024-00655</t>
  </si>
  <si>
    <t>ID-2024-01495</t>
  </si>
  <si>
    <t>ID-2024-01324</t>
  </si>
  <si>
    <t>ID-2024-01114</t>
  </si>
  <si>
    <t>ID-2024-00109</t>
  </si>
  <si>
    <t>ID-2024-00015</t>
  </si>
  <si>
    <t>CUST-003</t>
  </si>
  <si>
    <t>ID-2024-01600</t>
  </si>
  <si>
    <t>CUST-013</t>
  </si>
  <si>
    <t>ID-2024-01242</t>
  </si>
  <si>
    <t>ID-2024-01155</t>
  </si>
  <si>
    <t>ID-2024-00855</t>
  </si>
  <si>
    <t>ID-2025-01687</t>
  </si>
  <si>
    <t>ID-2025-01727</t>
  </si>
  <si>
    <t>CUST-147</t>
  </si>
  <si>
    <t>ID-2025-00906</t>
  </si>
  <si>
    <t>ID-2025-00043</t>
  </si>
  <si>
    <t>ID-2025-01685</t>
  </si>
  <si>
    <t>CUST-066</t>
  </si>
  <si>
    <t>ID-2025-01243</t>
  </si>
  <si>
    <t>ID-2025-01330</t>
  </si>
  <si>
    <t>ID-2025-01144</t>
  </si>
  <si>
    <t>ID-2025-00683</t>
  </si>
  <si>
    <t>ID-2025-01124</t>
  </si>
  <si>
    <t>ID-2025-01179</t>
  </si>
  <si>
    <t>ID-2025-00100</t>
  </si>
  <si>
    <t>ID-2025-01561</t>
  </si>
  <si>
    <t>CUST-061</t>
  </si>
  <si>
    <t>ID-2025-00910</t>
  </si>
  <si>
    <t>ID-2025-00086</t>
  </si>
  <si>
    <t>ID-2025-01316</t>
  </si>
  <si>
    <t>ID-2025-00970</t>
  </si>
  <si>
    <t>ID-2025-00570</t>
  </si>
  <si>
    <t>ID-2025-00428</t>
  </si>
  <si>
    <t>ID-2025-00709</t>
  </si>
  <si>
    <t>ID-2025-00248</t>
  </si>
  <si>
    <t>ID-2025-01159</t>
  </si>
  <si>
    <t>ID-2026-01716</t>
  </si>
  <si>
    <t>ID-2026-01675</t>
  </si>
  <si>
    <t>ID-2026-00181</t>
  </si>
  <si>
    <t>ID-2026-01390</t>
  </si>
  <si>
    <t>ID-2026-01258</t>
  </si>
  <si>
    <t>CUST-073</t>
  </si>
  <si>
    <t>ID-2026-00152</t>
  </si>
  <si>
    <t>ID-2026-01639</t>
  </si>
  <si>
    <t>ID-2026-00397</t>
  </si>
  <si>
    <t>ID-2026-01374</t>
  </si>
  <si>
    <t>ID-2026-01163</t>
  </si>
  <si>
    <t>ID-2026-01325</t>
  </si>
  <si>
    <t>ID-2026-00663</t>
  </si>
  <si>
    <t>ID-2026-00685</t>
  </si>
  <si>
    <t>CUST-124</t>
  </si>
  <si>
    <t>ID-2026-01070</t>
  </si>
  <si>
    <t>ID-2026-00629</t>
  </si>
  <si>
    <t>ID-2026-00371</t>
  </si>
  <si>
    <t>ID-2026-00858</t>
  </si>
  <si>
    <t>ID-2023-01602</t>
  </si>
  <si>
    <t>CUST-051</t>
  </si>
  <si>
    <t>PRD-007</t>
  </si>
  <si>
    <t>Sofa Minimalis Jepara</t>
  </si>
  <si>
    <t xml:space="preserve">Furniture </t>
  </si>
  <si>
    <t>ID-2023-01181</t>
  </si>
  <si>
    <t>ID-2023-01745</t>
  </si>
  <si>
    <t>ID-2023-01419</t>
  </si>
  <si>
    <t>ID-2023-01589</t>
  </si>
  <si>
    <t>ID-2023-00531</t>
  </si>
  <si>
    <t>ID-2023-00972</t>
  </si>
  <si>
    <t>ID-2023-01622</t>
  </si>
  <si>
    <t>ID-2023-01196</t>
  </si>
  <si>
    <t>ID-2023-01084</t>
  </si>
  <si>
    <t>ID-2023-01088</t>
  </si>
  <si>
    <t>ID-2023-00773</t>
  </si>
  <si>
    <t>ID-2023-01291</t>
  </si>
  <si>
    <t>ID-2023-01079</t>
  </si>
  <si>
    <t>ID-2023-01139</t>
  </si>
  <si>
    <t>ID-2023-00664</t>
  </si>
  <si>
    <t>ID-2023-01460</t>
  </si>
  <si>
    <t>ID-2023-01331</t>
  </si>
  <si>
    <t>ID-2023-01615</t>
  </si>
  <si>
    <t>ID-2023-01679</t>
  </si>
  <si>
    <t>ID-2023-01048</t>
  </si>
  <si>
    <t>ID-2023-01601</t>
  </si>
  <si>
    <t>ID-2023-01315</t>
  </si>
  <si>
    <t>ID-2023-01075</t>
  </si>
  <si>
    <t>CUST-102</t>
  </si>
  <si>
    <t>ID-2023-00473</t>
  </si>
  <si>
    <t>ID-2023-01213</t>
  </si>
  <si>
    <t>ID-2023-00737</t>
  </si>
  <si>
    <t>CUST-081</t>
  </si>
  <si>
    <t>ID-2024-00976</t>
  </si>
  <si>
    <t>ID-2024-01266</t>
  </si>
  <si>
    <t>ID-2024-01030</t>
  </si>
  <si>
    <t>ID-2024-00585</t>
  </si>
  <si>
    <t>CUST-144</t>
  </si>
  <si>
    <t>ID-2024-00998</t>
  </si>
  <si>
    <t>ID-2024-00166</t>
  </si>
  <si>
    <t>ID-2024-00315</t>
  </si>
  <si>
    <t>ID-2024-00085</t>
  </si>
  <si>
    <t>ID-2024-00020</t>
  </si>
  <si>
    <t>ID-2024-01103</t>
  </si>
  <si>
    <t>ID-2024-00250</t>
  </si>
  <si>
    <t>ID-2024-01121</t>
  </si>
  <si>
    <t>ID-2024-00413</t>
  </si>
  <si>
    <t>ID-2024-01503</t>
  </si>
  <si>
    <t>ID-2024-01346</t>
  </si>
  <si>
    <t>ID-2024-00013</t>
  </si>
  <si>
    <t>ID-2024-01233</t>
  </si>
  <si>
    <t>ID-2024-00950</t>
  </si>
  <si>
    <t>ID-2024-00562</t>
  </si>
  <si>
    <t>ID-2024-00622</t>
  </si>
  <si>
    <t>ID-2024-01691</t>
  </si>
  <si>
    <t>ID-2024-01415</t>
  </si>
  <si>
    <t>CUST-085</t>
  </si>
  <si>
    <t>ID-2024-00278</t>
  </si>
  <si>
    <t>ID-2025-01768</t>
  </si>
  <si>
    <t>ID-2025-01238</t>
  </si>
  <si>
    <t>ID-2025-00024</t>
  </si>
  <si>
    <t>CUST-069</t>
  </si>
  <si>
    <t>ID-2025-01476</t>
  </si>
  <si>
    <t>CUST-137</t>
  </si>
  <si>
    <t>ID-2025-00245</t>
  </si>
  <si>
    <t>ID-2025-00401</t>
  </si>
  <si>
    <t>ID-2025-01780</t>
  </si>
  <si>
    <t>ID-2025-00915</t>
  </si>
  <si>
    <t>ID-2025-00923</t>
  </si>
  <si>
    <t>ID-2025-01791</t>
  </si>
  <si>
    <t>ID-2025-01168</t>
  </si>
  <si>
    <t>ID-2025-01459</t>
  </si>
  <si>
    <t>ID-2025-01522</t>
  </si>
  <si>
    <t>ID-2025-01387</t>
  </si>
  <si>
    <t>ID-2025-00678</t>
  </si>
  <si>
    <t>ID-2026-01377</t>
  </si>
  <si>
    <t>ID-2026-01501</t>
  </si>
  <si>
    <t>ID-2026-00443</t>
  </si>
  <si>
    <t>ID-2026-00498</t>
  </si>
  <si>
    <t>ID-2026-00602</t>
  </si>
  <si>
    <t>ID-2026-00760</t>
  </si>
  <si>
    <t>ID-2026-00070</t>
  </si>
  <si>
    <t>ID-2026-01538</t>
  </si>
  <si>
    <t>ID-2026-01257</t>
  </si>
  <si>
    <t>ID-2026-00872</t>
  </si>
  <si>
    <t>ID-2026-00186</t>
  </si>
  <si>
    <t>ID-2023-00704</t>
  </si>
  <si>
    <t>PRD-002</t>
  </si>
  <si>
    <t>Laptop Axioo Mybook</t>
  </si>
  <si>
    <t>ID-2023-01769</t>
  </si>
  <si>
    <t>ID-2023-01722</t>
  </si>
  <si>
    <t>ID-2023-00736</t>
  </si>
  <si>
    <t>CUST-107</t>
  </si>
  <si>
    <t>ID-2023-00742</t>
  </si>
  <si>
    <t>ID-2023-01299</t>
  </si>
  <si>
    <t>ID-2023-01035</t>
  </si>
  <si>
    <t>ID-2023-01218</t>
  </si>
  <si>
    <t>ID-2023-00787</t>
  </si>
  <si>
    <t>CUST-038</t>
  </si>
  <si>
    <t>ID-2023-00893</t>
  </si>
  <si>
    <t>ID-2023-01580</t>
  </si>
  <si>
    <t>ID-2023-01567</t>
  </si>
  <si>
    <t>ID-2023-00083</t>
  </si>
  <si>
    <t>ID-2023-01104</t>
  </si>
  <si>
    <t>ID-2023-00146</t>
  </si>
  <si>
    <t>ID-2023-00912</t>
  </si>
  <si>
    <t>ID-2023-00259</t>
  </si>
  <si>
    <t>ID-2023-00743</t>
  </si>
  <si>
    <t>CUST-125</t>
  </si>
  <si>
    <t>ID-2023-01278</t>
  </si>
  <si>
    <t>ID-2023-00618</t>
  </si>
  <si>
    <t>ID-2023-00512</t>
  </si>
  <si>
    <t>ID-2024-00287</t>
  </si>
  <si>
    <t>ID-2024-00729</t>
  </si>
  <si>
    <t>ID-2024-01285</t>
  </si>
  <si>
    <t>ID-2024-00420</t>
  </si>
  <si>
    <t>ID-2024-00876</t>
  </si>
  <si>
    <t>ID-2024-00807</t>
  </si>
  <si>
    <t>ID-2024-00294</t>
  </si>
  <si>
    <t>ID-2024-01568</t>
  </si>
  <si>
    <t>ID-2024-00291</t>
  </si>
  <si>
    <t>CUST-097</t>
  </si>
  <si>
    <t>ID-2024-01343</t>
  </si>
  <si>
    <t>ID-2024-01566</t>
  </si>
  <si>
    <t>ID-2024-00482</t>
  </si>
  <si>
    <t>ID-2025-00866</t>
  </si>
  <si>
    <t>ID-2025-01337</t>
  </si>
  <si>
    <t>ID-2025-01623</t>
  </si>
  <si>
    <t>ID-2025-00628</t>
  </si>
  <si>
    <t>ID-2025-00217</t>
  </si>
  <si>
    <t>ID-2025-01620</t>
  </si>
  <si>
    <t>ID-2025-01342</t>
  </si>
  <si>
    <t>ID-2025-00878</t>
  </si>
  <si>
    <t>ID-2025-00005</t>
  </si>
  <si>
    <t>ID-2025-00749</t>
  </si>
  <si>
    <t>ID-2025-00475</t>
  </si>
  <si>
    <t>ID-2025-01041</t>
  </si>
  <si>
    <t>CUST-065</t>
  </si>
  <si>
    <t>ID-2025-01549</t>
  </si>
  <si>
    <t>ID-2025-01344</t>
  </si>
  <si>
    <t>ID-2025-01033</t>
  </si>
  <si>
    <t>ID-2026-01526</t>
  </si>
  <si>
    <t>ID-2026-00255</t>
  </si>
  <si>
    <t>ID-2026-00434</t>
  </si>
  <si>
    <t>ID-2026-00261</t>
  </si>
  <si>
    <t>ID-2026-00270</t>
  </si>
  <si>
    <t>ID-2026-00863</t>
  </si>
  <si>
    <t>ID-2026-00771</t>
  </si>
  <si>
    <t>ID-2026-00971</t>
  </si>
  <si>
    <t>ID-2026-00337</t>
  </si>
  <si>
    <t>ID-2026-00210</t>
  </si>
  <si>
    <t>ID-2026-01037</t>
  </si>
  <si>
    <t>CUST-087</t>
  </si>
  <si>
    <t>ID-2026-00114</t>
  </si>
  <si>
    <t>ID-2026-01024</t>
  </si>
  <si>
    <t>ID-2026-00486</t>
  </si>
  <si>
    <t>ID-2026-00143</t>
  </si>
  <si>
    <t>ID-2026-01541</t>
  </si>
  <si>
    <t>ID-2026-00441</t>
  </si>
  <si>
    <t>ID-2023-01672</t>
  </si>
  <si>
    <t>PRD-009</t>
  </si>
  <si>
    <t>Lemari Pakaian Sliding</t>
  </si>
  <si>
    <t>ID-2023-01099</t>
  </si>
  <si>
    <t>ID-2023-00632</t>
  </si>
  <si>
    <t>ID-2023-01376</t>
  </si>
  <si>
    <t>ID-2023-00027</t>
  </si>
  <si>
    <t>ID-2023-01770</t>
  </si>
  <si>
    <t>ID-2023-01433</t>
  </si>
  <si>
    <t>ID-2023-01507</t>
  </si>
  <si>
    <t>ID-2023-00280</t>
  </si>
  <si>
    <t>ID-2023-01275</t>
  </si>
  <si>
    <t>ID-2023-00953</t>
  </si>
  <si>
    <t>ID-2023-01250</t>
  </si>
  <si>
    <t>CUST-055</t>
  </si>
  <si>
    <t>ID-2023-00105</t>
  </si>
  <si>
    <t>ID-2023-00263</t>
  </si>
  <si>
    <t>ID-2023-01102</t>
  </si>
  <si>
    <t>ID-2023-01295</t>
  </si>
  <si>
    <t>ID-2023-01532</t>
  </si>
  <si>
    <t>ID-2023-00254</t>
  </si>
  <si>
    <t>ID-2023-00592</t>
  </si>
  <si>
    <t>ID-2024-00974</t>
  </si>
  <si>
    <t>ID-2024-00386</t>
  </si>
  <si>
    <t>ID-2024-00961</t>
  </si>
  <si>
    <t>ID-2024-00805</t>
  </si>
  <si>
    <t>ID-2024-01164</t>
  </si>
  <si>
    <t>ID-2024-01200</t>
  </si>
  <si>
    <t>ID-2024-00587</t>
  </si>
  <si>
    <t>ID-2024-00125</t>
  </si>
  <si>
    <t>ID-2024-01474</t>
  </si>
  <si>
    <t>ID-2024-01212</t>
  </si>
  <si>
    <t>ID-2024-00571</t>
  </si>
  <si>
    <t>ID-2024-01738</t>
  </si>
  <si>
    <t>ID-2024-01109</t>
  </si>
  <si>
    <t>ID-2024-00064</t>
  </si>
  <si>
    <t>ID-2024-00249</t>
  </si>
  <si>
    <t>ID-2025-00687</t>
  </si>
  <si>
    <t>ID-2025-01161</t>
  </si>
  <si>
    <t>ID-2025-01137</t>
  </si>
  <si>
    <t>ID-2025-01333</t>
  </si>
  <si>
    <t>ID-2025-01790</t>
  </si>
  <si>
    <t>ID-2025-00300</t>
  </si>
  <si>
    <t>ID-2025-01286</t>
  </si>
  <si>
    <t>ID-2025-01224</t>
  </si>
  <si>
    <t>ID-2025-00746</t>
  </si>
  <si>
    <t>ID-2025-00059</t>
  </si>
  <si>
    <t>CUST-101</t>
  </si>
  <si>
    <t>ID-2025-01226</t>
  </si>
  <si>
    <t>ID-2025-01116</t>
  </si>
  <si>
    <t>ID-2025-00424</t>
  </si>
  <si>
    <t>ID-2025-01259</t>
  </si>
  <si>
    <t>ID-2025-00651</t>
  </si>
  <si>
    <t>ID-2025-00652</t>
  </si>
  <si>
    <t>ID-2025-00986</t>
  </si>
  <si>
    <t>CUST-131</t>
  </si>
  <si>
    <t>ID-2025-01406</t>
  </si>
  <si>
    <t>ID-2025-00436</t>
  </si>
  <si>
    <t>ID-2026-00821</t>
  </si>
  <si>
    <t>ID-2026-01223</t>
  </si>
  <si>
    <t>ID-2026-00476</t>
  </si>
  <si>
    <t>ID-2026-00672</t>
  </si>
  <si>
    <t>ID-2026-01290</t>
  </si>
  <si>
    <t>ID-2026-00324</t>
  </si>
  <si>
    <t>ID-2026-01356</t>
  </si>
  <si>
    <t>ID-2026-00137</t>
  </si>
  <si>
    <t>ID-2026-00122</t>
  </si>
  <si>
    <t>ID-2026-01352</t>
  </si>
  <si>
    <t>ID-2026-01587</t>
  </si>
  <si>
    <t>ID-2026-00214</t>
  </si>
  <si>
    <t>ID-2026-00557</t>
  </si>
  <si>
    <t>ID-2023-01201</t>
  </si>
  <si>
    <t>PRD-005</t>
  </si>
  <si>
    <t>Monitor Led Advance 24</t>
  </si>
  <si>
    <t>ID-2023-01143</t>
  </si>
  <si>
    <t>ID-2023-01178</t>
  </si>
  <si>
    <t>ID-2023-00089</t>
  </si>
  <si>
    <t>ID-2023-01637</t>
  </si>
  <si>
    <t>ID-2023-00726</t>
  </si>
  <si>
    <t>ID-2023-01660</t>
  </si>
  <si>
    <t>ID-2023-00346</t>
  </si>
  <si>
    <t>ID-2023-01564</t>
  </si>
  <si>
    <t>ID-2023-01132</t>
  </si>
  <si>
    <t>ID-2023-00834</t>
  </si>
  <si>
    <t>ID-2023-00560</t>
  </si>
  <si>
    <t>ID-2023-01095</t>
  </si>
  <si>
    <t>ID-2023-01057</t>
  </si>
  <si>
    <t>ID-2023-00402</t>
  </si>
  <si>
    <t>ID-2023-01684</t>
  </si>
  <si>
    <t>ID-2024-01025</t>
  </si>
  <si>
    <t>ID-2024-01592</t>
  </si>
  <si>
    <t>ID-2024-00784</t>
  </si>
  <si>
    <t>ID-2024-00272</t>
  </si>
  <si>
    <t>ID-2024-00552</t>
  </si>
  <si>
    <t>ID-2024-00374</t>
  </si>
  <si>
    <t>ID-2024-01100</t>
  </si>
  <si>
    <t>ID-2024-01307</t>
  </si>
  <si>
    <t>ID-2024-01413</t>
  </si>
  <si>
    <t>ID-2024-01462</t>
  </si>
  <si>
    <t>ID-2024-01180</t>
  </si>
  <si>
    <t>ID-2024-01647</t>
  </si>
  <si>
    <t>ID-2024-00669</t>
  </si>
  <si>
    <t>ID-2024-01706</t>
  </si>
  <si>
    <t>ID-2024-01477</t>
  </si>
  <si>
    <t>ID-2024-01710</t>
  </si>
  <si>
    <t>ID-2025-01015</t>
  </si>
  <si>
    <t>ID-2025-01569</t>
  </si>
  <si>
    <t>ID-2025-01484</t>
  </si>
  <si>
    <t>ID-2025-00054</t>
  </si>
  <si>
    <t>ID-2025-01023</t>
  </si>
  <si>
    <t>ID-2025-01760</t>
  </si>
  <si>
    <t>ID-2025-01711</t>
  </si>
  <si>
    <t>ID-2025-00530</t>
  </si>
  <si>
    <t>ID-2025-00927</t>
  </si>
  <si>
    <t>ID-2025-00104</t>
  </si>
  <si>
    <t>ID-2025-00907</t>
  </si>
  <si>
    <t>ID-2025-01558</t>
  </si>
  <si>
    <t>ID-2025-01000</t>
  </si>
  <si>
    <t>ID-2025-00569</t>
  </si>
  <si>
    <t>ID-2025-01508</t>
  </si>
  <si>
    <t>ID-2025-01441</t>
  </si>
  <si>
    <t>CUST-037</t>
  </si>
  <si>
    <t>ID-2026-00636</t>
  </si>
  <si>
    <t>ID-2026-01183</t>
  </si>
  <si>
    <t>ID-2026-01185</t>
  </si>
  <si>
    <t>ID-2026-00354</t>
  </si>
  <si>
    <t>ID-2026-01131</t>
  </si>
  <si>
    <t>ID-2026-01755</t>
  </si>
  <si>
    <t>ID-2026-01448</t>
  </si>
  <si>
    <t>ID-2026-01403</t>
  </si>
  <si>
    <t>ID-2026-00488</t>
  </si>
  <si>
    <t>ID-2023-01434</t>
  </si>
  <si>
    <t>PRD-018</t>
  </si>
  <si>
    <t>Kemeja Batik Premium</t>
  </si>
  <si>
    <t>Clothing</t>
  </si>
  <si>
    <t>ID-2023-00996</t>
  </si>
  <si>
    <t>ID-2023-00762</t>
  </si>
  <si>
    <t>ID-2023-01720</t>
  </si>
  <si>
    <t>ID-2023-01612</t>
  </si>
  <si>
    <t>ID-2023-00206</t>
  </si>
  <si>
    <t>ID-2023-00510</t>
  </si>
  <si>
    <t>ID-2023-00068</t>
  </si>
  <si>
    <t>ID-2023-00756</t>
  </si>
  <si>
    <t>ID-2023-01721</t>
  </si>
  <si>
    <t>CUST-028</t>
  </si>
  <si>
    <t>ID-2023-00747</t>
  </si>
  <si>
    <t>ID-2023-00273</t>
  </si>
  <si>
    <t>ID-2023-00115</t>
  </si>
  <si>
    <t>ID-2023-00432</t>
  </si>
  <si>
    <t>ID-2023-01264</t>
  </si>
  <si>
    <t>ID-2024-01632</t>
  </si>
  <si>
    <t>ID-2024-00090</t>
  </si>
  <si>
    <t>ID-2024-00840</t>
  </si>
  <si>
    <t>ID-2024-01198</t>
  </si>
  <si>
    <t>ID-2024-00691</t>
  </si>
  <si>
    <t>ID-2024-00568</t>
  </si>
  <si>
    <t>ID-2024-00197</t>
  </si>
  <si>
    <t>ID-2024-01127</t>
  </si>
  <si>
    <t>ID-2024-01358</t>
  </si>
  <si>
    <t>ID-2024-00600</t>
  </si>
  <si>
    <t>ID-2024-00580</t>
  </si>
  <si>
    <t>ID-2024-00305</t>
  </si>
  <si>
    <t>ID-2024-00470</t>
  </si>
  <si>
    <t>ID-2024-00433</t>
  </si>
  <si>
    <t>ID-2024-00667</t>
  </si>
  <si>
    <t>ID-2024-00169</t>
  </si>
  <si>
    <t>ID-2025-00030</t>
  </si>
  <si>
    <t>ID-2025-00251</t>
  </si>
  <si>
    <t>ID-2025-00607</t>
  </si>
  <si>
    <t>ID-2025-01360</t>
  </si>
  <si>
    <t>ID-2025-00814</t>
  </si>
  <si>
    <t>ID-2025-01192</t>
  </si>
  <si>
    <t>ID-2025-00283</t>
  </si>
  <si>
    <t>ID-2025-00903</t>
  </si>
  <si>
    <t>ID-2025-00963</t>
  </si>
  <si>
    <t>ID-2025-01251</t>
  </si>
  <si>
    <t>ID-2025-00029</t>
  </si>
  <si>
    <t>ID-2025-00755</t>
  </si>
  <si>
    <t>CUST-105</t>
  </si>
  <si>
    <t>ID-2025-01090</t>
  </si>
  <si>
    <t>ID-2025-00187</t>
  </si>
  <si>
    <t>ID-2025-00540</t>
  </si>
  <si>
    <t>ID-2025-00285</t>
  </si>
  <si>
    <t>ID-2025-01570</t>
  </si>
  <si>
    <t>ID-2026-01730</t>
  </si>
  <si>
    <t>ID-2026-00744</t>
  </si>
  <si>
    <t>ID-2026-01125</t>
  </si>
  <si>
    <t>ID-2026-01613</t>
  </si>
  <si>
    <t>ID-2026-00394</t>
  </si>
  <si>
    <t>ID-2026-00331</t>
  </si>
  <si>
    <t>ID-2026-01355</t>
  </si>
  <si>
    <t>ID-2026-00382</t>
  </si>
  <si>
    <t>ID-2026-00888</t>
  </si>
  <si>
    <t>ID-2026-01618</t>
  </si>
  <si>
    <t>ID-2026-00448</t>
  </si>
  <si>
    <t>ID-2026-01247</t>
  </si>
  <si>
    <t>ID-2026-01092</t>
  </si>
  <si>
    <t>ID-2026-00425</t>
  </si>
  <si>
    <t>ID-2026-00733</t>
  </si>
  <si>
    <t>ID-2026-00716</t>
  </si>
  <si>
    <t>ID-2023-01611</t>
  </si>
  <si>
    <t>PRD-021</t>
  </si>
  <si>
    <t>Jaket Parka Erigo</t>
  </si>
  <si>
    <t>ID-2023-01059</t>
  </si>
  <si>
    <t>ID-2023-00894</t>
  </si>
  <si>
    <t>CUST-114</t>
  </si>
  <si>
    <t>ID-2023-00165</t>
  </si>
  <si>
    <t>ID-2023-00946</t>
  </si>
  <si>
    <t>ID-2023-01399</t>
  </si>
  <si>
    <t>ID-2023-00921</t>
  </si>
  <si>
    <t>ID-2023-00922</t>
  </si>
  <si>
    <t>ID-2023-01007</t>
  </si>
  <si>
    <t>ID-2023-00406</t>
  </si>
  <si>
    <t>ID-2023-00308</t>
  </si>
  <si>
    <t>ID-2023-01156</t>
  </si>
  <si>
    <t>ID-2023-00314</t>
  </si>
  <si>
    <t>ID-2023-00722</t>
  </si>
  <si>
    <t>ID-2023-00877</t>
  </si>
  <si>
    <t>ID-2023-00966</t>
  </si>
  <si>
    <t>ID-2023-01471</t>
  </si>
  <si>
    <t>ID-2023-01065</t>
  </si>
  <si>
    <t>ID-2023-01777</t>
  </si>
  <si>
    <t>ID-2023-01380</t>
  </si>
  <si>
    <t>ID-2023-00665</t>
  </si>
  <si>
    <t>ID-2024-01456</t>
  </si>
  <si>
    <t>ID-2024-00189</t>
  </si>
  <si>
    <t>ID-2024-00712</t>
  </si>
  <si>
    <t>ID-2024-01232</t>
  </si>
  <si>
    <t>ID-2024-01098</t>
  </si>
  <si>
    <t>ID-2024-00520</t>
  </si>
  <si>
    <t>ID-2024-00653</t>
  </si>
  <si>
    <t>ID-2024-01544</t>
  </si>
  <si>
    <t>ID-2024-00674</t>
  </si>
  <si>
    <t>ID-2024-00785</t>
  </si>
  <si>
    <t>ID-2024-01042</t>
  </si>
  <si>
    <t>ID-2024-00185</t>
  </si>
  <si>
    <t>ID-2024-00151</t>
  </si>
  <si>
    <t>ID-2024-01167</t>
  </si>
  <si>
    <t>ID-2024-00073</t>
  </si>
  <si>
    <t>ID-2024-01410</t>
  </si>
  <si>
    <t>ID-2024-01086</t>
  </si>
  <si>
    <t>ID-2024-01122</t>
  </si>
  <si>
    <t>ID-2024-00589</t>
  </si>
  <si>
    <t>ID-2024-00162</t>
  </si>
  <si>
    <t>ID-2024-01626</t>
  </si>
  <si>
    <t>ID-2024-00360</t>
  </si>
  <si>
    <t>ID-2025-00880</t>
  </si>
  <si>
    <t>ID-2025-00688</t>
  </si>
  <si>
    <t>ID-2025-00761</t>
  </si>
  <si>
    <t>ID-2025-00365</t>
  </si>
  <si>
    <t>ID-2025-00117</t>
  </si>
  <si>
    <t>ID-2025-00867</t>
  </si>
  <si>
    <t>ID-2025-00484</t>
  </si>
  <si>
    <t>ID-2025-01689</t>
  </si>
  <si>
    <t>ID-2025-01129</t>
  </si>
  <si>
    <t>ID-2025-00819</t>
  </si>
  <si>
    <t>ID-2025-01466</t>
  </si>
  <si>
    <t>ID-2025-00403</t>
  </si>
  <si>
    <t>ID-2025-00751</t>
  </si>
  <si>
    <t>ID-2025-00960</t>
  </si>
  <si>
    <t>ID-2025-01608</t>
  </si>
  <si>
    <t>ID-2025-01414</t>
  </si>
  <si>
    <t>ID-2026-01019</t>
  </si>
  <si>
    <t>ID-2026-00247</t>
  </si>
  <si>
    <t>ID-2026-01411</t>
  </si>
  <si>
    <t>ID-2026-01339</t>
  </si>
  <si>
    <t>ID-2026-00204</t>
  </si>
  <si>
    <t>ID-2026-01080</t>
  </si>
  <si>
    <t>ID-2026-00842</t>
  </si>
  <si>
    <t>ID-2026-01350</t>
  </si>
  <si>
    <t>ID-2026-00928</t>
  </si>
  <si>
    <t>ID-2023-00288</t>
  </si>
  <si>
    <t>PRD-024</t>
  </si>
  <si>
    <t>Matras Yoga Speeds</t>
  </si>
  <si>
    <t>ID-2023-00016</t>
  </si>
  <si>
    <t>ID-2023-00051</t>
  </si>
  <si>
    <t>ID-2023-01610</t>
  </si>
  <si>
    <t>ID-2023-01029</t>
  </si>
  <si>
    <t>ID-2023-01583</t>
  </si>
  <si>
    <t>ID-2023-00395</t>
  </si>
  <si>
    <t>ID-2023-00449</t>
  </si>
  <si>
    <t>ID-2023-01483</t>
  </si>
  <si>
    <t>ID-2023-00638</t>
  </si>
  <si>
    <t>ID-2023-00193</t>
  </si>
  <si>
    <t>ID-2023-00999</t>
  </si>
  <si>
    <t>ID-2023-00489</t>
  </si>
  <si>
    <t>ID-2024-00645</t>
  </si>
  <si>
    <t>ID-2024-01297</t>
  </si>
  <si>
    <t>ID-2024-00373</t>
  </si>
  <si>
    <t>ID-2024-00009</t>
  </si>
  <si>
    <t>ID-2024-00943</t>
  </si>
  <si>
    <t>ID-2024-00668</t>
  </si>
  <si>
    <t>ID-2024-00178</t>
  </si>
  <si>
    <t>ID-2024-00660</t>
  </si>
  <si>
    <t>ID-2024-01560</t>
  </si>
  <si>
    <t>ID-2024-00099</t>
  </si>
  <si>
    <t>ID-2024-01302</t>
  </si>
  <si>
    <t>ID-2024-01776</t>
  </si>
  <si>
    <t>ID-2024-00973</t>
  </si>
  <si>
    <t>ID-2024-00698</t>
  </si>
  <si>
    <t>ID-2024-00816</t>
  </si>
  <si>
    <t>ID-2024-01078</t>
  </si>
  <si>
    <t>ID-2024-01671</t>
  </si>
  <si>
    <t>ID-2024-01453</t>
  </si>
  <si>
    <t>ID-2024-01786</t>
  </si>
  <si>
    <t>ID-2025-00981</t>
  </si>
  <si>
    <t>ID-2025-00824</t>
  </si>
  <si>
    <t>ID-2025-01447</t>
  </si>
  <si>
    <t>ID-2025-01542</t>
  </si>
  <si>
    <t>ID-2025-00306</t>
  </si>
  <si>
    <t>ID-2025-01110</t>
  </si>
  <si>
    <t>ID-2025-01252</t>
  </si>
  <si>
    <t>ID-2025-01534</t>
  </si>
  <si>
    <t>ID-2025-00392</t>
  </si>
  <si>
    <t>ID-2025-00490</t>
  </si>
  <si>
    <t>ID-2025-01627</t>
  </si>
  <si>
    <t>ID-2025-00988</t>
  </si>
  <si>
    <t>ID-2025-00566</t>
  </si>
  <si>
    <t>ID-2025-00239</t>
  </si>
  <si>
    <t>ID-2025-00939</t>
  </si>
  <si>
    <t>ID-2025-01551</t>
  </si>
  <si>
    <t>ID-2025-00427</t>
  </si>
  <si>
    <t>ID-2025-01293</t>
  </si>
  <si>
    <t>ID-2026-01261</t>
  </si>
  <si>
    <t>ID-2026-01039</t>
  </si>
  <si>
    <t>ID-2026-00383</t>
  </si>
  <si>
    <t>ID-2026-00980</t>
  </si>
  <si>
    <t>ID-2026-01395</t>
  </si>
  <si>
    <t>ID-2026-00925</t>
  </si>
  <si>
    <t>ID-2023-01082</t>
  </si>
  <si>
    <t>PRD-017</t>
  </si>
  <si>
    <t>Air Fryer Mito Digifry</t>
  </si>
  <si>
    <t>ID-2023-01004</t>
  </si>
  <si>
    <t>ID-2023-01021</t>
  </si>
  <si>
    <t>ID-2023-00240</t>
  </si>
  <si>
    <t>ID-2023-01657</t>
  </si>
  <si>
    <t>ID-2023-00806</t>
  </si>
  <si>
    <t>ID-2023-00948</t>
  </si>
  <si>
    <t>ID-2023-00212</t>
  </si>
  <si>
    <t>ID-2023-00075</t>
  </si>
  <si>
    <t>ID-2023-00681</t>
  </si>
  <si>
    <t>ID-2024-00586</t>
  </si>
  <si>
    <t>ID-2024-01667</t>
  </si>
  <si>
    <t>ID-2024-00808</t>
  </si>
  <si>
    <t>ID-2024-01311</t>
  </si>
  <si>
    <t>ID-2024-01304</t>
  </si>
  <si>
    <t>ID-2024-00466</t>
  </si>
  <si>
    <t>ID-2024-00968</t>
  </si>
  <si>
    <t>ID-2024-00924</t>
  </si>
  <si>
    <t>ID-2024-01177</t>
  </si>
  <si>
    <t>ID-2024-00817</t>
  </si>
  <si>
    <t>ID-2024-01318</t>
  </si>
  <si>
    <t>ID-2024-01753</t>
  </si>
  <si>
    <t>ID-2024-00899</t>
  </si>
  <si>
    <t>ID-2024-00918</t>
  </si>
  <si>
    <t>ID-2024-00338</t>
  </si>
  <si>
    <t>ID-2024-00694</t>
  </si>
  <si>
    <t>ID-2024-01361</t>
  </si>
  <si>
    <t>ID-2024-00919</t>
  </si>
  <si>
    <t>ID-2024-01766</t>
  </si>
  <si>
    <t>ID-2024-01554</t>
  </si>
  <si>
    <t>ID-2024-01661</t>
  </si>
  <si>
    <t>ID-2024-00225</t>
  </si>
  <si>
    <t>ID-2024-01301</t>
  </si>
  <si>
    <t>ID-2025-01524</t>
  </si>
  <si>
    <t>ID-2025-00593</t>
  </si>
  <si>
    <t>ID-2025-00141</t>
  </si>
  <si>
    <t>ID-2025-01742</t>
  </si>
  <si>
    <t>ID-2025-01270</t>
  </si>
  <si>
    <t>ID-2025-01115</t>
  </si>
  <si>
    <t>ID-2025-00042</t>
  </si>
  <si>
    <t>ID-2025-01149</t>
  </si>
  <si>
    <t>ID-2025-01140</t>
  </si>
  <si>
    <t>ID-2025-01062</t>
  </si>
  <si>
    <t>ID-2025-01472</t>
  </si>
  <si>
    <t>ID-2025-00800</t>
  </si>
  <si>
    <t>ID-2025-01408</t>
  </si>
  <si>
    <t>ID-2025-01489</t>
  </si>
  <si>
    <t>ID-2025-01076</t>
  </si>
  <si>
    <t>ID-2025-00036</t>
  </si>
  <si>
    <t>ID-2025-00011</t>
  </si>
  <si>
    <t>ID-2026-00188</t>
  </si>
  <si>
    <t>ID-2026-01364</t>
  </si>
  <si>
    <t>ID-2026-00856</t>
  </si>
  <si>
    <t>ID-2026-01049</t>
  </si>
  <si>
    <t>ID-2026-00093</t>
  </si>
  <si>
    <t>ID-2026-00375</t>
  </si>
  <si>
    <t>ID-2026-01001</t>
  </si>
  <si>
    <t>ID-2026-00464</t>
  </si>
  <si>
    <t>ID-2026-01599</t>
  </si>
  <si>
    <t>ID-2026-01595</t>
  </si>
  <si>
    <t>ID-2026-00450</t>
  </si>
  <si>
    <t>ID-2026-00398</t>
  </si>
  <si>
    <t>ID-2026-00714</t>
  </si>
  <si>
    <t>ID-2026-01594</t>
  </si>
  <si>
    <t>ID-2023-01761</t>
  </si>
  <si>
    <t>PRD-006</t>
  </si>
  <si>
    <t>Speaker Aktif Polytron</t>
  </si>
  <si>
    <t>ID-2023-00154</t>
  </si>
  <si>
    <t>ID-2023-00643</t>
  </si>
  <si>
    <t>ID-2023-01154</t>
  </si>
  <si>
    <t>ID-2023-01133</t>
  </si>
  <si>
    <t>ID-2023-01454</t>
  </si>
  <si>
    <t>ID-2023-01228</t>
  </si>
  <si>
    <t>ID-2023-00439</t>
  </si>
  <si>
    <t>ID-2023-00336</t>
  </si>
  <si>
    <t>ID-2023-00435</t>
  </si>
  <si>
    <t>ID-2023-00416</t>
  </si>
  <si>
    <t>ID-2023-00526</t>
  </si>
  <si>
    <t>ID-2023-01153</t>
  </si>
  <si>
    <t>ID-2023-00227</t>
  </si>
  <si>
    <t>ID-2023-01771</t>
  </si>
  <si>
    <t>ID-2023-00492</t>
  </si>
  <si>
    <t>ID-2023-00623</t>
  </si>
  <si>
    <t>ID-2023-00635</t>
  </si>
  <si>
    <t>ID-2024-00088</t>
  </si>
  <si>
    <t>ID-2024-00775</t>
  </si>
  <si>
    <t>ID-2024-01265</t>
  </si>
  <si>
    <t>ID-2024-01323</t>
  </si>
  <si>
    <t>ID-2024-00811</t>
  </si>
  <si>
    <t>ID-2024-00409</t>
  </si>
  <si>
    <t>CUST-033</t>
  </si>
  <si>
    <t>ID-2024-00405</t>
  </si>
  <si>
    <t>ID-2024-00469</t>
  </si>
  <si>
    <t>ID-2024-00965</t>
  </si>
  <si>
    <t>ID-2024-00887</t>
  </si>
  <si>
    <t>ID-2024-01624</t>
  </si>
  <si>
    <t>ID-2024-00095</t>
  </si>
  <si>
    <t>ID-2024-01548</t>
  </si>
  <si>
    <t>ID-2024-01420</t>
  </si>
  <si>
    <t>ID-2024-00650</t>
  </si>
  <si>
    <t>ID-2024-00232</t>
  </si>
  <si>
    <t>ID-2024-00431</t>
  </si>
  <si>
    <t>ID-2025-00654</t>
  </si>
  <si>
    <t>ID-2025-01227</t>
  </si>
  <si>
    <t>ID-2025-01171</t>
  </si>
  <si>
    <t>ID-2025-01432</t>
  </si>
  <si>
    <t>ID-2025-01351</t>
  </si>
  <si>
    <t>ID-2025-00897</t>
  </si>
  <si>
    <t>ID-2025-01762</t>
  </si>
  <si>
    <t>ID-2025-00118</t>
  </si>
  <si>
    <t>ID-2025-00713</t>
  </si>
  <si>
    <t>ID-2025-00938</t>
  </si>
  <si>
    <t>ID-2025-01220</t>
  </si>
  <si>
    <t>ID-2025-00524</t>
  </si>
  <si>
    <t>ID-2025-00340</t>
  </si>
  <si>
    <t>ID-2025-01527</t>
  </si>
  <si>
    <t>ID-2025-00076</t>
  </si>
  <si>
    <t>ID-2025-01418</t>
  </si>
  <si>
    <t>ID-2025-00634</t>
  </si>
  <si>
    <t>ID-2026-00599</t>
  </si>
  <si>
    <t>ID-2026-01073</t>
  </si>
  <si>
    <t>ID-2026-01409</t>
  </si>
  <si>
    <t>ID-2026-00341</t>
  </si>
  <si>
    <t>ID-2026-00964</t>
  </si>
  <si>
    <t>ID-2026-01603</t>
  </si>
  <si>
    <t>ID-2026-01731</t>
  </si>
  <si>
    <t>ID-2026-00380</t>
  </si>
  <si>
    <t>ID-2026-00389</t>
  </si>
  <si>
    <t>ID-2026-01597</t>
  </si>
  <si>
    <t>ID-2026-00207</t>
  </si>
  <si>
    <t>ID-2026-00060</t>
  </si>
  <si>
    <t>ID-2023-00190</t>
  </si>
  <si>
    <t>PRD-008</t>
  </si>
  <si>
    <t>Meja Makan Kayu Jati</t>
  </si>
  <si>
    <t>ID-2023-00353</t>
  </si>
  <si>
    <t>ID-2023-01031</t>
  </si>
  <si>
    <t>ID-2023-00609</t>
  </si>
  <si>
    <t>ID-2023-00846</t>
  </si>
  <si>
    <t>ID-2023-00506</t>
  </si>
  <si>
    <t>ID-2023-01188</t>
  </si>
  <si>
    <t>ID-2023-01005</t>
  </si>
  <si>
    <t>ID-2023-01071</t>
  </si>
  <si>
    <t>ID-2023-00183</t>
  </si>
  <si>
    <t>ID-2023-00180</t>
  </si>
  <si>
    <t>ID-2023-00766</t>
  </si>
  <si>
    <t>ID-2023-01740</t>
  </si>
  <si>
    <t>ID-2023-01405</t>
  </si>
  <si>
    <t>ID-2023-01693</t>
  </si>
  <si>
    <t>ID-2023-01028</t>
  </si>
  <si>
    <t>ID-2023-00130</t>
  </si>
  <si>
    <t>ID-2023-01510</t>
  </si>
  <si>
    <t>ID-2023-00440</t>
  </si>
  <si>
    <t>ID-2023-00741</t>
  </si>
  <si>
    <t>ID-2024-00728</t>
  </si>
  <si>
    <t>ID-2024-00982</t>
  </si>
  <si>
    <t>ID-2024-01575</t>
  </si>
  <si>
    <t>ID-2024-01616</t>
  </si>
  <si>
    <t>ID-2024-00196</t>
  </si>
  <si>
    <t>ID-2024-01148</t>
  </si>
  <si>
    <t>ID-2024-01136</t>
  </si>
  <si>
    <t>ID-2024-01728</t>
  </si>
  <si>
    <t>ID-2024-01353</t>
  </si>
  <si>
    <t>ID-2024-00934</t>
  </si>
  <si>
    <t>ID-2024-01123</t>
  </si>
  <si>
    <t>ID-2024-00491</t>
  </si>
  <si>
    <t>ID-2024-01214</t>
  </si>
  <si>
    <t>ID-2024-01650</t>
  </si>
  <si>
    <t>ID-2024-01014</t>
  </si>
  <si>
    <t>ID-2024-00797</t>
  </si>
  <si>
    <t>ID-2024-01253</t>
  </si>
  <si>
    <t>ID-2024-01147</t>
  </si>
  <si>
    <t>ID-2025-00327</t>
  </si>
  <si>
    <t>ID-2025-00764</t>
  </si>
  <si>
    <t>ID-2025-00014</t>
  </si>
  <si>
    <t>ID-2025-00603</t>
  </si>
  <si>
    <t>ID-2025-00666</t>
  </si>
  <si>
    <t>ID-2025-01063</t>
  </si>
  <si>
    <t>ID-2025-01372</t>
  </si>
  <si>
    <t>ID-2025-00050</t>
  </si>
  <si>
    <t>ID-2025-00179</t>
  </si>
  <si>
    <t>ID-2025-00357</t>
  </si>
  <si>
    <t>ID-2025-01775</t>
  </si>
  <si>
    <t>ID-2025-00647</t>
  </si>
  <si>
    <t>ID-2025-00045</t>
  </si>
  <si>
    <t>ID-2025-00697</t>
  </si>
  <si>
    <t>ID-2025-01083</t>
  </si>
  <si>
    <t>ID-2026-00039</t>
  </si>
  <si>
    <t>ID-2026-00243</t>
  </si>
  <si>
    <t>ID-2026-00361</t>
  </si>
  <si>
    <t>ID-2026-00611</t>
  </si>
  <si>
    <t>ID-2026-00135</t>
  </si>
  <si>
    <t>ID-2026-01636</t>
  </si>
  <si>
    <t>ID-2026-00246</t>
  </si>
  <si>
    <t>ID-2026-00334</t>
  </si>
  <si>
    <t>ID-2023-01050</t>
  </si>
  <si>
    <t>PRD-012</t>
  </si>
  <si>
    <t>Springbed Olympic No 2</t>
  </si>
  <si>
    <t>ID-2023-01003</t>
  </si>
  <si>
    <t>ID-2023-00235</t>
  </si>
  <si>
    <t>ID-2023-00400</t>
  </si>
  <si>
    <t>ID-2023-01442</t>
  </si>
  <si>
    <t>ID-2023-01322</t>
  </si>
  <si>
    <t>ID-2023-00082</t>
  </si>
  <si>
    <t>ID-2023-00023</t>
  </si>
  <si>
    <t>ID-2023-01236</t>
  </si>
  <si>
    <t>ID-2023-00368</t>
  </si>
  <si>
    <t>ID-2023-00594</t>
  </si>
  <si>
    <t>ID-2023-00161</t>
  </si>
  <si>
    <t>ID-2023-00936</t>
  </si>
  <si>
    <t>ID-2023-01774</t>
  </si>
  <si>
    <t>ID-2024-01217</t>
  </si>
  <si>
    <t>ID-2024-01222</t>
  </si>
  <si>
    <t>ID-2024-01347</t>
  </si>
  <si>
    <t>ID-2024-00597</t>
  </si>
  <si>
    <t>ID-2024-01446</t>
  </si>
  <si>
    <t>ID-2024-01106</t>
  </si>
  <si>
    <t>ID-2024-01052</t>
  </si>
  <si>
    <t>ID-2024-01397</t>
  </si>
  <si>
    <t>ID-2024-00916</t>
  </si>
  <si>
    <t>ID-2024-00208</t>
  </si>
  <si>
    <t>ID-2024-00056</t>
  </si>
  <si>
    <t>ID-2024-00873</t>
  </si>
  <si>
    <t>ID-2024-00625</t>
  </si>
  <si>
    <t>ID-2024-00538</t>
  </si>
  <si>
    <t>ID-2024-00705</t>
  </si>
  <si>
    <t>ID-2024-00515</t>
  </si>
  <si>
    <t>ID-2024-00689</t>
  </si>
  <si>
    <t>ID-2024-00523</t>
  </si>
  <si>
    <t>ID-2024-01712</t>
  </si>
  <si>
    <t>ID-2025-01516</t>
  </si>
  <si>
    <t>ID-2025-00548</t>
  </si>
  <si>
    <t>ID-2025-00173</t>
  </si>
  <si>
    <t>ID-2025-00853</t>
  </si>
  <si>
    <t>ID-2025-00847</t>
  </si>
  <si>
    <t>ID-2025-01097</t>
  </si>
  <si>
    <t>ID-2025-01521</t>
  </si>
  <si>
    <t>ID-2025-01026</t>
  </si>
  <si>
    <t>ID-2025-01128</t>
  </si>
  <si>
    <t>ID-2025-01138</t>
  </si>
  <si>
    <t>ID-2025-00543</t>
  </si>
  <si>
    <t>ID-2025-01268</t>
  </si>
  <si>
    <t>ID-2025-01117</t>
  </si>
  <si>
    <t>ID-2025-00639</t>
  </si>
  <si>
    <t>ID-2025-00234</t>
  </si>
  <si>
    <t>ID-2025-01494</t>
  </si>
  <si>
    <t>ID-2025-00718</t>
  </si>
  <si>
    <t>ID-2025-00025</t>
  </si>
  <si>
    <t>ID-2025-00262</t>
  </si>
  <si>
    <t>ID-2025-00258</t>
  </si>
  <si>
    <t>ID-2025-01379</t>
  </si>
  <si>
    <t>ID-2025-00454</t>
  </si>
  <si>
    <t>ID-2026-00372</t>
  </si>
  <si>
    <t>ID-2026-01207</t>
  </si>
  <si>
    <t>ID-2026-00144</t>
  </si>
  <si>
    <t>ID-2026-01204</t>
  </si>
  <si>
    <t>ID-2026-01038</t>
  </si>
  <si>
    <t>ID-2026-01749</t>
  </si>
  <si>
    <t>ID-2026-01426</t>
  </si>
  <si>
    <t>ID-2026-00215</t>
  </si>
  <si>
    <t>ID-2023-00048</t>
  </si>
  <si>
    <t>PRD-025</t>
  </si>
  <si>
    <t>Raket Badminton Specs</t>
  </si>
  <si>
    <t>ID-2023-00809</t>
  </si>
  <si>
    <t>ID-2023-01051</t>
  </si>
  <si>
    <t>ID-2023-01797</t>
  </si>
  <si>
    <t>ID-2023-00706</t>
  </si>
  <si>
    <t>ID-2023-01175</t>
  </si>
  <si>
    <t>ID-2023-01172</t>
  </si>
  <si>
    <t>ID-2023-01765</t>
  </si>
  <si>
    <t>ID-2023-01439</t>
  </si>
  <si>
    <t>ID-2023-01340</t>
  </si>
  <si>
    <t>ID-2023-01416</t>
  </si>
  <si>
    <t>ID-2023-01060</t>
  </si>
  <si>
    <t>ID-2023-00292</t>
  </si>
  <si>
    <t>ID-2023-00770</t>
  </si>
  <si>
    <t>ID-2023-00868</t>
  </si>
  <si>
    <t>ID-2023-00522</t>
  </si>
  <si>
    <t>ID-2023-00495</t>
  </si>
  <si>
    <t>ID-2023-01215</t>
  </si>
  <si>
    <t>ID-2023-01032</t>
  </si>
  <si>
    <t>ID-2024-00803</t>
  </si>
  <si>
    <t>ID-2024-01313</t>
  </si>
  <si>
    <t>ID-2024-01744</t>
  </si>
  <si>
    <t>ID-2024-00399</t>
  </si>
  <si>
    <t>ID-2024-00648</t>
  </si>
  <si>
    <t>ID-2024-00421</t>
  </si>
  <si>
    <t>ID-2024-00057</t>
  </si>
  <si>
    <t>ID-2024-01229</t>
  </si>
  <si>
    <t>ID-2024-01649</t>
  </si>
  <si>
    <t>ID-2024-01481</t>
  </si>
  <si>
    <t>ID-2024-00700</t>
  </si>
  <si>
    <t>ID-2024-00253</t>
  </si>
  <si>
    <t>ID-2024-00132</t>
  </si>
  <si>
    <t>ID-2024-00926</t>
  </si>
  <si>
    <t>ID-2024-00096</t>
  </si>
  <si>
    <t>ID-2024-00725</t>
  </si>
  <si>
    <t>ID-2024-01588</t>
  </si>
  <si>
    <t>ID-2024-01707</t>
  </si>
  <si>
    <t>ID-2025-01482</t>
  </si>
  <si>
    <t>ID-2025-01425</t>
  </si>
  <si>
    <t>ID-2025-00264</t>
  </si>
  <si>
    <t>ID-2025-00521</t>
  </si>
  <si>
    <t>ID-2025-00763</t>
  </si>
  <si>
    <t>ID-2025-00205</t>
  </si>
  <si>
    <t>ID-2025-00508</t>
  </si>
  <si>
    <t>ID-2025-00335</t>
  </si>
  <si>
    <t>ID-2025-00352</t>
  </si>
  <si>
    <t>ID-2025-01107</t>
  </si>
  <si>
    <t>ID-2025-00021</t>
  </si>
  <si>
    <t>ID-2025-00087</t>
  </si>
  <si>
    <t>ID-2025-00944</t>
  </si>
  <si>
    <t>ID-2025-01794</t>
  </si>
  <si>
    <t>ID-2025-01158</t>
  </si>
  <si>
    <t>ID-2025-00101</t>
  </si>
  <si>
    <t>ID-2025-01142</t>
  </si>
  <si>
    <t>ID-2025-00795</t>
  </si>
  <si>
    <t>ID-2025-00967</t>
  </si>
  <si>
    <t>ID-2025-00789</t>
  </si>
  <si>
    <t>ID-2025-00813</t>
  </si>
  <si>
    <t>ID-2025-00481</t>
  </si>
  <si>
    <t>ID-2025-00782</t>
  </si>
  <si>
    <t>ID-2025-00941</t>
  </si>
  <si>
    <t>ID-2025-00671</t>
  </si>
  <si>
    <t>ID-2026-01469</t>
  </si>
  <si>
    <t>ID-2026-00268</t>
  </si>
  <si>
    <t>ID-2026-00633</t>
  </si>
  <si>
    <t>ID-2026-00992</t>
  </si>
  <si>
    <t>ID-2026-00612</t>
  </si>
  <si>
    <t>ID-2026-00702</t>
  </si>
  <si>
    <t>ID-2026-01688</t>
  </si>
  <si>
    <t>ID-2026-01653</t>
  </si>
  <si>
    <t>ID-2026-00857</t>
  </si>
  <si>
    <t>ID-2026-00237</t>
  </si>
  <si>
    <t>ID-2026-01682</t>
  </si>
  <si>
    <t>ID-2023-00429</t>
  </si>
  <si>
    <t>PRD-010</t>
  </si>
  <si>
    <t>Kursi Kerja Ergonomis</t>
  </si>
  <si>
    <t>ID-2023-01013</t>
  </si>
  <si>
    <t>ID-2023-00381</t>
  </si>
  <si>
    <t>ID-2023-01145</t>
  </si>
  <si>
    <t>ID-2023-01319</t>
  </si>
  <si>
    <t>ID-2023-01043</t>
  </si>
  <si>
    <t>ID-2023-00549</t>
  </si>
  <si>
    <t>ID-2023-01045</t>
  </si>
  <si>
    <t>ID-2023-00430</t>
  </si>
  <si>
    <t>ID-2023-01457</t>
  </si>
  <si>
    <t>ID-2023-00779</t>
  </si>
  <si>
    <t>ID-2023-00447</t>
  </si>
  <si>
    <t>ID-2023-01502</t>
  </si>
  <si>
    <t>ID-2023-00072</t>
  </si>
  <si>
    <t>ID-2023-01101</t>
  </si>
  <si>
    <t>ID-2023-01793</t>
  </si>
  <si>
    <t>ID-2023-00344</t>
  </si>
  <si>
    <t>ID-2023-00839</t>
  </si>
  <si>
    <t>ID-2023-00499</t>
  </si>
  <si>
    <t>ID-2023-01628</t>
  </si>
  <si>
    <t>ID-2024-00408</t>
  </si>
  <si>
    <t>ID-2024-00211</t>
  </si>
  <si>
    <t>ID-2024-01422</t>
  </si>
  <si>
    <t>ID-2024-00140</t>
  </si>
  <si>
    <t>ID-2024-00975</t>
  </si>
  <si>
    <t>ID-2024-00004</t>
  </si>
  <si>
    <t>ID-2024-00461</t>
  </si>
  <si>
    <t>ID-2024-01255</t>
  </si>
  <si>
    <t>ID-2024-00369</t>
  </si>
  <si>
    <t>ID-2024-00310</t>
  </si>
  <si>
    <t>ID-2024-01629</t>
  </si>
  <si>
    <t>ID-2024-01498</t>
  </si>
  <si>
    <t>ID-2024-01445</t>
  </si>
  <si>
    <t>ID-2024-00541</t>
  </si>
  <si>
    <t>ID-2024-00487</t>
  </si>
  <si>
    <t>ID-2024-01486</t>
  </si>
  <si>
    <t>ID-2024-01605</t>
  </si>
  <si>
    <t>ID-2024-00279</t>
  </si>
  <si>
    <t>ID-2024-00792</t>
  </si>
  <si>
    <t>ID-2024-00754</t>
  </si>
  <si>
    <t>ID-2024-00619</t>
  </si>
  <si>
    <t>ID-2024-01674</t>
  </si>
  <si>
    <t>ID-2025-00583</t>
  </si>
  <si>
    <t>ID-2025-00098</t>
  </si>
  <si>
    <t>ID-2025-01202</t>
  </si>
  <si>
    <t>ID-2025-01292</t>
  </si>
  <si>
    <t>ID-2025-00061</t>
  </si>
  <si>
    <t>ID-2025-01686</t>
  </si>
  <si>
    <t>ID-2025-00954</t>
  </si>
  <si>
    <t>ID-2025-00673</t>
  </si>
  <si>
    <t>ID-2025-01582</t>
  </si>
  <si>
    <t>ID-2025-00516</t>
  </si>
  <si>
    <t>ID-2025-00727</t>
  </si>
  <si>
    <t>ID-2025-00630</t>
  </si>
  <si>
    <t>ID-2025-01428</t>
  </si>
  <si>
    <t>ID-2025-00528</t>
  </si>
  <si>
    <t>ID-2025-00271</t>
  </si>
  <si>
    <t>ID-2025-01283</t>
  </si>
  <si>
    <t>ID-2025-00509</t>
  </si>
  <si>
    <t>ID-2026-00453</t>
  </si>
  <si>
    <t>ID-2026-00739</t>
  </si>
  <si>
    <t>ID-2026-00316</t>
  </si>
  <si>
    <t>ID-2026-00544</t>
  </si>
  <si>
    <t>ID-2026-01509</t>
  </si>
  <si>
    <t>ID-2026-01531</t>
  </si>
  <si>
    <t>ID-2026-00601</t>
  </si>
  <si>
    <t>ID-2026-01119</t>
  </si>
  <si>
    <t>ID-2023-00230</t>
  </si>
  <si>
    <t>PRD-020</t>
  </si>
  <si>
    <t>Kaos Polos Cotton Combed</t>
  </si>
  <si>
    <t>ID-2023-01747</t>
  </si>
  <si>
    <t>ID-2023-00359</t>
  </si>
  <si>
    <t>ID-2023-00396</t>
  </si>
  <si>
    <t>ID-2023-00588</t>
  </si>
  <si>
    <t>ID-2023-00534</t>
  </si>
  <si>
    <t>ID-2023-00462</t>
  </si>
  <si>
    <t>ID-2023-00384</t>
  </si>
  <si>
    <t>ID-2023-01506</t>
  </si>
  <si>
    <t>ID-2023-00174</t>
  </si>
  <si>
    <t>ID-2023-01298</t>
  </si>
  <si>
    <t>ID-2023-00091</t>
  </si>
  <si>
    <t>ID-2023-01480</t>
  </si>
  <si>
    <t>ID-2023-00041</t>
  </si>
  <si>
    <t>ID-2023-01173</t>
  </si>
  <si>
    <t>ID-2023-01369</t>
  </si>
  <si>
    <t>ID-2023-01536</t>
  </si>
  <si>
    <t>ID-2023-00776</t>
  </si>
  <si>
    <t>ID-2023-00985</t>
  </si>
  <si>
    <t>ID-2023-01723</t>
  </si>
  <si>
    <t>ID-2023-00053</t>
  </si>
  <si>
    <t>ID-2023-00913</t>
  </si>
  <si>
    <t>ID-2023-00514</t>
  </si>
  <si>
    <t>ID-2023-01619</t>
  </si>
  <si>
    <t>ID-2024-00065</t>
  </si>
  <si>
    <t>ID-2024-00037</t>
  </si>
  <si>
    <t>ID-2024-00596</t>
  </si>
  <si>
    <t>ID-2024-01363</t>
  </si>
  <si>
    <t>ID-2024-00223</t>
  </si>
  <si>
    <t>ID-2024-00852</t>
  </si>
  <si>
    <t>ID-2024-01519</t>
  </si>
  <si>
    <t>ID-2024-00815</t>
  </si>
  <si>
    <t>ID-2024-00977</t>
  </si>
  <si>
    <t>ID-2024-00574</t>
  </si>
  <si>
    <t>ID-2024-00293</t>
  </si>
  <si>
    <t>ID-2024-00608</t>
  </si>
  <si>
    <t>ID-2024-00078</t>
  </si>
  <si>
    <t>ID-2024-00753</t>
  </si>
  <si>
    <t>ID-2025-00830</t>
  </si>
  <si>
    <t>ID-2025-01230</t>
  </si>
  <si>
    <t>ID-2025-01393</t>
  </si>
  <si>
    <t>ID-2025-00686</t>
  </si>
  <si>
    <t>ID-2025-00825</t>
  </si>
  <si>
    <t>ID-2025-00195</t>
  </si>
  <si>
    <t>ID-2025-01545</t>
  </si>
  <si>
    <t>ID-2025-00044</t>
  </si>
  <si>
    <t>ID-2025-01345</t>
  </si>
  <si>
    <t>ID-2025-01359</t>
  </si>
  <si>
    <t>ID-2025-00148</t>
  </si>
  <si>
    <t>ID-2025-01336</t>
  </si>
  <si>
    <t>ID-2025-00022</t>
  </si>
  <si>
    <t>ID-2025-00937</t>
  </si>
  <si>
    <t>ID-2025-00505</t>
  </si>
  <si>
    <t>ID-2025-01758</t>
  </si>
  <si>
    <t>ID-2025-01614</t>
  </si>
  <si>
    <t>ID-2025-01638</t>
  </si>
  <si>
    <t>ID-2025-01732</t>
  </si>
  <si>
    <t>ID-2025-01424</t>
  </si>
  <si>
    <t>ID-2025-00942</t>
  </si>
  <si>
    <t>ID-2025-01552</t>
  </si>
  <si>
    <t>ID-2025-01694</t>
  </si>
  <si>
    <t>ID-2025-00798</t>
  </si>
  <si>
    <t>ID-2026-00177</t>
  </si>
  <si>
    <t>ID-2026-00902</t>
  </si>
  <si>
    <t>ID-2026-00079</t>
  </si>
  <si>
    <t>ID-2026-00265</t>
  </si>
  <si>
    <t>ID-2026-01782</t>
  </si>
  <si>
    <t>ID-2026-01273</t>
  </si>
  <si>
    <t>ID-2026-00793</t>
  </si>
  <si>
    <t>ID-2023-00774</t>
  </si>
  <si>
    <t>PRD-019</t>
  </si>
  <si>
    <t>Hijab Voal Eksklusif</t>
  </si>
  <si>
    <t>ID-2023-00343</t>
  </si>
  <si>
    <t>ID-2023-00537</t>
  </si>
  <si>
    <t>ID-2023-01715</t>
  </si>
  <si>
    <t>ID-2023-00563</t>
  </si>
  <si>
    <t>ID-2023-00452</t>
  </si>
  <si>
    <t>ID-2023-00129</t>
  </si>
  <si>
    <t>ID-2023-01735</t>
  </si>
  <si>
    <t>ID-2023-01461</t>
  </si>
  <si>
    <t>ID-2023-01349</t>
  </si>
  <si>
    <t>ID-2023-01698</t>
  </si>
  <si>
    <t>ID-2023-01708</t>
  </si>
  <si>
    <t>ID-2023-00892</t>
  </si>
  <si>
    <t>ID-2023-01269</t>
  </si>
  <si>
    <t>ID-2023-00738</t>
  </si>
  <si>
    <t>ID-2023-01557</t>
  </si>
  <si>
    <t>ID-2023-00244</t>
  </si>
  <si>
    <t>ID-2023-00624</t>
  </si>
  <si>
    <t>ID-2023-00423</t>
  </si>
  <si>
    <t>ID-2023-00333</t>
  </si>
  <si>
    <t>ID-2023-00979</t>
  </si>
  <si>
    <t>ID-2024-01002</t>
  </si>
  <si>
    <t>ID-2024-00478</t>
  </si>
  <si>
    <t>ID-2024-01241</t>
  </si>
  <si>
    <t>ID-2024-00869</t>
  </si>
  <si>
    <t>ID-2024-01317</t>
  </si>
  <si>
    <t>ID-2024-01677</t>
  </si>
  <si>
    <t>ID-2024-00156</t>
  </si>
  <si>
    <t>ID-2024-01288</t>
  </si>
  <si>
    <t>ID-2024-00006</t>
  </si>
  <si>
    <t>ID-2024-01785</t>
  </si>
  <si>
    <t>ID-2024-01713</t>
  </si>
  <si>
    <t>ID-2024-00640</t>
  </si>
  <si>
    <t>ID-2024-01643</t>
  </si>
  <si>
    <t>ID-2024-01556</t>
  </si>
  <si>
    <t>ID-2024-00757</t>
  </si>
  <si>
    <t>ID-2024-00511</t>
  </si>
  <si>
    <t>ID-2024-01631</t>
  </si>
  <si>
    <t>ID-2024-00958</t>
  </si>
  <si>
    <t>ID-2025-00932</t>
  </si>
  <si>
    <t>ID-2025-00277</t>
  </si>
  <si>
    <t>ID-2025-01388</t>
  </si>
  <si>
    <t>ID-2025-01280</t>
  </si>
  <si>
    <t>ID-2025-00256</t>
  </si>
  <si>
    <t>ID-2025-00219</t>
  </si>
  <si>
    <t>ID-2025-01666</t>
  </si>
  <si>
    <t>ID-2025-00871</t>
  </si>
  <si>
    <t>ID-2025-01118</t>
  </si>
  <si>
    <t>ID-2025-00119</t>
  </si>
  <si>
    <t>ID-2025-01012</t>
  </si>
  <si>
    <t>ID-2025-00426</t>
  </si>
  <si>
    <t>ID-2025-01085</t>
  </si>
  <si>
    <t>ID-2025-00513</t>
  </si>
  <si>
    <t>ID-2025-00301</t>
  </si>
  <si>
    <t>ID-2025-01240</t>
  </si>
  <si>
    <t>ID-2025-01427</t>
  </si>
  <si>
    <t>ID-2025-01737</t>
  </si>
  <si>
    <t>ID-2026-00309</t>
  </si>
  <si>
    <t>ID-2026-01573</t>
  </si>
  <si>
    <t>ID-2026-01094</t>
  </si>
  <si>
    <t>ID-2026-01375</t>
  </si>
  <si>
    <t>ID-2026-00845</t>
  </si>
  <si>
    <t>ID-2026-01260</t>
  </si>
  <si>
    <t>ID-2026-00480</t>
  </si>
  <si>
    <t>ID-2026-01553</t>
  </si>
  <si>
    <t>ID-2026-01176</t>
  </si>
  <si>
    <t>ID-2026-01087</t>
  </si>
  <si>
    <t>ID-2026-00229</t>
  </si>
  <si>
    <t>ID-2026-01362</t>
  </si>
  <si>
    <t>ID-2026-01027</t>
  </si>
  <si>
    <t>ID-2026-00001</t>
  </si>
  <si>
    <t>ID-2026-01091</t>
  </si>
  <si>
    <t>ID-2026-01385</t>
  </si>
  <si>
    <t>ID-2026-00679</t>
  </si>
  <si>
    <t>ID-2023-01367</t>
  </si>
  <si>
    <t>PRD-011</t>
  </si>
  <si>
    <t>Rak Buku Kayu Minimalis</t>
  </si>
  <si>
    <t>ID-2023-01658</t>
  </si>
  <si>
    <t>ID-2023-00502</t>
  </si>
  <si>
    <t>ID-2023-01444</t>
  </si>
  <si>
    <t>ID-2023-01373</t>
  </si>
  <si>
    <t>ID-2023-00828</t>
  </si>
  <si>
    <t>ID-2023-00010</t>
  </si>
  <si>
    <t>ID-2023-01655</t>
  </si>
  <si>
    <t>ID-2023-00081</t>
  </si>
  <si>
    <t>ID-2023-00345</t>
  </si>
  <si>
    <t>ID-2023-00786</t>
  </si>
  <si>
    <t>ID-2023-00307</t>
  </si>
  <si>
    <t>ID-2023-00363</t>
  </si>
  <si>
    <t>ID-2023-01696</t>
  </si>
  <si>
    <t>ID-2023-00281</t>
  </si>
  <si>
    <t>ID-2023-00266</t>
  </si>
  <si>
    <t>ID-2023-01064</t>
  </si>
  <si>
    <t>ID-2024-00138</t>
  </si>
  <si>
    <t>ID-2024-00649</t>
  </si>
  <si>
    <t>ID-2024-01581</t>
  </si>
  <si>
    <t>ID-2024-01289</t>
  </si>
  <si>
    <t>ID-2024-01478</t>
  </si>
  <si>
    <t>ID-2024-00765</t>
  </si>
  <si>
    <t>ID-2024-01504</t>
  </si>
  <si>
    <t>ID-2024-00012</t>
  </si>
  <si>
    <t>ID-2024-00171</t>
  </si>
  <si>
    <t>ID-2024-01520</t>
  </si>
  <si>
    <t>ID-2024-00768</t>
  </si>
  <si>
    <t>ID-2024-00620</t>
  </si>
  <si>
    <t>ID-2024-01525</t>
  </si>
  <si>
    <t>ID-2024-00994</t>
  </si>
  <si>
    <t>ID-2024-00783</t>
  </si>
  <si>
    <t>ID-2024-00889</t>
  </si>
  <si>
    <t>ID-2024-00940</t>
  </si>
  <si>
    <t>ID-2024-00349</t>
  </si>
  <si>
    <t>ID-2024-00222</t>
  </si>
  <si>
    <t>ID-2024-01781</t>
  </si>
  <si>
    <t>ID-2024-00730</t>
  </si>
  <si>
    <t>ID-2024-00236</t>
  </si>
  <si>
    <t>ID-2025-01135</t>
  </si>
  <si>
    <t>ID-2025-00956</t>
  </si>
  <si>
    <t>ID-2025-01332</t>
  </si>
  <si>
    <t>ID-2025-00355</t>
  </si>
  <si>
    <t>ID-2025-01577</t>
  </si>
  <si>
    <t>ID-2025-01435</t>
  </si>
  <si>
    <t>ID-2025-01576</t>
  </si>
  <si>
    <t>ID-2025-00339</t>
  </si>
  <si>
    <t>ID-2025-01644</t>
  </si>
  <si>
    <t>ID-2025-00131</t>
  </si>
  <si>
    <t>ID-2025-00457</t>
  </si>
  <si>
    <t>ID-2025-00533</t>
  </si>
  <si>
    <t>ID-2025-00945</t>
  </si>
  <si>
    <t>ID-2026-00799</t>
  </si>
  <si>
    <t>ID-2026-00047</t>
  </si>
  <si>
    <t>ID-2026-01717</t>
  </si>
  <si>
    <t>ID-2026-00854</t>
  </si>
  <si>
    <t>ID-2026-00572</t>
  </si>
  <si>
    <t>ID-2026-00503</t>
  </si>
  <si>
    <t>ID-2026-01668</t>
  </si>
  <si>
    <t>ID-2026-01499</t>
  </si>
  <si>
    <t>ID-2026-01463</t>
  </si>
  <si>
    <t>ID-2026-00496</t>
  </si>
  <si>
    <t>ID-2023-00983</t>
  </si>
  <si>
    <t>PRD-001</t>
  </si>
  <si>
    <t>Smartphone Polytron X</t>
  </si>
  <si>
    <t>ID-2023-00097</t>
  </si>
  <si>
    <t>ID-2023-00295</t>
  </si>
  <si>
    <t>ID-2023-01096</t>
  </si>
  <si>
    <t>ID-2023-00820</t>
  </si>
  <si>
    <t>ID-2023-01162</t>
  </si>
  <si>
    <t>ID-2023-01271</t>
  </si>
  <si>
    <t>ID-2023-00465</t>
  </si>
  <si>
    <t>ID-2023-00553</t>
  </si>
  <si>
    <t>ID-2023-00778</t>
  </si>
  <si>
    <t>ID-2023-01303</t>
  </si>
  <si>
    <t>ID-2023-01676</t>
  </si>
  <si>
    <t>ID-2023-01436</t>
  </si>
  <si>
    <t>ID-2023-00642</t>
  </si>
  <si>
    <t>ID-2023-00116</t>
  </si>
  <si>
    <t>ID-2023-01440</t>
  </si>
  <si>
    <t>ID-2023-01392</t>
  </si>
  <si>
    <t>ID-2023-01772</t>
  </si>
  <si>
    <t>ID-2023-01467</t>
  </si>
  <si>
    <t>ID-2023-01701</t>
  </si>
  <si>
    <t>ID-2024-01348</t>
  </si>
  <si>
    <t>ID-2024-00200</t>
  </si>
  <si>
    <t>ID-2024-01234</t>
  </si>
  <si>
    <t>ID-2024-00320</t>
  </si>
  <si>
    <t>ID-2024-00595</t>
  </si>
  <si>
    <t>ID-2024-00302</t>
  </si>
  <si>
    <t>ID-2024-00555</t>
  </si>
  <si>
    <t>ID-2024-01450</t>
  </si>
  <si>
    <t>ID-2024-01591</t>
  </si>
  <si>
    <t>ID-2024-01656</t>
  </si>
  <si>
    <t>ID-2024-00377</t>
  </si>
  <si>
    <t>ID-2024-01404</t>
  </si>
  <si>
    <t>ID-2024-00134</t>
  </si>
  <si>
    <t>ID-2024-00158</t>
  </si>
  <si>
    <t>ID-2024-01152</t>
  </si>
  <si>
    <t>ID-2025-01108</t>
  </si>
  <si>
    <t>ID-2025-00290</t>
  </si>
  <si>
    <t>ID-2025-01197</t>
  </si>
  <si>
    <t>ID-2025-00997</t>
  </si>
  <si>
    <t>ID-2025-01673</t>
  </si>
  <si>
    <t>ID-2025-01798</t>
  </si>
  <si>
    <t>ID-2025-00564</t>
  </si>
  <si>
    <t>ID-2025-00412</t>
  </si>
  <si>
    <t>ID-2025-00692</t>
  </si>
  <si>
    <t>ID-2025-00199</t>
  </si>
  <si>
    <t>ID-2025-01211</t>
  </si>
  <si>
    <t>ID-2025-01487</t>
  </si>
  <si>
    <t>ID-2025-01190</t>
  </si>
  <si>
    <t>ID-2025-01455</t>
  </si>
  <si>
    <t>ID-2025-00579</t>
  </si>
  <si>
    <t>ID-2025-01726</t>
  </si>
  <si>
    <t>ID-2025-00959</t>
  </si>
  <si>
    <t>ID-2025-01789</t>
  </si>
  <si>
    <t>ID-2025-01371</t>
  </si>
  <si>
    <t>ID-2025-01067</t>
  </si>
  <si>
    <t>ID-2025-01020</t>
  </si>
  <si>
    <t>ID-2025-00388</t>
  </si>
  <si>
    <t>ID-2025-01585</t>
  </si>
  <si>
    <t>ID-2026-01437</t>
  </si>
  <si>
    <t>ID-2026-00142</t>
  </si>
  <si>
    <t>ID-2026-01047</t>
  </si>
  <si>
    <t>ID-2026-01245</t>
  </si>
  <si>
    <t>ID-2026-00459</t>
  </si>
  <si>
    <t>ID-2026-01141</t>
  </si>
  <si>
    <t>ID-2026-00707</t>
  </si>
  <si>
    <t>ID-2026-00812</t>
  </si>
  <si>
    <t>ID-2026-01523</t>
  </si>
  <si>
    <t>ID-2026-00542</t>
  </si>
  <si>
    <t>ID-2026-01391</t>
  </si>
  <si>
    <t>ID-2026-00274</t>
  </si>
  <si>
    <t>ID-2023-01796</t>
  </si>
  <si>
    <t>PRD-023</t>
  </si>
  <si>
    <t>Sepeda Lipat Element</t>
  </si>
  <si>
    <t>ID-2023-00573</t>
  </si>
  <si>
    <t>ID-2023-00908</t>
  </si>
  <si>
    <t>ID-2023-01249</t>
  </si>
  <si>
    <t>ID-2023-01736</t>
  </si>
  <si>
    <t>ID-2023-00167</t>
  </si>
  <si>
    <t>ID-2023-01195</t>
  </si>
  <si>
    <t>ID-2023-01105</t>
  </si>
  <si>
    <t>ID-2023-01652</t>
  </si>
  <si>
    <t>ID-2023-00303</t>
  </si>
  <si>
    <t>ID-2023-01640</t>
  </si>
  <si>
    <t>ID-2023-01113</t>
  </si>
  <si>
    <t>ID-2023-01779</t>
  </si>
  <si>
    <t>ID-2023-01277</t>
  </si>
  <si>
    <t>ID-2023-01729</t>
  </si>
  <si>
    <t>ID-2023-00870</t>
  </si>
  <si>
    <t>ID-2023-00147</t>
  </si>
  <si>
    <t>ID-2023-00606</t>
  </si>
  <si>
    <t>ID-2023-00790</t>
  </si>
  <si>
    <t>ID-2023-00987</t>
  </si>
  <si>
    <t>ID-2023-00615</t>
  </si>
  <si>
    <t>ID-2024-01537</t>
  </si>
  <si>
    <t>ID-2024-00329</t>
  </si>
  <si>
    <t>ID-2024-01008</t>
  </si>
  <si>
    <t>ID-2024-00411</t>
  </si>
  <si>
    <t>ID-2024-00445</t>
  </si>
  <si>
    <t>ID-2024-01068</t>
  </si>
  <si>
    <t>ID-2024-00058</t>
  </si>
  <si>
    <t>ID-2024-01210</t>
  </si>
  <si>
    <t>ID-2024-00826</t>
  </si>
  <si>
    <t>ID-2024-01274</t>
  </si>
  <si>
    <t>ID-2024-01635</t>
  </si>
  <si>
    <t>ID-2024-01191</t>
  </si>
  <si>
    <t>ID-2024-00106</t>
  </si>
  <si>
    <t>ID-2025-01662</t>
  </si>
  <si>
    <t>ID-2025-00539</t>
  </si>
  <si>
    <t>ID-2025-00890</t>
  </si>
  <si>
    <t>ID-2025-01778</t>
  </si>
  <si>
    <t>ID-2025-01493</t>
  </si>
  <si>
    <t>ID-2025-01773</t>
  </si>
  <si>
    <t>ID-2025-01451</t>
  </si>
  <si>
    <t>ID-2025-00861</t>
  </si>
  <si>
    <t>ID-2026-00838</t>
  </si>
  <si>
    <t>ID-2026-00442</t>
  </si>
  <si>
    <t>ID-2026-01491</t>
  </si>
  <si>
    <t>ID-2026-00584</t>
  </si>
  <si>
    <t>ID-2026-00554</t>
  </si>
  <si>
    <t>ID-2026-00962</t>
  </si>
  <si>
    <t>ID-2023-00862</t>
  </si>
  <si>
    <t>PRD-014</t>
  </si>
  <si>
    <t>Dispenser Denpoo</t>
  </si>
  <si>
    <t>ID-2023-01235</t>
  </si>
  <si>
    <t>ID-2023-01203</t>
  </si>
  <si>
    <t>ID-2023-01417</t>
  </si>
  <si>
    <t>ID-2023-00062</t>
  </si>
  <si>
    <t>ID-2023-00748</t>
  </si>
  <si>
    <t>ID-2023-00494</t>
  </si>
  <si>
    <t>ID-2023-00231</t>
  </si>
  <si>
    <t>ID-2023-00150</t>
  </si>
  <si>
    <t>ID-2023-01555</t>
  </si>
  <si>
    <t>ID-2023-01741</t>
  </si>
  <si>
    <t>ID-2023-00708</t>
  </si>
  <si>
    <t>ID-2023-01634</t>
  </si>
  <si>
    <t>ID-2023-00898</t>
  </si>
  <si>
    <t>ID-2023-00019</t>
  </si>
  <si>
    <t>ID-2023-00680</t>
  </si>
  <si>
    <t>ID-2023-00203</t>
  </si>
  <si>
    <t>ID-2023-01683</t>
  </si>
  <si>
    <t>ID-2023-01754</t>
  </si>
  <si>
    <t>ID-2024-00578</t>
  </si>
  <si>
    <t>ID-2024-01496</t>
  </si>
  <si>
    <t>ID-2024-00322</t>
  </si>
  <si>
    <t>ID-2024-01529</t>
  </si>
  <si>
    <t>ID-2024-01648</t>
  </si>
  <si>
    <t>ID-2024-01306</t>
  </si>
  <si>
    <t>ID-2024-00796</t>
  </si>
  <si>
    <t>ID-2024-01382</t>
  </si>
  <si>
    <t>ID-2024-00446</t>
  </si>
  <si>
    <t>ID-2024-00468</t>
  </si>
  <si>
    <t>ID-2024-00836</t>
  </si>
  <si>
    <t>ID-2024-00901</t>
  </si>
  <si>
    <t>ID-2024-00545</t>
  </si>
  <si>
    <t>ID-2024-01517</t>
  </si>
  <si>
    <t>ID-2024-00069</t>
  </si>
  <si>
    <t>ID-2024-01160</t>
  </si>
  <si>
    <t>ID-2024-00860</t>
  </si>
  <si>
    <t>ID-2024-01205</t>
  </si>
  <si>
    <t>ID-2025-01267</t>
  </si>
  <si>
    <t>ID-2025-00529</t>
  </si>
  <si>
    <t>ID-2025-00504</t>
  </si>
  <si>
    <t>ID-2025-00604</t>
  </si>
  <si>
    <t>ID-2025-00404</t>
  </si>
  <si>
    <t>ID-2025-00551</t>
  </si>
  <si>
    <t>ID-2025-01746</t>
  </si>
  <si>
    <t>ID-2025-00759</t>
  </si>
  <si>
    <t>ID-2025-01617</t>
  </si>
  <si>
    <t>ID-2025-01470</t>
  </si>
  <si>
    <t>ID-2025-00485</t>
  </si>
  <si>
    <t>ID-2025-00170</t>
  </si>
  <si>
    <t>ID-2025-00260</t>
  </si>
  <si>
    <t>ID-2025-01111</t>
  </si>
  <si>
    <t>ID-2025-00844</t>
  </si>
  <si>
    <t>ID-2025-00094</t>
  </si>
  <si>
    <t>ID-2026-00561</t>
  </si>
  <si>
    <t>ID-2026-01383</t>
  </si>
  <si>
    <t>ID-2026-01053</t>
  </si>
  <si>
    <t>ID-2026-00658</t>
  </si>
  <si>
    <t>ID-2026-00501</t>
  </si>
  <si>
    <t>ID-2026-00390</t>
  </si>
  <si>
    <t>ID-2026-00323</t>
  </si>
  <si>
    <t>ID-2026-00216</t>
  </si>
  <si>
    <t>ID-2023-00362</t>
  </si>
  <si>
    <t>PRD-027</t>
  </si>
  <si>
    <t>Jersey Timnas Mills</t>
  </si>
  <si>
    <t>ID-2023-00929</t>
  </si>
  <si>
    <t>ID-2023-01565</t>
  </si>
  <si>
    <t>ID-2023-00559</t>
  </si>
  <si>
    <t>ID-2023-00721</t>
  </si>
  <si>
    <t>ID-2023-01757</t>
  </si>
  <si>
    <t>ID-2023-00710</t>
  </si>
  <si>
    <t>ID-2023-01054</t>
  </si>
  <si>
    <t>ID-2023-01093</t>
  </si>
  <si>
    <t>ID-2023-01540</t>
  </si>
  <si>
    <t>ID-2023-00875</t>
  </si>
  <si>
    <t>ID-2023-00989</t>
  </si>
  <si>
    <t>ID-2023-01341</t>
  </si>
  <si>
    <t>ID-2023-01378</t>
  </si>
  <si>
    <t>ID-2023-00575</t>
  </si>
  <si>
    <t>ID-2023-01714</t>
  </si>
  <si>
    <t>ID-2023-00286</t>
  </si>
  <si>
    <t>ID-2023-00701</t>
  </si>
  <si>
    <t>ID-2024-00662</t>
  </si>
  <si>
    <t>ID-2024-00576</t>
  </si>
  <si>
    <t>ID-2024-01237</t>
  </si>
  <si>
    <t>ID-2024-00444</t>
  </si>
  <si>
    <t>ID-2024-01219</t>
  </si>
  <si>
    <t>ID-2024-00477</t>
  </si>
  <si>
    <t>ID-2024-00810</t>
  </si>
  <si>
    <t>ID-2024-01514</t>
  </si>
  <si>
    <t>ID-2024-00209</t>
  </si>
  <si>
    <t>ID-2024-00367</t>
  </si>
  <si>
    <t>ID-2024-01231</t>
  </si>
  <si>
    <t>ID-2024-00233</t>
  </si>
  <si>
    <t>ID-2024-00163</t>
  </si>
  <si>
    <t>ID-2024-01574</t>
  </si>
  <si>
    <t>ID-2024-01750</t>
  </si>
  <si>
    <t>ID-2025-00882</t>
  </si>
  <si>
    <t>ID-2025-00909</t>
  </si>
  <si>
    <t>ID-2025-01246</t>
  </si>
  <si>
    <t>ID-2025-00415</t>
  </si>
  <si>
    <t>ID-2025-00693</t>
  </si>
  <si>
    <t>ID-2025-00670</t>
  </si>
  <si>
    <t>ID-2025-00414</t>
  </si>
  <si>
    <t>ID-2025-01327</t>
  </si>
  <si>
    <t>ID-2025-00904</t>
  </si>
  <si>
    <t>ID-2025-00724</t>
  </si>
  <si>
    <t>ID-2025-00802</t>
  </si>
  <si>
    <t>ID-2025-00682</t>
  </si>
  <si>
    <t>ID-2025-00699</t>
  </si>
  <si>
    <t>ID-2025-00637</t>
  </si>
  <si>
    <t>ID-2025-00951</t>
  </si>
  <si>
    <t>ID-2025-01764</t>
  </si>
  <si>
    <t>ID-2025-00717</t>
  </si>
  <si>
    <t>ID-2025-00033</t>
  </si>
  <si>
    <t>ID-2026-00113</t>
  </si>
  <si>
    <t>ID-2026-01787</t>
  </si>
  <si>
    <t>ID-2026-00191</t>
  </si>
  <si>
    <t>ID-2026-00905</t>
  </si>
  <si>
    <t>ID-2026-00111</t>
  </si>
  <si>
    <t>ID-2026-00991</t>
  </si>
  <si>
    <t>ID-2026-00823</t>
  </si>
  <si>
    <t>ID-2026-00034</t>
  </si>
  <si>
    <t>ID-2026-01759</t>
  </si>
  <si>
    <t>ID-2026-00319</t>
  </si>
  <si>
    <t>ID-2026-01335</t>
  </si>
  <si>
    <t>ID-2023-01407</t>
  </si>
  <si>
    <t>PRD-022</t>
  </si>
  <si>
    <t>Celana Chino Lokal</t>
  </si>
  <si>
    <t>ID-2023-00900</t>
  </si>
  <si>
    <t>ID-2023-00455</t>
  </si>
  <si>
    <t>ID-2023-00621</t>
  </si>
  <si>
    <t>ID-2023-01695</t>
  </si>
  <si>
    <t>ID-2023-01485</t>
  </si>
  <si>
    <t>ID-2023-01244</t>
  </si>
  <si>
    <t>ID-2023-01748</t>
  </si>
  <si>
    <t>ID-2023-01703</t>
  </si>
  <si>
    <t>ID-2023-00471</t>
  </si>
  <si>
    <t>ID-2023-00930</t>
  </si>
  <si>
    <t>ID-2023-00558</t>
  </si>
  <si>
    <t>ID-2023-01699</t>
  </si>
  <si>
    <t>ID-2023-01046</t>
  </si>
  <si>
    <t>ID-2023-01329</t>
  </si>
  <si>
    <t>ID-2023-00128</t>
  </si>
  <si>
    <t>ID-2023-01248</t>
  </si>
  <si>
    <t>ID-2023-01066</t>
  </si>
  <si>
    <t>ID-2023-00719</t>
  </si>
  <si>
    <t>ID-2023-00241</t>
  </si>
  <si>
    <t>ID-2023-01700</t>
  </si>
  <si>
    <t>ID-2023-00711</t>
  </si>
  <si>
    <t>ID-2023-01305</t>
  </si>
  <si>
    <t>ID-2024-00818</t>
  </si>
  <si>
    <t>ID-2024-00318</t>
  </si>
  <si>
    <t>ID-2024-00833</t>
  </si>
  <si>
    <t>ID-2024-00519</t>
  </si>
  <si>
    <t>ID-2024-01199</t>
  </si>
  <si>
    <t>ID-2024-00328</t>
  </si>
  <si>
    <t>ID-2024-00781</t>
  </si>
  <si>
    <t>ID-2024-01256</t>
  </si>
  <si>
    <t>ID-2024-00017</t>
  </si>
  <si>
    <t>ID-2024-01678</t>
  </si>
  <si>
    <t>ID-2024-00112</t>
  </si>
  <si>
    <t>ID-2024-00198</t>
  </si>
  <si>
    <t>ID-2024-01596</t>
  </si>
  <si>
    <t>ID-2024-00410</t>
  </si>
  <si>
    <t>ID-2025-01208</t>
  </si>
  <si>
    <t>ID-2025-01174</t>
  </si>
  <si>
    <t>ID-2025-01543</t>
  </si>
  <si>
    <t>ID-2025-00252</t>
  </si>
  <si>
    <t>ID-2025-00107</t>
  </si>
  <si>
    <t>ID-2025-01475</t>
  </si>
  <si>
    <t>ID-2025-01112</t>
  </si>
  <si>
    <t>ID-2025-00422</t>
  </si>
  <si>
    <t>ID-2025-00218</t>
  </si>
  <si>
    <t>ID-2025-00175</t>
  </si>
  <si>
    <t>ID-2025-00342</t>
  </si>
  <si>
    <t>ID-2025-00914</t>
  </si>
  <si>
    <t>ID-2025-00032</t>
  </si>
  <si>
    <t>ID-2025-00080</t>
  </si>
  <si>
    <t>ID-2025-01724</t>
  </si>
  <si>
    <t>ID-2025-00832</t>
  </si>
  <si>
    <t>ID-2025-01357</t>
  </si>
  <si>
    <t>ID-2026-00479</t>
  </si>
  <si>
    <t>ID-2026-01314</t>
  </si>
  <si>
    <t>ID-2026-00995</t>
  </si>
  <si>
    <t>ID-2026-00296</t>
  </si>
  <si>
    <t>ID-2026-00133</t>
  </si>
  <si>
    <t>ID-2026-01734</t>
  </si>
  <si>
    <t>ID-2026-00463</t>
  </si>
  <si>
    <t>ID-2026-00126</t>
  </si>
  <si>
    <t>ID-2023-00228</t>
  </si>
  <si>
    <t>PRD-013</t>
  </si>
  <si>
    <t>Rice Cooker Cosmos</t>
  </si>
  <si>
    <t>ID-2023-00804</t>
  </si>
  <si>
    <t>ID-2023-00149</t>
  </si>
  <si>
    <t>ID-2023-01752</t>
  </si>
  <si>
    <t>ID-2023-01654</t>
  </si>
  <si>
    <t>ID-2023-01709</t>
  </si>
  <si>
    <t>ID-2023-00437</t>
  </si>
  <si>
    <t>ID-2023-00598</t>
  </si>
  <si>
    <t>ID-2023-00610</t>
  </si>
  <si>
    <t>ID-2023-00242</t>
  </si>
  <si>
    <t>ID-2023-01209</t>
  </si>
  <si>
    <t>ID-2023-00684</t>
  </si>
  <si>
    <t>ID-2023-01421</t>
  </si>
  <si>
    <t>ID-2024-00767</t>
  </si>
  <si>
    <t>ID-2024-01061</t>
  </si>
  <si>
    <t>ID-2024-01151</t>
  </si>
  <si>
    <t>ID-2024-00176</t>
  </si>
  <si>
    <t>ID-2024-01402</t>
  </si>
  <si>
    <t>ID-2024-01669</t>
  </si>
  <si>
    <t>ID-2024-00145</t>
  </si>
  <si>
    <t>ID-2024-00859</t>
  </si>
  <si>
    <t>ID-2024-01308</t>
  </si>
  <si>
    <t>ID-2024-00933</t>
  </si>
  <si>
    <t>ID-2024-00822</t>
  </si>
  <si>
    <t>ID-2024-01126</t>
  </si>
  <si>
    <t>ID-2024-00848</t>
  </si>
  <si>
    <t>ID-2024-00886</t>
  </si>
  <si>
    <t>ID-2024-01006</t>
  </si>
  <si>
    <t>ID-2024-00525</t>
  </si>
  <si>
    <t>ID-2024-01412</t>
  </si>
  <si>
    <t>ID-2024-00348</t>
  </si>
  <si>
    <t>ID-2024-01193</t>
  </si>
  <si>
    <t>ID-2024-01464</t>
  </si>
  <si>
    <t>ID-2025-00035</t>
  </si>
  <si>
    <t>ID-2025-00750</t>
  </si>
  <si>
    <t>ID-2025-00829</t>
  </si>
  <si>
    <t>ID-2025-00935</t>
  </si>
  <si>
    <t>ID-2025-00124</t>
  </si>
  <si>
    <t>ID-2025-01800</t>
  </si>
  <si>
    <t>ID-2025-00788</t>
  </si>
  <si>
    <t>ID-2025-01784</t>
  </si>
  <si>
    <t>ID-2025-00734</t>
  </si>
  <si>
    <t>ID-2025-00067</t>
  </si>
  <si>
    <t>ID-2025-00074</t>
  </si>
  <si>
    <t>ID-2025-00675</t>
  </si>
  <si>
    <t>ID-2025-00297</t>
  </si>
  <si>
    <t>ID-2025-00127</t>
  </si>
  <si>
    <t>ID-2025-00947</t>
  </si>
  <si>
    <t>ID-2025-00735</t>
  </si>
  <si>
    <t>ID-2025-01792</t>
  </si>
  <si>
    <t>ID-2025-00168</t>
  </si>
  <si>
    <t>ID-2026-00194</t>
  </si>
  <si>
    <t>ID-2026-01799</t>
  </si>
  <si>
    <t>ID-2026-00827</t>
  </si>
  <si>
    <t>ID-2026-01320</t>
  </si>
  <si>
    <t>ID-2026-00917</t>
  </si>
  <si>
    <t>ID-2026-00879</t>
  </si>
  <si>
    <t>ID-2026-00121</t>
  </si>
  <si>
    <t>ID-2023-00837</t>
  </si>
  <si>
    <t>PRD-003</t>
  </si>
  <si>
    <t>Tablet Advan Sketsa</t>
  </si>
  <si>
    <t>ID-2023-00347</t>
  </si>
  <si>
    <t>ID-2023-00325</t>
  </si>
  <si>
    <t>ID-2023-01497</t>
  </si>
  <si>
    <t>ID-2023-00202</t>
  </si>
  <si>
    <t>ID-2023-01010</t>
  </si>
  <si>
    <t>ID-2023-01733</t>
  </si>
  <si>
    <t>ID-2023-01165</t>
  </si>
  <si>
    <t>ID-2023-00990</t>
  </si>
  <si>
    <t>ID-2023-00351</t>
  </si>
  <si>
    <t>ID-2023-00385</t>
  </si>
  <si>
    <t>ID-2023-01287</t>
  </si>
  <si>
    <t>ID-2023-01645</t>
  </si>
  <si>
    <t>ID-2023-00984</t>
  </si>
  <si>
    <t>ID-2023-00507</t>
  </si>
  <si>
    <t>ID-2023-00777</t>
  </si>
  <si>
    <t>ID-2023-01034</t>
  </si>
  <si>
    <t>ID-2024-00644</t>
  </si>
  <si>
    <t>ID-2024-00546</t>
  </si>
  <si>
    <t>ID-2024-00613</t>
  </si>
  <si>
    <t>ID-2024-01664</t>
  </si>
  <si>
    <t>ID-2024-00226</t>
  </si>
  <si>
    <t>ID-2024-01663</t>
  </si>
  <si>
    <t>ID-2024-00715</t>
  </si>
  <si>
    <t>ID-2024-00581</t>
  </si>
  <si>
    <t>ID-2024-00969</t>
  </si>
  <si>
    <t>ID-2024-01719</t>
  </si>
  <si>
    <t>ID-2024-00136</t>
  </si>
  <si>
    <t>ID-2024-00102</t>
  </si>
  <si>
    <t>ID-2024-00299</t>
  </si>
  <si>
    <t>ID-2024-01310</t>
  </si>
  <si>
    <t>ID-2024-01515</t>
  </si>
  <si>
    <t>ID-2024-01488</t>
  </si>
  <si>
    <t>ID-2024-01334</t>
  </si>
  <si>
    <t>ID-2024-01630</t>
  </si>
  <si>
    <t>ID-2024-01704</t>
  </si>
  <si>
    <t>ID-2024-00883</t>
  </si>
  <si>
    <t>ID-2024-00123</t>
  </si>
  <si>
    <t>ID-2024-00332</t>
  </si>
  <si>
    <t>ID-2024-01625</t>
  </si>
  <si>
    <t>ID-2024-01465</t>
  </si>
  <si>
    <t>ID-2025-01189</t>
  </si>
  <si>
    <t>ID-2025-01279</t>
  </si>
  <si>
    <t>ID-2025-00289</t>
  </si>
  <si>
    <t>ID-2025-01150</t>
  </si>
  <si>
    <t>ID-2025-00160</t>
  </si>
  <si>
    <t>ID-2025-01284</t>
  </si>
  <si>
    <t>ID-2025-01547</t>
  </si>
  <si>
    <t>ID-2025-00317</t>
  </si>
  <si>
    <t>ID-2025-01272</t>
  </si>
  <si>
    <t>ID-2025-01438</t>
  </si>
  <si>
    <t>ID-2025-01651</t>
  </si>
  <si>
    <t>ID-2025-01016</t>
  </si>
  <si>
    <t>ID-2026-01528</t>
  </si>
  <si>
    <t>ID-2026-01429</t>
  </si>
  <si>
    <t>ID-2026-00831</t>
  </si>
  <si>
    <t>ID-2026-00731</t>
  </si>
  <si>
    <t>ID-2026-00304</t>
  </si>
  <si>
    <t>ID-2026-00356</t>
  </si>
  <si>
    <t>ID-2026-00791</t>
  </si>
  <si>
    <t>ID-2026-01680</t>
  </si>
  <si>
    <t>ID-2026-00224</t>
  </si>
  <si>
    <t>ID-2026-01263</t>
  </si>
  <si>
    <t>ID-2026-01074</t>
  </si>
  <si>
    <t>ID-2026-01763</t>
  </si>
  <si>
    <t>count before remove duplicate</t>
  </si>
  <si>
    <t>count after remove duplicate</t>
  </si>
  <si>
    <t>Median quantity</t>
  </si>
  <si>
    <t>mean_price</t>
  </si>
  <si>
    <t>unit_price_clean</t>
  </si>
  <si>
    <t>sales</t>
  </si>
  <si>
    <t>profit</t>
  </si>
  <si>
    <t>month</t>
  </si>
  <si>
    <t>Jan</t>
  </si>
  <si>
    <t>Feb</t>
  </si>
  <si>
    <t>Mar</t>
  </si>
  <si>
    <t>Apr</t>
  </si>
  <si>
    <t>May</t>
  </si>
  <si>
    <t>Jun</t>
  </si>
  <si>
    <t>Jul</t>
  </si>
  <si>
    <t>Aug</t>
  </si>
  <si>
    <t>Sep</t>
  </si>
  <si>
    <t>Oct</t>
  </si>
  <si>
    <t>Nov</t>
  </si>
  <si>
    <t>Dec</t>
  </si>
  <si>
    <t>year</t>
  </si>
  <si>
    <t>x</t>
  </si>
  <si>
    <t>y</t>
  </si>
  <si>
    <t>current_year</t>
  </si>
  <si>
    <t>current_month_text</t>
  </si>
  <si>
    <t>current_month_num</t>
  </si>
  <si>
    <t>previous_month_year</t>
  </si>
  <si>
    <t>previous_month_num</t>
  </si>
  <si>
    <t>previous_month_text</t>
  </si>
  <si>
    <t>current_sales</t>
  </si>
  <si>
    <t>previous_sales</t>
  </si>
  <si>
    <t>current_profit</t>
  </si>
  <si>
    <t>previous_profit</t>
  </si>
  <si>
    <t>profit margin %</t>
  </si>
  <si>
    <t>prev_profit_margin</t>
  </si>
  <si>
    <t>current orders</t>
  </si>
  <si>
    <t>previous orders</t>
  </si>
  <si>
    <t>month_num</t>
  </si>
  <si>
    <t>day</t>
  </si>
  <si>
    <t>Sum of sales</t>
  </si>
  <si>
    <t>Row Labels</t>
  </si>
  <si>
    <t>margin %</t>
  </si>
  <si>
    <t>current sales</t>
  </si>
  <si>
    <t>previous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</si>
</sst>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Green]\▲\ \+0.0%\ &quot;vs last month&quot;;[Red]\ \▼\ \-0.0%\ &quot;vs last month&quot;;0.0%\ &quot;vs last month&quot;"/>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0" fontId="0" fillId="0" borderId="0" xfId="0" pivotButton="1"/>
    <xf numFmtId="9" fontId="0" fillId="0" borderId="0" xfId="1" applyFont="1"/>
    <xf numFmtId="1" fontId="0" fillId="0" borderId="0" xfId="0" applyNumberFormat="1"/>
    <xf numFmtId="0" fontId="0" fillId="0" borderId="0" xfId="0" applyAlignment="1">
      <alignment horizontal="left"/>
    </xf>
    <xf numFmtId="0" fontId="0" fillId="2" borderId="1" xfId="0" applyFill="1" applyBorder="1"/>
    <xf numFmtId="0" fontId="2" fillId="3" borderId="1" xfId="0" applyFont="1" applyFill="1" applyBorder="1"/>
    <xf numFmtId="1" fontId="0" fillId="3" borderId="1" xfId="0" applyNumberFormat="1" applyFill="1" applyBorder="1"/>
    <xf numFmtId="9" fontId="0" fillId="3" borderId="1" xfId="1" applyFont="1" applyFill="1" applyBorder="1"/>
    <xf numFmtId="0" fontId="0" fillId="3" borderId="1" xfId="0" applyFill="1" applyBorder="1"/>
    <xf numFmtId="0" fontId="0" fillId="4" borderId="1" xfId="0" applyFill="1" applyBorder="1"/>
    <xf numFmtId="165" fontId="0" fillId="3" borderId="3" xfId="1" applyNumberFormat="1" applyFont="1" applyFill="1" applyBorder="1"/>
    <xf numFmtId="0" fontId="0" fillId="3" borderId="4" xfId="0" applyFill="1" applyBorder="1"/>
    <xf numFmtId="164" fontId="0" fillId="5" borderId="0" xfId="1" applyNumberFormat="1" applyFont="1" applyFill="1" applyBorder="1"/>
    <xf numFmtId="43" fontId="0" fillId="0" borderId="0" xfId="0" applyNumberFormat="1"/>
    <xf numFmtId="165" fontId="0" fillId="3" borderId="5" xfId="1" applyNumberFormat="1" applyFont="1" applyFill="1" applyBorder="1"/>
    <xf numFmtId="0" fontId="0" fillId="4" borderId="0" xfId="0" applyFill="1"/>
    <xf numFmtId="0" fontId="0" fillId="5" borderId="1" xfId="0" applyFill="1" applyBorder="1"/>
    <xf numFmtId="1" fontId="0" fillId="5" borderId="1" xfId="0" applyNumberFormat="1" applyFill="1" applyBorder="1"/>
    <xf numFmtId="9" fontId="0" fillId="5" borderId="1" xfId="1" applyFont="1" applyFill="1" applyBorder="1"/>
    <xf numFmtId="0" fontId="0" fillId="5" borderId="2" xfId="0" applyFill="1" applyBorder="1"/>
    <xf numFmtId="0" fontId="0" fillId="0" borderId="0" xfId="0" applyNumberFormat="1"/>
    <xf numFmtId="0" fontId="0" fillId="4" borderId="1" xfId="0" applyNumberFormat="1" applyFill="1" applyBorder="1"/>
  </cellXfs>
  <cellStyles count="2">
    <cellStyle name="Normal" xfId="0" builtinId="0"/>
    <cellStyle name="Percent" xfId="1" builtinId="5"/>
  </cellStyles>
  <dxfs count="26477">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35" formatCode="_-* #,##0.00_-;\-* #,##0.00_-;_-* &quot;-&quot;??_-;_-@_-"/>
    </dxf>
    <dxf>
      <numFmt numFmtId="1" formatCode="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b/>
        <color theme="1"/>
      </font>
      <border>
        <bottom style="thin">
          <color theme="8"/>
        </bottom>
        <vertical/>
        <horizontal/>
      </border>
    </dxf>
    <dxf>
      <border diagonalUp="0" diagonalDown="0">
        <left/>
        <right/>
        <top/>
        <bottom/>
        <vertical/>
        <horizontal/>
      </border>
    </dxf>
    <dxf>
      <font>
        <b/>
        <color theme="1"/>
      </font>
      <border>
        <bottom style="thin">
          <color theme="4"/>
        </bottom>
        <vertical/>
        <horizontal/>
      </border>
    </dxf>
    <dxf>
      <font>
        <sz val="9"/>
        <color theme="1"/>
      </font>
      <fill>
        <patternFill patternType="solid">
          <fgColor theme="0"/>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border>
        <left style="mediumDashDot">
          <color auto="1"/>
        </left>
        <right style="mediumDashDot">
          <color auto="1"/>
        </right>
        <top style="mediumDashDot">
          <color auto="1"/>
        </top>
        <bottom style="mediumDashDot">
          <color auto="1"/>
        </bottom>
      </border>
    </dxf>
    <dxf>
      <fill>
        <patternFill patternType="none">
          <fgColor indexed="64"/>
          <bgColor auto="1"/>
        </patternFill>
      </fill>
      <border diagonalUp="0" diagonalDown="0">
        <left/>
        <right/>
        <top/>
        <bottom/>
        <vertical/>
        <horizontal/>
      </border>
    </dxf>
    <dxf>
      <font>
        <b/>
        <color theme="1"/>
      </font>
      <border>
        <bottom style="thin">
          <color theme="4"/>
        </bottom>
        <vertical/>
        <horizontal/>
      </border>
    </dxf>
    <dxf>
      <font>
        <sz val="9"/>
        <color auto="1"/>
        <name val="Calibri"/>
        <family val="2"/>
        <scheme val="minor"/>
      </font>
      <fill>
        <patternFill>
          <bgColor theme="0"/>
        </patternFill>
      </fill>
      <border diagonalUp="0" diagonalDown="0">
        <left/>
        <right/>
        <top/>
        <bottom/>
        <vertical/>
        <horizontal/>
      </border>
    </dxf>
  </dxfs>
  <tableStyles count="7" defaultTableStyle="TableStyleMedium2" defaultPivotStyle="PivotStyleLight16">
    <tableStyle name="Slicer" pivot="0" table="0" count="10" xr9:uid="{6BD14814-99D4-4AEC-B364-D19BA8EDDA5D}">
      <tableStyleElement type="wholeTable" dxfId="26476"/>
      <tableStyleElement type="headerRow" dxfId="26475"/>
    </tableStyle>
    <tableStyle name="Slicer Style 1" pivot="0" table="0" count="1" xr9:uid="{0AE0605A-37D3-47AC-8E19-146EC3207E1F}">
      <tableStyleElement type="wholeTable" dxfId="26474"/>
    </tableStyle>
    <tableStyle name="Slicer Style 2" pivot="0" table="0" count="1" xr9:uid="{F9DCFB15-00BB-4614-B1A8-39D9BCD2F8ED}">
      <tableStyleElement type="wholeTable" dxfId="26473"/>
    </tableStyle>
    <tableStyle name="SlicerStyleDark1 2" pivot="0" table="0" count="10" xr9:uid="{0F8B69DB-331B-4003-879D-9F34E9F15484}">
      <tableStyleElement type="wholeTable" dxfId="26472"/>
      <tableStyleElement type="headerRow" dxfId="26471"/>
    </tableStyle>
    <tableStyle name="SlicerStyleDark1 3" pivot="0" table="0" count="10" xr9:uid="{B9331F89-CE1D-4664-A9B2-336D1883C6BE}">
      <tableStyleElement type="wholeTable" dxfId="26470"/>
      <tableStyleElement type="headerRow" dxfId="26469"/>
    </tableStyle>
    <tableStyle name="SlicerStyleDark1 4" pivot="0" table="0" count="10" xr9:uid="{A7EC6719-CA61-4149-B5AD-671BF99B695C}">
      <tableStyleElement type="wholeTable" dxfId="26468"/>
      <tableStyleElement type="headerRow" dxfId="26467"/>
    </tableStyle>
    <tableStyle name="SlicerStyleLight5 2" pivot="0" table="0" count="10" xr9:uid="{24BABD5B-F0B8-4871-9ED6-34000C921097}">
      <tableStyleElement type="wholeTable" dxfId="26466"/>
      <tableStyleElement type="headerRow" dxfId="26465"/>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4">
        <x14:slicerStyle name="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 Style 1"/>
        <x14:slicerStyle name="Slicer Style 2"/>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sales.xlsx]calculation_KPI!PivotTable3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calculation_KPI!$BP$1</c:f>
              <c:strCache>
                <c:ptCount val="1"/>
                <c:pt idx="0">
                  <c:v>Total</c:v>
                </c:pt>
              </c:strCache>
            </c:strRef>
          </c:tx>
          <c:spPr>
            <a:solidFill>
              <a:schemeClr val="accent1"/>
            </a:solidFill>
            <a:ln>
              <a:noFill/>
            </a:ln>
            <a:effectLst/>
          </c:spPr>
          <c:invertIfNegative val="0"/>
          <c:dLbls>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calculation_KPI!$BO$2:$BO$5</c:f>
              <c:strCache>
                <c:ptCount val="4"/>
                <c:pt idx="0">
                  <c:v>Unknown</c:v>
                </c:pt>
                <c:pt idx="1">
                  <c:v>Home Office</c:v>
                </c:pt>
                <c:pt idx="2">
                  <c:v>Corporate</c:v>
                </c:pt>
                <c:pt idx="3">
                  <c:v>Consumer</c:v>
                </c:pt>
              </c:strCache>
            </c:strRef>
          </c:cat>
          <c:val>
            <c:numRef>
              <c:f>calculation_KPI!$BP$2:$BP$5</c:f>
              <c:numCache>
                <c:formatCode>General</c:formatCode>
                <c:ptCount val="4"/>
                <c:pt idx="0">
                  <c:v>227906412.84584981</c:v>
                </c:pt>
                <c:pt idx="1">
                  <c:v>605441090.58864248</c:v>
                </c:pt>
                <c:pt idx="2">
                  <c:v>976659628.33951211</c:v>
                </c:pt>
                <c:pt idx="3">
                  <c:v>2433095334.0448055</c:v>
                </c:pt>
              </c:numCache>
            </c:numRef>
          </c:val>
          <c:extLst>
            <c:ext xmlns:c16="http://schemas.microsoft.com/office/drawing/2014/chart" uri="{C3380CC4-5D6E-409C-BE32-E72D297353CC}">
              <c16:uniqueId val="{00000002-5C33-4CE8-9CD9-859E3EE985EB}"/>
            </c:ext>
          </c:extLst>
        </c:ser>
        <c:dLbls>
          <c:dLblPos val="outEnd"/>
          <c:showLegendKey val="0"/>
          <c:showVal val="1"/>
          <c:showCatName val="0"/>
          <c:showSerName val="0"/>
          <c:showPercent val="0"/>
          <c:showBubbleSize val="0"/>
        </c:dLbls>
        <c:gapWidth val="85"/>
        <c:axId val="1475030144"/>
        <c:axId val="991656000"/>
      </c:barChart>
      <c:catAx>
        <c:axId val="147503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91656000"/>
        <c:crosses val="autoZero"/>
        <c:auto val="1"/>
        <c:lblAlgn val="ctr"/>
        <c:lblOffset val="100"/>
        <c:noMultiLvlLbl val="0"/>
      </c:catAx>
      <c:valAx>
        <c:axId val="991656000"/>
        <c:scaling>
          <c:orientation val="minMax"/>
        </c:scaling>
        <c:delete val="1"/>
        <c:axPos val="b"/>
        <c:numFmt formatCode="[&gt;=1000000]0,,\ &quot;Jt&quot;;[&gt;=1000]\ 0,\ &quot;Rb&quot;;0" sourceLinked="0"/>
        <c:majorTickMark val="none"/>
        <c:minorTickMark val="none"/>
        <c:tickLblPos val="nextTo"/>
        <c:crossAx val="147503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sales.xlsx]calculation_KPI!PivotTable8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1000000]0,,\ &quot;Jt&quot;;[&gt;=1000]\ 0,\ &quot;Rb&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0552057982867"/>
          <c:y val="3.7059761513055643E-2"/>
          <c:w val="0.70563750091710464"/>
          <c:h val="0.88670609110873944"/>
        </c:manualLayout>
      </c:layout>
      <c:barChart>
        <c:barDir val="bar"/>
        <c:grouping val="clustered"/>
        <c:varyColors val="0"/>
        <c:ser>
          <c:idx val="0"/>
          <c:order val="0"/>
          <c:tx>
            <c:strRef>
              <c:f>calculation_KPI!$BM$1</c:f>
              <c:strCache>
                <c:ptCount val="1"/>
                <c:pt idx="0">
                  <c:v>Total</c:v>
                </c:pt>
              </c:strCache>
            </c:strRef>
          </c:tx>
          <c:spPr>
            <a:solidFill>
              <a:schemeClr val="accent1"/>
            </a:solidFill>
            <a:ln>
              <a:noFill/>
            </a:ln>
            <a:effectLst/>
          </c:spPr>
          <c:invertIfNegative val="0"/>
          <c:dLbls>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calculation_KPI!$BL$2:$BL$6</c:f>
              <c:strCache>
                <c:ptCount val="5"/>
                <c:pt idx="0">
                  <c:v>Bali &amp; Nusa Tenggara</c:v>
                </c:pt>
                <c:pt idx="1">
                  <c:v>Sulawesi</c:v>
                </c:pt>
                <c:pt idx="2">
                  <c:v>Kalimantan</c:v>
                </c:pt>
                <c:pt idx="3">
                  <c:v>Sumatera </c:v>
                </c:pt>
                <c:pt idx="4">
                  <c:v>Jawa</c:v>
                </c:pt>
              </c:strCache>
            </c:strRef>
          </c:cat>
          <c:val>
            <c:numRef>
              <c:f>calculation_KPI!$BM$2:$BM$6</c:f>
              <c:numCache>
                <c:formatCode>0</c:formatCode>
                <c:ptCount val="5"/>
                <c:pt idx="0">
                  <c:v>264990634.26651976</c:v>
                </c:pt>
                <c:pt idx="1">
                  <c:v>371532409.36841244</c:v>
                </c:pt>
                <c:pt idx="2">
                  <c:v>598783201.37762058</c:v>
                </c:pt>
                <c:pt idx="3">
                  <c:v>1008706066.2163249</c:v>
                </c:pt>
                <c:pt idx="4">
                  <c:v>1999090154.5899336</c:v>
                </c:pt>
              </c:numCache>
            </c:numRef>
          </c:val>
          <c:extLst>
            <c:ext xmlns:c16="http://schemas.microsoft.com/office/drawing/2014/chart" uri="{C3380CC4-5D6E-409C-BE32-E72D297353CC}">
              <c16:uniqueId val="{00000002-7C11-4D4E-B27D-89F3D4E7D822}"/>
            </c:ext>
          </c:extLst>
        </c:ser>
        <c:dLbls>
          <c:dLblPos val="outEnd"/>
          <c:showLegendKey val="0"/>
          <c:showVal val="1"/>
          <c:showCatName val="0"/>
          <c:showSerName val="0"/>
          <c:showPercent val="0"/>
          <c:showBubbleSize val="0"/>
        </c:dLbls>
        <c:gapWidth val="85"/>
        <c:axId val="1475035712"/>
        <c:axId val="991656960"/>
      </c:barChart>
      <c:catAx>
        <c:axId val="1475035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91656960"/>
        <c:crosses val="autoZero"/>
        <c:auto val="1"/>
        <c:lblAlgn val="ctr"/>
        <c:lblOffset val="100"/>
        <c:noMultiLvlLbl val="0"/>
      </c:catAx>
      <c:valAx>
        <c:axId val="991656960"/>
        <c:scaling>
          <c:orientation val="minMax"/>
        </c:scaling>
        <c:delete val="1"/>
        <c:axPos val="b"/>
        <c:numFmt formatCode="[&gt;=1000000]0,,\ &quot;Jt&quot;;[&gt;=1000]\ 0,\ &quot;Rb&quot;;0" sourceLinked="0"/>
        <c:majorTickMark val="out"/>
        <c:minorTickMark val="none"/>
        <c:tickLblPos val="nextTo"/>
        <c:crossAx val="14750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sales.xlsx]calculation_KPI!PivotTable4</c:name>
    <c:fmtId val="5"/>
  </c:pivotSource>
  <c:chart>
    <c:autoTitleDeleted val="1"/>
    <c:pivotFmts>
      <c:pivotFmt>
        <c:idx val="0"/>
        <c:spPr>
          <a:solidFill>
            <a:schemeClr val="accent1"/>
          </a:solidFill>
          <a:ln>
            <a:noFill/>
          </a:ln>
          <a:effectLst/>
        </c:spPr>
        <c:marker>
          <c:symbol val="none"/>
        </c:marker>
        <c:dLbl>
          <c:idx val="0"/>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calculation_KPI!$BS$1</c:f>
              <c:strCache>
                <c:ptCount val="1"/>
                <c:pt idx="0">
                  <c:v>Total</c:v>
                </c:pt>
              </c:strCache>
            </c:strRef>
          </c:tx>
          <c:spPr>
            <a:solidFill>
              <a:schemeClr val="accent1"/>
            </a:solidFill>
            <a:ln>
              <a:noFill/>
            </a:ln>
            <a:effectLst/>
          </c:spPr>
          <c:invertIfNegative val="0"/>
          <c:dLbls>
            <c:numFmt formatCode="[&gt;=1000000000]0.0,,,\ &quot;M&quot;;[&gt;=1000000]0.0,,\ &quot;Jt&quot;;#,##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calculation_KPI!$BR$2:$BR$6</c:f>
              <c:strCache>
                <c:ptCount val="5"/>
                <c:pt idx="0">
                  <c:v>Tablet Advan Sketsa</c:v>
                </c:pt>
                <c:pt idx="1">
                  <c:v>Meja Makan Kayu Jati</c:v>
                </c:pt>
                <c:pt idx="2">
                  <c:v>Smartphone Polytron X</c:v>
                </c:pt>
                <c:pt idx="3">
                  <c:v>Sofa Minimalis Jepara</c:v>
                </c:pt>
                <c:pt idx="4">
                  <c:v>Laptop Axioo Mybook</c:v>
                </c:pt>
              </c:strCache>
            </c:strRef>
          </c:cat>
          <c:val>
            <c:numRef>
              <c:f>calculation_KPI!$BS$2:$BS$6</c:f>
              <c:numCache>
                <c:formatCode>General</c:formatCode>
                <c:ptCount val="5"/>
                <c:pt idx="0">
                  <c:v>285724166.66666669</c:v>
                </c:pt>
                <c:pt idx="1">
                  <c:v>325417952.54237288</c:v>
                </c:pt>
                <c:pt idx="2">
                  <c:v>336463354.54545456</c:v>
                </c:pt>
                <c:pt idx="3">
                  <c:v>594281649.99999988</c:v>
                </c:pt>
                <c:pt idx="4">
                  <c:v>626189534.375</c:v>
                </c:pt>
              </c:numCache>
            </c:numRef>
          </c:val>
          <c:extLst>
            <c:ext xmlns:c16="http://schemas.microsoft.com/office/drawing/2014/chart" uri="{C3380CC4-5D6E-409C-BE32-E72D297353CC}">
              <c16:uniqueId val="{00000002-2C3E-4E22-861B-06A0A2CF0F63}"/>
            </c:ext>
          </c:extLst>
        </c:ser>
        <c:dLbls>
          <c:dLblPos val="outEnd"/>
          <c:showLegendKey val="0"/>
          <c:showVal val="1"/>
          <c:showCatName val="0"/>
          <c:showSerName val="0"/>
          <c:showPercent val="0"/>
          <c:showBubbleSize val="0"/>
        </c:dLbls>
        <c:gapWidth val="85"/>
        <c:axId val="1413793696"/>
        <c:axId val="116164896"/>
      </c:barChart>
      <c:catAx>
        <c:axId val="141379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164896"/>
        <c:crosses val="autoZero"/>
        <c:auto val="1"/>
        <c:lblAlgn val="ctr"/>
        <c:lblOffset val="100"/>
        <c:noMultiLvlLbl val="0"/>
      </c:catAx>
      <c:valAx>
        <c:axId val="116164896"/>
        <c:scaling>
          <c:orientation val="minMax"/>
        </c:scaling>
        <c:delete val="1"/>
        <c:axPos val="b"/>
        <c:numFmt formatCode="General" sourceLinked="1"/>
        <c:majorTickMark val="none"/>
        <c:minorTickMark val="none"/>
        <c:tickLblPos val="nextTo"/>
        <c:crossAx val="141379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Previous Sales</c:v>
          </c:tx>
          <c:spPr>
            <a:ln w="28575" cap="rnd">
              <a:solidFill>
                <a:schemeClr val="accent2">
                  <a:lumMod val="60000"/>
                  <a:lumOff val="40000"/>
                  <a:alpha val="55000"/>
                </a:schemeClr>
              </a:solidFill>
              <a:round/>
            </a:ln>
            <a:effectLst/>
          </c:spPr>
          <c:marker>
            <c:symbol val="none"/>
          </c:marker>
          <c:cat>
            <c:numRef>
              <c:f>[0]!Chart_Axis</c:f>
              <c:numCache>
                <c:formatCode>0</c:formatCode>
                <c:ptCount val="4"/>
                <c:pt idx="0">
                  <c:v>2023</c:v>
                </c:pt>
                <c:pt idx="1">
                  <c:v>2024</c:v>
                </c:pt>
                <c:pt idx="2">
                  <c:v>2025</c:v>
                </c:pt>
                <c:pt idx="3">
                  <c:v>2026</c:v>
                </c:pt>
              </c:numCache>
            </c:numRef>
          </c:cat>
          <c:val>
            <c:numRef>
              <c:f>[0]!Chart_Previous</c:f>
              <c:numCache>
                <c:formatCode>0</c:formatCode>
                <c:ptCount val="4"/>
                <c:pt idx="0">
                  <c:v>#N/A</c:v>
                </c:pt>
                <c:pt idx="1">
                  <c:v>#N/A</c:v>
                </c:pt>
                <c:pt idx="2">
                  <c:v>#N/A</c:v>
                </c:pt>
                <c:pt idx="3">
                  <c:v>#N/A</c:v>
                </c:pt>
              </c:numCache>
            </c:numRef>
          </c:val>
          <c:smooth val="0"/>
          <c:extLst>
            <c:ext xmlns:c16="http://schemas.microsoft.com/office/drawing/2014/chart" uri="{C3380CC4-5D6E-409C-BE32-E72D297353CC}">
              <c16:uniqueId val="{00000000-70DD-4E1B-9ACD-A4AE4744C724}"/>
            </c:ext>
          </c:extLst>
        </c:ser>
        <c:ser>
          <c:idx val="0"/>
          <c:order val="1"/>
          <c:tx>
            <c:v>Current Sales</c:v>
          </c:tx>
          <c:spPr>
            <a:ln w="28575" cap="rnd">
              <a:solidFill>
                <a:schemeClr val="accent1"/>
              </a:solidFill>
              <a:round/>
            </a:ln>
            <a:effectLst/>
          </c:spPr>
          <c:marker>
            <c:symbol val="none"/>
          </c:marker>
          <c:cat>
            <c:numRef>
              <c:f>[0]!Chart_Axis</c:f>
              <c:numCache>
                <c:formatCode>0</c:formatCode>
                <c:ptCount val="4"/>
                <c:pt idx="0">
                  <c:v>2023</c:v>
                </c:pt>
                <c:pt idx="1">
                  <c:v>2024</c:v>
                </c:pt>
                <c:pt idx="2">
                  <c:v>2025</c:v>
                </c:pt>
                <c:pt idx="3">
                  <c:v>2026</c:v>
                </c:pt>
              </c:numCache>
            </c:numRef>
          </c:cat>
          <c:val>
            <c:numRef>
              <c:f>[0]!Chart_Current</c:f>
              <c:numCache>
                <c:formatCode>0</c:formatCode>
                <c:ptCount val="4"/>
                <c:pt idx="0">
                  <c:v>1236340025.6956933</c:v>
                </c:pt>
                <c:pt idx="1">
                  <c:v>1136595550.0323079</c:v>
                </c:pt>
                <c:pt idx="2">
                  <c:v>1110757795.4769125</c:v>
                </c:pt>
                <c:pt idx="3">
                  <c:v>759409094.61389697</c:v>
                </c:pt>
              </c:numCache>
            </c:numRef>
          </c:val>
          <c:smooth val="0"/>
          <c:extLst>
            <c:ext xmlns:c16="http://schemas.microsoft.com/office/drawing/2014/chart" uri="{C3380CC4-5D6E-409C-BE32-E72D297353CC}">
              <c16:uniqueId val="{00000001-70DD-4E1B-9ACD-A4AE4744C724}"/>
            </c:ext>
          </c:extLst>
        </c:ser>
        <c:dLbls>
          <c:showLegendKey val="0"/>
          <c:showVal val="0"/>
          <c:showCatName val="0"/>
          <c:showSerName val="0"/>
          <c:showPercent val="0"/>
          <c:showBubbleSize val="0"/>
        </c:dLbls>
        <c:smooth val="0"/>
        <c:axId val="580065584"/>
        <c:axId val="2079498304"/>
      </c:lineChart>
      <c:catAx>
        <c:axId val="580065584"/>
        <c:scaling>
          <c:orientation val="minMax"/>
        </c:scaling>
        <c:delete val="0"/>
        <c:axPos val="b"/>
        <c:numFmt formatCode="[=0]&quot;&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498304"/>
        <c:crosses val="autoZero"/>
        <c:auto val="0"/>
        <c:lblAlgn val="ctr"/>
        <c:lblOffset val="100"/>
        <c:noMultiLvlLbl val="0"/>
      </c:catAx>
      <c:valAx>
        <c:axId val="2079498304"/>
        <c:scaling>
          <c:orientation val="minMax"/>
        </c:scaling>
        <c:delete val="0"/>
        <c:axPos val="l"/>
        <c:numFmt formatCode="[&gt;=1000000000]0.0,,,\ &quot;M&quot;;[&gt;=1000000]0.0,,\ &quot;J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65584"/>
        <c:crosses val="autoZero"/>
        <c:crossBetween val="between"/>
      </c:valAx>
      <c:spPr>
        <a:noFill/>
        <a:ln>
          <a:noFill/>
        </a:ln>
        <a:effectLst/>
      </c:spPr>
    </c:plotArea>
    <c:legend>
      <c:legendPos val="t"/>
      <c:layout>
        <c:manualLayout>
          <c:xMode val="edge"/>
          <c:yMode val="edge"/>
          <c:x val="1.2101986690824991E-2"/>
          <c:y val="2.7524387257292338E-2"/>
          <c:w val="0.49522475517722042"/>
          <c:h val="7.62198830209696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emf"/><Relationship Id="rId18" Type="http://schemas.openxmlformats.org/officeDocument/2006/relationships/image" Target="../media/image15.png"/><Relationship Id="rId3" Type="http://schemas.openxmlformats.org/officeDocument/2006/relationships/chart" Target="../charts/chart1.xml"/><Relationship Id="rId21" Type="http://schemas.openxmlformats.org/officeDocument/2006/relationships/image" Target="../media/image18.sv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image" Target="../media/image14.emf"/><Relationship Id="rId20"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image" Target="../media/image13.emf"/><Relationship Id="rId23" Type="http://schemas.openxmlformats.org/officeDocument/2006/relationships/image" Target="../media/image20.svg"/><Relationship Id="rId10" Type="http://schemas.openxmlformats.org/officeDocument/2006/relationships/image" Target="../media/image8.svg"/><Relationship Id="rId19" Type="http://schemas.openxmlformats.org/officeDocument/2006/relationships/image" Target="../media/image16.sv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emf"/><Relationship Id="rId22"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4"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editAs="oneCell">
    <xdr:from>
      <xdr:col>24</xdr:col>
      <xdr:colOff>679639</xdr:colOff>
      <xdr:row>6</xdr:row>
      <xdr:rowOff>124372</xdr:rowOff>
    </xdr:from>
    <xdr:to>
      <xdr:col>27</xdr:col>
      <xdr:colOff>284490</xdr:colOff>
      <xdr:row>14</xdr:row>
      <xdr:rowOff>125662</xdr:rowOff>
    </xdr:to>
    <mc:AlternateContent xmlns:mc="http://schemas.openxmlformats.org/markup-compatibility/2006">
      <mc:Choice xmlns:a14="http://schemas.microsoft.com/office/drawing/2010/main" Requires="a14">
        <xdr:graphicFrame macro="">
          <xdr:nvGraphicFramePr>
            <xdr:cNvPr id="26" name="month">
              <a:extLst>
                <a:ext uri="{FF2B5EF4-FFF2-40B4-BE49-F238E27FC236}">
                  <a16:creationId xmlns:a16="http://schemas.microsoft.com/office/drawing/2014/main" id="{16473A22-F745-4FED-96FE-C011DBC8AA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135280" y="1247834"/>
              <a:ext cx="1843633" cy="14992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886811</xdr:colOff>
      <xdr:row>6</xdr:row>
      <xdr:rowOff>108839</xdr:rowOff>
    </xdr:from>
    <xdr:to>
      <xdr:col>24</xdr:col>
      <xdr:colOff>537008</xdr:colOff>
      <xdr:row>14</xdr:row>
      <xdr:rowOff>120026</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C20D49C3-0758-4F79-AC9B-8612CBE074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974760" y="1232301"/>
              <a:ext cx="1017889" cy="150913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828489</xdr:colOff>
      <xdr:row>14</xdr:row>
      <xdr:rowOff>168928</xdr:rowOff>
    </xdr:from>
    <xdr:to>
      <xdr:col>24</xdr:col>
      <xdr:colOff>671418</xdr:colOff>
      <xdr:row>24</xdr:row>
      <xdr:rowOff>121402</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DB27A034-B19C-4B91-B614-74BAC0FE1E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916438" y="2790338"/>
              <a:ext cx="1210621" cy="18249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797887</xdr:colOff>
      <xdr:row>14</xdr:row>
      <xdr:rowOff>175553</xdr:rowOff>
    </xdr:from>
    <xdr:to>
      <xdr:col>26</xdr:col>
      <xdr:colOff>339870</xdr:colOff>
      <xdr:row>24</xdr:row>
      <xdr:rowOff>128027</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FB3BA556-3165-4898-845D-BDDE482812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253528" y="2796963"/>
              <a:ext cx="1219034" cy="18249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392189</xdr:colOff>
      <xdr:row>14</xdr:row>
      <xdr:rowOff>152243</xdr:rowOff>
    </xdr:from>
    <xdr:to>
      <xdr:col>27</xdr:col>
      <xdr:colOff>849971</xdr:colOff>
      <xdr:row>24</xdr:row>
      <xdr:rowOff>130773</xdr:rowOff>
    </xdr:to>
    <mc:AlternateContent xmlns:mc="http://schemas.openxmlformats.org/markup-compatibility/2006">
      <mc:Choice xmlns:a14="http://schemas.microsoft.com/office/drawing/2010/main" Requires="a14">
        <xdr:graphicFrame macro="">
          <xdr:nvGraphicFramePr>
            <xdr:cNvPr id="30" name="segment 1">
              <a:extLst>
                <a:ext uri="{FF2B5EF4-FFF2-40B4-BE49-F238E27FC236}">
                  <a16:creationId xmlns:a16="http://schemas.microsoft.com/office/drawing/2014/main" id="{92938412-EF9F-4072-876F-D8FC3BF116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6524881" y="2773653"/>
              <a:ext cx="1019513" cy="18509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17</xdr:col>
      <xdr:colOff>393700</xdr:colOff>
      <xdr:row>27</xdr:row>
      <xdr:rowOff>159718</xdr:rowOff>
    </xdr:to>
    <xdr:pic>
      <xdr:nvPicPr>
        <xdr:cNvPr id="3" name="Graphic 2">
          <a:extLst>
            <a:ext uri="{FF2B5EF4-FFF2-40B4-BE49-F238E27FC236}">
              <a16:creationId xmlns:a16="http://schemas.microsoft.com/office/drawing/2014/main" id="{FC4F6BF4-D1D8-56D4-34EB-2A106CB5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0"/>
          <a:ext cx="10752537" cy="5181991"/>
        </a:xfrm>
        <a:prstGeom prst="rect">
          <a:avLst/>
        </a:prstGeom>
      </xdr:spPr>
    </xdr:pic>
    <xdr:clientData/>
  </xdr:twoCellAnchor>
  <xdr:twoCellAnchor editAs="oneCell">
    <xdr:from>
      <xdr:col>0</xdr:col>
      <xdr:colOff>230772</xdr:colOff>
      <xdr:row>5</xdr:row>
      <xdr:rowOff>44451</xdr:rowOff>
    </xdr:from>
    <xdr:to>
      <xdr:col>2</xdr:col>
      <xdr:colOff>90748</xdr:colOff>
      <xdr:row>9</xdr:row>
      <xdr:rowOff>120651</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F475CF1C-70DD-42E4-9D47-856660F0A6A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0772" y="965201"/>
              <a:ext cx="1079176" cy="8128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231148</xdr:colOff>
      <xdr:row>11</xdr:row>
      <xdr:rowOff>6351</xdr:rowOff>
    </xdr:from>
    <xdr:to>
      <xdr:col>2</xdr:col>
      <xdr:colOff>90373</xdr:colOff>
      <xdr:row>19</xdr:row>
      <xdr:rowOff>153151</xdr:rowOff>
    </xdr:to>
    <mc:AlternateContent xmlns:mc="http://schemas.openxmlformats.org/markup-compatibility/2006" xmlns:a14="http://schemas.microsoft.com/office/drawing/2010/main">
      <mc:Choice Requires="a14">
        <xdr:graphicFrame macro="">
          <xdr:nvGraphicFramePr>
            <xdr:cNvPr id="59" name="month 1">
              <a:extLst>
                <a:ext uri="{FF2B5EF4-FFF2-40B4-BE49-F238E27FC236}">
                  <a16:creationId xmlns:a16="http://schemas.microsoft.com/office/drawing/2014/main" id="{9CAA55A3-FF8D-42F1-AC56-EF591A511C9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1148" y="2032001"/>
              <a:ext cx="1078425" cy="16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63500</xdr:colOff>
      <xdr:row>11</xdr:row>
      <xdr:rowOff>95250</xdr:rowOff>
    </xdr:from>
    <xdr:to>
      <xdr:col>13</xdr:col>
      <xdr:colOff>177799</xdr:colOff>
      <xdr:row>18</xdr:row>
      <xdr:rowOff>95250</xdr:rowOff>
    </xdr:to>
    <xdr:graphicFrame macro="">
      <xdr:nvGraphicFramePr>
        <xdr:cNvPr id="62" name="Chart 61">
          <a:extLst>
            <a:ext uri="{FF2B5EF4-FFF2-40B4-BE49-F238E27FC236}">
              <a16:creationId xmlns:a16="http://schemas.microsoft.com/office/drawing/2014/main" id="{1FBE8262-57C3-4CD0-A3AA-EBEF7CDEC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73959</xdr:colOff>
      <xdr:row>20</xdr:row>
      <xdr:rowOff>101226</xdr:rowOff>
    </xdr:from>
    <xdr:to>
      <xdr:col>13</xdr:col>
      <xdr:colOff>186018</xdr:colOff>
      <xdr:row>27</xdr:row>
      <xdr:rowOff>108697</xdr:rowOff>
    </xdr:to>
    <xdr:graphicFrame macro="">
      <xdr:nvGraphicFramePr>
        <xdr:cNvPr id="64" name="Chart 63">
          <a:extLst>
            <a:ext uri="{FF2B5EF4-FFF2-40B4-BE49-F238E27FC236}">
              <a16:creationId xmlns:a16="http://schemas.microsoft.com/office/drawing/2014/main" id="{BFF7B8BD-1661-4CD6-B168-0C86980D8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577851</xdr:colOff>
      <xdr:row>0</xdr:row>
      <xdr:rowOff>123826</xdr:rowOff>
    </xdr:from>
    <xdr:to>
      <xdr:col>11</xdr:col>
      <xdr:colOff>311150</xdr:colOff>
      <xdr:row>3</xdr:row>
      <xdr:rowOff>123826</xdr:rowOff>
    </xdr:to>
    <mc:AlternateContent xmlns:mc="http://schemas.openxmlformats.org/markup-compatibility/2006" xmlns:a14="http://schemas.microsoft.com/office/drawing/2010/main">
      <mc:Choice Requires="a14">
        <xdr:graphicFrame macro="">
          <xdr:nvGraphicFramePr>
            <xdr:cNvPr id="65" name="category">
              <a:extLst>
                <a:ext uri="{FF2B5EF4-FFF2-40B4-BE49-F238E27FC236}">
                  <a16:creationId xmlns:a16="http://schemas.microsoft.com/office/drawing/2014/main" id="{9C4E159F-5113-43CD-A160-4888EAA106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16251" y="123826"/>
              <a:ext cx="4000499" cy="5524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419100</xdr:colOff>
      <xdr:row>0</xdr:row>
      <xdr:rowOff>114301</xdr:rowOff>
    </xdr:from>
    <xdr:to>
      <xdr:col>17</xdr:col>
      <xdr:colOff>107950</xdr:colOff>
      <xdr:row>3</xdr:row>
      <xdr:rowOff>133351</xdr:rowOff>
    </xdr:to>
    <mc:AlternateContent xmlns:mc="http://schemas.openxmlformats.org/markup-compatibility/2006" xmlns:a14="http://schemas.microsoft.com/office/drawing/2010/main">
      <mc:Choice Requires="a14">
        <xdr:graphicFrame macro="">
          <xdr:nvGraphicFramePr>
            <xdr:cNvPr id="66" name="segment">
              <a:extLst>
                <a:ext uri="{FF2B5EF4-FFF2-40B4-BE49-F238E27FC236}">
                  <a16:creationId xmlns:a16="http://schemas.microsoft.com/office/drawing/2014/main" id="{D24B2DC8-8695-4849-8766-E27CA4B3413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124700" y="114301"/>
              <a:ext cx="3346450" cy="571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230360</xdr:colOff>
      <xdr:row>19</xdr:row>
      <xdr:rowOff>116638</xdr:rowOff>
    </xdr:from>
    <xdr:to>
      <xdr:col>2</xdr:col>
      <xdr:colOff>91160</xdr:colOff>
      <xdr:row>27</xdr:row>
      <xdr:rowOff>69850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3958818-44A5-46AA-A2EB-C44AA09B64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0360" y="3615488"/>
              <a:ext cx="1080000" cy="14264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21708</xdr:colOff>
      <xdr:row>4</xdr:row>
      <xdr:rowOff>146050</xdr:rowOff>
    </xdr:from>
    <xdr:to>
      <xdr:col>9</xdr:col>
      <xdr:colOff>256658</xdr:colOff>
      <xdr:row>6</xdr:row>
      <xdr:rowOff>31750</xdr:rowOff>
    </xdr:to>
    <xdr:sp macro="" textlink="">
      <xdr:nvSpPr>
        <xdr:cNvPr id="4" name="TextBox 3">
          <a:extLst>
            <a:ext uri="{FF2B5EF4-FFF2-40B4-BE49-F238E27FC236}">
              <a16:creationId xmlns:a16="http://schemas.microsoft.com/office/drawing/2014/main" id="{3C32230B-16E0-F647-E8DF-3F19DBF3748F}"/>
            </a:ext>
          </a:extLst>
        </xdr:cNvPr>
        <xdr:cNvSpPr txBox="1"/>
      </xdr:nvSpPr>
      <xdr:spPr>
        <a:xfrm>
          <a:off x="4884614" y="884170"/>
          <a:ext cx="842813" cy="25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900">
              <a:solidFill>
                <a:schemeClr val="bg2">
                  <a:lumMod val="50000"/>
                </a:schemeClr>
              </a:solidFill>
            </a:rPr>
            <a:t>Total Profit</a:t>
          </a:r>
        </a:p>
        <a:p>
          <a:endParaRPr lang="en-ID" sz="1100"/>
        </a:p>
      </xdr:txBody>
    </xdr:sp>
    <xdr:clientData/>
  </xdr:twoCellAnchor>
  <xdr:twoCellAnchor>
    <xdr:from>
      <xdr:col>8</xdr:col>
      <xdr:colOff>28057</xdr:colOff>
      <xdr:row>6</xdr:row>
      <xdr:rowOff>42865</xdr:rowOff>
    </xdr:from>
    <xdr:to>
      <xdr:col>10</xdr:col>
      <xdr:colOff>268992</xdr:colOff>
      <xdr:row>8</xdr:row>
      <xdr:rowOff>4764</xdr:rowOff>
    </xdr:to>
    <xdr:sp macro="" textlink="calculation_KPI!R7">
      <xdr:nvSpPr>
        <xdr:cNvPr id="6" name="TextBox 5">
          <a:extLst>
            <a:ext uri="{FF2B5EF4-FFF2-40B4-BE49-F238E27FC236}">
              <a16:creationId xmlns:a16="http://schemas.microsoft.com/office/drawing/2014/main" id="{2C5A78C5-59AF-4162-A92F-1F23DCAD3873}"/>
            </a:ext>
          </a:extLst>
        </xdr:cNvPr>
        <xdr:cNvSpPr txBox="1"/>
      </xdr:nvSpPr>
      <xdr:spPr>
        <a:xfrm>
          <a:off x="4896390" y="1154115"/>
          <a:ext cx="1458019" cy="332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87DE9B-2A55-4870-B4C5-C8959D187B6D}" type="TxLink">
            <a:rPr lang="en-US" sz="2000" b="1" i="0" u="none" strike="noStrike">
              <a:solidFill>
                <a:srgbClr val="000000"/>
              </a:solidFill>
              <a:latin typeface="Calibri"/>
              <a:ea typeface="Calibri"/>
              <a:cs typeface="Calibri"/>
            </a:rPr>
            <a:pPr algn="l"/>
            <a:t>Rp 2.2 M</a:t>
          </a:fld>
          <a:endParaRPr lang="en-ID" sz="2000" b="1">
            <a:solidFill>
              <a:schemeClr val="tx1"/>
            </a:solidFill>
          </a:endParaRPr>
        </a:p>
      </xdr:txBody>
    </xdr:sp>
    <xdr:clientData/>
  </xdr:twoCellAnchor>
  <xdr:twoCellAnchor editAs="oneCell">
    <xdr:from>
      <xdr:col>12</xdr:col>
      <xdr:colOff>368300</xdr:colOff>
      <xdr:row>4</xdr:row>
      <xdr:rowOff>146050</xdr:rowOff>
    </xdr:from>
    <xdr:to>
      <xdr:col>13</xdr:col>
      <xdr:colOff>118700</xdr:colOff>
      <xdr:row>6</xdr:row>
      <xdr:rowOff>137750</xdr:rowOff>
    </xdr:to>
    <xdr:pic>
      <xdr:nvPicPr>
        <xdr:cNvPr id="8" name="Graphic 7" descr="Bar graph with upward trend with solid fill">
          <a:extLst>
            <a:ext uri="{FF2B5EF4-FFF2-40B4-BE49-F238E27FC236}">
              <a16:creationId xmlns:a16="http://schemas.microsoft.com/office/drawing/2014/main" id="{604F981B-904D-4C2B-6FE6-71AB1434D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83500" y="882650"/>
          <a:ext cx="360000" cy="360000"/>
        </a:xfrm>
        <a:prstGeom prst="rect">
          <a:avLst/>
        </a:prstGeom>
      </xdr:spPr>
    </xdr:pic>
    <xdr:clientData/>
  </xdr:twoCellAnchor>
  <xdr:twoCellAnchor editAs="oneCell">
    <xdr:from>
      <xdr:col>4</xdr:col>
      <xdr:colOff>207150</xdr:colOff>
      <xdr:row>4</xdr:row>
      <xdr:rowOff>150000</xdr:rowOff>
    </xdr:from>
    <xdr:to>
      <xdr:col>4</xdr:col>
      <xdr:colOff>567150</xdr:colOff>
      <xdr:row>6</xdr:row>
      <xdr:rowOff>141700</xdr:rowOff>
    </xdr:to>
    <xdr:pic>
      <xdr:nvPicPr>
        <xdr:cNvPr id="10" name="Graphic 9" descr="Money with solid fill">
          <a:extLst>
            <a:ext uri="{FF2B5EF4-FFF2-40B4-BE49-F238E27FC236}">
              <a16:creationId xmlns:a16="http://schemas.microsoft.com/office/drawing/2014/main" id="{5626ABE6-1819-C57D-4C12-FDB3320D8D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5550" y="886600"/>
          <a:ext cx="360000" cy="360000"/>
        </a:xfrm>
        <a:prstGeom prst="rect">
          <a:avLst/>
        </a:prstGeom>
      </xdr:spPr>
    </xdr:pic>
    <xdr:clientData/>
  </xdr:twoCellAnchor>
  <xdr:twoCellAnchor editAs="oneCell">
    <xdr:from>
      <xdr:col>9</xdr:col>
      <xdr:colOff>541300</xdr:colOff>
      <xdr:row>4</xdr:row>
      <xdr:rowOff>147600</xdr:rowOff>
    </xdr:from>
    <xdr:to>
      <xdr:col>10</xdr:col>
      <xdr:colOff>292100</xdr:colOff>
      <xdr:row>6</xdr:row>
      <xdr:rowOff>139700</xdr:rowOff>
    </xdr:to>
    <xdr:pic>
      <xdr:nvPicPr>
        <xdr:cNvPr id="12" name="Graphic 11" descr="Piggy Bank with solid fill">
          <a:extLst>
            <a:ext uri="{FF2B5EF4-FFF2-40B4-BE49-F238E27FC236}">
              <a16:creationId xmlns:a16="http://schemas.microsoft.com/office/drawing/2014/main" id="{7B19C683-769F-14D5-0061-BB0FCA1C3E8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7700" y="884200"/>
          <a:ext cx="360400" cy="360400"/>
        </a:xfrm>
        <a:prstGeom prst="rect">
          <a:avLst/>
        </a:prstGeom>
      </xdr:spPr>
    </xdr:pic>
    <xdr:clientData/>
  </xdr:twoCellAnchor>
  <xdr:twoCellAnchor editAs="oneCell">
    <xdr:from>
      <xdr:col>7</xdr:col>
      <xdr:colOff>69000</xdr:colOff>
      <xdr:row>4</xdr:row>
      <xdr:rowOff>145200</xdr:rowOff>
    </xdr:from>
    <xdr:to>
      <xdr:col>7</xdr:col>
      <xdr:colOff>429000</xdr:colOff>
      <xdr:row>6</xdr:row>
      <xdr:rowOff>136900</xdr:rowOff>
    </xdr:to>
    <xdr:pic>
      <xdr:nvPicPr>
        <xdr:cNvPr id="14" name="Graphic 13" descr="Shopping cart with solid fill">
          <a:extLst>
            <a:ext uri="{FF2B5EF4-FFF2-40B4-BE49-F238E27FC236}">
              <a16:creationId xmlns:a16="http://schemas.microsoft.com/office/drawing/2014/main" id="{7FF8B911-A479-9522-009F-3CE74753E8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36200" y="881800"/>
          <a:ext cx="360000" cy="360000"/>
        </a:xfrm>
        <a:prstGeom prst="rect">
          <a:avLst/>
        </a:prstGeom>
      </xdr:spPr>
    </xdr:pic>
    <xdr:clientData/>
  </xdr:twoCellAnchor>
  <xdr:twoCellAnchor>
    <xdr:from>
      <xdr:col>5</xdr:col>
      <xdr:colOff>171287</xdr:colOff>
      <xdr:row>4</xdr:row>
      <xdr:rowOff>144528</xdr:rowOff>
    </xdr:from>
    <xdr:to>
      <xdr:col>6</xdr:col>
      <xdr:colOff>406237</xdr:colOff>
      <xdr:row>6</xdr:row>
      <xdr:rowOff>30228</xdr:rowOff>
    </xdr:to>
    <xdr:sp macro="" textlink="">
      <xdr:nvSpPr>
        <xdr:cNvPr id="24" name="TextBox 23">
          <a:extLst>
            <a:ext uri="{FF2B5EF4-FFF2-40B4-BE49-F238E27FC236}">
              <a16:creationId xmlns:a16="http://schemas.microsoft.com/office/drawing/2014/main" id="{A7524D0B-0321-4460-9129-114FB6BD0D19}"/>
            </a:ext>
          </a:extLst>
        </xdr:cNvPr>
        <xdr:cNvSpPr txBox="1"/>
      </xdr:nvSpPr>
      <xdr:spPr>
        <a:xfrm>
          <a:off x="3210603" y="882648"/>
          <a:ext cx="842813" cy="25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900">
              <a:solidFill>
                <a:schemeClr val="bg2">
                  <a:lumMod val="50000"/>
                </a:schemeClr>
              </a:solidFill>
            </a:rPr>
            <a:t>Total Orders</a:t>
          </a:r>
        </a:p>
        <a:p>
          <a:endParaRPr lang="en-ID" sz="1100"/>
        </a:p>
      </xdr:txBody>
    </xdr:sp>
    <xdr:clientData/>
  </xdr:twoCellAnchor>
  <xdr:twoCellAnchor>
    <xdr:from>
      <xdr:col>5</xdr:col>
      <xdr:colOff>177637</xdr:colOff>
      <xdr:row>6</xdr:row>
      <xdr:rowOff>45754</xdr:rowOff>
    </xdr:from>
    <xdr:to>
      <xdr:col>7</xdr:col>
      <xdr:colOff>141273</xdr:colOff>
      <xdr:row>8</xdr:row>
      <xdr:rowOff>7653</xdr:rowOff>
    </xdr:to>
    <xdr:sp macro="" textlink="calculation_KPI!V6">
      <xdr:nvSpPr>
        <xdr:cNvPr id="25" name="TextBox 24">
          <a:extLst>
            <a:ext uri="{FF2B5EF4-FFF2-40B4-BE49-F238E27FC236}">
              <a16:creationId xmlns:a16="http://schemas.microsoft.com/office/drawing/2014/main" id="{3CA4B9C0-128B-4208-97F1-6EF699FDEFE9}"/>
            </a:ext>
          </a:extLst>
        </xdr:cNvPr>
        <xdr:cNvSpPr txBox="1"/>
      </xdr:nvSpPr>
      <xdr:spPr>
        <a:xfrm>
          <a:off x="3214594" y="1163906"/>
          <a:ext cx="1178418" cy="33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A92C9B9-B10F-4CED-A1D5-99B8EC256584}" type="TxLink">
            <a:rPr lang="en-US" sz="2000" b="1" i="0" u="none" strike="noStrike">
              <a:solidFill>
                <a:srgbClr val="000000"/>
              </a:solidFill>
              <a:latin typeface="Calibri"/>
              <a:ea typeface="Calibri"/>
              <a:cs typeface="Calibri"/>
            </a:rPr>
            <a:pPr algn="l"/>
            <a:t>1769</a:t>
          </a:fld>
          <a:endParaRPr lang="en-ID" sz="2000" b="1">
            <a:solidFill>
              <a:schemeClr val="tx1"/>
            </a:solidFill>
          </a:endParaRPr>
        </a:p>
      </xdr:txBody>
    </xdr:sp>
    <xdr:clientData/>
  </xdr:twoCellAnchor>
  <xdr:twoCellAnchor>
    <xdr:from>
      <xdr:col>2</xdr:col>
      <xdr:colOff>323688</xdr:colOff>
      <xdr:row>4</xdr:row>
      <xdr:rowOff>139534</xdr:rowOff>
    </xdr:from>
    <xdr:to>
      <xdr:col>3</xdr:col>
      <xdr:colOff>558637</xdr:colOff>
      <xdr:row>6</xdr:row>
      <xdr:rowOff>25234</xdr:rowOff>
    </xdr:to>
    <xdr:sp macro="" textlink="">
      <xdr:nvSpPr>
        <xdr:cNvPr id="26" name="TextBox 25">
          <a:extLst>
            <a:ext uri="{FF2B5EF4-FFF2-40B4-BE49-F238E27FC236}">
              <a16:creationId xmlns:a16="http://schemas.microsoft.com/office/drawing/2014/main" id="{97A98379-E96D-4F7C-855A-335E08A34E09}"/>
            </a:ext>
          </a:extLst>
        </xdr:cNvPr>
        <xdr:cNvSpPr txBox="1"/>
      </xdr:nvSpPr>
      <xdr:spPr>
        <a:xfrm>
          <a:off x="1539414" y="877654"/>
          <a:ext cx="842813" cy="25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900">
              <a:solidFill>
                <a:schemeClr val="bg2">
                  <a:lumMod val="50000"/>
                </a:schemeClr>
              </a:solidFill>
            </a:rPr>
            <a:t>Total </a:t>
          </a:r>
          <a:r>
            <a:rPr lang="en-ID" sz="900">
              <a:solidFill>
                <a:schemeClr val="bg2">
                  <a:lumMod val="50000"/>
                </a:schemeClr>
              </a:solidFill>
            </a:rPr>
            <a:t>S</a:t>
          </a:r>
          <a:r>
            <a:rPr lang="id-ID" sz="900">
              <a:solidFill>
                <a:schemeClr val="bg2">
                  <a:lumMod val="50000"/>
                </a:schemeClr>
              </a:solidFill>
            </a:rPr>
            <a:t>ales</a:t>
          </a:r>
        </a:p>
        <a:p>
          <a:endParaRPr lang="en-ID" sz="1100"/>
        </a:p>
      </xdr:txBody>
    </xdr:sp>
    <xdr:clientData/>
  </xdr:twoCellAnchor>
  <xdr:twoCellAnchor>
    <xdr:from>
      <xdr:col>2</xdr:col>
      <xdr:colOff>330038</xdr:colOff>
      <xdr:row>6</xdr:row>
      <xdr:rowOff>49578</xdr:rowOff>
    </xdr:from>
    <xdr:to>
      <xdr:col>4</xdr:col>
      <xdr:colOff>495300</xdr:colOff>
      <xdr:row>8</xdr:row>
      <xdr:rowOff>11477</xdr:rowOff>
    </xdr:to>
    <xdr:sp macro="" textlink="calculation_KPI!P7">
      <xdr:nvSpPr>
        <xdr:cNvPr id="27" name="TextBox 26">
          <a:extLst>
            <a:ext uri="{FF2B5EF4-FFF2-40B4-BE49-F238E27FC236}">
              <a16:creationId xmlns:a16="http://schemas.microsoft.com/office/drawing/2014/main" id="{EA90D275-675C-4E07-8729-899743A8C0E2}"/>
            </a:ext>
          </a:extLst>
        </xdr:cNvPr>
        <xdr:cNvSpPr txBox="1"/>
      </xdr:nvSpPr>
      <xdr:spPr>
        <a:xfrm>
          <a:off x="1547121" y="1160828"/>
          <a:ext cx="1382346" cy="332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2D266D7-453E-4A99-A285-DE4EF111032F}" type="TxLink">
            <a:rPr lang="en-US" sz="2000" b="1" i="0" u="none" strike="noStrike">
              <a:solidFill>
                <a:srgbClr val="000000"/>
              </a:solidFill>
              <a:latin typeface="Calibri"/>
              <a:ea typeface="Calibri"/>
              <a:cs typeface="Calibri"/>
            </a:rPr>
            <a:pPr algn="l"/>
            <a:t>Rp 4.2 M</a:t>
          </a:fld>
          <a:endParaRPr lang="en-ID" sz="2000" b="1">
            <a:solidFill>
              <a:schemeClr val="tx1"/>
            </a:solidFill>
          </a:endParaRPr>
        </a:p>
      </xdr:txBody>
    </xdr:sp>
    <xdr:clientData/>
  </xdr:twoCellAnchor>
  <xdr:twoCellAnchor>
    <xdr:from>
      <xdr:col>10</xdr:col>
      <xdr:colOff>476085</xdr:colOff>
      <xdr:row>4</xdr:row>
      <xdr:rowOff>139965</xdr:rowOff>
    </xdr:from>
    <xdr:to>
      <xdr:col>12</xdr:col>
      <xdr:colOff>303932</xdr:colOff>
      <xdr:row>6</xdr:row>
      <xdr:rowOff>25665</xdr:rowOff>
    </xdr:to>
    <xdr:sp macro="" textlink="">
      <xdr:nvSpPr>
        <xdr:cNvPr id="28" name="TextBox 27">
          <a:extLst>
            <a:ext uri="{FF2B5EF4-FFF2-40B4-BE49-F238E27FC236}">
              <a16:creationId xmlns:a16="http://schemas.microsoft.com/office/drawing/2014/main" id="{D2FA2CD3-3EE6-A0B7-F5ED-99BB867ECFBF}"/>
            </a:ext>
          </a:extLst>
        </xdr:cNvPr>
        <xdr:cNvSpPr txBox="1"/>
      </xdr:nvSpPr>
      <xdr:spPr>
        <a:xfrm>
          <a:off x="6554717" y="878085"/>
          <a:ext cx="1043574" cy="25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900">
              <a:solidFill>
                <a:schemeClr val="bg2">
                  <a:lumMod val="50000"/>
                </a:schemeClr>
              </a:solidFill>
            </a:rPr>
            <a:t>Profit</a:t>
          </a:r>
          <a:r>
            <a:rPr lang="id-ID" sz="900" baseline="0">
              <a:solidFill>
                <a:schemeClr val="bg2">
                  <a:lumMod val="50000"/>
                </a:schemeClr>
              </a:solidFill>
            </a:rPr>
            <a:t> Margin %</a:t>
          </a:r>
          <a:endParaRPr lang="id-ID" sz="900">
            <a:solidFill>
              <a:schemeClr val="bg2">
                <a:lumMod val="50000"/>
              </a:schemeClr>
            </a:solidFill>
          </a:endParaRPr>
        </a:p>
      </xdr:txBody>
    </xdr:sp>
    <xdr:clientData/>
  </xdr:twoCellAnchor>
  <xdr:twoCellAnchor>
    <xdr:from>
      <xdr:col>10</xdr:col>
      <xdr:colOff>478025</xdr:colOff>
      <xdr:row>6</xdr:row>
      <xdr:rowOff>27958</xdr:rowOff>
    </xdr:from>
    <xdr:to>
      <xdr:col>12</xdr:col>
      <xdr:colOff>441661</xdr:colOff>
      <xdr:row>7</xdr:row>
      <xdr:rowOff>175066</xdr:rowOff>
    </xdr:to>
    <xdr:sp macro="" textlink="calculation_KPI!T6">
      <xdr:nvSpPr>
        <xdr:cNvPr id="29" name="TextBox 28">
          <a:extLst>
            <a:ext uri="{FF2B5EF4-FFF2-40B4-BE49-F238E27FC236}">
              <a16:creationId xmlns:a16="http://schemas.microsoft.com/office/drawing/2014/main" id="{6A673997-DF9F-196C-AB2C-7C47C3DDBB80}"/>
            </a:ext>
          </a:extLst>
        </xdr:cNvPr>
        <xdr:cNvSpPr txBox="1"/>
      </xdr:nvSpPr>
      <xdr:spPr>
        <a:xfrm>
          <a:off x="6563442" y="1139208"/>
          <a:ext cx="1180719" cy="332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193CC95-8464-4DB7-BD79-1A2802CB6AA9}" type="TxLink">
            <a:rPr lang="en-US" sz="2000" b="1" i="0" u="none" strike="noStrike">
              <a:solidFill>
                <a:srgbClr val="000000"/>
              </a:solidFill>
              <a:latin typeface="Calibri"/>
              <a:ea typeface="Calibri"/>
              <a:cs typeface="Calibri"/>
            </a:rPr>
            <a:pPr algn="l"/>
            <a:t>51%</a:t>
          </a:fld>
          <a:endParaRPr lang="en-ID" sz="20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423333</xdr:colOff>
          <xdr:row>8</xdr:row>
          <xdr:rowOff>75365</xdr:rowOff>
        </xdr:from>
        <xdr:to>
          <xdr:col>4</xdr:col>
          <xdr:colOff>143733</xdr:colOff>
          <xdr:row>8</xdr:row>
          <xdr:rowOff>183891</xdr:rowOff>
        </xdr:to>
        <xdr:pic>
          <xdr:nvPicPr>
            <xdr:cNvPr id="46" name="Picture 45">
              <a:extLst>
                <a:ext uri="{FF2B5EF4-FFF2-40B4-BE49-F238E27FC236}">
                  <a16:creationId xmlns:a16="http://schemas.microsoft.com/office/drawing/2014/main" id="{BA9C02AF-EFE4-DC46-8217-22019C8DAD31}"/>
                </a:ext>
              </a:extLst>
            </xdr:cNvPr>
            <xdr:cNvPicPr>
              <a:picLocks noChangeAspect="1" noChangeArrowheads="1"/>
              <a:extLst>
                <a:ext uri="{84589F7E-364E-4C9E-8A38-B11213B215E9}">
                  <a14:cameraTool cellRange="calculation_KPI!$Q$9" spid="_x0000_s1133"/>
                </a:ext>
              </a:extLst>
            </xdr:cNvPicPr>
          </xdr:nvPicPr>
          <xdr:blipFill rotWithShape="1">
            <a:blip xmlns:r="http://schemas.openxmlformats.org/officeDocument/2006/relationships" r:embed="rId13"/>
            <a:srcRect l="2073" t="12030" r="2941" b="8270"/>
            <a:stretch>
              <a:fillRect/>
            </a:stretch>
          </xdr:blipFill>
          <xdr:spPr bwMode="auto">
            <a:xfrm>
              <a:off x="1640416" y="1557032"/>
              <a:ext cx="937484" cy="108526"/>
            </a:xfrm>
            <a:prstGeom prst="rect">
              <a:avLst/>
            </a:prstGeom>
            <a:noFill/>
            <a:ln>
              <a:noFill/>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265005</xdr:colOff>
          <xdr:row>8</xdr:row>
          <xdr:rowOff>82178</xdr:rowOff>
        </xdr:from>
        <xdr:to>
          <xdr:col>7</xdr:col>
          <xdr:colOff>17805</xdr:colOff>
          <xdr:row>8</xdr:row>
          <xdr:rowOff>175824</xdr:rowOff>
        </xdr:to>
        <xdr:pic>
          <xdr:nvPicPr>
            <xdr:cNvPr id="49" name="Picture 48">
              <a:extLst>
                <a:ext uri="{FF2B5EF4-FFF2-40B4-BE49-F238E27FC236}">
                  <a16:creationId xmlns:a16="http://schemas.microsoft.com/office/drawing/2014/main" id="{FEEBCF30-6B84-E8DC-32BC-8D7B39784F64}"/>
                </a:ext>
              </a:extLst>
            </xdr:cNvPr>
            <xdr:cNvPicPr>
              <a:picLocks noChangeAspect="1" noChangeArrowheads="1"/>
              <a:extLst>
                <a:ext uri="{84589F7E-364E-4C9E-8A38-B11213B215E9}">
                  <a14:cameraTool cellRange="calculation_KPI!$W$9" spid="_x0000_s1134"/>
                </a:ext>
              </a:extLst>
            </xdr:cNvPicPr>
          </xdr:nvPicPr>
          <xdr:blipFill rotWithShape="1">
            <a:blip xmlns:r="http://schemas.openxmlformats.org/officeDocument/2006/relationships" r:embed="rId14"/>
            <a:srcRect l="1289" t="12265" r="5795" b="15636"/>
            <a:stretch>
              <a:fillRect/>
            </a:stretch>
          </xdr:blipFill>
          <xdr:spPr bwMode="auto">
            <a:xfrm>
              <a:off x="3322412" y="1524647"/>
              <a:ext cx="975763" cy="9364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121870</xdr:colOff>
          <xdr:row>8</xdr:row>
          <xdr:rowOff>74964</xdr:rowOff>
        </xdr:from>
        <xdr:to>
          <xdr:col>9</xdr:col>
          <xdr:colOff>412270</xdr:colOff>
          <xdr:row>8</xdr:row>
          <xdr:rowOff>178358</xdr:rowOff>
        </xdr:to>
        <xdr:pic>
          <xdr:nvPicPr>
            <xdr:cNvPr id="52" name="Picture 51">
              <a:extLst>
                <a:ext uri="{FF2B5EF4-FFF2-40B4-BE49-F238E27FC236}">
                  <a16:creationId xmlns:a16="http://schemas.microsoft.com/office/drawing/2014/main" id="{57612678-247A-D631-9AE4-2995ABEB84F7}"/>
                </a:ext>
              </a:extLst>
            </xdr:cNvPr>
            <xdr:cNvPicPr>
              <a:picLocks noChangeAspect="1" noChangeArrowheads="1"/>
              <a:extLst>
                <a:ext uri="{84589F7E-364E-4C9E-8A38-B11213B215E9}">
                  <a14:cameraTool cellRange="calculation_KPI!$S$9" spid="_x0000_s1135"/>
                </a:ext>
              </a:extLst>
            </xdr:cNvPicPr>
          </xdr:nvPicPr>
          <xdr:blipFill rotWithShape="1">
            <a:blip xmlns:r="http://schemas.openxmlformats.org/officeDocument/2006/relationships" r:embed="rId15"/>
            <a:srcRect l="2229" t="14815" r="3068" b="8333"/>
            <a:stretch>
              <a:fillRect/>
            </a:stretch>
          </xdr:blipFill>
          <xdr:spPr bwMode="auto">
            <a:xfrm>
              <a:off x="4990203" y="1556631"/>
              <a:ext cx="898942" cy="10339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571070</xdr:colOff>
          <xdr:row>8</xdr:row>
          <xdr:rowOff>86199</xdr:rowOff>
        </xdr:from>
        <xdr:to>
          <xdr:col>12</xdr:col>
          <xdr:colOff>359870</xdr:colOff>
          <xdr:row>8</xdr:row>
          <xdr:rowOff>176947</xdr:rowOff>
        </xdr:to>
        <xdr:pic>
          <xdr:nvPicPr>
            <xdr:cNvPr id="55" name="Picture 54">
              <a:extLst>
                <a:ext uri="{FF2B5EF4-FFF2-40B4-BE49-F238E27FC236}">
                  <a16:creationId xmlns:a16="http://schemas.microsoft.com/office/drawing/2014/main" id="{BCEB615F-257E-3522-26AB-0898186AF94C}"/>
                </a:ext>
              </a:extLst>
            </xdr:cNvPr>
            <xdr:cNvPicPr>
              <a:picLocks noChangeAspect="1" noChangeArrowheads="1"/>
              <a:extLst>
                <a:ext uri="{84589F7E-364E-4C9E-8A38-B11213B215E9}">
                  <a14:cameraTool cellRange="calculation_KPI!$U$9" spid="_x0000_s1136"/>
                </a:ext>
              </a:extLst>
            </xdr:cNvPicPr>
          </xdr:nvPicPr>
          <xdr:blipFill rotWithShape="1">
            <a:blip xmlns:r="http://schemas.openxmlformats.org/officeDocument/2006/relationships" r:embed="rId16"/>
            <a:srcRect l="1696" t="15663" r="2531" b="16867"/>
            <a:stretch>
              <a:fillRect/>
            </a:stretch>
          </xdr:blipFill>
          <xdr:spPr bwMode="auto">
            <a:xfrm>
              <a:off x="6656487" y="1567866"/>
              <a:ext cx="1005883" cy="9074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365606</xdr:colOff>
      <xdr:row>16</xdr:row>
      <xdr:rowOff>89797</xdr:rowOff>
    </xdr:from>
    <xdr:to>
      <xdr:col>17</xdr:col>
      <xdr:colOff>230909</xdr:colOff>
      <xdr:row>27</xdr:row>
      <xdr:rowOff>83383</xdr:rowOff>
    </xdr:to>
    <xdr:graphicFrame macro="">
      <xdr:nvGraphicFramePr>
        <xdr:cNvPr id="7" name="Chart 6">
          <a:extLst>
            <a:ext uri="{FF2B5EF4-FFF2-40B4-BE49-F238E27FC236}">
              <a16:creationId xmlns:a16="http://schemas.microsoft.com/office/drawing/2014/main" id="{FFD82D7B-ECCB-4090-8856-E1C75AE54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316067</xdr:colOff>
      <xdr:row>10</xdr:row>
      <xdr:rowOff>69999</xdr:rowOff>
    </xdr:from>
    <xdr:to>
      <xdr:col>4</xdr:col>
      <xdr:colOff>279703</xdr:colOff>
      <xdr:row>11</xdr:row>
      <xdr:rowOff>110000</xdr:rowOff>
    </xdr:to>
    <xdr:sp macro="" textlink="calculation_KPI!T6">
      <xdr:nvSpPr>
        <xdr:cNvPr id="11" name="TextBox 10">
          <a:extLst>
            <a:ext uri="{FF2B5EF4-FFF2-40B4-BE49-F238E27FC236}">
              <a16:creationId xmlns:a16="http://schemas.microsoft.com/office/drawing/2014/main" id="{70896F0B-B6F9-4440-84A5-FBF23D3767A3}"/>
            </a:ext>
          </a:extLst>
        </xdr:cNvPr>
        <xdr:cNvSpPr txBox="1"/>
      </xdr:nvSpPr>
      <xdr:spPr>
        <a:xfrm>
          <a:off x="1536067" y="1919999"/>
          <a:ext cx="1183636" cy="22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0">
              <a:solidFill>
                <a:schemeClr val="bg2">
                  <a:lumMod val="50000"/>
                </a:schemeClr>
              </a:solidFill>
            </a:rPr>
            <a:t>Sales</a:t>
          </a:r>
          <a:r>
            <a:rPr lang="id-ID" sz="900" b="0" baseline="0">
              <a:solidFill>
                <a:schemeClr val="bg2">
                  <a:lumMod val="50000"/>
                </a:schemeClr>
              </a:solidFill>
            </a:rPr>
            <a:t> over time</a:t>
          </a:r>
        </a:p>
      </xdr:txBody>
    </xdr:sp>
    <xdr:clientData/>
  </xdr:twoCellAnchor>
  <xdr:twoCellAnchor>
    <xdr:from>
      <xdr:col>9</xdr:col>
      <xdr:colOff>68466</xdr:colOff>
      <xdr:row>10</xdr:row>
      <xdr:rowOff>72399</xdr:rowOff>
    </xdr:from>
    <xdr:to>
      <xdr:col>11</xdr:col>
      <xdr:colOff>329999</xdr:colOff>
      <xdr:row>11</xdr:row>
      <xdr:rowOff>112400</xdr:rowOff>
    </xdr:to>
    <xdr:sp macro="" textlink="calculation_KPI!T6">
      <xdr:nvSpPr>
        <xdr:cNvPr id="13" name="TextBox 12">
          <a:extLst>
            <a:ext uri="{FF2B5EF4-FFF2-40B4-BE49-F238E27FC236}">
              <a16:creationId xmlns:a16="http://schemas.microsoft.com/office/drawing/2014/main" id="{4B49AB7E-8F49-F65B-430C-9D39A68D9F49}"/>
            </a:ext>
          </a:extLst>
        </xdr:cNvPr>
        <xdr:cNvSpPr txBox="1"/>
      </xdr:nvSpPr>
      <xdr:spPr>
        <a:xfrm>
          <a:off x="5558466" y="1922399"/>
          <a:ext cx="1481533" cy="22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0">
              <a:solidFill>
                <a:schemeClr val="bg2">
                  <a:lumMod val="50000"/>
                </a:schemeClr>
              </a:solidFill>
            </a:rPr>
            <a:t>Sales</a:t>
          </a:r>
          <a:r>
            <a:rPr lang="id-ID" sz="900" b="0" baseline="0">
              <a:solidFill>
                <a:schemeClr val="bg2">
                  <a:lumMod val="50000"/>
                </a:schemeClr>
              </a:solidFill>
            </a:rPr>
            <a:t> by customer segment</a:t>
          </a:r>
        </a:p>
      </xdr:txBody>
    </xdr:sp>
    <xdr:clientData/>
  </xdr:twoCellAnchor>
  <xdr:twoCellAnchor>
    <xdr:from>
      <xdr:col>9</xdr:col>
      <xdr:colOff>80866</xdr:colOff>
      <xdr:row>19</xdr:row>
      <xdr:rowOff>59799</xdr:rowOff>
    </xdr:from>
    <xdr:to>
      <xdr:col>11</xdr:col>
      <xdr:colOff>342399</xdr:colOff>
      <xdr:row>20</xdr:row>
      <xdr:rowOff>99800</xdr:rowOff>
    </xdr:to>
    <xdr:sp macro="" textlink="calculation_KPI!T6">
      <xdr:nvSpPr>
        <xdr:cNvPr id="16" name="TextBox 15">
          <a:extLst>
            <a:ext uri="{FF2B5EF4-FFF2-40B4-BE49-F238E27FC236}">
              <a16:creationId xmlns:a16="http://schemas.microsoft.com/office/drawing/2014/main" id="{8B9EB3D4-2D29-9847-5E02-37661C122420}"/>
            </a:ext>
          </a:extLst>
        </xdr:cNvPr>
        <xdr:cNvSpPr txBox="1"/>
      </xdr:nvSpPr>
      <xdr:spPr>
        <a:xfrm>
          <a:off x="5570866" y="3574799"/>
          <a:ext cx="1481533" cy="22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0">
              <a:solidFill>
                <a:schemeClr val="bg2">
                  <a:lumMod val="50000"/>
                </a:schemeClr>
              </a:solidFill>
            </a:rPr>
            <a:t>Sales</a:t>
          </a:r>
          <a:r>
            <a:rPr lang="id-ID" sz="900" b="0" baseline="0">
              <a:solidFill>
                <a:schemeClr val="bg2">
                  <a:lumMod val="50000"/>
                </a:schemeClr>
              </a:solidFill>
            </a:rPr>
            <a:t> by region</a:t>
          </a:r>
        </a:p>
      </xdr:txBody>
    </xdr:sp>
    <xdr:clientData/>
  </xdr:twoCellAnchor>
  <xdr:twoCellAnchor>
    <xdr:from>
      <xdr:col>13</xdr:col>
      <xdr:colOff>363266</xdr:colOff>
      <xdr:row>15</xdr:row>
      <xdr:rowOff>47199</xdr:rowOff>
    </xdr:from>
    <xdr:to>
      <xdr:col>16</xdr:col>
      <xdr:colOff>14799</xdr:colOff>
      <xdr:row>16</xdr:row>
      <xdr:rowOff>87200</xdr:rowOff>
    </xdr:to>
    <xdr:sp macro="" textlink="calculation_KPI!T6">
      <xdr:nvSpPr>
        <xdr:cNvPr id="30" name="TextBox 29">
          <a:extLst>
            <a:ext uri="{FF2B5EF4-FFF2-40B4-BE49-F238E27FC236}">
              <a16:creationId xmlns:a16="http://schemas.microsoft.com/office/drawing/2014/main" id="{BD61A17E-CA3F-817C-FDED-A25C1021E041}"/>
            </a:ext>
          </a:extLst>
        </xdr:cNvPr>
        <xdr:cNvSpPr txBox="1"/>
      </xdr:nvSpPr>
      <xdr:spPr>
        <a:xfrm>
          <a:off x="8293266" y="2822199"/>
          <a:ext cx="1481533" cy="22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0" baseline="0">
              <a:solidFill>
                <a:schemeClr val="bg2">
                  <a:lumMod val="50000"/>
                </a:schemeClr>
              </a:solidFill>
            </a:rPr>
            <a:t>Top 5 products</a:t>
          </a:r>
        </a:p>
      </xdr:txBody>
    </xdr:sp>
    <xdr:clientData/>
  </xdr:twoCellAnchor>
  <xdr:twoCellAnchor>
    <xdr:from>
      <xdr:col>13</xdr:col>
      <xdr:colOff>494820</xdr:colOff>
      <xdr:row>5</xdr:row>
      <xdr:rowOff>141998</xdr:rowOff>
    </xdr:from>
    <xdr:to>
      <xdr:col>15</xdr:col>
      <xdr:colOff>82312</xdr:colOff>
      <xdr:row>8</xdr:row>
      <xdr:rowOff>48102</xdr:rowOff>
    </xdr:to>
    <xdr:sp macro="" textlink="">
      <xdr:nvSpPr>
        <xdr:cNvPr id="31" name="TextBox 30">
          <a:extLst>
            <a:ext uri="{FF2B5EF4-FFF2-40B4-BE49-F238E27FC236}">
              <a16:creationId xmlns:a16="http://schemas.microsoft.com/office/drawing/2014/main" id="{E953FE87-FB3E-1A95-7381-546012AA19B7}"/>
            </a:ext>
          </a:extLst>
        </xdr:cNvPr>
        <xdr:cNvSpPr txBox="1"/>
      </xdr:nvSpPr>
      <xdr:spPr>
        <a:xfrm>
          <a:off x="8444079" y="1053341"/>
          <a:ext cx="810455" cy="452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baseline="0">
              <a:solidFill>
                <a:schemeClr val="accent4">
                  <a:lumMod val="75000"/>
                </a:schemeClr>
              </a:solidFill>
            </a:rPr>
            <a:t>TOP</a:t>
          </a:r>
        </a:p>
        <a:p>
          <a:pPr algn="ctr"/>
          <a:r>
            <a:rPr lang="id-ID" sz="900" b="1" baseline="0">
              <a:solidFill>
                <a:schemeClr val="accent4">
                  <a:lumMod val="75000"/>
                </a:schemeClr>
              </a:solidFill>
            </a:rPr>
            <a:t>PRODUCT</a:t>
          </a:r>
        </a:p>
      </xdr:txBody>
    </xdr:sp>
    <xdr:clientData/>
  </xdr:twoCellAnchor>
  <xdr:twoCellAnchor>
    <xdr:from>
      <xdr:col>15</xdr:col>
      <xdr:colOff>535507</xdr:colOff>
      <xdr:row>5</xdr:row>
      <xdr:rowOff>153288</xdr:rowOff>
    </xdr:from>
    <xdr:to>
      <xdr:col>17</xdr:col>
      <xdr:colOff>122999</xdr:colOff>
      <xdr:row>8</xdr:row>
      <xdr:rowOff>59392</xdr:rowOff>
    </xdr:to>
    <xdr:sp macro="" textlink="">
      <xdr:nvSpPr>
        <xdr:cNvPr id="32" name="TextBox 31">
          <a:extLst>
            <a:ext uri="{FF2B5EF4-FFF2-40B4-BE49-F238E27FC236}">
              <a16:creationId xmlns:a16="http://schemas.microsoft.com/office/drawing/2014/main" id="{1BA43064-5AED-050D-E8D6-F3CB493C5AB5}"/>
            </a:ext>
          </a:extLst>
        </xdr:cNvPr>
        <xdr:cNvSpPr txBox="1"/>
      </xdr:nvSpPr>
      <xdr:spPr>
        <a:xfrm>
          <a:off x="9707729" y="1064631"/>
          <a:ext cx="810455" cy="452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baseline="0">
              <a:solidFill>
                <a:schemeClr val="accent4">
                  <a:lumMod val="75000"/>
                </a:schemeClr>
              </a:solidFill>
            </a:rPr>
            <a:t>TOP</a:t>
          </a:r>
        </a:p>
        <a:p>
          <a:pPr algn="ctr"/>
          <a:r>
            <a:rPr lang="id-ID" sz="900" b="1" baseline="0">
              <a:solidFill>
                <a:schemeClr val="accent4">
                  <a:lumMod val="75000"/>
                </a:schemeClr>
              </a:solidFill>
            </a:rPr>
            <a:t>CATEGORY</a:t>
          </a:r>
        </a:p>
      </xdr:txBody>
    </xdr:sp>
    <xdr:clientData/>
  </xdr:twoCellAnchor>
  <xdr:twoCellAnchor editAs="oneCell">
    <xdr:from>
      <xdr:col>16</xdr:col>
      <xdr:colOff>133684</xdr:colOff>
      <xdr:row>10</xdr:row>
      <xdr:rowOff>93976</xdr:rowOff>
    </xdr:from>
    <xdr:to>
      <xdr:col>16</xdr:col>
      <xdr:colOff>493684</xdr:colOff>
      <xdr:row>12</xdr:row>
      <xdr:rowOff>86345</xdr:rowOff>
    </xdr:to>
    <xdr:pic>
      <xdr:nvPicPr>
        <xdr:cNvPr id="9" name="Graphic 8" descr="Ribbon with solid fill">
          <a:extLst>
            <a:ext uri="{FF2B5EF4-FFF2-40B4-BE49-F238E27FC236}">
              <a16:creationId xmlns:a16="http://schemas.microsoft.com/office/drawing/2014/main" id="{322DEBD1-AB7C-E2A6-A09D-973C70E1A83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891308" y="1917243"/>
          <a:ext cx="360000" cy="357023"/>
        </a:xfrm>
        <a:prstGeom prst="rect">
          <a:avLst/>
        </a:prstGeom>
      </xdr:spPr>
    </xdr:pic>
    <xdr:clientData/>
  </xdr:twoCellAnchor>
  <xdr:twoCellAnchor editAs="oneCell">
    <xdr:from>
      <xdr:col>14</xdr:col>
      <xdr:colOff>91514</xdr:colOff>
      <xdr:row>10</xdr:row>
      <xdr:rowOff>83157</xdr:rowOff>
    </xdr:from>
    <xdr:to>
      <xdr:col>14</xdr:col>
      <xdr:colOff>451514</xdr:colOff>
      <xdr:row>12</xdr:row>
      <xdr:rowOff>75526</xdr:rowOff>
    </xdr:to>
    <xdr:pic>
      <xdr:nvPicPr>
        <xdr:cNvPr id="34" name="Graphic 33" descr="Trophy with solid fill">
          <a:extLst>
            <a:ext uri="{FF2B5EF4-FFF2-40B4-BE49-F238E27FC236}">
              <a16:creationId xmlns:a16="http://schemas.microsoft.com/office/drawing/2014/main" id="{DF4A8ACB-5830-0805-E4B0-5BE164C0F2F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630593" y="1921315"/>
          <a:ext cx="360000" cy="360000"/>
        </a:xfrm>
        <a:prstGeom prst="rect">
          <a:avLst/>
        </a:prstGeom>
      </xdr:spPr>
    </xdr:pic>
    <xdr:clientData/>
  </xdr:twoCellAnchor>
  <xdr:twoCellAnchor>
    <xdr:from>
      <xdr:col>13</xdr:col>
      <xdr:colOff>500713</xdr:colOff>
      <xdr:row>7</xdr:row>
      <xdr:rowOff>158891</xdr:rowOff>
    </xdr:from>
    <xdr:to>
      <xdr:col>15</xdr:col>
      <xdr:colOff>62871</xdr:colOff>
      <xdr:row>9</xdr:row>
      <xdr:rowOff>110760</xdr:rowOff>
    </xdr:to>
    <xdr:sp macro="" textlink="calculation_KPI!$BU$2">
      <xdr:nvSpPr>
        <xdr:cNvPr id="35" name="TextBox 34">
          <a:extLst>
            <a:ext uri="{FF2B5EF4-FFF2-40B4-BE49-F238E27FC236}">
              <a16:creationId xmlns:a16="http://schemas.microsoft.com/office/drawing/2014/main" id="{713363AB-B397-D2AC-38B4-1305480E319A}"/>
            </a:ext>
          </a:extLst>
        </xdr:cNvPr>
        <xdr:cNvSpPr txBox="1"/>
      </xdr:nvSpPr>
      <xdr:spPr>
        <a:xfrm>
          <a:off x="8428782" y="1435178"/>
          <a:ext cx="78186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F5535C-34C3-48A3-B82B-C08ADFFFEE92}" type="TxLink">
            <a:rPr lang="en-US" sz="700" b="1" i="0" u="none" strike="noStrike" baseline="0">
              <a:solidFill>
                <a:srgbClr val="000000"/>
              </a:solidFill>
              <a:latin typeface="Calibri"/>
              <a:ea typeface="Calibri"/>
              <a:cs typeface="Calibri"/>
            </a:rPr>
            <a:pPr algn="ctr"/>
            <a:t>Laptop Axioo Mybook</a:t>
          </a:fld>
          <a:endParaRPr lang="id-ID" sz="700" b="1" baseline="0">
            <a:solidFill>
              <a:schemeClr val="accent4">
                <a:lumMod val="75000"/>
              </a:schemeClr>
            </a:solidFill>
          </a:endParaRPr>
        </a:p>
      </xdr:txBody>
    </xdr:sp>
    <xdr:clientData/>
  </xdr:twoCellAnchor>
  <xdr:twoCellAnchor>
    <xdr:from>
      <xdr:col>13</xdr:col>
      <xdr:colOff>477113</xdr:colOff>
      <xdr:row>9</xdr:row>
      <xdr:rowOff>18529</xdr:rowOff>
    </xdr:from>
    <xdr:to>
      <xdr:col>15</xdr:col>
      <xdr:colOff>61549</xdr:colOff>
      <xdr:row>10</xdr:row>
      <xdr:rowOff>155455</xdr:rowOff>
    </xdr:to>
    <xdr:sp macro="" textlink="calculation_KPI!BR2">
      <xdr:nvSpPr>
        <xdr:cNvPr id="36" name="TextBox 35">
          <a:extLst>
            <a:ext uri="{FF2B5EF4-FFF2-40B4-BE49-F238E27FC236}">
              <a16:creationId xmlns:a16="http://schemas.microsoft.com/office/drawing/2014/main" id="{BC73B005-6F4B-B53D-FA10-0D7CD8C576A1}"/>
            </a:ext>
          </a:extLst>
        </xdr:cNvPr>
        <xdr:cNvSpPr txBox="1"/>
      </xdr:nvSpPr>
      <xdr:spPr>
        <a:xfrm>
          <a:off x="8401913" y="1684043"/>
          <a:ext cx="803636" cy="321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id-ID" sz="700" b="1" baseline="0">
            <a:solidFill>
              <a:schemeClr val="accent4">
                <a:lumMod val="75000"/>
              </a:schemeClr>
            </a:solidFill>
          </a:endParaRPr>
        </a:p>
      </xdr:txBody>
    </xdr:sp>
    <xdr:clientData/>
  </xdr:twoCellAnchor>
  <xdr:twoCellAnchor>
    <xdr:from>
      <xdr:col>13</xdr:col>
      <xdr:colOff>483361</xdr:colOff>
      <xdr:row>9</xdr:row>
      <xdr:rowOff>22084</xdr:rowOff>
    </xdr:from>
    <xdr:to>
      <xdr:col>15</xdr:col>
      <xdr:colOff>81733</xdr:colOff>
      <xdr:row>10</xdr:row>
      <xdr:rowOff>156281</xdr:rowOff>
    </xdr:to>
    <xdr:sp macro="" textlink="calculation_KPI!$BW$2">
      <xdr:nvSpPr>
        <xdr:cNvPr id="37" name="TextBox 36">
          <a:extLst>
            <a:ext uri="{FF2B5EF4-FFF2-40B4-BE49-F238E27FC236}">
              <a16:creationId xmlns:a16="http://schemas.microsoft.com/office/drawing/2014/main" id="{85D6CD7D-E867-29BC-0859-7D11CB8731BE}"/>
            </a:ext>
          </a:extLst>
        </xdr:cNvPr>
        <xdr:cNvSpPr txBox="1"/>
      </xdr:nvSpPr>
      <xdr:spPr>
        <a:xfrm>
          <a:off x="8411430" y="1663025"/>
          <a:ext cx="818075"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6B1680-FFAA-44D4-8766-604B1233D646}" type="TxLink">
            <a:rPr lang="en-US" sz="800" b="1" i="0" u="none" strike="noStrike" baseline="0">
              <a:solidFill>
                <a:srgbClr val="000000"/>
              </a:solidFill>
              <a:latin typeface="Calibri"/>
              <a:ea typeface="Calibri"/>
              <a:cs typeface="Calibri"/>
            </a:rPr>
            <a:pPr algn="ctr"/>
            <a:t>Rp 626.2 Jt</a:t>
          </a:fld>
          <a:endParaRPr lang="id-ID" sz="800" b="1" baseline="0">
            <a:solidFill>
              <a:schemeClr val="accent4">
                <a:lumMod val="75000"/>
              </a:schemeClr>
            </a:solidFill>
          </a:endParaRPr>
        </a:p>
      </xdr:txBody>
    </xdr:sp>
    <xdr:clientData/>
  </xdr:twoCellAnchor>
  <xdr:twoCellAnchor>
    <xdr:from>
      <xdr:col>15</xdr:col>
      <xdr:colOff>528879</xdr:colOff>
      <xdr:row>9</xdr:row>
      <xdr:rowOff>48740</xdr:rowOff>
    </xdr:from>
    <xdr:to>
      <xdr:col>17</xdr:col>
      <xdr:colOff>127251</xdr:colOff>
      <xdr:row>11</xdr:row>
      <xdr:rowOff>610</xdr:rowOff>
    </xdr:to>
    <xdr:sp macro="" textlink="calculation_KPI!$CA$2">
      <xdr:nvSpPr>
        <xdr:cNvPr id="38" name="TextBox 37">
          <a:extLst>
            <a:ext uri="{FF2B5EF4-FFF2-40B4-BE49-F238E27FC236}">
              <a16:creationId xmlns:a16="http://schemas.microsoft.com/office/drawing/2014/main" id="{C4FCED22-0E35-65F6-C457-3FDDCC70F5A4}"/>
            </a:ext>
          </a:extLst>
        </xdr:cNvPr>
        <xdr:cNvSpPr txBox="1"/>
      </xdr:nvSpPr>
      <xdr:spPr>
        <a:xfrm>
          <a:off x="9676651" y="1689681"/>
          <a:ext cx="818075"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8109E6-1D94-4E28-9F18-4C4FDEDA44F6}" type="TxLink">
            <a:rPr lang="en-US" sz="800" b="1" i="0" u="none" strike="noStrike" baseline="0">
              <a:solidFill>
                <a:srgbClr val="000000"/>
              </a:solidFill>
              <a:latin typeface="Calibri"/>
              <a:ea typeface="Calibri"/>
              <a:cs typeface="Calibri"/>
            </a:rPr>
            <a:pPr algn="ctr"/>
            <a:t>Rp 1.8 M</a:t>
          </a:fld>
          <a:endParaRPr lang="id-ID" sz="800" b="1" baseline="0">
            <a:solidFill>
              <a:schemeClr val="accent4">
                <a:lumMod val="75000"/>
              </a:schemeClr>
            </a:solidFill>
          </a:endParaRPr>
        </a:p>
      </xdr:txBody>
    </xdr:sp>
    <xdr:clientData/>
  </xdr:twoCellAnchor>
  <xdr:twoCellAnchor>
    <xdr:from>
      <xdr:col>15</xdr:col>
      <xdr:colOff>539944</xdr:colOff>
      <xdr:row>7</xdr:row>
      <xdr:rowOff>166690</xdr:rowOff>
    </xdr:from>
    <xdr:to>
      <xdr:col>17</xdr:col>
      <xdr:colOff>102102</xdr:colOff>
      <xdr:row>9</xdr:row>
      <xdr:rowOff>118559</xdr:rowOff>
    </xdr:to>
    <xdr:sp macro="" textlink="calculation_KPI!$BY$2">
      <xdr:nvSpPr>
        <xdr:cNvPr id="39" name="TextBox 38">
          <a:extLst>
            <a:ext uri="{FF2B5EF4-FFF2-40B4-BE49-F238E27FC236}">
              <a16:creationId xmlns:a16="http://schemas.microsoft.com/office/drawing/2014/main" id="{FA19E6D6-E252-043F-DC97-2E547131178B}"/>
            </a:ext>
          </a:extLst>
        </xdr:cNvPr>
        <xdr:cNvSpPr txBox="1"/>
      </xdr:nvSpPr>
      <xdr:spPr>
        <a:xfrm>
          <a:off x="9687716" y="1442977"/>
          <a:ext cx="78186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48F5CC-E59B-4A38-89BB-FA766BCB88E2}" type="TxLink">
            <a:rPr lang="en-US" sz="700" b="1" i="0" u="none" strike="noStrike" baseline="0">
              <a:solidFill>
                <a:srgbClr val="000000"/>
              </a:solidFill>
              <a:latin typeface="Calibri"/>
              <a:ea typeface="Calibri"/>
              <a:cs typeface="Calibri"/>
            </a:rPr>
            <a:pPr algn="ctr"/>
            <a:t>Electronics</a:t>
          </a:fld>
          <a:endParaRPr lang="id-ID" sz="700" b="1" baseline="0">
            <a:solidFill>
              <a:schemeClr val="accent4">
                <a:lumMod val="75000"/>
              </a:schemeClr>
            </a:solidFill>
          </a:endParaRPr>
        </a:p>
      </xdr:txBody>
    </xdr:sp>
    <xdr:clientData/>
  </xdr:twoCellAnchor>
  <xdr:twoCellAnchor editAs="oneCell">
    <xdr:from>
      <xdr:col>0</xdr:col>
      <xdr:colOff>184059</xdr:colOff>
      <xdr:row>0</xdr:row>
      <xdr:rowOff>138044</xdr:rowOff>
    </xdr:from>
    <xdr:to>
      <xdr:col>1</xdr:col>
      <xdr:colOff>116668</xdr:colOff>
      <xdr:row>3</xdr:row>
      <xdr:rowOff>125870</xdr:rowOff>
    </xdr:to>
    <xdr:pic>
      <xdr:nvPicPr>
        <xdr:cNvPr id="42" name="Graphic 41" descr="Presentation with bar chart with solid fill">
          <a:extLst>
            <a:ext uri="{FF2B5EF4-FFF2-40B4-BE49-F238E27FC236}">
              <a16:creationId xmlns:a16="http://schemas.microsoft.com/office/drawing/2014/main" id="{5F52BA4A-BE5B-A7DA-4668-4A229FAE32B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84059" y="138044"/>
          <a:ext cx="540000" cy="540000"/>
        </a:xfrm>
        <a:prstGeom prst="rect">
          <a:avLst/>
        </a:prstGeom>
      </xdr:spPr>
    </xdr:pic>
    <xdr:clientData/>
  </xdr:twoCellAnchor>
  <xdr:twoCellAnchor>
    <xdr:from>
      <xdr:col>1</xdr:col>
      <xdr:colOff>63542</xdr:colOff>
      <xdr:row>0</xdr:row>
      <xdr:rowOff>148775</xdr:rowOff>
    </xdr:from>
    <xdr:to>
      <xdr:col>5</xdr:col>
      <xdr:colOff>18406</xdr:colOff>
      <xdr:row>3</xdr:row>
      <xdr:rowOff>110437</xdr:rowOff>
    </xdr:to>
    <xdr:grpSp>
      <xdr:nvGrpSpPr>
        <xdr:cNvPr id="44" name="Group 43">
          <a:extLst>
            <a:ext uri="{FF2B5EF4-FFF2-40B4-BE49-F238E27FC236}">
              <a16:creationId xmlns:a16="http://schemas.microsoft.com/office/drawing/2014/main" id="{35F7E64E-6777-070F-A2D3-79C0575A5BE2}"/>
            </a:ext>
          </a:extLst>
        </xdr:cNvPr>
        <xdr:cNvGrpSpPr/>
      </xdr:nvGrpSpPr>
      <xdr:grpSpPr>
        <a:xfrm>
          <a:off x="673142" y="148775"/>
          <a:ext cx="2393264" cy="514112"/>
          <a:chOff x="615715" y="47542"/>
          <a:chExt cx="2384430" cy="513836"/>
        </a:xfrm>
      </xdr:grpSpPr>
      <xdr:sp macro="" textlink="calculation_KPI!T6">
        <xdr:nvSpPr>
          <xdr:cNvPr id="40" name="TextBox 39">
            <a:extLst>
              <a:ext uri="{FF2B5EF4-FFF2-40B4-BE49-F238E27FC236}">
                <a16:creationId xmlns:a16="http://schemas.microsoft.com/office/drawing/2014/main" id="{54D6F707-8EAF-663B-E339-658645F3B1F8}"/>
              </a:ext>
            </a:extLst>
          </xdr:cNvPr>
          <xdr:cNvSpPr txBox="1"/>
        </xdr:nvSpPr>
        <xdr:spPr>
          <a:xfrm>
            <a:off x="615715" y="47542"/>
            <a:ext cx="2384430" cy="41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2000" b="1" baseline="0">
                <a:solidFill>
                  <a:schemeClr val="tx1"/>
                </a:solidFill>
              </a:rPr>
              <a:t>SALES DASHBOARD</a:t>
            </a:r>
          </a:p>
        </xdr:txBody>
      </xdr:sp>
      <xdr:sp macro="" textlink="calculation_KPI!T6">
        <xdr:nvSpPr>
          <xdr:cNvPr id="43" name="TextBox 42">
            <a:extLst>
              <a:ext uri="{FF2B5EF4-FFF2-40B4-BE49-F238E27FC236}">
                <a16:creationId xmlns:a16="http://schemas.microsoft.com/office/drawing/2014/main" id="{B4FF08DF-57C9-4343-31B6-BB701B759488}"/>
              </a:ext>
            </a:extLst>
          </xdr:cNvPr>
          <xdr:cNvSpPr txBox="1"/>
        </xdr:nvSpPr>
        <xdr:spPr>
          <a:xfrm>
            <a:off x="630071" y="282770"/>
            <a:ext cx="1118479" cy="27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400" b="1" baseline="0">
                <a:solidFill>
                  <a:schemeClr val="accent4">
                    <a:lumMod val="75000"/>
                  </a:schemeClr>
                </a:solidFill>
              </a:rPr>
              <a:t>Retail Store</a:t>
            </a:r>
          </a:p>
        </xdr:txBody>
      </xdr:sp>
    </xdr:grpSp>
    <xdr:clientData/>
  </xdr:twoCellAnchor>
  <xdr:twoCellAnchor>
    <xdr:from>
      <xdr:col>2</xdr:col>
      <xdr:colOff>321710</xdr:colOff>
      <xdr:row>11</xdr:row>
      <xdr:rowOff>126998</xdr:rowOff>
    </xdr:from>
    <xdr:to>
      <xdr:col>8</xdr:col>
      <xdr:colOff>524933</xdr:colOff>
      <xdr:row>27</xdr:row>
      <xdr:rowOff>42332</xdr:rowOff>
    </xdr:to>
    <xdr:graphicFrame macro="">
      <xdr:nvGraphicFramePr>
        <xdr:cNvPr id="5" name="Chart 4">
          <a:extLst>
            <a:ext uri="{FF2B5EF4-FFF2-40B4-BE49-F238E27FC236}">
              <a16:creationId xmlns:a16="http://schemas.microsoft.com/office/drawing/2014/main" id="{5E75C90C-463A-4C17-88BD-23FDFE239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3.327628703701" missingItemsLimit="0" createdVersion="8" refreshedVersion="8" minRefreshableVersion="3" recordCount="1769" xr:uid="{F9077B23-C872-4002-A3F6-327A57D7E051}">
  <cacheSource type="worksheet">
    <worksheetSource name="data"/>
  </cacheSource>
  <cacheFields count="20">
    <cacheField name="order_id" numFmtId="0">
      <sharedItems/>
    </cacheField>
    <cacheField name="order_date" numFmtId="14">
      <sharedItems containsSemiMixedTypes="0" containsNonDate="0" containsDate="1" containsString="0" minDate="2023-01-01T00:00:00" maxDate="2026-07-01T00:00:00"/>
    </cacheField>
    <cacheField name="store_id" numFmtId="0">
      <sharedItems/>
    </cacheField>
    <cacheField name="region" numFmtId="0">
      <sharedItems count="5">
        <s v="Jawa"/>
        <s v="Bali &amp; Nusa Tenggara"/>
        <s v="Sulawesi"/>
        <s v="Sumatera "/>
        <s v="Kalimantan"/>
      </sharedItems>
    </cacheField>
    <cacheField name="customer_id" numFmtId="0">
      <sharedItems/>
    </cacheField>
    <cacheField name="segment" numFmtId="0">
      <sharedItems count="4">
        <s v="Corporate"/>
        <s v="Consumer"/>
        <s v="Home Office"/>
        <s v="Unknown"/>
      </sharedItems>
    </cacheField>
    <cacheField name="product_id" numFmtId="0">
      <sharedItems/>
    </cacheField>
    <cacheField name="product_name" numFmtId="0">
      <sharedItems count="27">
        <s v="Blender Miyako 3 In 1"/>
        <s v="Smart Tv Aqua 32 Inch"/>
        <s v="Kipas Angin Maspion"/>
        <s v="Sepatu Lari Mills"/>
        <s v="Sofa Minimalis Jepara"/>
        <s v="Laptop Axioo Mybook"/>
        <s v="Lemari Pakaian Sliding"/>
        <s v="Monitor Led Advance 24"/>
        <s v="Kemeja Batik Premium"/>
        <s v="Jaket Parka Erigo"/>
        <s v="Matras Yoga Speeds"/>
        <s v="Air Fryer Mito Digifry"/>
        <s v="Speaker Aktif Polytron"/>
        <s v="Meja Makan Kayu Jati"/>
        <s v="Springbed Olympic No 2"/>
        <s v="Raket Badminton Specs"/>
        <s v="Kursi Kerja Ergonomis"/>
        <s v="Kaos Polos Cotton Combed"/>
        <s v="Hijab Voal Eksklusif"/>
        <s v="Rak Buku Kayu Minimalis"/>
        <s v="Smartphone Polytron X"/>
        <s v="Sepeda Lipat Element"/>
        <s v="Dispenser Denpoo"/>
        <s v="Jersey Timnas Mills"/>
        <s v="Celana Chino Lokal"/>
        <s v="Rice Cooker Cosmos"/>
        <s v="Tablet Advan Sketsa"/>
      </sharedItems>
    </cacheField>
    <cacheField name="category" numFmtId="0">
      <sharedItems count="5">
        <s v="Home Appliances"/>
        <s v="Electronics"/>
        <s v="Sports"/>
        <s v="Furniture "/>
        <s v="Clothing"/>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48000" maxValue="8400000"/>
    </cacheField>
    <cacheField name="discount" numFmtId="0">
      <sharedItems containsSemiMixedTypes="0" containsString="0" containsNumber="1" minValue="0" maxValue="0.15"/>
    </cacheField>
    <cacheField name="cost" numFmtId="0">
      <sharedItems containsSemiMixedTypes="0" containsString="0" containsNumber="1" containsInteger="1" minValue="0" maxValue="5796000"/>
    </cacheField>
    <cacheField name="sales" numFmtId="0">
      <sharedItems containsSemiMixedTypes="0" containsString="0" containsNumber="1" minValue="46750" maxValue="41070000"/>
    </cacheField>
    <cacheField name="profit" numFmtId="0">
      <sharedItems containsSemiMixedTypes="0" containsString="0" containsNumber="1" minValue="13750" maxValue="35607000" count="1248">
        <n v="97000"/>
        <n v="60900"/>
        <n v="1726000"/>
        <n v="116000"/>
        <n v="463000"/>
        <n v="457000"/>
        <n v="300600"/>
        <n v="118000"/>
        <n v="90000"/>
        <n v="887850"/>
        <n v="66650"/>
        <n v="571000"/>
        <n v="95000"/>
        <n v="100000"/>
        <n v="29900"/>
        <n v="88000"/>
        <n v="382000"/>
        <n v="363000"/>
        <n v="84000"/>
        <n v="73000"/>
        <n v="476000"/>
        <n v="983550"/>
        <n v="78000"/>
        <n v="1044321.4285714285"/>
        <n v="110000"/>
        <n v="109000"/>
        <n v="83000"/>
        <n v="82000"/>
        <n v="92000"/>
        <n v="386785.71428571426"/>
        <n v="1160357.1428571427"/>
        <n v="128000"/>
        <n v="99000"/>
        <n v="129000"/>
        <n v="42200"/>
        <n v="591000"/>
        <n v="124000"/>
        <n v="734000"/>
        <n v="492200"/>
        <n v="107000"/>
        <n v="81000"/>
        <n v="94000"/>
        <n v="488000"/>
        <n v="115000"/>
        <n v="561000"/>
        <n v="91000"/>
        <n v="507000"/>
        <n v="372700"/>
        <n v="749000"/>
        <n v="108000"/>
        <n v="91250"/>
        <n v="126000"/>
        <n v="484000"/>
        <n v="415200"/>
        <n v="885300"/>
        <n v="548000"/>
        <n v="1077000"/>
        <n v="139000"/>
        <n v="950000"/>
        <n v="470000"/>
        <n v="86300"/>
        <n v="509000"/>
        <n v="669000"/>
        <n v="780000"/>
        <n v="3382000"/>
        <n v="693000"/>
        <n v="6670000"/>
        <n v="565200"/>
        <n v="8006000"/>
        <n v="828000"/>
        <n v="494900"/>
        <n v="2443000"/>
        <n v="484700"/>
        <n v="4549000"/>
        <n v="445500"/>
        <n v="628000"/>
        <n v="637000"/>
        <n v="642000"/>
        <n v="5640200"/>
        <n v="2468000"/>
        <n v="3252000"/>
        <n v="535000"/>
        <n v="374000"/>
        <n v="653000"/>
        <n v="2497000"/>
        <n v="658000"/>
        <n v="750000"/>
        <n v="673000"/>
        <n v="3139000"/>
        <n v="816000"/>
        <n v="2814200"/>
        <n v="585000"/>
        <n v="790000"/>
        <n v="696000"/>
        <n v="789000"/>
        <n v="867000"/>
        <n v="518700"/>
        <n v="618000"/>
        <n v="2569000"/>
        <n v="619000"/>
        <n v="608000"/>
        <n v="807000"/>
        <n v="5616000"/>
        <n v="5912000"/>
        <n v="316500"/>
        <n v="574200"/>
        <n v="4558000"/>
        <n v="924000"/>
        <n v="556100"/>
        <n v="595000"/>
        <n v="377100"/>
        <n v="772000"/>
        <n v="812000"/>
        <n v="600000"/>
        <n v="409100"/>
        <n v="2734000"/>
        <n v="661000"/>
        <n v="705000"/>
        <n v="796000"/>
        <n v="567100"/>
        <n v="713000"/>
        <n v="776000"/>
        <n v="646000"/>
        <n v="4154000"/>
        <n v="5444050"/>
        <n v="783291.66666666651"/>
        <n v="621000"/>
        <n v="521500"/>
        <n v="483400"/>
        <n v="688000"/>
        <n v="482550"/>
        <n v="6984000"/>
        <n v="768000"/>
        <n v="80000"/>
        <n v="892850"/>
        <n v="113000"/>
        <n v="47550"/>
        <n v="120000"/>
        <n v="142000"/>
        <n v="143000"/>
        <n v="613000"/>
        <n v="111000"/>
        <n v="89000"/>
        <n v="62000"/>
        <n v="110850"/>
        <n v="67000"/>
        <n v="842000"/>
        <n v="103000"/>
        <n v="93000"/>
        <n v="132000"/>
        <n v="42700"/>
        <n v="56000"/>
        <n v="476930"/>
        <n v="57300"/>
        <n v="605000"/>
        <n v="102000"/>
        <n v="1693000"/>
        <n v="77000"/>
        <n v="407183.33333333331"/>
        <n v="472000"/>
        <n v="112000"/>
        <n v="665000"/>
        <n v="650000"/>
        <n v="46450"/>
        <n v="144000"/>
        <n v="150000"/>
        <n v="386824.16666666663"/>
        <n v="96000"/>
        <n v="1150000"/>
        <n v="135000"/>
        <n v="1302000"/>
        <n v="570000"/>
        <n v="106000"/>
        <n v="599000"/>
        <n v="530000"/>
        <n v="558366.66666666663"/>
        <n v="125000"/>
        <n v="145000"/>
        <n v="158000"/>
        <n v="155000"/>
        <n v="165024.69135802472"/>
        <n v="156000"/>
        <n v="89200"/>
        <n v="133000"/>
        <n v="1834500"/>
        <n v="67750"/>
        <n v="153000"/>
        <n v="160000"/>
        <n v="446000"/>
        <n v="123200"/>
        <n v="162000"/>
        <n v="76800"/>
        <n v="66800"/>
        <n v="154000"/>
        <n v="51950"/>
        <n v="138000"/>
        <n v="161000"/>
        <n v="492000"/>
        <n v="131400"/>
        <n v="136000"/>
        <n v="639000"/>
        <n v="168000"/>
        <n v="163000"/>
        <n v="2212000"/>
        <n v="494000"/>
        <n v="43550"/>
        <n v="759000"/>
        <n v="468400"/>
        <n v="114000"/>
        <n v="438000"/>
        <n v="54900"/>
        <n v="771000"/>
        <n v="164000"/>
        <n v="978049.38271604944"/>
        <n v="141000"/>
        <n v="148000"/>
        <n v="541000"/>
        <n v="181000"/>
        <n v="598000"/>
        <n v="152000"/>
        <n v="167000"/>
        <n v="95400"/>
        <n v="98000"/>
        <n v="539100"/>
        <n v="183000"/>
        <n v="147000"/>
        <n v="575000"/>
        <n v="55000"/>
        <n v="1485000"/>
        <n v="622000"/>
        <n v="173000"/>
        <n v="159000"/>
        <n v="1575000"/>
        <n v="88500"/>
        <n v="108300"/>
        <n v="87300"/>
        <n v="711800"/>
        <n v="1381000"/>
        <n v="6823000"/>
        <n v="1403000"/>
        <n v="1315000"/>
        <n v="979000"/>
        <n v="980000"/>
        <n v="1271000"/>
        <n v="1470000"/>
        <n v="994000"/>
        <n v="1087000"/>
        <n v="1138000"/>
        <n v="25487000"/>
        <n v="5330521.7391304346"/>
        <n v="965000"/>
        <n v="601400"/>
        <n v="7391000"/>
        <n v="22019000"/>
        <n v="10039000"/>
        <n v="12578200"/>
        <n v="5744000"/>
        <n v="1400000"/>
        <n v="1345000"/>
        <n v="6211000"/>
        <n v="1263995.6521739122"/>
        <n v="1012000"/>
        <n v="1461000"/>
        <n v="1530521.7391304346"/>
        <n v="1457000"/>
        <n v="12539000"/>
        <n v="23377000"/>
        <n v="1497000"/>
        <n v="952000"/>
        <n v="1002000"/>
        <n v="5303200"/>
        <n v="6517400"/>
        <n v="1115000"/>
        <n v="941000"/>
        <n v="1407000"/>
        <n v="1042000"/>
        <n v="1540000"/>
        <n v="916000"/>
        <n v="1414000"/>
        <n v="904000"/>
        <n v="1604000"/>
        <n v="1498000"/>
        <n v="1362000"/>
        <n v="683300"/>
        <n v="1030400"/>
        <n v="11488000"/>
        <n v="1159000"/>
        <n v="644600"/>
        <n v="1146950"/>
        <n v="1331000"/>
        <n v="1389000"/>
        <n v="1256000"/>
        <n v="1539000"/>
        <n v="15054000"/>
        <n v="914000"/>
        <n v="6524000"/>
        <n v="11460500"/>
        <n v="4844000"/>
        <n v="5063995.6521739122"/>
        <n v="5047000"/>
        <n v="987000"/>
        <n v="1397000"/>
        <n v="14487000"/>
        <n v="6343000"/>
        <n v="1013100"/>
        <n v="1160000"/>
        <n v="1112000"/>
        <n v="1499000"/>
        <n v="1868000"/>
        <n v="1161700"/>
        <n v="1142200"/>
        <n v="1804000"/>
        <n v="7505000"/>
        <n v="2017000"/>
        <n v="1719000"/>
        <n v="13161800"/>
        <n v="8035000"/>
        <n v="2168000"/>
        <n v="6886800"/>
        <n v="954000"/>
        <n v="9051800"/>
        <n v="2292000"/>
        <n v="1905000"/>
        <n v="1828000"/>
        <n v="10883000"/>
        <n v="2373000"/>
        <n v="6227000"/>
        <n v="1594000"/>
        <n v="1897650"/>
        <n v="24527000"/>
        <n v="6453000"/>
        <n v="1956000"/>
        <n v="2331000"/>
        <n v="16575100"/>
        <n v="14310000"/>
        <n v="1648000"/>
        <n v="2323000"/>
        <n v="12643800"/>
        <n v="2459000"/>
        <n v="1761000"/>
        <n v="6447234.375"/>
        <n v="1886000"/>
        <n v="1610000"/>
        <n v="2496000"/>
        <n v="1645000"/>
        <n v="2558000"/>
        <n v="10642000"/>
        <n v="2035000"/>
        <n v="1679000"/>
        <n v="2067000"/>
        <n v="11264250"/>
        <n v="10517000"/>
        <n v="1663900"/>
        <n v="1803000"/>
        <n v="2343000"/>
        <n v="18539000"/>
        <n v="2166000"/>
        <n v="2167000"/>
        <n v="1596000"/>
        <n v="2137000"/>
        <n v="7973300"/>
        <n v="1621800"/>
        <n v="2348000"/>
        <n v="1204300"/>
        <n v="1216050"/>
        <n v="9643000"/>
        <n v="1144650"/>
        <n v="1965200"/>
        <n v="35607000"/>
        <n v="10628000"/>
        <n v="2604000"/>
        <n v="1982000"/>
        <n v="6912000"/>
        <n v="2642000"/>
        <n v="667000"/>
        <n v="451000"/>
        <n v="4604700"/>
        <n v="2130000"/>
        <n v="614000"/>
        <n v="2370000"/>
        <n v="6052000"/>
        <n v="2470000"/>
        <n v="449000"/>
        <n v="5574900"/>
        <n v="630000"/>
        <n v="747000"/>
        <n v="3755300"/>
        <n v="3514000"/>
        <n v="2257000"/>
        <n v="493000"/>
        <n v="4629000"/>
        <n v="479050"/>
        <n v="607000"/>
        <n v="649000"/>
        <n v="398000"/>
        <n v="405000"/>
        <n v="3906000"/>
        <n v="3593000"/>
        <n v="766000"/>
        <n v="2827000"/>
        <n v="502000"/>
        <n v="439000"/>
        <n v="2177000"/>
        <n v="5459453.125"/>
        <n v="391000"/>
        <n v="577000"/>
        <n v="451200"/>
        <n v="4448200"/>
        <n v="568000"/>
        <n v="415000"/>
        <n v="575360.15625"/>
        <n v="512000"/>
        <n v="392450"/>
        <n v="3243000"/>
        <n v="717000"/>
        <n v="635000"/>
        <n v="3908000"/>
        <n v="6685000"/>
        <n v="581000"/>
        <n v="3657000"/>
        <n v="738000"/>
        <n v="469000"/>
        <n v="3059500"/>
        <n v="830000"/>
        <n v="537000"/>
        <n v="2733000"/>
        <n v="845000"/>
        <n v="604000"/>
        <n v="246500"/>
        <n v="876000"/>
        <n v="460000"/>
        <n v="352000"/>
        <n v="5204000"/>
        <n v="289700"/>
        <n v="397000"/>
        <n v="343000"/>
        <n v="422000"/>
        <n v="1391400"/>
        <n v="433000"/>
        <n v="274500"/>
        <n v="2077200"/>
        <n v="1494700"/>
        <n v="383000"/>
        <n v="387000"/>
        <n v="1638000"/>
        <n v="386000"/>
        <n v="2379000"/>
        <n v="403000"/>
        <n v="222250"/>
        <n v="272600"/>
        <n v="3077000"/>
        <n v="1641800"/>
        <n v="1975636.3636363638"/>
        <n v="161400"/>
        <n v="523000"/>
        <n v="424500"/>
        <n v="292800"/>
        <n v="4066000"/>
        <n v="1816000"/>
        <n v="334000"/>
        <n v="450000"/>
        <n v="1755000"/>
        <n v="526000"/>
        <n v="419000"/>
        <n v="6055000"/>
        <n v="554000"/>
        <n v="516000"/>
        <n v="284150"/>
        <n v="485000"/>
        <n v="414000"/>
        <n v="400000"/>
        <n v="241100"/>
        <n v="381000"/>
        <n v="1898000"/>
        <n v="447000"/>
        <n v="462000"/>
        <n v="538000"/>
        <n v="2152000"/>
        <n v="2122000"/>
        <n v="3917000"/>
        <n v="466000"/>
        <n v="2081000"/>
        <n v="431000"/>
        <n v="1104200"/>
        <n v="51150"/>
        <n v="85000"/>
        <n v="329000"/>
        <n v="683000"/>
        <n v="137000"/>
        <n v="176000"/>
        <n v="61250"/>
        <n v="86000"/>
        <n v="178000"/>
        <n v="654000"/>
        <n v="82400"/>
        <n v="455000"/>
        <n v="134000"/>
        <n v="997100"/>
        <n v="123000"/>
        <n v="428000"/>
        <n v="76250"/>
        <n v="532000"/>
        <n v="127000"/>
        <n v="188000"/>
        <n v="739000"/>
        <n v="101950"/>
        <n v="101300"/>
        <n v="583000"/>
        <n v="413900"/>
        <n v="659000"/>
        <n v="148100"/>
        <n v="204000"/>
        <n v="2229000"/>
        <n v="574000"/>
        <n v="198000"/>
        <n v="199000"/>
        <n v="511200"/>
        <n v="120400"/>
        <n v="515900"/>
        <n v="177000"/>
        <n v="1458000"/>
        <n v="70650"/>
        <n v="379000"/>
        <n v="69000"/>
        <n v="82300"/>
        <n v="68000"/>
        <n v="418000"/>
        <n v="341000"/>
        <n v="61800"/>
        <n v="54700"/>
        <n v="236000"/>
        <n v="60000"/>
        <n v="61100"/>
        <n v="58000"/>
        <n v="67200"/>
        <n v="336000"/>
        <n v="61200"/>
        <n v="79450"/>
        <n v="111590.90909090912"/>
        <n v="62400"/>
        <n v="81750"/>
        <n v="122000"/>
        <n v="452000"/>
        <n v="90850"/>
        <n v="78200"/>
        <n v="104000"/>
        <n v="813000"/>
        <n v="105000"/>
        <n v="1475000"/>
        <n v="109900"/>
        <n v="63450"/>
        <n v="209300"/>
        <n v="91500"/>
        <n v="45000"/>
        <n v="53000"/>
        <n v="33000"/>
        <n v="101800"/>
        <n v="28000"/>
        <n v="171000"/>
        <n v="51000"/>
        <n v="59000"/>
        <n v="46000"/>
        <n v="31000"/>
        <n v="32900"/>
        <n v="54000"/>
        <n v="39000"/>
        <n v="219000"/>
        <n v="26550"/>
        <n v="319000"/>
        <n v="55300"/>
        <n v="38000"/>
        <n v="34000"/>
        <n v="227000"/>
        <n v="57592.592592592584"/>
        <n v="231000"/>
        <n v="34350"/>
        <n v="52000"/>
        <n v="40950"/>
        <n v="214000"/>
        <n v="61000"/>
        <n v="42000"/>
        <n v="357800"/>
        <n v="64000"/>
        <n v="203900"/>
        <n v="40000"/>
        <n v="36800"/>
        <n v="172000"/>
        <n v="424777.77777777775"/>
        <n v="41000"/>
        <n v="30000"/>
        <n v="36200"/>
        <n v="50750"/>
        <n v="30150"/>
        <n v="429000"/>
        <n v="126150"/>
        <n v="224000"/>
        <n v="218000"/>
        <n v="322000"/>
        <n v="260000"/>
        <n v="328000"/>
        <n v="2253000"/>
        <n v="278000"/>
        <n v="351000"/>
        <n v="340000"/>
        <n v="254000"/>
        <n v="3836000"/>
        <n v="232200"/>
        <n v="1865550"/>
        <n v="364000"/>
        <n v="266000"/>
        <n v="257000"/>
        <n v="377000"/>
        <n v="240000"/>
        <n v="190600"/>
        <n v="316000"/>
        <n v="313000"/>
        <n v="1189000"/>
        <n v="355000"/>
        <n v="1450400"/>
        <n v="303000"/>
        <n v="1500000"/>
        <n v="279000"/>
        <n v="1528000"/>
        <n v="1144000"/>
        <n v="1449000"/>
        <n v="342000"/>
        <n v="241000"/>
        <n v="303750"/>
        <n v="302000"/>
        <n v="280200"/>
        <n v="4913426.2295081969"/>
        <n v="1043200"/>
        <n v="2941000"/>
        <n v="2414000"/>
        <n v="384000"/>
        <n v="385000"/>
        <n v="373000"/>
        <n v="1527000"/>
        <n v="1077190.9836065574"/>
        <n v="377885.24590163934"/>
        <n v="1867000"/>
        <n v="320550"/>
        <n v="1737000"/>
        <n v="1248200"/>
        <n v="357000"/>
        <n v="288000"/>
        <n v="2489900"/>
        <n v="295000"/>
        <n v="236500"/>
        <n v="3241000"/>
        <n v="325000"/>
        <n v="5231000"/>
        <n v="361000"/>
        <n v="315000"/>
        <n v="248000"/>
        <n v="311000"/>
        <n v="3027000"/>
        <n v="5057600"/>
        <n v="332000"/>
        <n v="1876000"/>
        <n v="2066000"/>
        <n v="348000"/>
        <n v="1682000"/>
        <n v="2427000"/>
        <n v="1432400"/>
        <n v="1859000"/>
        <n v="2739000"/>
        <n v="237850"/>
        <n v="1130000"/>
        <n v="233000"/>
        <n v="1705000"/>
        <n v="1379000"/>
        <n v="388000"/>
        <n v="351050"/>
        <n v="347000"/>
        <n v="265000"/>
        <n v="259000"/>
        <n v="2670000"/>
        <n v="401600"/>
        <n v="217900"/>
        <n v="217050"/>
        <n v="464000"/>
        <n v="281300"/>
        <n v="3359000"/>
        <n v="344000"/>
        <n v="1532000"/>
        <n v="430000"/>
        <n v="2291000"/>
        <n v="1762000"/>
        <n v="1889000"/>
        <n v="4986000"/>
        <n v="1792000"/>
        <n v="339000"/>
        <n v="1293000"/>
        <n v="323000"/>
        <n v="1224000"/>
        <n v="261200"/>
        <n v="375000"/>
        <n v="443000"/>
        <n v="758900"/>
        <n v="740000"/>
        <n v="1069000"/>
        <n v="1042203.3898305083"/>
        <n v="710000"/>
        <n v="644000"/>
        <n v="8848500"/>
        <n v="968000"/>
        <n v="927000"/>
        <n v="1117000"/>
        <n v="426400"/>
        <n v="733900"/>
        <n v="403600"/>
        <n v="7011900"/>
        <n v="848000"/>
        <n v="553050"/>
        <n v="858000"/>
        <n v="1006000"/>
        <n v="7786449.1525423732"/>
        <n v="1015000"/>
        <n v="304000"/>
        <n v="15510000"/>
        <n v="620000"/>
        <n v="7509000"/>
        <n v="5526500"/>
        <n v="955000"/>
        <n v="773750"/>
        <n v="1223000"/>
        <n v="974000"/>
        <n v="401300"/>
        <n v="869000"/>
        <n v="681000"/>
        <n v="714000"/>
        <n v="673250"/>
        <n v="923000"/>
        <n v="957000"/>
        <n v="764000"/>
        <n v="545300"/>
        <n v="898000"/>
        <n v="14560000"/>
        <n v="687000"/>
        <n v="4083000"/>
        <n v="6314000"/>
        <n v="1205000"/>
        <n v="1104000"/>
        <n v="611000"/>
        <n v="598200"/>
        <n v="647000"/>
        <n v="364200"/>
        <n v="310550"/>
        <n v="6305000"/>
        <n v="14359000"/>
        <n v="551000"/>
        <n v="482850"/>
        <n v="3055000"/>
        <n v="3125900"/>
        <n v="366500"/>
        <n v="781000"/>
        <n v="756000"/>
        <n v="16835000"/>
        <n v="725000"/>
        <n v="625000"/>
        <n v="532200"/>
        <n v="5617000"/>
        <n v="888000"/>
        <n v="897000"/>
        <n v="984000"/>
        <n v="891000"/>
        <n v="826000"/>
        <n v="4766000"/>
        <n v="3536000"/>
        <n v="656000"/>
        <n v="983000"/>
        <n v="4229000"/>
        <n v="5446000"/>
        <n v="5497000"/>
        <n v="2574200"/>
        <n v="415950"/>
        <n v="472250"/>
        <n v="752550"/>
        <n v="8440000"/>
        <n v="1106000"/>
        <n v="736000"/>
        <n v="992000"/>
        <n v="1038000"/>
        <n v="745000"/>
        <n v="324100"/>
        <n v="5897000"/>
        <n v="773000"/>
        <n v="805300"/>
        <n v="356200"/>
        <n v="4319800"/>
        <n v="8802000"/>
        <n v="917000"/>
        <n v="640000"/>
        <n v="474550"/>
        <n v="4599200"/>
        <n v="941131.14754098374"/>
        <n v="5452000"/>
        <n v="886000"/>
        <n v="646600"/>
        <n v="1004000"/>
        <n v="931000"/>
        <n v="413200"/>
        <n v="95550"/>
        <n v="102700"/>
        <n v="1310000"/>
        <n v="63500"/>
        <n v="74000"/>
        <n v="584000"/>
        <n v="62650"/>
        <n v="531000"/>
        <n v="391800"/>
        <n v="399000"/>
        <n v="76000"/>
        <n v="48000"/>
        <n v="55100"/>
        <n v="157000"/>
        <n v="170000"/>
        <n v="905700"/>
        <n v="119000"/>
        <n v="562000"/>
        <n v="132600"/>
        <n v="429388.88888888888"/>
        <n v="131000"/>
        <n v="117250"/>
        <n v="1301500"/>
        <n v="445000"/>
        <n v="1360000"/>
        <n v="593000"/>
        <n v="540000"/>
        <n v="185000"/>
        <n v="120600"/>
        <n v="153050"/>
        <n v="320000"/>
        <n v="251000"/>
        <n v="1602000"/>
        <n v="1557000"/>
        <n v="1519000"/>
        <n v="289000"/>
        <n v="201000"/>
        <n v="245000"/>
        <n v="169100"/>
        <n v="288100"/>
        <n v="330000"/>
        <n v="226000"/>
        <n v="232000"/>
        <n v="301750"/>
        <n v="1788000"/>
        <n v="2725000"/>
        <n v="1212000"/>
        <n v="304800"/>
        <n v="300650"/>
        <n v="195000"/>
        <n v="1657900"/>
        <n v="2814000"/>
        <n v="86350"/>
        <n v="165700"/>
        <n v="213000"/>
        <n v="220000"/>
        <n v="1075000"/>
        <n v="376000"/>
        <n v="256000"/>
        <n v="269000"/>
        <n v="274000"/>
        <n v="345000"/>
        <n v="4166000"/>
        <n v="238000"/>
        <n v="1385000"/>
        <n v="106900"/>
        <n v="3017000"/>
        <n v="317000"/>
        <n v="2037000"/>
        <n v="1383000"/>
        <n v="246000"/>
        <n v="3660181.8181818179"/>
        <n v="1461800"/>
        <n v="135900"/>
        <n v="1822000"/>
        <n v="365000"/>
        <n v="4529000"/>
        <n v="243000"/>
        <n v="1652000"/>
        <n v="358000"/>
        <n v="1483000"/>
        <n v="335000"/>
        <n v="286600"/>
        <n v="245400"/>
        <n v="26000"/>
        <n v="29850"/>
        <n v="24000"/>
        <n v="35000"/>
        <n v="21950"/>
        <n v="72384.61538461539"/>
        <n v="32000"/>
        <n v="28700"/>
        <n v="16500"/>
        <n v="29800"/>
        <n v="20000"/>
        <n v="19000"/>
        <n v="30384.61538461539"/>
        <n v="37000"/>
        <n v="21000"/>
        <n v="36000"/>
        <n v="71000"/>
        <n v="13750"/>
        <n v="23200"/>
        <n v="20200"/>
        <n v="151350"/>
        <n v="27000"/>
        <n v="22000"/>
        <n v="21200"/>
        <n v="27700"/>
        <n v="217000"/>
        <n v="25300"/>
        <n v="23000"/>
        <n v="19450"/>
        <n v="46650"/>
        <n v="294900"/>
        <n v="44000"/>
        <n v="29000"/>
        <n v="18150"/>
        <n v="140577.46478873238"/>
        <n v="22050"/>
        <n v="37788.73239436619"/>
        <n v="191000"/>
        <n v="208000"/>
        <n v="16000"/>
        <n v="110100"/>
        <n v="28100"/>
        <n v="221000"/>
        <n v="79000"/>
        <n v="43000"/>
        <n v="23300"/>
        <n v="270000"/>
        <n v="401000"/>
        <n v="437000"/>
        <n v="25000"/>
        <n v="102788.73239436619"/>
        <n v="57000"/>
        <n v="219050"/>
        <n v="176100"/>
        <n v="1690800"/>
        <n v="2048300"/>
        <n v="117000"/>
        <n v="1309000"/>
        <n v="225000"/>
        <n v="203000"/>
        <n v="983081.96721311472"/>
        <n v="166000"/>
        <n v="282000"/>
        <n v="215000"/>
        <n v="2619000"/>
        <n v="2001000"/>
        <n v="797000"/>
        <n v="53450"/>
        <n v="2492000"/>
        <n v="272000"/>
        <n v="2363000"/>
        <n v="200000"/>
        <n v="135100"/>
        <n v="1296000"/>
        <n v="914100"/>
        <n v="228000"/>
        <n v="5132000"/>
        <n v="2672000"/>
        <n v="4283000"/>
        <n v="1254000"/>
        <n v="1028000"/>
        <n v="2281000"/>
        <n v="1716000"/>
        <n v="126700"/>
        <n v="298000"/>
        <n v="287000"/>
        <n v="5267000"/>
        <n v="5177000"/>
        <n v="1186000"/>
        <n v="264000"/>
        <n v="202000"/>
        <n v="249000"/>
        <n v="2812000"/>
        <n v="154100"/>
        <n v="207000"/>
        <n v="92600"/>
        <n v="2830000"/>
        <n v="2164100"/>
        <n v="603600"/>
        <n v="3492303.0303030303"/>
        <n v="515000"/>
        <n v="647800"/>
        <n v="13126000"/>
        <n v="3881145.4545454551"/>
        <n v="454500"/>
        <n v="8266000"/>
        <n v="632700"/>
        <n v="843000"/>
        <n v="1219000"/>
        <n v="964000"/>
        <n v="3689000"/>
        <n v="685950"/>
        <n v="2905000"/>
        <n v="1035000"/>
        <n v="5170000"/>
        <n v="556850"/>
        <n v="817000"/>
        <n v="6136000"/>
        <n v="1008000"/>
        <n v="703000"/>
        <n v="211450"/>
        <n v="5033000"/>
        <n v="5349000"/>
        <n v="978000"/>
        <n v="1103000"/>
        <n v="967000"/>
        <n v="721000"/>
        <n v="1041000"/>
        <n v="629000"/>
        <n v="1030000"/>
        <n v="508750"/>
        <n v="937000"/>
        <n v="935000"/>
        <n v="3392000"/>
        <n v="1226000"/>
        <n v="896000"/>
        <n v="488950"/>
        <n v="1084000"/>
        <n v="839000"/>
        <n v="609000"/>
        <n v="755000"/>
        <n v="811000"/>
        <n v="765000"/>
        <n v="7938000"/>
        <n v="4126000"/>
        <n v="2707000"/>
        <n v="1087303.0303030303"/>
        <n v="1121000"/>
        <n v="719000"/>
        <n v="1026000"/>
        <n v="5370000"/>
        <n v="683750"/>
        <n v="4636000"/>
        <n v="7383000"/>
        <n v="660000"/>
        <n v="793000"/>
        <n v="1248000"/>
        <n v="566000"/>
        <n v="21751000"/>
        <n v="374700"/>
        <n v="4369000"/>
        <n v="4722000"/>
        <n v="7273750"/>
        <n v="3087400"/>
        <n v="7833000"/>
        <n v="3021000"/>
        <n v="3442000"/>
        <n v="7125600"/>
        <n v="4617000"/>
        <n v="2928600"/>
        <n v="3422000"/>
        <n v="3251000"/>
        <n v="1046000"/>
        <n v="596000"/>
        <n v="8331000"/>
        <n v="6115000"/>
        <n v="794000"/>
        <n v="868000"/>
        <n v="1017000"/>
        <n v="1068000"/>
        <n v="1007000"/>
        <n v="5129500"/>
        <n v="3948000"/>
        <n v="723000"/>
        <n v="5063450"/>
        <n v="1156000"/>
        <n v="1142000"/>
        <n v="631000"/>
        <n v="4613000"/>
        <n v="1110000"/>
        <n v="1109000"/>
        <n v="7712000"/>
        <n v="3150200"/>
        <n v="1187000"/>
        <n v="7888000"/>
        <n v="546400"/>
        <n v="699000"/>
        <n v="305000"/>
        <n v="1660000"/>
        <n v="1571000"/>
        <n v="2146000"/>
        <n v="205850"/>
        <n v="1106600"/>
        <n v="366000"/>
        <n v="306000"/>
        <n v="405465.51724137925"/>
        <n v="333000"/>
        <n v="1944000"/>
        <n v="1649000"/>
        <n v="277000"/>
        <n v="404000"/>
        <n v="2610950"/>
        <n v="1876300"/>
        <n v="2490931.0344827585"/>
        <n v="318000"/>
        <n v="423000"/>
        <n v="3734000"/>
        <n v="1255000"/>
        <n v="1405000"/>
        <n v="285000"/>
        <n v="244550"/>
        <n v="272400"/>
        <n v="1852000"/>
        <n v="202300"/>
        <n v="4386000"/>
        <n v="3492000"/>
        <n v="317500"/>
        <n v="204800"/>
        <n v="2313000"/>
        <n v="326000"/>
        <n v="261000"/>
        <n v="3644250"/>
        <n v="224500"/>
        <n v="408000"/>
        <n v="162100"/>
        <n v="292000"/>
        <n v="283000"/>
        <n v="6843000"/>
        <n v="378650"/>
        <n v="339700"/>
        <n v="193500"/>
        <n v="3371600"/>
        <n v="358700"/>
        <n v="66000"/>
        <n v="661500"/>
        <n v="273666.66666666669"/>
        <n v="49650"/>
        <n v="602600"/>
        <n v="65000"/>
        <n v="920750"/>
        <n v="478000"/>
        <n v="49000"/>
        <n v="72000"/>
        <n v="234000"/>
        <n v="1126000"/>
        <n v="436900"/>
        <n v="107850"/>
        <n v="874000"/>
        <n v="390000"/>
        <n v="308000"/>
        <n v="547333.33333333337"/>
        <n v="60600"/>
        <n v="78550"/>
        <n v="536000"/>
        <n v="465000"/>
        <n v="1511000"/>
        <n v="408200"/>
        <n v="149000"/>
        <n v="90900"/>
        <n v="767000"/>
        <n v="62750"/>
        <n v="280000"/>
        <n v="50000"/>
        <n v="209000"/>
        <n v="275000"/>
        <n v="349000"/>
        <n v="247000"/>
        <n v="75000"/>
        <n v="1100000"/>
        <n v="189000"/>
        <n v="48850"/>
        <n v="44900"/>
        <n v="804250"/>
        <n v="27150"/>
        <n v="49700"/>
        <n v="59800"/>
        <n v="40350"/>
        <n v="944000"/>
        <n v="140000"/>
        <n v="1131400"/>
        <n v="1067700"/>
        <n v="540800"/>
        <n v="792000"/>
        <n v="107250"/>
        <n v="692700"/>
        <n v="762000"/>
        <n v="555000"/>
        <n v="75900"/>
        <n v="936000"/>
        <n v="74300"/>
        <n v="112250"/>
        <n v="462800"/>
        <n v="1127000"/>
        <n v="170087.71929824562"/>
        <n v="93700"/>
        <n v="770000"/>
        <n v="2557000"/>
        <n v="2855000"/>
        <n v="690000"/>
        <n v="655000"/>
        <n v="4501000"/>
        <n v="538200"/>
        <n v="1081000"/>
        <n v="781200"/>
        <n v="1043000"/>
        <n v="761000"/>
        <n v="1036000"/>
        <n v="5254000"/>
        <n v="8687000"/>
        <n v="889000"/>
        <n v="2640000"/>
        <n v="8414000"/>
        <n v="2960000"/>
        <n v="649450"/>
        <n v="2804666.6666666665"/>
        <n v="7426250"/>
        <n v="5847000"/>
        <n v="6539000"/>
        <n v="1078000"/>
        <n v="6137800"/>
        <n v="699600"/>
        <n v="743000"/>
        <n v="577700"/>
        <n v="4117600"/>
        <n v="880000"/>
        <n v="5609000"/>
        <n v="2989000"/>
        <n v="641600"/>
        <n v="608400"/>
        <n v="1045000"/>
        <n v="778000"/>
        <n v="783050"/>
        <n v="934666.66666666651"/>
        <n v="910000"/>
        <n v="8393000"/>
        <n v="4417000"/>
        <n v="940000"/>
        <n v="801000"/>
        <n v="749600"/>
        <n v="4749000"/>
        <n v="1116000"/>
        <n v="2443200"/>
        <n v="3573000"/>
        <n v="4758000"/>
        <n v="4489200"/>
        <n v="901000"/>
        <n v="14469000"/>
        <n v="5528000"/>
        <n v="4377000"/>
        <n v="976000"/>
        <n v="707650"/>
      </sharedItems>
    </cacheField>
    <cacheField name="month" numFmtId="0">
      <sharedItems count="12">
        <s v="Jan"/>
        <s v="Feb"/>
        <s v="Mar"/>
        <s v="May"/>
        <s v="Jun"/>
        <s v="Jul"/>
        <s v="Aug"/>
        <s v="Sep"/>
        <s v="Oct"/>
        <s v="Nov"/>
        <s v="Dec"/>
        <s v="Apr"/>
      </sharedItems>
    </cacheField>
    <cacheField name="year" numFmtId="0">
      <sharedItems containsSemiMixedTypes="0" containsString="0" containsNumber="1" containsInteger="1" minValue="2023" maxValue="2026" count="4">
        <n v="2023"/>
        <n v="2024"/>
        <n v="2025"/>
        <n v="2026"/>
      </sharedItems>
    </cacheField>
    <cacheField name="month_num" numFmtId="0">
      <sharedItems containsSemiMixedTypes="0" containsString="0" containsNumber="1" containsInteger="1" minValue="1" maxValue="12"/>
    </cacheField>
    <cacheField name="day" numFmtId="0">
      <sharedItems containsSemiMixedTypes="0" containsString="0" containsNumber="1" containsInteger="1" minValue="1" maxValue="31" count="31">
        <n v="1"/>
        <n v="9"/>
        <n v="17"/>
        <n v="7"/>
        <n v="28"/>
        <n v="16"/>
        <n v="26"/>
        <n v="29"/>
        <n v="3"/>
        <n v="18"/>
        <n v="12"/>
        <n v="23"/>
        <n v="25"/>
        <n v="10"/>
        <n v="21"/>
        <n v="30"/>
        <n v="22"/>
        <n v="2"/>
        <n v="14"/>
        <n v="15"/>
        <n v="4"/>
        <n v="5"/>
        <n v="11"/>
        <n v="13"/>
        <n v="27"/>
        <n v="24"/>
        <n v="19"/>
        <n v="8"/>
        <n v="31"/>
        <n v="6"/>
        <n v="20"/>
      </sharedItems>
    </cacheField>
    <cacheField name="margin %" numFmtId="0">
      <sharedItems containsSemiMixedTypes="0" containsString="0" containsNumber="1" minValue="7.0490631135726525E-2" maxValue="1"/>
    </cacheField>
  </cacheFields>
  <extLst>
    <ext xmlns:x14="http://schemas.microsoft.com/office/spreadsheetml/2009/9/main" uri="{725AE2AE-9491-48be-B2B4-4EB974FC3084}">
      <x14:pivotCacheDefinition pivotCacheId="849688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9">
  <r>
    <s v="ID-2023-00077"/>
    <d v="2023-01-01T00:00:00"/>
    <s v="ST-001"/>
    <x v="0"/>
    <s v="CUST-019"/>
    <x v="0"/>
    <s v="PRD-015"/>
    <x v="0"/>
    <x v="0"/>
    <n v="1"/>
    <n v="400000"/>
    <n v="0"/>
    <n v="303000"/>
    <n v="400000"/>
    <x v="0"/>
    <x v="0"/>
    <x v="0"/>
    <n v="1"/>
    <x v="0"/>
    <n v="0.24249999999999999"/>
  </r>
  <r>
    <s v="ID-2023-01157"/>
    <d v="2023-01-09T00:00:00"/>
    <s v="ST-001"/>
    <x v="0"/>
    <s v="CUST-057"/>
    <x v="1"/>
    <s v="PRD-015"/>
    <x v="0"/>
    <x v="0"/>
    <n v="1"/>
    <n v="361000"/>
    <n v="0.1"/>
    <n v="264000"/>
    <n v="324900"/>
    <x v="1"/>
    <x v="0"/>
    <x v="0"/>
    <n v="1"/>
    <x v="1"/>
    <n v="0.18744228993536471"/>
  </r>
  <r>
    <s v="ID-2023-01216"/>
    <d v="2023-01-17T00:00:00"/>
    <s v="ST-005"/>
    <x v="1"/>
    <s v="CUST-093"/>
    <x v="2"/>
    <s v="PRD-015"/>
    <x v="0"/>
    <x v="0"/>
    <n v="5"/>
    <n v="404000"/>
    <n v="0"/>
    <n v="294000"/>
    <n v="2020000"/>
    <x v="2"/>
    <x v="0"/>
    <x v="0"/>
    <n v="1"/>
    <x v="2"/>
    <n v="0.85445544554455444"/>
  </r>
  <r>
    <s v="ID-2023-00391"/>
    <d v="2023-02-07T00:00:00"/>
    <s v="ST-001"/>
    <x v="0"/>
    <s v="CUST-117"/>
    <x v="1"/>
    <s v="PRD-015"/>
    <x v="0"/>
    <x v="0"/>
    <n v="1"/>
    <n v="414000"/>
    <n v="0"/>
    <n v="298000"/>
    <n v="414000"/>
    <x v="3"/>
    <x v="1"/>
    <x v="0"/>
    <n v="2"/>
    <x v="3"/>
    <n v="0.28019323671497587"/>
  </r>
  <r>
    <s v="ID-2023-01187"/>
    <d v="2023-02-28T00:00:00"/>
    <s v="ST-001"/>
    <x v="0"/>
    <s v="CUST-133"/>
    <x v="1"/>
    <s v="PRD-015"/>
    <x v="0"/>
    <x v="0"/>
    <n v="2"/>
    <n v="366000"/>
    <n v="0"/>
    <n v="269000"/>
    <n v="732000"/>
    <x v="4"/>
    <x v="1"/>
    <x v="0"/>
    <n v="2"/>
    <x v="4"/>
    <n v="0.63251366120218577"/>
  </r>
  <r>
    <s v="ID-2023-00326"/>
    <d v="2023-03-16T00:00:00"/>
    <s v="ST-001"/>
    <x v="0"/>
    <s v="CUST-115"/>
    <x v="0"/>
    <s v="PRD-015"/>
    <x v="0"/>
    <x v="0"/>
    <n v="2"/>
    <n v="366000"/>
    <n v="0"/>
    <n v="275000"/>
    <n v="732000"/>
    <x v="5"/>
    <x v="2"/>
    <x v="0"/>
    <n v="3"/>
    <x v="5"/>
    <n v="0.62431693989071035"/>
  </r>
  <r>
    <s v="ID-2023-00419"/>
    <d v="2023-03-26T00:00:00"/>
    <s v="ST-004"/>
    <x v="2"/>
    <s v="CUST-115"/>
    <x v="0"/>
    <s v="PRD-015"/>
    <x v="0"/>
    <x v="0"/>
    <n v="2"/>
    <n v="264000"/>
    <n v="0.05"/>
    <n v="201000"/>
    <n v="501600"/>
    <x v="6"/>
    <x v="2"/>
    <x v="0"/>
    <n v="3"/>
    <x v="6"/>
    <n v="0.59928229665071775"/>
  </r>
  <r>
    <s v="ID-2023-01530"/>
    <d v="2023-03-29T00:00:00"/>
    <s v="ST-001"/>
    <x v="0"/>
    <s v="CUST-017"/>
    <x v="1"/>
    <s v="PRD-015"/>
    <x v="0"/>
    <x v="0"/>
    <n v="1"/>
    <n v="428000"/>
    <n v="0"/>
    <n v="310000"/>
    <n v="428000"/>
    <x v="7"/>
    <x v="2"/>
    <x v="0"/>
    <n v="3"/>
    <x v="7"/>
    <n v="0.27570093457943923"/>
  </r>
  <r>
    <s v="ID-2023-01692"/>
    <d v="2023-05-03T00:00:00"/>
    <s v="ST-002"/>
    <x v="3"/>
    <s v="CUST-082"/>
    <x v="0"/>
    <s v="PRD-015"/>
    <x v="0"/>
    <x v="0"/>
    <n v="1"/>
    <n v="358000"/>
    <n v="0"/>
    <n v="268000"/>
    <n v="358000"/>
    <x v="8"/>
    <x v="3"/>
    <x v="0"/>
    <n v="5"/>
    <x v="8"/>
    <n v="0.25139664804469275"/>
  </r>
  <r>
    <s v="ID-2023-00696"/>
    <d v="2023-06-09T00:00:00"/>
    <s v="ST-001"/>
    <x v="0"/>
    <s v="CUST-049"/>
    <x v="0"/>
    <s v="PRD-015"/>
    <x v="0"/>
    <x v="0"/>
    <n v="3"/>
    <n v="421000"/>
    <n v="0.05"/>
    <n v="312000"/>
    <n v="1199850"/>
    <x v="9"/>
    <x v="4"/>
    <x v="0"/>
    <n v="6"/>
    <x v="1"/>
    <n v="0.73996749593699207"/>
  </r>
  <r>
    <s v="ID-2023-01518"/>
    <d v="2023-06-18T00:00:00"/>
    <s v="ST-001"/>
    <x v="0"/>
    <s v="CUST-032"/>
    <x v="1"/>
    <s v="PRD-015"/>
    <x v="0"/>
    <x v="0"/>
    <n v="1"/>
    <n v="327000"/>
    <n v="0.05"/>
    <n v="244000"/>
    <n v="310650"/>
    <x v="10"/>
    <x v="4"/>
    <x v="0"/>
    <n v="6"/>
    <x v="9"/>
    <n v="0.21455013680991469"/>
  </r>
  <r>
    <s v="ID-2023-01186"/>
    <d v="2023-07-01T00:00:00"/>
    <s v="ST-003"/>
    <x v="4"/>
    <s v="CUST-014"/>
    <x v="1"/>
    <s v="PRD-015"/>
    <x v="0"/>
    <x v="0"/>
    <n v="2"/>
    <n v="449000"/>
    <n v="0"/>
    <n v="327000"/>
    <n v="898000"/>
    <x v="11"/>
    <x v="5"/>
    <x v="0"/>
    <n v="7"/>
    <x v="0"/>
    <n v="0.63585746102449892"/>
  </r>
  <r>
    <s v="ID-2023-01077"/>
    <d v="2023-08-12T00:00:00"/>
    <s v="ST-001"/>
    <x v="0"/>
    <s v="CUST-025"/>
    <x v="0"/>
    <s v="PRD-015"/>
    <x v="0"/>
    <x v="0"/>
    <n v="1"/>
    <n v="379000"/>
    <n v="0"/>
    <n v="284000"/>
    <n v="379000"/>
    <x v="12"/>
    <x v="6"/>
    <x v="0"/>
    <n v="8"/>
    <x v="10"/>
    <n v="0.25065963060686014"/>
  </r>
  <r>
    <s v="ID-2023-01646"/>
    <d v="2023-09-23T00:00:00"/>
    <s v="ST-001"/>
    <x v="0"/>
    <s v="CUST-029"/>
    <x v="0"/>
    <s v="PRD-015"/>
    <x v="0"/>
    <x v="0"/>
    <n v="1"/>
    <n v="394000"/>
    <n v="0"/>
    <n v="294000"/>
    <n v="394000"/>
    <x v="13"/>
    <x v="7"/>
    <x v="0"/>
    <n v="9"/>
    <x v="11"/>
    <n v="0.25380710659898476"/>
  </r>
  <r>
    <s v="ID-2023-01194"/>
    <d v="2023-10-03T00:00:00"/>
    <s v="ST-002"/>
    <x v="3"/>
    <s v="CUST-012"/>
    <x v="3"/>
    <s v="PRD-015"/>
    <x v="0"/>
    <x v="0"/>
    <n v="1"/>
    <n v="274000"/>
    <n v="0.15"/>
    <n v="203000"/>
    <n v="232900"/>
    <x v="14"/>
    <x v="8"/>
    <x v="0"/>
    <n v="10"/>
    <x v="8"/>
    <n v="0.12838127951910691"/>
  </r>
  <r>
    <s v="ID-2023-00732"/>
    <d v="2023-10-25T00:00:00"/>
    <s v="ST-004"/>
    <x v="2"/>
    <s v="CUST-082"/>
    <x v="0"/>
    <s v="PRD-015"/>
    <x v="0"/>
    <x v="0"/>
    <n v="1"/>
    <n v="365000"/>
    <n v="0"/>
    <n v="277000"/>
    <n v="365000"/>
    <x v="15"/>
    <x v="8"/>
    <x v="0"/>
    <n v="10"/>
    <x v="12"/>
    <n v="0.24109589041095891"/>
  </r>
  <r>
    <s v="ID-2023-01056"/>
    <d v="2023-11-10T00:00:00"/>
    <s v="ST-001"/>
    <x v="0"/>
    <s v="CUST-103"/>
    <x v="1"/>
    <s v="PRD-015"/>
    <x v="0"/>
    <x v="0"/>
    <n v="2"/>
    <n v="304000"/>
    <n v="0"/>
    <n v="226000"/>
    <n v="608000"/>
    <x v="16"/>
    <x v="9"/>
    <x v="0"/>
    <n v="11"/>
    <x v="13"/>
    <n v="0.62828947368421051"/>
  </r>
  <r>
    <s v="ID-2023-00267"/>
    <d v="2023-11-21T00:00:00"/>
    <s v="ST-001"/>
    <x v="0"/>
    <s v="CUST-092"/>
    <x v="2"/>
    <s v="PRD-015"/>
    <x v="0"/>
    <x v="0"/>
    <n v="1"/>
    <n v="362000"/>
    <n v="0"/>
    <n v="274000"/>
    <n v="362000"/>
    <x v="15"/>
    <x v="9"/>
    <x v="0"/>
    <n v="11"/>
    <x v="14"/>
    <n v="0.24309392265193369"/>
  </r>
  <r>
    <s v="ID-2023-01659"/>
    <d v="2023-11-30T00:00:00"/>
    <s v="ST-004"/>
    <x v="2"/>
    <s v="CUST-018"/>
    <x v="0"/>
    <s v="PRD-015"/>
    <x v="0"/>
    <x v="0"/>
    <n v="2"/>
    <n v="291000"/>
    <n v="0"/>
    <n v="219000"/>
    <n v="582000"/>
    <x v="17"/>
    <x v="9"/>
    <x v="0"/>
    <n v="11"/>
    <x v="15"/>
    <n v="0.62371134020618557"/>
  </r>
  <r>
    <s v="ID-2023-01609"/>
    <d v="2023-12-26T00:00:00"/>
    <s v="ST-002"/>
    <x v="3"/>
    <s v="CUST-018"/>
    <x v="0"/>
    <s v="PRD-015"/>
    <x v="0"/>
    <x v="0"/>
    <n v="1"/>
    <n v="320000"/>
    <n v="0"/>
    <n v="236000"/>
    <n v="320000"/>
    <x v="18"/>
    <x v="10"/>
    <x v="0"/>
    <n v="12"/>
    <x v="6"/>
    <n v="0.26250000000000001"/>
  </r>
  <r>
    <s v="ID-2024-00617"/>
    <d v="2024-01-16T00:00:00"/>
    <s v="ST-004"/>
    <x v="2"/>
    <s v="CUST-093"/>
    <x v="2"/>
    <s v="PRD-015"/>
    <x v="0"/>
    <x v="0"/>
    <n v="1"/>
    <n v="274000"/>
    <n v="0"/>
    <n v="201000"/>
    <n v="274000"/>
    <x v="19"/>
    <x v="0"/>
    <x v="1"/>
    <n v="1"/>
    <x v="5"/>
    <n v="0.26642335766423358"/>
  </r>
  <r>
    <s v="ID-2024-01184"/>
    <d v="2024-01-22T00:00:00"/>
    <s v="ST-003"/>
    <x v="4"/>
    <s v="CUST-089"/>
    <x v="1"/>
    <s v="PRD-015"/>
    <x v="0"/>
    <x v="0"/>
    <n v="1"/>
    <n v="333000"/>
    <n v="0"/>
    <n v="249000"/>
    <n v="333000"/>
    <x v="18"/>
    <x v="0"/>
    <x v="1"/>
    <n v="1"/>
    <x v="16"/>
    <n v="0.25225225225225223"/>
  </r>
  <r>
    <s v="ID-2024-01598"/>
    <d v="2024-03-02T00:00:00"/>
    <s v="ST-003"/>
    <x v="4"/>
    <s v="CUST-121"/>
    <x v="1"/>
    <s v="PRD-015"/>
    <x v="0"/>
    <x v="0"/>
    <n v="2"/>
    <n v="373000"/>
    <n v="0"/>
    <n v="270000"/>
    <n v="746000"/>
    <x v="20"/>
    <x v="2"/>
    <x v="1"/>
    <n v="3"/>
    <x v="17"/>
    <n v="0.63806970509383376"/>
  </r>
  <r>
    <s v="ID-2024-00517"/>
    <d v="2024-03-14T00:00:00"/>
    <s v="ST-001"/>
    <x v="0"/>
    <s v="CUST-103"/>
    <x v="1"/>
    <s v="PRD-015"/>
    <x v="0"/>
    <x v="0"/>
    <n v="3"/>
    <n v="463000"/>
    <n v="0.05"/>
    <n v="336000"/>
    <n v="1319550"/>
    <x v="21"/>
    <x v="2"/>
    <x v="1"/>
    <n v="3"/>
    <x v="18"/>
    <n v="0.74536773900193243"/>
  </r>
  <r>
    <s v="ID-2024-00616"/>
    <d v="2024-03-29T00:00:00"/>
    <s v="ST-002"/>
    <x v="3"/>
    <s v="CUST-142"/>
    <x v="1"/>
    <s v="PRD-015"/>
    <x v="0"/>
    <x v="0"/>
    <n v="1"/>
    <n v="285000"/>
    <n v="0"/>
    <n v="207000"/>
    <n v="285000"/>
    <x v="22"/>
    <x v="2"/>
    <x v="1"/>
    <n v="3"/>
    <x v="7"/>
    <n v="0.27368421052631581"/>
  </r>
  <r>
    <s v="ID-2024-00407"/>
    <d v="2024-03-30T00:00:00"/>
    <s v="ST-001"/>
    <x v="0"/>
    <s v="CUST-022"/>
    <x v="1"/>
    <s v="PRD-015"/>
    <x v="0"/>
    <x v="0"/>
    <n v="3"/>
    <n v="386785.71428571426"/>
    <n v="0.1"/>
    <n v="0"/>
    <n v="1044321.4285714285"/>
    <x v="23"/>
    <x v="2"/>
    <x v="1"/>
    <n v="3"/>
    <x v="15"/>
    <n v="1"/>
  </r>
  <r>
    <s v="ID-2024-00758"/>
    <d v="2024-04-07T00:00:00"/>
    <s v="ST-002"/>
    <x v="3"/>
    <s v="CUST-117"/>
    <x v="1"/>
    <s v="PRD-015"/>
    <x v="0"/>
    <x v="0"/>
    <n v="1"/>
    <n v="399000"/>
    <n v="0"/>
    <n v="289000"/>
    <n v="399000"/>
    <x v="24"/>
    <x v="11"/>
    <x v="1"/>
    <n v="4"/>
    <x v="3"/>
    <n v="0.27568922305764409"/>
  </r>
  <r>
    <s v="ID-2024-00955"/>
    <d v="2024-04-23T00:00:00"/>
    <s v="ST-001"/>
    <x v="0"/>
    <s v="CUST-046"/>
    <x v="0"/>
    <s v="PRD-015"/>
    <x v="0"/>
    <x v="0"/>
    <n v="1"/>
    <n v="396000"/>
    <n v="0"/>
    <n v="287000"/>
    <n v="396000"/>
    <x v="25"/>
    <x v="11"/>
    <x v="1"/>
    <n v="4"/>
    <x v="11"/>
    <n v="0.27525252525252525"/>
  </r>
  <r>
    <s v="ID-2024-01563"/>
    <d v="2024-05-07T00:00:00"/>
    <s v="ST-001"/>
    <x v="0"/>
    <s v="CUST-094"/>
    <x v="0"/>
    <s v="PRD-015"/>
    <x v="0"/>
    <x v="0"/>
    <n v="1"/>
    <n v="314000"/>
    <n v="0"/>
    <n v="231000"/>
    <n v="314000"/>
    <x v="26"/>
    <x v="3"/>
    <x v="1"/>
    <n v="5"/>
    <x v="3"/>
    <n v="0.2643312101910828"/>
  </r>
  <r>
    <s v="ID-2024-01431"/>
    <d v="2024-05-15T00:00:00"/>
    <s v="ST-002"/>
    <x v="3"/>
    <s v="CUST-068"/>
    <x v="1"/>
    <s v="PRD-015"/>
    <x v="0"/>
    <x v="0"/>
    <n v="1"/>
    <n v="343000"/>
    <n v="0"/>
    <n v="261000"/>
    <n v="343000"/>
    <x v="27"/>
    <x v="3"/>
    <x v="1"/>
    <n v="5"/>
    <x v="19"/>
    <n v="0.239067055393586"/>
  </r>
  <r>
    <s v="ID-2024-00275"/>
    <d v="2024-05-22T00:00:00"/>
    <s v="ST-003"/>
    <x v="4"/>
    <s v="CUST-047"/>
    <x v="1"/>
    <s v="PRD-015"/>
    <x v="0"/>
    <x v="0"/>
    <n v="1"/>
    <n v="364000"/>
    <n v="0"/>
    <n v="272000"/>
    <n v="364000"/>
    <x v="28"/>
    <x v="3"/>
    <x v="1"/>
    <n v="5"/>
    <x v="16"/>
    <n v="0.25274725274725274"/>
  </r>
  <r>
    <s v="ID-2024-01533"/>
    <d v="2024-06-04T00:00:00"/>
    <s v="ST-001"/>
    <x v="0"/>
    <s v="CUST-042"/>
    <x v="0"/>
    <s v="PRD-015"/>
    <x v="0"/>
    <x v="0"/>
    <n v="1"/>
    <n v="386785.71428571426"/>
    <n v="0"/>
    <n v="0"/>
    <n v="386785.71428571426"/>
    <x v="29"/>
    <x v="4"/>
    <x v="1"/>
    <n v="6"/>
    <x v="20"/>
    <n v="1"/>
  </r>
  <r>
    <s v="ID-2024-00008"/>
    <d v="2024-06-05T00:00:00"/>
    <s v="ST-005"/>
    <x v="1"/>
    <s v="CUST-100"/>
    <x v="1"/>
    <s v="PRD-015"/>
    <x v="0"/>
    <x v="0"/>
    <n v="3"/>
    <n v="386785.71428571426"/>
    <n v="0"/>
    <n v="0"/>
    <n v="1160357.1428571427"/>
    <x v="30"/>
    <x v="4"/>
    <x v="1"/>
    <n v="6"/>
    <x v="21"/>
    <n v="1"/>
  </r>
  <r>
    <s v="ID-2024-01512"/>
    <d v="2024-06-28T00:00:00"/>
    <s v="ST-001"/>
    <x v="0"/>
    <s v="CUST-074"/>
    <x v="1"/>
    <s v="PRD-015"/>
    <x v="0"/>
    <x v="0"/>
    <n v="1"/>
    <n v="328000"/>
    <n v="0"/>
    <n v="246000"/>
    <n v="328000"/>
    <x v="27"/>
    <x v="4"/>
    <x v="1"/>
    <n v="6"/>
    <x v="4"/>
    <n v="0.25"/>
  </r>
  <r>
    <s v="ID-2024-00002"/>
    <d v="2024-07-04T00:00:00"/>
    <s v="ST-004"/>
    <x v="2"/>
    <s v="CUST-129"/>
    <x v="1"/>
    <s v="PRD-015"/>
    <x v="0"/>
    <x v="0"/>
    <n v="1"/>
    <n v="460000"/>
    <n v="0"/>
    <n v="332000"/>
    <n v="460000"/>
    <x v="31"/>
    <x v="5"/>
    <x v="1"/>
    <n v="7"/>
    <x v="20"/>
    <n v="0.27826086956521739"/>
  </r>
  <r>
    <s v="ID-2024-01089"/>
    <d v="2024-08-03T00:00:00"/>
    <s v="ST-001"/>
    <x v="0"/>
    <s v="CUST-045"/>
    <x v="1"/>
    <s v="PRD-015"/>
    <x v="0"/>
    <x v="0"/>
    <n v="1"/>
    <n v="371000"/>
    <n v="0"/>
    <n v="272000"/>
    <n v="371000"/>
    <x v="32"/>
    <x v="6"/>
    <x v="1"/>
    <n v="8"/>
    <x v="8"/>
    <n v="0.26684636118598382"/>
  </r>
  <r>
    <s v="ID-2024-00500"/>
    <d v="2024-09-14T00:00:00"/>
    <s v="ST-002"/>
    <x v="3"/>
    <s v="CUST-064"/>
    <x v="1"/>
    <s v="PRD-015"/>
    <x v="0"/>
    <x v="0"/>
    <n v="1"/>
    <n v="470000"/>
    <n v="0"/>
    <n v="341000"/>
    <n v="470000"/>
    <x v="33"/>
    <x v="7"/>
    <x v="1"/>
    <n v="9"/>
    <x v="18"/>
    <n v="0.27446808510638299"/>
  </r>
  <r>
    <s v="ID-2024-00661"/>
    <d v="2024-09-21T00:00:00"/>
    <s v="ST-002"/>
    <x v="3"/>
    <s v="CUST-007"/>
    <x v="1"/>
    <s v="PRD-015"/>
    <x v="0"/>
    <x v="0"/>
    <n v="1"/>
    <n v="377000"/>
    <n v="0"/>
    <n v="285000"/>
    <n v="377000"/>
    <x v="28"/>
    <x v="7"/>
    <x v="1"/>
    <n v="9"/>
    <x v="14"/>
    <n v="0.24403183023872679"/>
  </r>
  <r>
    <s v="ID-2024-00532"/>
    <d v="2024-09-23T00:00:00"/>
    <s v="ST-002"/>
    <x v="3"/>
    <s v="CUST-046"/>
    <x v="0"/>
    <s v="PRD-015"/>
    <x v="0"/>
    <x v="0"/>
    <n v="1"/>
    <n v="288000"/>
    <n v="0.1"/>
    <n v="217000"/>
    <n v="259200"/>
    <x v="34"/>
    <x v="7"/>
    <x v="1"/>
    <n v="9"/>
    <x v="11"/>
    <n v="0.16280864197530864"/>
  </r>
  <r>
    <s v="ID-2024-00028"/>
    <d v="2024-12-07T00:00:00"/>
    <s v="ST-002"/>
    <x v="3"/>
    <s v="CUST-140"/>
    <x v="3"/>
    <s v="PRD-015"/>
    <x v="0"/>
    <x v="0"/>
    <n v="2"/>
    <n v="469000"/>
    <n v="0"/>
    <n v="347000"/>
    <n v="938000"/>
    <x v="35"/>
    <x v="10"/>
    <x v="1"/>
    <n v="12"/>
    <x v="3"/>
    <n v="0.63006396588486135"/>
  </r>
  <r>
    <s v="ID-2024-01366"/>
    <d v="2024-12-11T00:00:00"/>
    <s v="ST-003"/>
    <x v="4"/>
    <s v="CUST-044"/>
    <x v="2"/>
    <s v="PRD-015"/>
    <x v="0"/>
    <x v="0"/>
    <n v="1"/>
    <n v="408000"/>
    <n v="0"/>
    <n v="298000"/>
    <n v="408000"/>
    <x v="24"/>
    <x v="10"/>
    <x v="1"/>
    <n v="12"/>
    <x v="22"/>
    <n v="0.26960784313725489"/>
  </r>
  <r>
    <s v="ID-2025-00040"/>
    <d v="2025-01-03T00:00:00"/>
    <s v="ST-001"/>
    <x v="0"/>
    <s v="CUST-017"/>
    <x v="1"/>
    <s v="PRD-015"/>
    <x v="0"/>
    <x v="0"/>
    <n v="1"/>
    <n v="446000"/>
    <n v="0"/>
    <n v="322000"/>
    <n v="446000"/>
    <x v="36"/>
    <x v="0"/>
    <x v="2"/>
    <n v="1"/>
    <x v="8"/>
    <n v="0.27802690582959644"/>
  </r>
  <r>
    <s v="ID-2025-01326"/>
    <d v="2025-02-05T00:00:00"/>
    <s v="ST-001"/>
    <x v="0"/>
    <s v="CUST-068"/>
    <x v="1"/>
    <s v="PRD-015"/>
    <x v="0"/>
    <x v="0"/>
    <n v="3"/>
    <n v="326000"/>
    <n v="0"/>
    <n v="244000"/>
    <n v="978000"/>
    <x v="37"/>
    <x v="1"/>
    <x v="2"/>
    <n v="2"/>
    <x v="21"/>
    <n v="0.75051124744376274"/>
  </r>
  <r>
    <s v="ID-2025-01550"/>
    <d v="2025-03-23T00:00:00"/>
    <s v="ST-001"/>
    <x v="0"/>
    <s v="CUST-058"/>
    <x v="1"/>
    <s v="PRD-015"/>
    <x v="0"/>
    <x v="0"/>
    <n v="2"/>
    <n v="464000"/>
    <n v="0.1"/>
    <n v="343000"/>
    <n v="835200"/>
    <x v="38"/>
    <x v="2"/>
    <x v="2"/>
    <n v="3"/>
    <x v="11"/>
    <n v="0.58931992337164751"/>
  </r>
  <r>
    <s v="ID-2025-01473"/>
    <d v="2025-03-28T00:00:00"/>
    <s v="ST-002"/>
    <x v="3"/>
    <s v="CUST-063"/>
    <x v="1"/>
    <s v="PRD-015"/>
    <x v="0"/>
    <x v="0"/>
    <n v="1"/>
    <n v="422000"/>
    <n v="0"/>
    <n v="315000"/>
    <n v="422000"/>
    <x v="39"/>
    <x v="2"/>
    <x v="2"/>
    <n v="3"/>
    <x v="4"/>
    <n v="0.25355450236966826"/>
  </r>
  <r>
    <s v="ID-2025-01018"/>
    <d v="2025-04-26T00:00:00"/>
    <s v="ST-003"/>
    <x v="4"/>
    <s v="CUST-058"/>
    <x v="1"/>
    <s v="PRD-015"/>
    <x v="0"/>
    <x v="0"/>
    <n v="1"/>
    <n v="305000"/>
    <n v="0"/>
    <n v="224000"/>
    <n v="305000"/>
    <x v="40"/>
    <x v="11"/>
    <x v="2"/>
    <n v="4"/>
    <x v="6"/>
    <n v="0.26557377049180325"/>
  </r>
  <r>
    <s v="ID-2025-00497"/>
    <d v="2025-05-13T00:00:00"/>
    <s v="ST-004"/>
    <x v="2"/>
    <s v="CUST-111"/>
    <x v="1"/>
    <s v="PRD-015"/>
    <x v="0"/>
    <x v="0"/>
    <n v="1"/>
    <n v="390000"/>
    <n v="0"/>
    <n v="296000"/>
    <n v="390000"/>
    <x v="41"/>
    <x v="3"/>
    <x v="2"/>
    <n v="5"/>
    <x v="23"/>
    <n v="0.24102564102564103"/>
  </r>
  <r>
    <s v="ID-2025-00003"/>
    <d v="2025-05-27T00:00:00"/>
    <s v="ST-002"/>
    <x v="3"/>
    <s v="CUST-054"/>
    <x v="1"/>
    <s v="PRD-015"/>
    <x v="0"/>
    <x v="0"/>
    <n v="2"/>
    <n v="386000"/>
    <n v="0"/>
    <n v="284000"/>
    <n v="772000"/>
    <x v="42"/>
    <x v="3"/>
    <x v="2"/>
    <n v="5"/>
    <x v="24"/>
    <n v="0.63212435233160624"/>
  </r>
  <r>
    <s v="ID-2025-01309"/>
    <d v="2025-06-15T00:00:00"/>
    <s v="ST-001"/>
    <x v="0"/>
    <s v="CUST-099"/>
    <x v="1"/>
    <s v="PRD-015"/>
    <x v="0"/>
    <x v="0"/>
    <n v="2"/>
    <n v="452000"/>
    <n v="0"/>
    <n v="333000"/>
    <n v="904000"/>
    <x v="11"/>
    <x v="4"/>
    <x v="2"/>
    <n v="6"/>
    <x v="19"/>
    <n v="0.63163716814159288"/>
  </r>
  <r>
    <s v="ID-2025-00772"/>
    <d v="2025-06-16T00:00:00"/>
    <s v="ST-002"/>
    <x v="3"/>
    <s v="CUST-020"/>
    <x v="1"/>
    <s v="PRD-015"/>
    <x v="0"/>
    <x v="0"/>
    <n v="1"/>
    <n v="405000"/>
    <n v="0"/>
    <n v="295000"/>
    <n v="405000"/>
    <x v="24"/>
    <x v="4"/>
    <x v="2"/>
    <n v="6"/>
    <x v="5"/>
    <n v="0.27160493827160492"/>
  </r>
  <r>
    <s v="ID-2025-00885"/>
    <d v="2025-07-23T00:00:00"/>
    <s v="ST-001"/>
    <x v="0"/>
    <s v="CUST-015"/>
    <x v="1"/>
    <s v="PRD-015"/>
    <x v="0"/>
    <x v="0"/>
    <n v="1"/>
    <n v="451000"/>
    <n v="0"/>
    <n v="336000"/>
    <n v="451000"/>
    <x v="43"/>
    <x v="5"/>
    <x v="2"/>
    <n v="7"/>
    <x v="11"/>
    <n v="0.25498891352549891"/>
  </r>
  <r>
    <s v="ID-2025-00780"/>
    <d v="2025-07-24T00:00:00"/>
    <s v="ST-001"/>
    <x v="0"/>
    <s v="CUST-076"/>
    <x v="2"/>
    <s v="PRD-015"/>
    <x v="0"/>
    <x v="0"/>
    <n v="2"/>
    <n v="447000"/>
    <n v="0"/>
    <n v="333000"/>
    <n v="894000"/>
    <x v="44"/>
    <x v="5"/>
    <x v="2"/>
    <n v="7"/>
    <x v="25"/>
    <n v="0.62751677852348997"/>
  </r>
  <r>
    <s v="ID-2025-01670"/>
    <d v="2025-08-03T00:00:00"/>
    <s v="ST-003"/>
    <x v="4"/>
    <s v="CUST-094"/>
    <x v="0"/>
    <s v="PRD-015"/>
    <x v="0"/>
    <x v="0"/>
    <n v="1"/>
    <n v="351000"/>
    <n v="0"/>
    <n v="260000"/>
    <n v="351000"/>
    <x v="45"/>
    <x v="6"/>
    <x v="2"/>
    <n v="8"/>
    <x v="8"/>
    <n v="0.25925925925925924"/>
  </r>
  <r>
    <s v="ID-2025-00590"/>
    <d v="2025-08-19T00:00:00"/>
    <s v="ST-001"/>
    <x v="0"/>
    <s v="CUST-039"/>
    <x v="0"/>
    <s v="PRD-015"/>
    <x v="0"/>
    <x v="0"/>
    <n v="2"/>
    <n v="404000"/>
    <n v="0"/>
    <n v="301000"/>
    <n v="808000"/>
    <x v="46"/>
    <x v="6"/>
    <x v="2"/>
    <n v="8"/>
    <x v="26"/>
    <n v="0.62747524752475248"/>
  </r>
  <r>
    <s v="ID-2025-01500"/>
    <d v="2025-08-27T00:00:00"/>
    <s v="ST-002"/>
    <x v="3"/>
    <s v="CUST-089"/>
    <x v="1"/>
    <s v="PRD-015"/>
    <x v="0"/>
    <x v="0"/>
    <n v="2"/>
    <n v="381000"/>
    <n v="0.15"/>
    <n v="275000"/>
    <n v="647700"/>
    <x v="47"/>
    <x v="6"/>
    <x v="2"/>
    <n v="8"/>
    <x v="24"/>
    <n v="0.57542071946888995"/>
  </r>
  <r>
    <s v="ID-2025-01262"/>
    <d v="2025-09-08T00:00:00"/>
    <s v="ST-005"/>
    <x v="1"/>
    <s v="CUST-093"/>
    <x v="2"/>
    <s v="PRD-015"/>
    <x v="0"/>
    <x v="0"/>
    <n v="3"/>
    <n v="330000"/>
    <n v="0"/>
    <n v="241000"/>
    <n v="990000"/>
    <x v="48"/>
    <x v="7"/>
    <x v="2"/>
    <n v="9"/>
    <x v="27"/>
    <n v="0.75656565656565655"/>
  </r>
  <r>
    <s v="ID-2025-01130"/>
    <d v="2025-10-02T00:00:00"/>
    <s v="ST-003"/>
    <x v="4"/>
    <s v="CUST-138"/>
    <x v="2"/>
    <s v="PRD-015"/>
    <x v="0"/>
    <x v="0"/>
    <n v="1"/>
    <n v="421000"/>
    <n v="0"/>
    <n v="313000"/>
    <n v="421000"/>
    <x v="49"/>
    <x v="8"/>
    <x v="2"/>
    <n v="10"/>
    <x v="17"/>
    <n v="0.25653206650831356"/>
  </r>
  <r>
    <s v="ID-2025-01036"/>
    <d v="2025-11-13T00:00:00"/>
    <s v="ST-004"/>
    <x v="2"/>
    <s v="CUST-135"/>
    <x v="2"/>
    <s v="PRD-015"/>
    <x v="0"/>
    <x v="0"/>
    <n v="1"/>
    <n v="395000"/>
    <n v="0.05"/>
    <n v="284000"/>
    <n v="375250"/>
    <x v="50"/>
    <x v="9"/>
    <x v="2"/>
    <n v="11"/>
    <x v="23"/>
    <n v="0.24317121918720852"/>
  </r>
  <r>
    <s v="ID-2025-01665"/>
    <d v="2025-11-21T00:00:00"/>
    <s v="ST-002"/>
    <x v="3"/>
    <s v="CUST-077"/>
    <x v="2"/>
    <s v="PRD-015"/>
    <x v="0"/>
    <x v="0"/>
    <n v="1"/>
    <n v="468000"/>
    <n v="0"/>
    <n v="342000"/>
    <n v="468000"/>
    <x v="51"/>
    <x v="9"/>
    <x v="2"/>
    <n v="11"/>
    <x v="14"/>
    <n v="0.26923076923076922"/>
  </r>
  <r>
    <s v="ID-2025-00677"/>
    <d v="2025-11-21T00:00:00"/>
    <s v="ST-002"/>
    <x v="3"/>
    <s v="CUST-062"/>
    <x v="1"/>
    <s v="PRD-015"/>
    <x v="0"/>
    <x v="0"/>
    <n v="2"/>
    <n v="387000"/>
    <n v="0"/>
    <n v="290000"/>
    <n v="774000"/>
    <x v="52"/>
    <x v="9"/>
    <x v="2"/>
    <n v="11"/>
    <x v="14"/>
    <n v="0.62532299741602071"/>
  </r>
  <r>
    <s v="ID-2025-00535"/>
    <d v="2025-12-15T00:00:00"/>
    <s v="ST-001"/>
    <x v="0"/>
    <s v="CUST-054"/>
    <x v="1"/>
    <s v="PRD-015"/>
    <x v="0"/>
    <x v="0"/>
    <n v="1"/>
    <n v="406000"/>
    <n v="0"/>
    <n v="297000"/>
    <n v="406000"/>
    <x v="25"/>
    <x v="10"/>
    <x v="2"/>
    <n v="12"/>
    <x v="19"/>
    <n v="0.26847290640394089"/>
  </r>
  <r>
    <s v="ID-2025-01072"/>
    <d v="2025-12-21T00:00:00"/>
    <s v="ST-003"/>
    <x v="4"/>
    <s v="CUST-111"/>
    <x v="1"/>
    <s v="PRD-015"/>
    <x v="0"/>
    <x v="0"/>
    <n v="2"/>
    <n v="358000"/>
    <n v="0.05"/>
    <n v="265000"/>
    <n v="680200"/>
    <x v="53"/>
    <x v="10"/>
    <x v="2"/>
    <n v="12"/>
    <x v="14"/>
    <n v="0.61040870332255215"/>
  </r>
  <r>
    <s v="ID-2026-01146"/>
    <d v="2026-01-18T00:00:00"/>
    <s v="ST-002"/>
    <x v="3"/>
    <s v="CUST-022"/>
    <x v="1"/>
    <s v="PRD-015"/>
    <x v="0"/>
    <x v="0"/>
    <n v="3"/>
    <n v="418000"/>
    <n v="0.05"/>
    <n v="306000"/>
    <n v="1191300"/>
    <x v="54"/>
    <x v="0"/>
    <x v="3"/>
    <n v="1"/>
    <x v="9"/>
    <n v="0.74313774867791493"/>
  </r>
  <r>
    <s v="ID-2026-01458"/>
    <d v="2026-01-19T00:00:00"/>
    <s v="ST-001"/>
    <x v="0"/>
    <s v="CUST-126"/>
    <x v="0"/>
    <s v="PRD-015"/>
    <x v="0"/>
    <x v="0"/>
    <n v="2"/>
    <n v="434000"/>
    <n v="0"/>
    <n v="320000"/>
    <n v="868000"/>
    <x v="55"/>
    <x v="0"/>
    <x v="3"/>
    <n v="1"/>
    <x v="26"/>
    <n v="0.63133640552995396"/>
  </r>
  <r>
    <s v="ID-2026-00911"/>
    <d v="2026-02-02T00:00:00"/>
    <s v="ST-003"/>
    <x v="4"/>
    <s v="CUST-032"/>
    <x v="1"/>
    <s v="PRD-015"/>
    <x v="0"/>
    <x v="0"/>
    <n v="3"/>
    <n v="474000"/>
    <n v="0"/>
    <n v="345000"/>
    <n v="1422000"/>
    <x v="56"/>
    <x v="1"/>
    <x v="3"/>
    <n v="2"/>
    <x v="17"/>
    <n v="0.7573839662447257"/>
  </r>
  <r>
    <s v="ID-2026-01294"/>
    <d v="2026-02-07T00:00:00"/>
    <s v="ST-003"/>
    <x v="4"/>
    <s v="CUST-067"/>
    <x v="1"/>
    <s v="PRD-015"/>
    <x v="0"/>
    <x v="0"/>
    <n v="1"/>
    <n v="515000"/>
    <n v="0"/>
    <n v="376000"/>
    <n v="515000"/>
    <x v="57"/>
    <x v="1"/>
    <x v="3"/>
    <n v="2"/>
    <x v="3"/>
    <n v="0.26990291262135924"/>
  </r>
  <r>
    <s v="ID-2026-00631"/>
    <d v="2026-03-02T00:00:00"/>
    <s v="ST-003"/>
    <x v="4"/>
    <s v="CUST-021"/>
    <x v="0"/>
    <s v="PRD-015"/>
    <x v="0"/>
    <x v="0"/>
    <n v="3"/>
    <n v="420000"/>
    <n v="0"/>
    <n v="310000"/>
    <n v="1260000"/>
    <x v="58"/>
    <x v="2"/>
    <x v="3"/>
    <n v="3"/>
    <x v="17"/>
    <n v="0.75396825396825395"/>
  </r>
  <r>
    <s v="ID-2026-00467"/>
    <d v="2026-03-12T00:00:00"/>
    <s v="ST-004"/>
    <x v="2"/>
    <s v="CUST-021"/>
    <x v="0"/>
    <s v="PRD-015"/>
    <x v="0"/>
    <x v="0"/>
    <n v="1"/>
    <n v="503000"/>
    <n v="0"/>
    <n v="364000"/>
    <n v="503000"/>
    <x v="57"/>
    <x v="2"/>
    <x v="3"/>
    <n v="3"/>
    <x v="10"/>
    <n v="0.27634194831013914"/>
  </r>
  <r>
    <s v="ID-2026-00108"/>
    <d v="2026-04-15T00:00:00"/>
    <s v="ST-002"/>
    <x v="3"/>
    <s v="CUST-039"/>
    <x v="0"/>
    <s v="PRD-015"/>
    <x v="0"/>
    <x v="0"/>
    <n v="1"/>
    <n v="326000"/>
    <n v="0"/>
    <n v="248000"/>
    <n v="326000"/>
    <x v="22"/>
    <x v="11"/>
    <x v="3"/>
    <n v="4"/>
    <x v="19"/>
    <n v="0.2392638036809816"/>
  </r>
  <r>
    <s v="ID-2026-01511"/>
    <d v="2026-04-23T00:00:00"/>
    <s v="ST-002"/>
    <x v="3"/>
    <s v="CUST-034"/>
    <x v="2"/>
    <s v="PRD-015"/>
    <x v="0"/>
    <x v="0"/>
    <n v="2"/>
    <n v="376000"/>
    <n v="0"/>
    <n v="282000"/>
    <n v="752000"/>
    <x v="59"/>
    <x v="11"/>
    <x v="3"/>
    <n v="4"/>
    <x v="11"/>
    <n v="0.625"/>
  </r>
  <r>
    <s v="ID-2026-00920"/>
    <d v="2026-05-11T00:00:00"/>
    <s v="ST-003"/>
    <x v="4"/>
    <s v="CUST-146"/>
    <x v="1"/>
    <s v="PRD-015"/>
    <x v="0"/>
    <x v="0"/>
    <n v="1"/>
    <n v="517000"/>
    <n v="0.1"/>
    <n v="379000"/>
    <n v="465300"/>
    <x v="60"/>
    <x v="3"/>
    <x v="3"/>
    <n v="5"/>
    <x v="22"/>
    <n v="0.18547173866322803"/>
  </r>
  <r>
    <s v="ID-2026-01681"/>
    <d v="2026-05-11T00:00:00"/>
    <s v="ST-001"/>
    <x v="0"/>
    <s v="CUST-049"/>
    <x v="0"/>
    <s v="PRD-015"/>
    <x v="0"/>
    <x v="0"/>
    <n v="2"/>
    <n v="404000"/>
    <n v="0"/>
    <n v="299000"/>
    <n v="808000"/>
    <x v="61"/>
    <x v="3"/>
    <x v="3"/>
    <n v="5"/>
    <x v="22"/>
    <n v="0.62995049504950495"/>
  </r>
  <r>
    <s v="ID-2026-00518"/>
    <d v="2026-06-08T00:00:00"/>
    <s v="ST-001"/>
    <x v="0"/>
    <s v="CUST-035"/>
    <x v="3"/>
    <s v="PRD-015"/>
    <x v="0"/>
    <x v="0"/>
    <n v="1"/>
    <n v="331000"/>
    <n v="0"/>
    <n v="248000"/>
    <n v="331000"/>
    <x v="26"/>
    <x v="4"/>
    <x v="3"/>
    <n v="6"/>
    <x v="27"/>
    <n v="0.25075528700906347"/>
  </r>
  <r>
    <s v="ID-2023-01389"/>
    <d v="2023-01-01T00:00:00"/>
    <s v="ST-005"/>
    <x v="1"/>
    <s v="CUST-086"/>
    <x v="1"/>
    <s v="PRD-004"/>
    <x v="1"/>
    <x v="1"/>
    <n v="1"/>
    <n v="2395000"/>
    <n v="0"/>
    <n v="1726000"/>
    <n v="2395000"/>
    <x v="62"/>
    <x v="0"/>
    <x v="0"/>
    <n v="1"/>
    <x v="0"/>
    <n v="0.27933194154488517"/>
  </r>
  <r>
    <s v="ID-2023-00220"/>
    <d v="2023-04-09T00:00:00"/>
    <s v="ST-004"/>
    <x v="2"/>
    <s v="CUST-071"/>
    <x v="2"/>
    <s v="PRD-004"/>
    <x v="1"/>
    <x v="1"/>
    <n v="1"/>
    <n v="2828000"/>
    <n v="0"/>
    <n v="2048000"/>
    <n v="2828000"/>
    <x v="63"/>
    <x v="11"/>
    <x v="0"/>
    <n v="4"/>
    <x v="1"/>
    <n v="0.27581329561527579"/>
  </r>
  <r>
    <s v="ID-2023-00007"/>
    <d v="2023-04-27T00:00:00"/>
    <s v="ST-001"/>
    <x v="0"/>
    <s v="CUST-127"/>
    <x v="1"/>
    <s v="PRD-004"/>
    <x v="1"/>
    <x v="1"/>
    <n v="2"/>
    <n v="2644000"/>
    <n v="0"/>
    <n v="1906000"/>
    <n v="5288000"/>
    <x v="64"/>
    <x v="11"/>
    <x v="0"/>
    <n v="4"/>
    <x v="24"/>
    <n v="0.63956127080181546"/>
  </r>
  <r>
    <s v="ID-2023-00865"/>
    <d v="2023-04-29T00:00:00"/>
    <s v="ST-001"/>
    <x v="0"/>
    <s v="CUST-056"/>
    <x v="2"/>
    <s v="PRD-004"/>
    <x v="1"/>
    <x v="1"/>
    <n v="1"/>
    <n v="2647000"/>
    <n v="0"/>
    <n v="1954000"/>
    <n v="2647000"/>
    <x v="65"/>
    <x v="11"/>
    <x v="0"/>
    <n v="4"/>
    <x v="7"/>
    <n v="0.26180581790706459"/>
  </r>
  <r>
    <s v="ID-2023-00182"/>
    <d v="2023-05-07T00:00:00"/>
    <s v="ST-001"/>
    <x v="0"/>
    <s v="CUST-116"/>
    <x v="1"/>
    <s v="PRD-004"/>
    <x v="1"/>
    <x v="1"/>
    <n v="3"/>
    <n v="2934000"/>
    <n v="0"/>
    <n v="2132000"/>
    <n v="8802000"/>
    <x v="66"/>
    <x v="3"/>
    <x v="0"/>
    <n v="5"/>
    <x v="3"/>
    <n v="0.75778232219950015"/>
  </r>
  <r>
    <s v="ID-2023-01593"/>
    <d v="2023-05-14T00:00:00"/>
    <s v="ST-003"/>
    <x v="4"/>
    <s v="CUST-022"/>
    <x v="1"/>
    <s v="PRD-004"/>
    <x v="1"/>
    <x v="1"/>
    <n v="1"/>
    <n v="2476000"/>
    <n v="0.05"/>
    <n v="1787000"/>
    <n v="2352200"/>
    <x v="67"/>
    <x v="3"/>
    <x v="0"/>
    <n v="5"/>
    <x v="18"/>
    <n v="0.24028568999234759"/>
  </r>
  <r>
    <s v="ID-2023-00690"/>
    <d v="2023-06-02T00:00:00"/>
    <s v="ST-001"/>
    <x v="0"/>
    <s v="CUST-035"/>
    <x v="3"/>
    <s v="PRD-004"/>
    <x v="1"/>
    <x v="1"/>
    <n v="5"/>
    <n v="1869000"/>
    <n v="0"/>
    <n v="1339000"/>
    <n v="9345000"/>
    <x v="68"/>
    <x v="4"/>
    <x v="0"/>
    <n v="6"/>
    <x v="17"/>
    <n v="0.85671482075976457"/>
  </r>
  <r>
    <s v="ID-2023-01767"/>
    <d v="2023-07-26T00:00:00"/>
    <s v="ST-001"/>
    <x v="0"/>
    <s v="CUST-109"/>
    <x v="1"/>
    <s v="PRD-004"/>
    <x v="1"/>
    <x v="1"/>
    <n v="1"/>
    <n v="2789000"/>
    <n v="0"/>
    <n v="1961000"/>
    <n v="2789000"/>
    <x v="69"/>
    <x v="5"/>
    <x v="0"/>
    <n v="7"/>
    <x v="6"/>
    <n v="0.29688060236643959"/>
  </r>
  <r>
    <s v="ID-2023-00536"/>
    <d v="2023-08-22T00:00:00"/>
    <s v="ST-002"/>
    <x v="3"/>
    <s v="CUST-123"/>
    <x v="1"/>
    <s v="PRD-004"/>
    <x v="1"/>
    <x v="1"/>
    <n v="1"/>
    <n v="2142000"/>
    <n v="0.05"/>
    <n v="1540000"/>
    <n v="2034900"/>
    <x v="70"/>
    <x v="6"/>
    <x v="0"/>
    <n v="8"/>
    <x v="16"/>
    <n v="0.2432060543515652"/>
  </r>
  <r>
    <s v="ID-2023-00366"/>
    <d v="2023-08-28T00:00:00"/>
    <s v="ST-001"/>
    <x v="0"/>
    <s v="CUST-093"/>
    <x v="2"/>
    <s v="PRD-004"/>
    <x v="1"/>
    <x v="1"/>
    <n v="2"/>
    <n v="1882000"/>
    <n v="0"/>
    <n v="1321000"/>
    <n v="3764000"/>
    <x v="71"/>
    <x v="6"/>
    <x v="0"/>
    <n v="8"/>
    <x v="4"/>
    <n v="0.64904357066950058"/>
  </r>
  <r>
    <s v="ID-2023-01166"/>
    <d v="2023-09-27T00:00:00"/>
    <s v="ST-001"/>
    <x v="0"/>
    <s v="CUST-128"/>
    <x v="1"/>
    <s v="PRD-004"/>
    <x v="1"/>
    <x v="1"/>
    <n v="1"/>
    <n v="2653000"/>
    <n v="0.1"/>
    <n v="1903000"/>
    <n v="2387700"/>
    <x v="72"/>
    <x v="7"/>
    <x v="0"/>
    <n v="9"/>
    <x v="24"/>
    <n v="0.20299870167944045"/>
  </r>
  <r>
    <s v="ID-2023-01702"/>
    <d v="2023-11-30T00:00:00"/>
    <s v="ST-003"/>
    <x v="4"/>
    <s v="CUST-001"/>
    <x v="1"/>
    <s v="PRD-004"/>
    <x v="1"/>
    <x v="1"/>
    <n v="3"/>
    <n v="1986000"/>
    <n v="0"/>
    <n v="1409000"/>
    <n v="5958000"/>
    <x v="73"/>
    <x v="9"/>
    <x v="0"/>
    <n v="11"/>
    <x v="15"/>
    <n v="0.76351124538435722"/>
  </r>
  <r>
    <s v="ID-2023-01312"/>
    <d v="2023-12-05T00:00:00"/>
    <s v="ST-001"/>
    <x v="0"/>
    <s v="CUST-017"/>
    <x v="1"/>
    <s v="PRD-004"/>
    <x v="1"/>
    <x v="1"/>
    <n v="1"/>
    <n v="2070000"/>
    <n v="0.05"/>
    <n v="1521000"/>
    <n v="1966500"/>
    <x v="74"/>
    <x v="10"/>
    <x v="0"/>
    <n v="12"/>
    <x v="21"/>
    <n v="0.22654462242562928"/>
  </r>
  <r>
    <s v="ID-2023-00330"/>
    <d v="2023-12-10T00:00:00"/>
    <s v="ST-002"/>
    <x v="3"/>
    <s v="CUST-006"/>
    <x v="1"/>
    <s v="PRD-004"/>
    <x v="1"/>
    <x v="1"/>
    <n v="1"/>
    <n v="2167000"/>
    <n v="0"/>
    <n v="1539000"/>
    <n v="2167000"/>
    <x v="75"/>
    <x v="10"/>
    <x v="0"/>
    <n v="12"/>
    <x v="13"/>
    <n v="0.28980156898938625"/>
  </r>
  <r>
    <s v="ID-2023-00018"/>
    <d v="2023-12-31T00:00:00"/>
    <s v="ST-001"/>
    <x v="0"/>
    <s v="CUST-056"/>
    <x v="2"/>
    <s v="PRD-004"/>
    <x v="1"/>
    <x v="1"/>
    <n v="1"/>
    <n v="2226000"/>
    <n v="0"/>
    <n v="1589000"/>
    <n v="2226000"/>
    <x v="76"/>
    <x v="10"/>
    <x v="0"/>
    <n v="12"/>
    <x v="28"/>
    <n v="0.28616352201257861"/>
  </r>
  <r>
    <s v="ID-2024-01641"/>
    <d v="2024-01-21T00:00:00"/>
    <s v="ST-003"/>
    <x v="4"/>
    <s v="CUST-142"/>
    <x v="1"/>
    <s v="PRD-004"/>
    <x v="1"/>
    <x v="1"/>
    <n v="1"/>
    <n v="2260000"/>
    <n v="0"/>
    <n v="1618000"/>
    <n v="2260000"/>
    <x v="77"/>
    <x v="0"/>
    <x v="1"/>
    <n v="1"/>
    <x v="14"/>
    <n v="0.28407079646017697"/>
  </r>
  <r>
    <s v="ID-2024-01081"/>
    <d v="2024-02-28T00:00:00"/>
    <s v="ST-002"/>
    <x v="3"/>
    <s v="CUST-083"/>
    <x v="1"/>
    <s v="PRD-004"/>
    <x v="1"/>
    <x v="1"/>
    <n v="3"/>
    <n v="2836000"/>
    <n v="0.1"/>
    <n v="2017000"/>
    <n v="7657200"/>
    <x v="78"/>
    <x v="1"/>
    <x v="1"/>
    <n v="2"/>
    <x v="4"/>
    <n v="0.73658778665830849"/>
  </r>
  <r>
    <s v="ID-2024-01579"/>
    <d v="2024-04-11T00:00:00"/>
    <s v="ST-001"/>
    <x v="0"/>
    <s v="CUST-077"/>
    <x v="2"/>
    <s v="PRD-004"/>
    <x v="1"/>
    <x v="1"/>
    <n v="2"/>
    <n v="2250000"/>
    <n v="0.1"/>
    <n v="1582000"/>
    <n v="4050000"/>
    <x v="79"/>
    <x v="11"/>
    <x v="1"/>
    <n v="4"/>
    <x v="22"/>
    <n v="0.60938271604938277"/>
  </r>
  <r>
    <s v="ID-2024-01040"/>
    <d v="2024-05-03T00:00:00"/>
    <s v="ST-001"/>
    <x v="0"/>
    <s v="CUST-100"/>
    <x v="1"/>
    <s v="PRD-004"/>
    <x v="1"/>
    <x v="1"/>
    <n v="2"/>
    <n v="2563000"/>
    <n v="0"/>
    <n v="1874000"/>
    <n v="5126000"/>
    <x v="80"/>
    <x v="3"/>
    <x v="1"/>
    <n v="5"/>
    <x v="8"/>
    <n v="0.63441279750292623"/>
  </r>
  <r>
    <s v="ID-2024-00949"/>
    <d v="2024-05-11T00:00:00"/>
    <s v="ST-001"/>
    <x v="0"/>
    <s v="CUST-015"/>
    <x v="1"/>
    <s v="PRD-004"/>
    <x v="1"/>
    <x v="1"/>
    <n v="1"/>
    <n v="2020000"/>
    <n v="0"/>
    <n v="1485000"/>
    <n v="2020000"/>
    <x v="81"/>
    <x v="3"/>
    <x v="1"/>
    <n v="5"/>
    <x v="22"/>
    <n v="0.26485148514851486"/>
  </r>
  <r>
    <s v="ID-2024-00801"/>
    <d v="2024-06-05T00:00:00"/>
    <s v="ST-001"/>
    <x v="0"/>
    <s v="CUST-011"/>
    <x v="1"/>
    <s v="PRD-004"/>
    <x v="1"/>
    <x v="1"/>
    <n v="1"/>
    <n v="2060000"/>
    <n v="0.1"/>
    <n v="1480000"/>
    <n v="1854000"/>
    <x v="82"/>
    <x v="4"/>
    <x v="1"/>
    <n v="6"/>
    <x v="21"/>
    <n v="0.2017259978425027"/>
  </r>
  <r>
    <s v="ID-2024-00567"/>
    <d v="2024-06-06T00:00:00"/>
    <s v="ST-003"/>
    <x v="4"/>
    <s v="CUST-150"/>
    <x v="1"/>
    <s v="PRD-004"/>
    <x v="1"/>
    <x v="1"/>
    <n v="1"/>
    <n v="2229000"/>
    <n v="0"/>
    <n v="1576000"/>
    <n v="2229000"/>
    <x v="83"/>
    <x v="4"/>
    <x v="1"/>
    <n v="6"/>
    <x v="29"/>
    <n v="0.2929564827276806"/>
  </r>
  <r>
    <s v="ID-2024-00577"/>
    <d v="2024-07-11T00:00:00"/>
    <s v="ST-002"/>
    <x v="3"/>
    <s v="CUST-016"/>
    <x v="1"/>
    <s v="PRD-004"/>
    <x v="1"/>
    <x v="1"/>
    <n v="2"/>
    <n v="1947000"/>
    <n v="0"/>
    <n v="1397000"/>
    <n v="3894000"/>
    <x v="84"/>
    <x v="5"/>
    <x v="1"/>
    <n v="7"/>
    <x v="22"/>
    <n v="0.64124293785310738"/>
  </r>
  <r>
    <s v="ID-2024-00092"/>
    <d v="2024-07-12T00:00:00"/>
    <s v="ST-001"/>
    <x v="0"/>
    <s v="CUST-026"/>
    <x v="2"/>
    <s v="PRD-004"/>
    <x v="1"/>
    <x v="1"/>
    <n v="1"/>
    <n v="2451000"/>
    <n v="0"/>
    <n v="1793000"/>
    <n v="2451000"/>
    <x v="85"/>
    <x v="5"/>
    <x v="1"/>
    <n v="7"/>
    <x v="10"/>
    <n v="0.26846185230518155"/>
  </r>
  <r>
    <s v="ID-2024-01423"/>
    <d v="2024-07-15T00:00:00"/>
    <s v="ST-001"/>
    <x v="0"/>
    <s v="CUST-068"/>
    <x v="1"/>
    <s v="PRD-004"/>
    <x v="1"/>
    <x v="1"/>
    <n v="1"/>
    <n v="2602000"/>
    <n v="0"/>
    <n v="1852000"/>
    <n v="2602000"/>
    <x v="86"/>
    <x v="5"/>
    <x v="1"/>
    <n v="7"/>
    <x v="19"/>
    <n v="0.28823981552651806"/>
  </r>
  <r>
    <s v="ID-2024-00350"/>
    <d v="2024-08-06T00:00:00"/>
    <s v="ST-003"/>
    <x v="4"/>
    <s v="CUST-049"/>
    <x v="0"/>
    <s v="PRD-004"/>
    <x v="1"/>
    <x v="1"/>
    <n v="1"/>
    <n v="2372000"/>
    <n v="0"/>
    <n v="1699000"/>
    <n v="2372000"/>
    <x v="87"/>
    <x v="6"/>
    <x v="1"/>
    <n v="8"/>
    <x v="29"/>
    <n v="0.28372681281618889"/>
  </r>
  <r>
    <s v="ID-2024-00850"/>
    <d v="2024-08-14T00:00:00"/>
    <s v="ST-001"/>
    <x v="0"/>
    <s v="CUST-070"/>
    <x v="3"/>
    <s v="PRD-004"/>
    <x v="1"/>
    <x v="1"/>
    <n v="2"/>
    <n v="2442000"/>
    <n v="0"/>
    <n v="1745000"/>
    <n v="4884000"/>
    <x v="88"/>
    <x v="6"/>
    <x v="1"/>
    <n v="8"/>
    <x v="18"/>
    <n v="0.64271089271089266"/>
  </r>
  <r>
    <s v="ID-2024-00676"/>
    <d v="2024-08-31T00:00:00"/>
    <s v="ST-001"/>
    <x v="0"/>
    <s v="CUST-096"/>
    <x v="0"/>
    <s v="PRD-004"/>
    <x v="1"/>
    <x v="1"/>
    <n v="1"/>
    <n v="2754000"/>
    <n v="0"/>
    <n v="1938000"/>
    <n v="2754000"/>
    <x v="89"/>
    <x v="6"/>
    <x v="1"/>
    <n v="8"/>
    <x v="28"/>
    <n v="0.29629629629629628"/>
  </r>
  <r>
    <s v="ID-2024-00378"/>
    <d v="2024-09-18T00:00:00"/>
    <s v="ST-002"/>
    <x v="3"/>
    <s v="CUST-009"/>
    <x v="0"/>
    <s v="PRD-004"/>
    <x v="1"/>
    <x v="1"/>
    <n v="2"/>
    <n v="2388000"/>
    <n v="0.05"/>
    <n v="1723000"/>
    <n v="4537200"/>
    <x v="90"/>
    <x v="7"/>
    <x v="1"/>
    <n v="9"/>
    <x v="9"/>
    <n v="0.62025037468041966"/>
  </r>
  <r>
    <s v="ID-2024-00474"/>
    <d v="2024-11-11T00:00:00"/>
    <s v="ST-005"/>
    <x v="1"/>
    <s v="CUST-049"/>
    <x v="0"/>
    <s v="PRD-004"/>
    <x v="1"/>
    <x v="1"/>
    <n v="1"/>
    <n v="2155000"/>
    <n v="0"/>
    <n v="1570000"/>
    <n v="2155000"/>
    <x v="91"/>
    <x v="9"/>
    <x v="1"/>
    <n v="11"/>
    <x v="22"/>
    <n v="0.27146171693735499"/>
  </r>
  <r>
    <s v="ID-2024-00931"/>
    <d v="2024-12-05T00:00:00"/>
    <s v="ST-001"/>
    <x v="0"/>
    <s v="CUST-078"/>
    <x v="1"/>
    <s v="PRD-004"/>
    <x v="1"/>
    <x v="1"/>
    <n v="1"/>
    <n v="2662000"/>
    <n v="0"/>
    <n v="1872000"/>
    <n v="2662000"/>
    <x v="92"/>
    <x v="10"/>
    <x v="1"/>
    <n v="12"/>
    <x v="21"/>
    <n v="0.29676934635612323"/>
  </r>
  <r>
    <s v="ID-2024-00438"/>
    <d v="2024-12-07T00:00:00"/>
    <s v="ST-001"/>
    <x v="0"/>
    <s v="CUST-145"/>
    <x v="1"/>
    <s v="PRD-004"/>
    <x v="1"/>
    <x v="1"/>
    <n v="1"/>
    <n v="2009000"/>
    <n v="0"/>
    <n v="1461000"/>
    <n v="2009000"/>
    <x v="55"/>
    <x v="10"/>
    <x v="1"/>
    <n v="12"/>
    <x v="3"/>
    <n v="0.27277252364360377"/>
  </r>
  <r>
    <s v="ID-2024-00393"/>
    <d v="2024-12-27T00:00:00"/>
    <s v="ST-001"/>
    <x v="0"/>
    <s v="CUST-113"/>
    <x v="2"/>
    <s v="PRD-004"/>
    <x v="1"/>
    <x v="1"/>
    <n v="1"/>
    <n v="2433000"/>
    <n v="0"/>
    <n v="1737000"/>
    <n v="2433000"/>
    <x v="93"/>
    <x v="10"/>
    <x v="1"/>
    <n v="12"/>
    <x v="24"/>
    <n v="0.28606658446362515"/>
  </r>
  <r>
    <s v="ID-2024-01221"/>
    <d v="2024-12-28T00:00:00"/>
    <s v="ST-001"/>
    <x v="0"/>
    <s v="CUST-079"/>
    <x v="1"/>
    <s v="PRD-004"/>
    <x v="1"/>
    <x v="1"/>
    <n v="1"/>
    <n v="2672000"/>
    <n v="0"/>
    <n v="1883000"/>
    <n v="2672000"/>
    <x v="94"/>
    <x v="10"/>
    <x v="1"/>
    <n v="12"/>
    <x v="4"/>
    <n v="0.29528443113772457"/>
  </r>
  <r>
    <s v="ID-2025-00084"/>
    <d v="2025-02-10T00:00:00"/>
    <s v="ST-003"/>
    <x v="4"/>
    <s v="CUST-048"/>
    <x v="0"/>
    <s v="PRD-004"/>
    <x v="1"/>
    <x v="1"/>
    <n v="1"/>
    <n v="2954000"/>
    <n v="0"/>
    <n v="2087000"/>
    <n v="2954000"/>
    <x v="95"/>
    <x v="1"/>
    <x v="2"/>
    <n v="2"/>
    <x v="13"/>
    <n v="0.29350033852403523"/>
  </r>
  <r>
    <s v="ID-2025-00120"/>
    <d v="2025-02-28T00:00:00"/>
    <s v="ST-002"/>
    <x v="3"/>
    <s v="CUST-119"/>
    <x v="1"/>
    <s v="PRD-004"/>
    <x v="1"/>
    <x v="1"/>
    <n v="1"/>
    <n v="2723000"/>
    <n v="0.1"/>
    <n v="1932000"/>
    <n v="2450700"/>
    <x v="96"/>
    <x v="1"/>
    <x v="2"/>
    <n v="2"/>
    <x v="4"/>
    <n v="0.21165381319622964"/>
  </r>
  <r>
    <s v="ID-2025-00881"/>
    <d v="2025-03-20T00:00:00"/>
    <s v="ST-002"/>
    <x v="3"/>
    <s v="CUST-068"/>
    <x v="1"/>
    <s v="PRD-004"/>
    <x v="1"/>
    <x v="1"/>
    <n v="1"/>
    <n v="2297000"/>
    <n v="0"/>
    <n v="1679000"/>
    <n v="2297000"/>
    <x v="97"/>
    <x v="2"/>
    <x v="2"/>
    <n v="3"/>
    <x v="30"/>
    <n v="0.26904658249891161"/>
  </r>
  <r>
    <s v="ID-2025-00614"/>
    <d v="2025-03-22T00:00:00"/>
    <s v="ST-001"/>
    <x v="0"/>
    <s v="CUST-004"/>
    <x v="0"/>
    <s v="PRD-004"/>
    <x v="1"/>
    <x v="1"/>
    <n v="2"/>
    <n v="2004000"/>
    <n v="0"/>
    <n v="1439000"/>
    <n v="4008000"/>
    <x v="98"/>
    <x v="2"/>
    <x v="2"/>
    <n v="3"/>
    <x v="16"/>
    <n v="0.64096806387225547"/>
  </r>
  <r>
    <s v="ID-2025-00031"/>
    <d v="2025-03-27T00:00:00"/>
    <s v="ST-001"/>
    <x v="0"/>
    <s v="CUST-074"/>
    <x v="1"/>
    <s v="PRD-004"/>
    <x v="1"/>
    <x v="1"/>
    <n v="1"/>
    <n v="2139000"/>
    <n v="0"/>
    <n v="1520000"/>
    <n v="2139000"/>
    <x v="99"/>
    <x v="2"/>
    <x v="2"/>
    <n v="3"/>
    <x v="24"/>
    <n v="0.28938756428237494"/>
  </r>
  <r>
    <s v="ID-2025-00627"/>
    <d v="2025-04-17T00:00:00"/>
    <s v="ST-001"/>
    <x v="0"/>
    <s v="CUST-084"/>
    <x v="1"/>
    <s v="PRD-004"/>
    <x v="1"/>
    <x v="1"/>
    <n v="1"/>
    <n v="2318000"/>
    <n v="0"/>
    <n v="1710000"/>
    <n v="2318000"/>
    <x v="100"/>
    <x v="11"/>
    <x v="2"/>
    <n v="4"/>
    <x v="2"/>
    <n v="0.26229508196721313"/>
  </r>
  <r>
    <s v="ID-2025-01354"/>
    <d v="2025-04-23T00:00:00"/>
    <s v="ST-001"/>
    <x v="0"/>
    <s v="CUST-040"/>
    <x v="0"/>
    <s v="PRD-004"/>
    <x v="1"/>
    <x v="1"/>
    <n v="1"/>
    <n v="2816000"/>
    <n v="0"/>
    <n v="2009000"/>
    <n v="2816000"/>
    <x v="101"/>
    <x v="11"/>
    <x v="2"/>
    <n v="4"/>
    <x v="11"/>
    <n v="0.28657670454545453"/>
  </r>
  <r>
    <s v="ID-2025-00026"/>
    <d v="2025-04-28T00:00:00"/>
    <s v="ST-005"/>
    <x v="1"/>
    <s v="CUST-148"/>
    <x v="0"/>
    <s v="PRD-004"/>
    <x v="1"/>
    <x v="1"/>
    <n v="3"/>
    <n v="2473000"/>
    <n v="0"/>
    <n v="1803000"/>
    <n v="7419000"/>
    <x v="102"/>
    <x v="11"/>
    <x v="2"/>
    <n v="4"/>
    <x v="4"/>
    <n v="0.75697533360291147"/>
  </r>
  <r>
    <s v="ID-2025-00656"/>
    <d v="2025-05-03T00:00:00"/>
    <s v="ST-001"/>
    <x v="0"/>
    <s v="CUST-060"/>
    <x v="1"/>
    <s v="PRD-004"/>
    <x v="1"/>
    <x v="1"/>
    <n v="3"/>
    <n v="2590000"/>
    <n v="0"/>
    <n v="1858000"/>
    <n v="7770000"/>
    <x v="103"/>
    <x v="3"/>
    <x v="2"/>
    <n v="5"/>
    <x v="8"/>
    <n v="0.76087516087516083"/>
  </r>
  <r>
    <s v="ID-2025-00550"/>
    <d v="2025-05-08T00:00:00"/>
    <s v="ST-001"/>
    <x v="0"/>
    <s v="CUST-140"/>
    <x v="3"/>
    <s v="PRD-004"/>
    <x v="1"/>
    <x v="1"/>
    <n v="1"/>
    <n v="2170000"/>
    <n v="0.15"/>
    <n v="1528000"/>
    <n v="1844500"/>
    <x v="104"/>
    <x v="3"/>
    <x v="2"/>
    <n v="5"/>
    <x v="27"/>
    <n v="0.17159121713201408"/>
  </r>
  <r>
    <s v="ID-2025-01539"/>
    <d v="2025-05-20T00:00:00"/>
    <s v="ST-002"/>
    <x v="3"/>
    <s v="CUST-123"/>
    <x v="1"/>
    <s v="PRD-004"/>
    <x v="1"/>
    <x v="1"/>
    <n v="1"/>
    <n v="2928000"/>
    <n v="0.1"/>
    <n v="2061000"/>
    <n v="2635200"/>
    <x v="105"/>
    <x v="3"/>
    <x v="2"/>
    <n v="5"/>
    <x v="30"/>
    <n v="0.21789617486338797"/>
  </r>
  <r>
    <s v="ID-2025-01300"/>
    <d v="2025-06-10T00:00:00"/>
    <s v="ST-002"/>
    <x v="3"/>
    <s v="CUST-106"/>
    <x v="1"/>
    <s v="PRD-004"/>
    <x v="1"/>
    <x v="1"/>
    <n v="3"/>
    <n v="2013000"/>
    <n v="0"/>
    <n v="1481000"/>
    <n v="6039000"/>
    <x v="106"/>
    <x v="4"/>
    <x v="2"/>
    <n v="6"/>
    <x v="13"/>
    <n v="0.7547607219738367"/>
  </r>
  <r>
    <s v="ID-2025-01604"/>
    <d v="2025-06-11T00:00:00"/>
    <s v="ST-001"/>
    <x v="0"/>
    <s v="CUST-053"/>
    <x v="2"/>
    <s v="PRD-004"/>
    <x v="1"/>
    <x v="1"/>
    <n v="1"/>
    <n v="3151000"/>
    <n v="0"/>
    <n v="2227000"/>
    <n v="3151000"/>
    <x v="107"/>
    <x v="4"/>
    <x v="2"/>
    <n v="6"/>
    <x v="22"/>
    <n v="0.29324024119327197"/>
  </r>
  <r>
    <s v="ID-2025-01044"/>
    <d v="2025-07-05T00:00:00"/>
    <s v="ST-001"/>
    <x v="0"/>
    <s v="CUST-099"/>
    <x v="1"/>
    <s v="PRD-004"/>
    <x v="1"/>
    <x v="1"/>
    <n v="1"/>
    <n v="3039000"/>
    <n v="0.1"/>
    <n v="2179000"/>
    <n v="2735100"/>
    <x v="108"/>
    <x v="5"/>
    <x v="2"/>
    <n v="7"/>
    <x v="21"/>
    <n v="0.20331980549157253"/>
  </r>
  <r>
    <s v="ID-2025-01120"/>
    <d v="2025-07-06T00:00:00"/>
    <s v="ST-001"/>
    <x v="0"/>
    <s v="CUST-112"/>
    <x v="1"/>
    <s v="PRD-004"/>
    <x v="1"/>
    <x v="1"/>
    <n v="1"/>
    <n v="2085000"/>
    <n v="0"/>
    <n v="1490000"/>
    <n v="2085000"/>
    <x v="109"/>
    <x v="5"/>
    <x v="2"/>
    <n v="7"/>
    <x v="29"/>
    <n v="0.28537170263788969"/>
  </r>
  <r>
    <s v="ID-2025-01225"/>
    <d v="2025-07-08T00:00:00"/>
    <s v="ST-001"/>
    <x v="0"/>
    <s v="CUST-032"/>
    <x v="1"/>
    <s v="PRD-004"/>
    <x v="1"/>
    <x v="1"/>
    <n v="1"/>
    <n v="2646000"/>
    <n v="0.15"/>
    <n v="1872000"/>
    <n v="2249100"/>
    <x v="110"/>
    <x v="5"/>
    <x v="2"/>
    <n v="7"/>
    <x v="27"/>
    <n v="0.16766706682673069"/>
  </r>
  <r>
    <s v="ID-2025-01017"/>
    <d v="2025-07-20T00:00:00"/>
    <s v="ST-001"/>
    <x v="0"/>
    <s v="CUST-090"/>
    <x v="0"/>
    <s v="PRD-004"/>
    <x v="1"/>
    <x v="1"/>
    <n v="1"/>
    <n v="2723000"/>
    <n v="0"/>
    <n v="1951000"/>
    <n v="2723000"/>
    <x v="111"/>
    <x v="5"/>
    <x v="2"/>
    <n v="7"/>
    <x v="30"/>
    <n v="0.28351083363936835"/>
  </r>
  <r>
    <s v="ID-2025-00493"/>
    <d v="2025-07-21T00:00:00"/>
    <s v="ST-003"/>
    <x v="4"/>
    <s v="CUST-120"/>
    <x v="0"/>
    <s v="PRD-004"/>
    <x v="1"/>
    <x v="1"/>
    <n v="1"/>
    <n v="3080000"/>
    <n v="0"/>
    <n v="2268000"/>
    <n v="3080000"/>
    <x v="112"/>
    <x v="5"/>
    <x v="2"/>
    <n v="7"/>
    <x v="14"/>
    <n v="0.26363636363636361"/>
  </r>
  <r>
    <s v="ID-2025-01705"/>
    <d v="2025-07-27T00:00:00"/>
    <s v="ST-001"/>
    <x v="0"/>
    <s v="CUST-117"/>
    <x v="1"/>
    <s v="PRD-004"/>
    <x v="1"/>
    <x v="1"/>
    <n v="1"/>
    <n v="2267000"/>
    <n v="0"/>
    <n v="1667000"/>
    <n v="2267000"/>
    <x v="113"/>
    <x v="5"/>
    <x v="2"/>
    <n v="7"/>
    <x v="24"/>
    <n v="0.26466696074106749"/>
  </r>
  <r>
    <s v="ID-2025-01621"/>
    <d v="2025-08-01T00:00:00"/>
    <s v="ST-003"/>
    <x v="4"/>
    <s v="CUST-130"/>
    <x v="0"/>
    <s v="PRD-004"/>
    <x v="1"/>
    <x v="1"/>
    <n v="1"/>
    <n v="3046000"/>
    <n v="0.15"/>
    <n v="2180000"/>
    <n v="2589100"/>
    <x v="114"/>
    <x v="6"/>
    <x v="2"/>
    <n v="8"/>
    <x v="0"/>
    <n v="0.15800857440809549"/>
  </r>
  <r>
    <s v="ID-2025-00896"/>
    <d v="2025-08-22T00:00:00"/>
    <s v="ST-004"/>
    <x v="2"/>
    <s v="CUST-129"/>
    <x v="1"/>
    <s v="PRD-004"/>
    <x v="1"/>
    <x v="1"/>
    <n v="2"/>
    <n v="2111000"/>
    <n v="0"/>
    <n v="1488000"/>
    <n v="4222000"/>
    <x v="115"/>
    <x v="6"/>
    <x v="2"/>
    <n v="8"/>
    <x v="16"/>
    <n v="0.64756039791567976"/>
  </r>
  <r>
    <s v="ID-2025-00358"/>
    <d v="2025-08-24T00:00:00"/>
    <s v="ST-001"/>
    <x v="0"/>
    <s v="CUST-120"/>
    <x v="0"/>
    <s v="PRD-004"/>
    <x v="1"/>
    <x v="1"/>
    <n v="1"/>
    <n v="2449000"/>
    <n v="0"/>
    <n v="1788000"/>
    <n v="2449000"/>
    <x v="116"/>
    <x v="6"/>
    <x v="2"/>
    <n v="8"/>
    <x v="25"/>
    <n v="0.26990608411596573"/>
  </r>
  <r>
    <s v="ID-2025-01338"/>
    <d v="2025-09-02T00:00:00"/>
    <s v="ST-003"/>
    <x v="4"/>
    <s v="CUST-009"/>
    <x v="0"/>
    <s v="PRD-004"/>
    <x v="1"/>
    <x v="1"/>
    <n v="1"/>
    <n v="2664000"/>
    <n v="0"/>
    <n v="1959000"/>
    <n v="2664000"/>
    <x v="117"/>
    <x v="7"/>
    <x v="2"/>
    <n v="9"/>
    <x v="17"/>
    <n v="0.26463963963963966"/>
  </r>
  <r>
    <s v="ID-2025-01690"/>
    <d v="2025-09-07T00:00:00"/>
    <s v="ST-002"/>
    <x v="3"/>
    <s v="CUST-007"/>
    <x v="1"/>
    <s v="PRD-004"/>
    <x v="1"/>
    <x v="1"/>
    <n v="1"/>
    <n v="2858000"/>
    <n v="0"/>
    <n v="2062000"/>
    <n v="2858000"/>
    <x v="118"/>
    <x v="7"/>
    <x v="2"/>
    <n v="9"/>
    <x v="3"/>
    <n v="0.27851644506648005"/>
  </r>
  <r>
    <s v="ID-2025-01368"/>
    <d v="2025-09-21T00:00:00"/>
    <s v="ST-003"/>
    <x v="4"/>
    <s v="CUST-071"/>
    <x v="2"/>
    <s v="PRD-004"/>
    <x v="1"/>
    <x v="1"/>
    <n v="1"/>
    <n v="3259000"/>
    <n v="0.1"/>
    <n v="2366000"/>
    <n v="2933100"/>
    <x v="119"/>
    <x v="7"/>
    <x v="2"/>
    <n v="9"/>
    <x v="14"/>
    <n v="0.19334492516450172"/>
  </r>
  <r>
    <s v="ID-2025-01370"/>
    <d v="2025-09-22T00:00:00"/>
    <s v="ST-004"/>
    <x v="2"/>
    <s v="CUST-045"/>
    <x v="1"/>
    <s v="PRD-004"/>
    <x v="1"/>
    <x v="1"/>
    <n v="1"/>
    <n v="2623000"/>
    <n v="0"/>
    <n v="1910000"/>
    <n v="2623000"/>
    <x v="120"/>
    <x v="7"/>
    <x v="2"/>
    <n v="9"/>
    <x v="16"/>
    <n v="0.27182615325962639"/>
  </r>
  <r>
    <s v="ID-2025-00110"/>
    <d v="2025-09-28T00:00:00"/>
    <s v="ST-001"/>
    <x v="0"/>
    <s v="CUST-098"/>
    <x v="0"/>
    <s v="PRD-004"/>
    <x v="1"/>
    <x v="1"/>
    <n v="1"/>
    <n v="2720000"/>
    <n v="0"/>
    <n v="1944000"/>
    <n v="2720000"/>
    <x v="121"/>
    <x v="7"/>
    <x v="2"/>
    <n v="9"/>
    <x v="4"/>
    <n v="0.28529411764705881"/>
  </r>
  <r>
    <s v="ID-2025-01578"/>
    <d v="2025-09-29T00:00:00"/>
    <s v="ST-004"/>
    <x v="2"/>
    <s v="CUST-135"/>
    <x v="2"/>
    <s v="PRD-004"/>
    <x v="1"/>
    <x v="1"/>
    <n v="1"/>
    <n v="2485000"/>
    <n v="0"/>
    <n v="1839000"/>
    <n v="2485000"/>
    <x v="122"/>
    <x v="7"/>
    <x v="2"/>
    <n v="9"/>
    <x v="7"/>
    <n v="0.25995975855130787"/>
  </r>
  <r>
    <s v="ID-2025-00046"/>
    <d v="2025-11-01T00:00:00"/>
    <s v="ST-001"/>
    <x v="0"/>
    <s v="CUST-043"/>
    <x v="1"/>
    <s v="PRD-004"/>
    <x v="1"/>
    <x v="1"/>
    <n v="2"/>
    <n v="3227000"/>
    <n v="0"/>
    <n v="2300000"/>
    <n v="6454000"/>
    <x v="123"/>
    <x v="9"/>
    <x v="2"/>
    <n v="11"/>
    <x v="0"/>
    <n v="0.64363185621320107"/>
  </r>
  <r>
    <s v="ID-2025-00874"/>
    <d v="2025-11-29T00:00:00"/>
    <s v="ST-001"/>
    <x v="0"/>
    <s v="CUST-080"/>
    <x v="1"/>
    <s v="PRD-004"/>
    <x v="1"/>
    <x v="1"/>
    <n v="3"/>
    <n v="2573000"/>
    <n v="0.05"/>
    <n v="1889000"/>
    <n v="7333050"/>
    <x v="124"/>
    <x v="9"/>
    <x v="2"/>
    <n v="11"/>
    <x v="7"/>
    <n v="0.74239913814851932"/>
  </r>
  <r>
    <s v="ID-2025-00472"/>
    <d v="2025-12-24T00:00:00"/>
    <s v="ST-004"/>
    <x v="2"/>
    <s v="CUST-050"/>
    <x v="1"/>
    <s v="PRD-004"/>
    <x v="1"/>
    <x v="1"/>
    <n v="1"/>
    <n v="2511291.6666666665"/>
    <n v="0"/>
    <n v="1728000"/>
    <n v="2511291.6666666665"/>
    <x v="125"/>
    <x v="10"/>
    <x v="2"/>
    <n v="12"/>
    <x v="25"/>
    <n v="0.31190788272967096"/>
  </r>
  <r>
    <s v="ID-2025-00458"/>
    <d v="2025-12-26T00:00:00"/>
    <s v="ST-001"/>
    <x v="0"/>
    <s v="CUST-099"/>
    <x v="1"/>
    <s v="PRD-004"/>
    <x v="1"/>
    <x v="1"/>
    <n v="1"/>
    <n v="2241000"/>
    <n v="0"/>
    <n v="1620000"/>
    <n v="2241000"/>
    <x v="126"/>
    <x v="10"/>
    <x v="2"/>
    <n v="12"/>
    <x v="6"/>
    <n v="0.27710843373493976"/>
  </r>
  <r>
    <s v="ID-2026-00957"/>
    <d v="2026-01-06T00:00:00"/>
    <s v="ST-001"/>
    <x v="0"/>
    <s v="CUST-072"/>
    <x v="1"/>
    <s v="PRD-004"/>
    <x v="1"/>
    <x v="1"/>
    <n v="1"/>
    <n v="2745000"/>
    <n v="0"/>
    <n v="1995000"/>
    <n v="2745000"/>
    <x v="86"/>
    <x v="0"/>
    <x v="3"/>
    <n v="1"/>
    <x v="29"/>
    <n v="0.27322404371584702"/>
  </r>
  <r>
    <s v="ID-2026-00720"/>
    <d v="2026-03-01T00:00:00"/>
    <s v="ST-001"/>
    <x v="0"/>
    <s v="CUST-035"/>
    <x v="3"/>
    <s v="PRD-004"/>
    <x v="1"/>
    <x v="1"/>
    <n v="1"/>
    <n v="2865000"/>
    <n v="0.1"/>
    <n v="2057000"/>
    <n v="2578500"/>
    <x v="127"/>
    <x v="2"/>
    <x v="3"/>
    <n v="3"/>
    <x v="0"/>
    <n v="0.20224936978863681"/>
  </r>
  <r>
    <s v="ID-2026-01206"/>
    <d v="2026-03-09T00:00:00"/>
    <s v="ST-003"/>
    <x v="4"/>
    <s v="CUST-006"/>
    <x v="1"/>
    <s v="PRD-004"/>
    <x v="1"/>
    <x v="1"/>
    <n v="1"/>
    <n v="2976000"/>
    <n v="0.1"/>
    <n v="2195000"/>
    <n v="2678400"/>
    <x v="128"/>
    <x v="2"/>
    <x v="3"/>
    <n v="3"/>
    <x v="1"/>
    <n v="0.18048088410991636"/>
  </r>
  <r>
    <s v="ID-2026-00213"/>
    <d v="2026-03-27T00:00:00"/>
    <s v="ST-003"/>
    <x v="4"/>
    <s v="CUST-070"/>
    <x v="3"/>
    <s v="PRD-004"/>
    <x v="1"/>
    <x v="1"/>
    <n v="1"/>
    <n v="2625000"/>
    <n v="0"/>
    <n v="1937000"/>
    <n v="2625000"/>
    <x v="129"/>
    <x v="2"/>
    <x v="3"/>
    <n v="3"/>
    <x v="24"/>
    <n v="0.2620952380952381"/>
  </r>
  <r>
    <s v="ID-2026-01254"/>
    <d v="2026-04-25T00:00:00"/>
    <s v="ST-001"/>
    <x v="0"/>
    <s v="CUST-132"/>
    <x v="1"/>
    <s v="PRD-004"/>
    <x v="1"/>
    <x v="1"/>
    <n v="1"/>
    <n v="2109000"/>
    <n v="0.05"/>
    <n v="1521000"/>
    <n v="2003550"/>
    <x v="130"/>
    <x v="11"/>
    <x v="3"/>
    <n v="4"/>
    <x v="12"/>
    <n v="0.24084749569514113"/>
  </r>
  <r>
    <s v="ID-2026-01386"/>
    <d v="2026-05-02T00:00:00"/>
    <s v="ST-001"/>
    <x v="0"/>
    <s v="CUST-126"/>
    <x v="0"/>
    <s v="PRD-004"/>
    <x v="1"/>
    <x v="1"/>
    <n v="3"/>
    <n v="3067000"/>
    <n v="0"/>
    <n v="2217000"/>
    <n v="9201000"/>
    <x v="131"/>
    <x v="3"/>
    <x v="3"/>
    <n v="5"/>
    <x v="17"/>
    <n v="0.75904792957287248"/>
  </r>
  <r>
    <s v="ID-2026-00192"/>
    <d v="2026-06-07T00:00:00"/>
    <s v="ST-001"/>
    <x v="0"/>
    <s v="CUST-026"/>
    <x v="2"/>
    <s v="PRD-004"/>
    <x v="1"/>
    <x v="1"/>
    <n v="1"/>
    <n v="2941000"/>
    <n v="0"/>
    <n v="2173000"/>
    <n v="2941000"/>
    <x v="132"/>
    <x v="4"/>
    <x v="3"/>
    <n v="6"/>
    <x v="3"/>
    <n v="0.26113566814008843"/>
  </r>
  <r>
    <s v="ID-2023-00556"/>
    <d v="2023-01-03T00:00:00"/>
    <s v="ST-003"/>
    <x v="4"/>
    <s v="CUST-002"/>
    <x v="3"/>
    <s v="PRD-016"/>
    <x v="2"/>
    <x v="0"/>
    <n v="1"/>
    <n v="302000"/>
    <n v="0"/>
    <n v="222000"/>
    <n v="302000"/>
    <x v="133"/>
    <x v="0"/>
    <x v="0"/>
    <n v="1"/>
    <x v="8"/>
    <n v="0.26490066225165565"/>
  </r>
  <r>
    <s v="ID-2023-01282"/>
    <d v="2023-02-06T00:00:00"/>
    <s v="ST-002"/>
    <x v="3"/>
    <s v="CUST-046"/>
    <x v="0"/>
    <s v="PRD-016"/>
    <x v="2"/>
    <x v="0"/>
    <n v="3"/>
    <n v="487000"/>
    <n v="0.15"/>
    <n v="349000"/>
    <n v="1241850"/>
    <x v="134"/>
    <x v="1"/>
    <x v="0"/>
    <n v="2"/>
    <x v="29"/>
    <n v="0.71896766920320487"/>
  </r>
  <r>
    <s v="ID-2023-00626"/>
    <d v="2023-02-21T00:00:00"/>
    <s v="ST-001"/>
    <x v="0"/>
    <s v="CUST-006"/>
    <x v="1"/>
    <s v="PRD-016"/>
    <x v="2"/>
    <x v="0"/>
    <n v="1"/>
    <n v="434000"/>
    <n v="0"/>
    <n v="321000"/>
    <n v="434000"/>
    <x v="135"/>
    <x v="1"/>
    <x v="0"/>
    <n v="2"/>
    <x v="14"/>
    <n v="0.26036866359447003"/>
  </r>
  <r>
    <s v="ID-2023-01069"/>
    <d v="2023-02-26T00:00:00"/>
    <s v="ST-004"/>
    <x v="2"/>
    <s v="CUST-086"/>
    <x v="1"/>
    <s v="PRD-016"/>
    <x v="2"/>
    <x v="0"/>
    <n v="1"/>
    <n v="229000"/>
    <n v="0.05"/>
    <n v="170000"/>
    <n v="217550"/>
    <x v="136"/>
    <x v="1"/>
    <x v="0"/>
    <n v="2"/>
    <x v="6"/>
    <n v="0.21857044357618938"/>
  </r>
  <r>
    <s v="ID-2023-00841"/>
    <d v="2023-03-22T00:00:00"/>
    <s v="ST-002"/>
    <x v="3"/>
    <s v="CUST-029"/>
    <x v="0"/>
    <s v="PRD-016"/>
    <x v="2"/>
    <x v="0"/>
    <n v="1"/>
    <n v="481000"/>
    <n v="0"/>
    <n v="361000"/>
    <n v="481000"/>
    <x v="137"/>
    <x v="2"/>
    <x v="0"/>
    <n v="3"/>
    <x v="16"/>
    <n v="0.24948024948024949"/>
  </r>
  <r>
    <s v="ID-2023-01452"/>
    <d v="2023-04-23T00:00:00"/>
    <s v="ST-001"/>
    <x v="0"/>
    <s v="CUST-020"/>
    <x v="1"/>
    <s v="PRD-016"/>
    <x v="2"/>
    <x v="0"/>
    <n v="1"/>
    <n v="429000"/>
    <n v="0"/>
    <n v="314000"/>
    <n v="429000"/>
    <x v="43"/>
    <x v="11"/>
    <x v="0"/>
    <n v="4"/>
    <x v="11"/>
    <n v="0.26806526806526809"/>
  </r>
  <r>
    <s v="ID-2023-01479"/>
    <d v="2023-05-01T00:00:00"/>
    <s v="ST-001"/>
    <x v="0"/>
    <s v="CUST-135"/>
    <x v="2"/>
    <s v="PRD-016"/>
    <x v="2"/>
    <x v="0"/>
    <n v="1"/>
    <n v="499000"/>
    <n v="0"/>
    <n v="357000"/>
    <n v="499000"/>
    <x v="138"/>
    <x v="3"/>
    <x v="0"/>
    <n v="5"/>
    <x v="0"/>
    <n v="0.28456913827655311"/>
  </r>
  <r>
    <s v="ID-2023-00451"/>
    <d v="2023-05-18T00:00:00"/>
    <s v="ST-002"/>
    <x v="3"/>
    <s v="CUST-142"/>
    <x v="1"/>
    <s v="PRD-016"/>
    <x v="2"/>
    <x v="0"/>
    <n v="1"/>
    <n v="499000"/>
    <n v="0"/>
    <n v="356000"/>
    <n v="499000"/>
    <x v="139"/>
    <x v="3"/>
    <x v="0"/>
    <n v="5"/>
    <x v="9"/>
    <n v="0.28657314629258518"/>
  </r>
  <r>
    <s v="ID-2023-01321"/>
    <d v="2023-06-19T00:00:00"/>
    <s v="ST-001"/>
    <x v="0"/>
    <s v="CUST-090"/>
    <x v="0"/>
    <s v="PRD-016"/>
    <x v="2"/>
    <x v="0"/>
    <n v="2"/>
    <n v="488000"/>
    <n v="0"/>
    <n v="363000"/>
    <n v="976000"/>
    <x v="140"/>
    <x v="4"/>
    <x v="0"/>
    <n v="6"/>
    <x v="26"/>
    <n v="0.62807377049180324"/>
  </r>
  <r>
    <s v="ID-2023-01795"/>
    <d v="2023-06-30T00:00:00"/>
    <s v="ST-002"/>
    <x v="3"/>
    <s v="CUST-044"/>
    <x v="2"/>
    <s v="PRD-016"/>
    <x v="2"/>
    <x v="0"/>
    <n v="1"/>
    <n v="434000"/>
    <n v="0"/>
    <n v="323000"/>
    <n v="434000"/>
    <x v="141"/>
    <x v="4"/>
    <x v="0"/>
    <n v="6"/>
    <x v="15"/>
    <n v="0.25576036866359447"/>
  </r>
  <r>
    <s v="ID-2023-01398"/>
    <d v="2023-07-14T00:00:00"/>
    <s v="ST-004"/>
    <x v="2"/>
    <s v="CUST-052"/>
    <x v="2"/>
    <s v="PRD-016"/>
    <x v="2"/>
    <x v="0"/>
    <n v="1"/>
    <n v="327000"/>
    <n v="0"/>
    <n v="238000"/>
    <n v="327000"/>
    <x v="142"/>
    <x v="5"/>
    <x v="0"/>
    <n v="7"/>
    <x v="18"/>
    <n v="0.27217125382262997"/>
  </r>
  <r>
    <s v="ID-2023-01011"/>
    <d v="2023-07-24T00:00:00"/>
    <s v="ST-001"/>
    <x v="0"/>
    <s v="CUST-049"/>
    <x v="0"/>
    <s v="PRD-016"/>
    <x v="2"/>
    <x v="0"/>
    <n v="1"/>
    <n v="326000"/>
    <n v="0"/>
    <n v="243000"/>
    <n v="326000"/>
    <x v="26"/>
    <x v="5"/>
    <x v="0"/>
    <n v="7"/>
    <x v="25"/>
    <n v="0.254601226993865"/>
  </r>
  <r>
    <s v="ID-2023-01783"/>
    <d v="2023-07-29T00:00:00"/>
    <s v="ST-003"/>
    <x v="4"/>
    <s v="CUST-062"/>
    <x v="1"/>
    <s v="PRD-016"/>
    <x v="2"/>
    <x v="0"/>
    <n v="2"/>
    <n v="370000"/>
    <n v="0"/>
    <n v="270000"/>
    <n v="740000"/>
    <x v="59"/>
    <x v="5"/>
    <x v="0"/>
    <n v="7"/>
    <x v="7"/>
    <n v="0.63513513513513509"/>
  </r>
  <r>
    <s v="ID-2023-01182"/>
    <d v="2023-08-06T00:00:00"/>
    <s v="ST-002"/>
    <x v="3"/>
    <s v="CUST-088"/>
    <x v="0"/>
    <s v="PRD-016"/>
    <x v="2"/>
    <x v="0"/>
    <n v="1"/>
    <n v="235000"/>
    <n v="0"/>
    <n v="173000"/>
    <n v="235000"/>
    <x v="143"/>
    <x v="6"/>
    <x v="0"/>
    <n v="8"/>
    <x v="29"/>
    <n v="0.26382978723404255"/>
  </r>
  <r>
    <s v="ID-2023-00103"/>
    <d v="2023-08-07T00:00:00"/>
    <s v="ST-001"/>
    <x v="0"/>
    <s v="CUST-020"/>
    <x v="1"/>
    <s v="PRD-016"/>
    <x v="2"/>
    <x v="0"/>
    <n v="1"/>
    <n v="483000"/>
    <n v="0.05"/>
    <n v="348000"/>
    <n v="458850"/>
    <x v="144"/>
    <x v="6"/>
    <x v="0"/>
    <n v="8"/>
    <x v="3"/>
    <n v="0.24158221641059169"/>
  </r>
  <r>
    <s v="ID-2023-01505"/>
    <d v="2023-08-10T00:00:00"/>
    <s v="ST-001"/>
    <x v="0"/>
    <s v="CUST-092"/>
    <x v="2"/>
    <s v="PRD-016"/>
    <x v="2"/>
    <x v="0"/>
    <n v="1"/>
    <n v="263000"/>
    <n v="0"/>
    <n v="196000"/>
    <n v="263000"/>
    <x v="145"/>
    <x v="6"/>
    <x v="0"/>
    <n v="8"/>
    <x v="13"/>
    <n v="0.25475285171102663"/>
  </r>
  <r>
    <s v="ID-2023-01607"/>
    <d v="2023-08-16T00:00:00"/>
    <s v="ST-003"/>
    <x v="4"/>
    <s v="CUST-139"/>
    <x v="1"/>
    <s v="PRD-016"/>
    <x v="2"/>
    <x v="0"/>
    <n v="3"/>
    <n v="368000"/>
    <n v="0"/>
    <n v="262000"/>
    <n v="1104000"/>
    <x v="146"/>
    <x v="6"/>
    <x v="0"/>
    <n v="8"/>
    <x v="5"/>
    <n v="0.7626811594202898"/>
  </r>
  <r>
    <s v="ID-2023-00370"/>
    <d v="2023-09-29T00:00:00"/>
    <s v="ST-001"/>
    <x v="0"/>
    <s v="CUST-044"/>
    <x v="2"/>
    <s v="PRD-016"/>
    <x v="2"/>
    <x v="0"/>
    <n v="1"/>
    <n v="358000"/>
    <n v="0"/>
    <n v="255000"/>
    <n v="358000"/>
    <x v="147"/>
    <x v="7"/>
    <x v="0"/>
    <n v="9"/>
    <x v="7"/>
    <n v="0.28770949720670391"/>
  </r>
  <r>
    <s v="ID-2023-00884"/>
    <d v="2023-11-05T00:00:00"/>
    <s v="ST-004"/>
    <x v="2"/>
    <s v="CUST-026"/>
    <x v="2"/>
    <s v="PRD-016"/>
    <x v="2"/>
    <x v="0"/>
    <n v="1"/>
    <n v="337000"/>
    <n v="0"/>
    <n v="244000"/>
    <n v="337000"/>
    <x v="148"/>
    <x v="9"/>
    <x v="0"/>
    <n v="11"/>
    <x v="21"/>
    <n v="0.27596439169139464"/>
  </r>
  <r>
    <s v="ID-2023-01584"/>
    <d v="2023-11-08T00:00:00"/>
    <s v="ST-003"/>
    <x v="4"/>
    <s v="CUST-078"/>
    <x v="1"/>
    <s v="PRD-016"/>
    <x v="2"/>
    <x v="0"/>
    <n v="1"/>
    <n v="496000"/>
    <n v="0"/>
    <n v="364000"/>
    <n v="496000"/>
    <x v="149"/>
    <x v="9"/>
    <x v="0"/>
    <n v="11"/>
    <x v="27"/>
    <n v="0.2661290322580645"/>
  </r>
  <r>
    <s v="ID-2023-00159"/>
    <d v="2023-12-18T00:00:00"/>
    <s v="ST-002"/>
    <x v="3"/>
    <s v="CUST-116"/>
    <x v="1"/>
    <s v="PRD-016"/>
    <x v="2"/>
    <x v="0"/>
    <n v="1"/>
    <n v="283000"/>
    <n v="0.1"/>
    <n v="212000"/>
    <n v="254700"/>
    <x v="150"/>
    <x v="10"/>
    <x v="0"/>
    <n v="12"/>
    <x v="9"/>
    <n v="0.16764821358460935"/>
  </r>
  <r>
    <s v="ID-2023-01559"/>
    <d v="2023-12-28T00:00:00"/>
    <s v="ST-003"/>
    <x v="4"/>
    <s v="CUST-108"/>
    <x v="2"/>
    <s v="PRD-016"/>
    <x v="2"/>
    <x v="0"/>
    <n v="1"/>
    <n v="207000"/>
    <n v="0"/>
    <n v="151000"/>
    <n v="207000"/>
    <x v="151"/>
    <x v="10"/>
    <x v="0"/>
    <n v="12"/>
    <x v="4"/>
    <n v="0.27053140096618356"/>
  </r>
  <r>
    <s v="ID-2024-00657"/>
    <d v="2024-01-08T00:00:00"/>
    <s v="ST-004"/>
    <x v="2"/>
    <s v="CUST-006"/>
    <x v="1"/>
    <s v="PRD-016"/>
    <x v="2"/>
    <x v="0"/>
    <n v="2"/>
    <n v="407183.33333333331"/>
    <n v="0.1"/>
    <n v="256000"/>
    <n v="732930"/>
    <x v="152"/>
    <x v="0"/>
    <x v="1"/>
    <n v="1"/>
    <x v="27"/>
    <n v="0.65071698525097899"/>
  </r>
  <r>
    <s v="ID-2024-01788"/>
    <d v="2024-01-31T00:00:00"/>
    <s v="ST-003"/>
    <x v="4"/>
    <s v="CUST-150"/>
    <x v="1"/>
    <s v="PRD-016"/>
    <x v="2"/>
    <x v="0"/>
    <n v="1"/>
    <n v="441000"/>
    <n v="0"/>
    <n v="323000"/>
    <n v="441000"/>
    <x v="7"/>
    <x v="0"/>
    <x v="1"/>
    <n v="1"/>
    <x v="28"/>
    <n v="0.26757369614512472"/>
  </r>
  <r>
    <s v="ID-2024-00164"/>
    <d v="2024-03-13T00:00:00"/>
    <s v="ST-001"/>
    <x v="0"/>
    <s v="CUST-058"/>
    <x v="1"/>
    <s v="PRD-016"/>
    <x v="2"/>
    <x v="0"/>
    <n v="1"/>
    <n v="352000"/>
    <n v="0"/>
    <n v="257000"/>
    <n v="352000"/>
    <x v="12"/>
    <x v="2"/>
    <x v="1"/>
    <n v="3"/>
    <x v="23"/>
    <n v="0.26988636363636365"/>
  </r>
  <r>
    <s v="ID-2024-00387"/>
    <d v="2024-04-27T00:00:00"/>
    <s v="ST-001"/>
    <x v="0"/>
    <s v="CUST-062"/>
    <x v="1"/>
    <s v="PRD-016"/>
    <x v="2"/>
    <x v="0"/>
    <n v="1"/>
    <n v="387000"/>
    <n v="0"/>
    <n v="288000"/>
    <n v="387000"/>
    <x v="32"/>
    <x v="11"/>
    <x v="1"/>
    <n v="4"/>
    <x v="24"/>
    <n v="0.2558139534883721"/>
  </r>
  <r>
    <s v="ID-2024-00379"/>
    <d v="2024-05-14T00:00:00"/>
    <s v="ST-001"/>
    <x v="0"/>
    <s v="CUST-010"/>
    <x v="2"/>
    <s v="PRD-016"/>
    <x v="2"/>
    <x v="0"/>
    <n v="1"/>
    <n v="377000"/>
    <n v="0.1"/>
    <n v="282000"/>
    <n v="339300"/>
    <x v="153"/>
    <x v="3"/>
    <x v="1"/>
    <n v="5"/>
    <x v="18"/>
    <n v="0.16887709991158267"/>
  </r>
  <r>
    <s v="ID-2024-01365"/>
    <d v="2024-06-01T00:00:00"/>
    <s v="ST-002"/>
    <x v="3"/>
    <s v="CUST-134"/>
    <x v="1"/>
    <s v="PRD-016"/>
    <x v="2"/>
    <x v="0"/>
    <n v="1"/>
    <n v="506000"/>
    <n v="0"/>
    <n v="374000"/>
    <n v="506000"/>
    <x v="149"/>
    <x v="4"/>
    <x v="1"/>
    <n v="6"/>
    <x v="0"/>
    <n v="0.2608695652173913"/>
  </r>
  <r>
    <s v="ID-2024-00695"/>
    <d v="2024-06-07T00:00:00"/>
    <s v="ST-001"/>
    <x v="0"/>
    <s v="CUST-031"/>
    <x v="0"/>
    <s v="PRD-016"/>
    <x v="2"/>
    <x v="0"/>
    <n v="1"/>
    <n v="493000"/>
    <n v="0"/>
    <n v="365000"/>
    <n v="493000"/>
    <x v="31"/>
    <x v="4"/>
    <x v="1"/>
    <n v="6"/>
    <x v="3"/>
    <n v="0.25963488843813387"/>
  </r>
  <r>
    <s v="ID-2024-00740"/>
    <d v="2024-07-02T00:00:00"/>
    <s v="ST-004"/>
    <x v="2"/>
    <s v="CUST-143"/>
    <x v="0"/>
    <s v="PRD-016"/>
    <x v="2"/>
    <x v="0"/>
    <n v="3"/>
    <n v="266000"/>
    <n v="0"/>
    <n v="193000"/>
    <n v="798000"/>
    <x v="154"/>
    <x v="5"/>
    <x v="1"/>
    <n v="7"/>
    <x v="17"/>
    <n v="0.75814536340852134"/>
  </r>
  <r>
    <s v="ID-2024-01562"/>
    <d v="2024-07-11T00:00:00"/>
    <s v="ST-001"/>
    <x v="0"/>
    <s v="CUST-008"/>
    <x v="1"/>
    <s v="PRD-016"/>
    <x v="2"/>
    <x v="0"/>
    <n v="1"/>
    <n v="338000"/>
    <n v="0"/>
    <n v="241000"/>
    <n v="338000"/>
    <x v="0"/>
    <x v="5"/>
    <x v="1"/>
    <n v="7"/>
    <x v="22"/>
    <n v="0.28698224852071008"/>
  </r>
  <r>
    <s v="ID-2024-00269"/>
    <d v="2024-08-14T00:00:00"/>
    <s v="ST-001"/>
    <x v="0"/>
    <s v="CUST-134"/>
    <x v="1"/>
    <s v="PRD-016"/>
    <x v="2"/>
    <x v="0"/>
    <n v="1"/>
    <n v="366000"/>
    <n v="0"/>
    <n v="264000"/>
    <n v="366000"/>
    <x v="155"/>
    <x v="6"/>
    <x v="1"/>
    <n v="8"/>
    <x v="18"/>
    <n v="0.27868852459016391"/>
  </r>
  <r>
    <s v="ID-2024-00157"/>
    <d v="2024-08-17T00:00:00"/>
    <s v="ST-004"/>
    <x v="2"/>
    <s v="CUST-007"/>
    <x v="1"/>
    <s v="PRD-016"/>
    <x v="2"/>
    <x v="0"/>
    <n v="5"/>
    <n v="398000"/>
    <n v="0"/>
    <n v="297000"/>
    <n v="1990000"/>
    <x v="156"/>
    <x v="6"/>
    <x v="1"/>
    <n v="8"/>
    <x v="2"/>
    <n v="0.85075376884422116"/>
  </r>
  <r>
    <s v="ID-2024-01328"/>
    <d v="2024-08-24T00:00:00"/>
    <s v="ST-001"/>
    <x v="0"/>
    <s v="CUST-122"/>
    <x v="1"/>
    <s v="PRD-016"/>
    <x v="2"/>
    <x v="0"/>
    <n v="1"/>
    <n v="271000"/>
    <n v="0"/>
    <n v="194000"/>
    <n v="271000"/>
    <x v="157"/>
    <x v="6"/>
    <x v="1"/>
    <n v="8"/>
    <x v="25"/>
    <n v="0.28413284132841327"/>
  </r>
  <r>
    <s v="ID-2024-01022"/>
    <d v="2024-08-25T00:00:00"/>
    <s v="ST-005"/>
    <x v="1"/>
    <s v="CUST-022"/>
    <x v="1"/>
    <s v="PRD-016"/>
    <x v="2"/>
    <x v="0"/>
    <n v="1"/>
    <n v="431000"/>
    <n v="0"/>
    <n v="316000"/>
    <n v="431000"/>
    <x v="43"/>
    <x v="6"/>
    <x v="1"/>
    <n v="8"/>
    <x v="12"/>
    <n v="0.26682134570765659"/>
  </r>
  <r>
    <s v="ID-2024-00659"/>
    <d v="2024-09-06T00:00:00"/>
    <s v="ST-001"/>
    <x v="0"/>
    <s v="CUST-060"/>
    <x v="1"/>
    <s v="PRD-016"/>
    <x v="2"/>
    <x v="0"/>
    <n v="1"/>
    <n v="407183.33333333331"/>
    <n v="0"/>
    <n v="0"/>
    <n v="407183.33333333331"/>
    <x v="158"/>
    <x v="7"/>
    <x v="1"/>
    <n v="9"/>
    <x v="29"/>
    <n v="1"/>
  </r>
  <r>
    <s v="ID-2024-00646"/>
    <d v="2024-10-02T00:00:00"/>
    <s v="ST-001"/>
    <x v="0"/>
    <s v="CUST-095"/>
    <x v="2"/>
    <s v="PRD-016"/>
    <x v="2"/>
    <x v="0"/>
    <n v="2"/>
    <n v="366000"/>
    <n v="0"/>
    <n v="260000"/>
    <n v="732000"/>
    <x v="159"/>
    <x v="8"/>
    <x v="1"/>
    <n v="10"/>
    <x v="17"/>
    <n v="0.64480874316939896"/>
  </r>
  <r>
    <s v="ID-2024-01642"/>
    <d v="2024-11-09T00:00:00"/>
    <s v="ST-001"/>
    <x v="0"/>
    <s v="CUST-020"/>
    <x v="1"/>
    <s v="PRD-016"/>
    <x v="2"/>
    <x v="0"/>
    <n v="2"/>
    <n v="482000"/>
    <n v="0"/>
    <n v="345000"/>
    <n v="964000"/>
    <x v="99"/>
    <x v="9"/>
    <x v="1"/>
    <n v="11"/>
    <x v="1"/>
    <n v="0.64211618257261416"/>
  </r>
  <r>
    <s v="ID-2024-01396"/>
    <d v="2024-11-14T00:00:00"/>
    <s v="ST-003"/>
    <x v="4"/>
    <s v="CUST-139"/>
    <x v="1"/>
    <s v="PRD-016"/>
    <x v="2"/>
    <x v="0"/>
    <n v="2"/>
    <n v="512000"/>
    <n v="0"/>
    <n v="371000"/>
    <n v="1024000"/>
    <x v="83"/>
    <x v="9"/>
    <x v="1"/>
    <n v="11"/>
    <x v="18"/>
    <n v="0.6376953125"/>
  </r>
  <r>
    <s v="ID-2024-01381"/>
    <d v="2024-11-23T00:00:00"/>
    <s v="ST-002"/>
    <x v="3"/>
    <s v="CUST-136"/>
    <x v="1"/>
    <s v="PRD-016"/>
    <x v="2"/>
    <x v="0"/>
    <n v="1"/>
    <n v="403000"/>
    <n v="0"/>
    <n v="291000"/>
    <n v="403000"/>
    <x v="160"/>
    <x v="9"/>
    <x v="1"/>
    <n v="11"/>
    <x v="11"/>
    <n v="0.27791563275434245"/>
  </r>
  <r>
    <s v="ID-2025-00276"/>
    <d v="2025-01-31T00:00:00"/>
    <s v="ST-001"/>
    <x v="0"/>
    <s v="CUST-075"/>
    <x v="2"/>
    <s v="PRD-016"/>
    <x v="2"/>
    <x v="0"/>
    <n v="1"/>
    <n v="405000"/>
    <n v="0"/>
    <n v="302000"/>
    <n v="405000"/>
    <x v="147"/>
    <x v="0"/>
    <x v="2"/>
    <n v="1"/>
    <x v="28"/>
    <n v="0.25432098765432098"/>
  </r>
  <r>
    <s v="ID-2025-01586"/>
    <d v="2025-02-01T00:00:00"/>
    <s v="ST-002"/>
    <x v="3"/>
    <s v="CUST-064"/>
    <x v="1"/>
    <s v="PRD-016"/>
    <x v="2"/>
    <x v="0"/>
    <n v="2"/>
    <n v="517000"/>
    <n v="0"/>
    <n v="369000"/>
    <n v="1034000"/>
    <x v="161"/>
    <x v="1"/>
    <x v="2"/>
    <n v="2"/>
    <x v="0"/>
    <n v="0.64313346228239843"/>
  </r>
  <r>
    <s v="ID-2025-01281"/>
    <d v="2025-03-26T00:00:00"/>
    <s v="ST-001"/>
    <x v="0"/>
    <s v="CUST-135"/>
    <x v="2"/>
    <s v="PRD-016"/>
    <x v="2"/>
    <x v="0"/>
    <n v="2"/>
    <n v="519000"/>
    <n v="0"/>
    <n v="388000"/>
    <n v="1038000"/>
    <x v="162"/>
    <x v="2"/>
    <x v="2"/>
    <n v="3"/>
    <x v="6"/>
    <n v="0.62620423892100197"/>
  </r>
  <r>
    <s v="ID-2025-00311"/>
    <d v="2025-04-01T00:00:00"/>
    <s v="ST-002"/>
    <x v="3"/>
    <s v="CUST-104"/>
    <x v="0"/>
    <s v="PRD-016"/>
    <x v="2"/>
    <x v="0"/>
    <n v="1"/>
    <n v="377000"/>
    <n v="0.15"/>
    <n v="274000"/>
    <n v="320450"/>
    <x v="163"/>
    <x v="11"/>
    <x v="2"/>
    <n v="4"/>
    <x v="0"/>
    <n v="0.14495241067249182"/>
  </r>
  <r>
    <s v="ID-2025-01546"/>
    <d v="2025-04-02T00:00:00"/>
    <s v="ST-001"/>
    <x v="0"/>
    <s v="CUST-005"/>
    <x v="1"/>
    <s v="PRD-016"/>
    <x v="2"/>
    <x v="0"/>
    <n v="1"/>
    <n v="512000"/>
    <n v="0"/>
    <n v="368000"/>
    <n v="512000"/>
    <x v="164"/>
    <x v="11"/>
    <x v="2"/>
    <n v="4"/>
    <x v="17"/>
    <n v="0.28125"/>
  </r>
  <r>
    <s v="ID-2025-01743"/>
    <d v="2025-05-08T00:00:00"/>
    <s v="ST-001"/>
    <x v="0"/>
    <s v="CUST-118"/>
    <x v="1"/>
    <s v="PRD-016"/>
    <x v="2"/>
    <x v="0"/>
    <n v="1"/>
    <n v="534000"/>
    <n v="0"/>
    <n v="384000"/>
    <n v="534000"/>
    <x v="165"/>
    <x v="3"/>
    <x v="2"/>
    <n v="5"/>
    <x v="27"/>
    <n v="0.2808988764044944"/>
  </r>
  <r>
    <s v="ID-2025-01468"/>
    <d v="2025-05-21T00:00:00"/>
    <s v="ST-001"/>
    <x v="0"/>
    <s v="CUST-045"/>
    <x v="1"/>
    <s v="PRD-016"/>
    <x v="2"/>
    <x v="0"/>
    <n v="1"/>
    <n v="407183.33333333331"/>
    <n v="0.05"/>
    <n v="0"/>
    <n v="386824.16666666663"/>
    <x v="166"/>
    <x v="3"/>
    <x v="2"/>
    <n v="5"/>
    <x v="14"/>
    <n v="1"/>
  </r>
  <r>
    <s v="ID-2025-01590"/>
    <d v="2025-05-28T00:00:00"/>
    <s v="ST-002"/>
    <x v="3"/>
    <s v="CUST-149"/>
    <x v="1"/>
    <s v="PRD-016"/>
    <x v="2"/>
    <x v="0"/>
    <n v="1"/>
    <n v="342000"/>
    <n v="0"/>
    <n v="246000"/>
    <n v="342000"/>
    <x v="167"/>
    <x v="3"/>
    <x v="2"/>
    <n v="5"/>
    <x v="4"/>
    <n v="0.2807017543859649"/>
  </r>
  <r>
    <s v="ID-2025-01751"/>
    <d v="2025-06-15T00:00:00"/>
    <s v="ST-002"/>
    <x v="3"/>
    <s v="CUST-070"/>
    <x v="3"/>
    <s v="PRD-016"/>
    <x v="2"/>
    <x v="0"/>
    <n v="3"/>
    <n v="510000"/>
    <n v="0"/>
    <n v="380000"/>
    <n v="1530000"/>
    <x v="168"/>
    <x v="4"/>
    <x v="2"/>
    <n v="6"/>
    <x v="19"/>
    <n v="0.75163398692810457"/>
  </r>
  <r>
    <s v="ID-2025-00298"/>
    <d v="2025-06-25T00:00:00"/>
    <s v="ST-001"/>
    <x v="0"/>
    <s v="CUST-074"/>
    <x v="1"/>
    <s v="PRD-016"/>
    <x v="2"/>
    <x v="0"/>
    <n v="1"/>
    <n v="477000"/>
    <n v="0"/>
    <n v="342000"/>
    <n v="477000"/>
    <x v="169"/>
    <x v="4"/>
    <x v="2"/>
    <n v="6"/>
    <x v="12"/>
    <n v="0.28301886792452829"/>
  </r>
  <r>
    <s v="ID-2025-00483"/>
    <d v="2025-06-27T00:00:00"/>
    <s v="ST-003"/>
    <x v="4"/>
    <s v="CUST-074"/>
    <x v="1"/>
    <s v="PRD-016"/>
    <x v="2"/>
    <x v="0"/>
    <n v="5"/>
    <n v="305000"/>
    <n v="0"/>
    <n v="223000"/>
    <n v="1525000"/>
    <x v="170"/>
    <x v="4"/>
    <x v="2"/>
    <n v="6"/>
    <x v="24"/>
    <n v="0.85377049180327869"/>
  </r>
  <r>
    <s v="ID-2025-01055"/>
    <d v="2025-08-08T00:00:00"/>
    <s v="ST-003"/>
    <x v="4"/>
    <s v="CUST-121"/>
    <x v="1"/>
    <s v="PRD-016"/>
    <x v="2"/>
    <x v="0"/>
    <n v="2"/>
    <n v="456000"/>
    <n v="0"/>
    <n v="342000"/>
    <n v="912000"/>
    <x v="171"/>
    <x v="6"/>
    <x v="2"/>
    <n v="8"/>
    <x v="27"/>
    <n v="0.625"/>
  </r>
  <r>
    <s v="ID-2025-00794"/>
    <d v="2025-08-30T00:00:00"/>
    <s v="ST-005"/>
    <x v="1"/>
    <s v="CUST-068"/>
    <x v="1"/>
    <s v="PRD-016"/>
    <x v="2"/>
    <x v="0"/>
    <n v="1"/>
    <n v="372000"/>
    <n v="0"/>
    <n v="266000"/>
    <n v="372000"/>
    <x v="172"/>
    <x v="6"/>
    <x v="2"/>
    <n v="8"/>
    <x v="15"/>
    <n v="0.28494623655913981"/>
  </r>
  <r>
    <s v="ID-2025-00172"/>
    <d v="2025-09-07T00:00:00"/>
    <s v="ST-003"/>
    <x v="4"/>
    <s v="CUST-050"/>
    <x v="1"/>
    <s v="PRD-016"/>
    <x v="2"/>
    <x v="0"/>
    <n v="1"/>
    <n v="377000"/>
    <n v="0"/>
    <n v="271000"/>
    <n v="377000"/>
    <x v="172"/>
    <x v="7"/>
    <x v="2"/>
    <n v="9"/>
    <x v="3"/>
    <n v="0.28116710875331563"/>
  </r>
  <r>
    <s v="ID-2025-00321"/>
    <d v="2025-09-12T00:00:00"/>
    <s v="ST-001"/>
    <x v="0"/>
    <s v="CUST-007"/>
    <x v="1"/>
    <s v="PRD-016"/>
    <x v="2"/>
    <x v="0"/>
    <n v="1"/>
    <n v="441000"/>
    <n v="0"/>
    <n v="317000"/>
    <n v="441000"/>
    <x v="36"/>
    <x v="7"/>
    <x v="2"/>
    <n v="9"/>
    <x v="10"/>
    <n v="0.28117913832199548"/>
  </r>
  <r>
    <s v="ID-2025-00605"/>
    <d v="2025-09-18T00:00:00"/>
    <s v="ST-001"/>
    <x v="0"/>
    <s v="CUST-059"/>
    <x v="1"/>
    <s v="PRD-016"/>
    <x v="2"/>
    <x v="0"/>
    <n v="2"/>
    <n v="465000"/>
    <n v="0"/>
    <n v="331000"/>
    <n v="930000"/>
    <x v="173"/>
    <x v="7"/>
    <x v="2"/>
    <n v="9"/>
    <x v="9"/>
    <n v="0.6440860215053763"/>
  </r>
  <r>
    <s v="ID-2025-00952"/>
    <d v="2025-10-05T00:00:00"/>
    <s v="ST-002"/>
    <x v="3"/>
    <s v="CUST-082"/>
    <x v="0"/>
    <s v="PRD-016"/>
    <x v="2"/>
    <x v="0"/>
    <n v="2"/>
    <n v="412000"/>
    <n v="0"/>
    <n v="294000"/>
    <n v="824000"/>
    <x v="174"/>
    <x v="8"/>
    <x v="2"/>
    <n v="10"/>
    <x v="21"/>
    <n v="0.64320388349514568"/>
  </r>
  <r>
    <s v="ID-2025-00066"/>
    <d v="2025-10-06T00:00:00"/>
    <s v="ST-004"/>
    <x v="2"/>
    <s v="CUST-024"/>
    <x v="1"/>
    <s v="PRD-016"/>
    <x v="2"/>
    <x v="0"/>
    <n v="1"/>
    <n v="334000"/>
    <n v="0"/>
    <n v="246000"/>
    <n v="334000"/>
    <x v="15"/>
    <x v="8"/>
    <x v="2"/>
    <n v="10"/>
    <x v="29"/>
    <n v="0.26347305389221559"/>
  </r>
  <r>
    <s v="ID-2026-01169"/>
    <d v="2026-02-13T00:00:00"/>
    <s v="ST-003"/>
    <x v="4"/>
    <s v="CUST-090"/>
    <x v="0"/>
    <s v="PRD-016"/>
    <x v="2"/>
    <x v="0"/>
    <n v="1"/>
    <n v="269000"/>
    <n v="0"/>
    <n v="196000"/>
    <n v="269000"/>
    <x v="19"/>
    <x v="1"/>
    <x v="3"/>
    <n v="2"/>
    <x v="23"/>
    <n v="0.27137546468401486"/>
  </r>
  <r>
    <s v="ID-2026-00843"/>
    <d v="2026-02-15T00:00:00"/>
    <s v="ST-002"/>
    <x v="3"/>
    <s v="CUST-058"/>
    <x v="1"/>
    <s v="PRD-016"/>
    <x v="2"/>
    <x v="0"/>
    <n v="2"/>
    <n v="407183.33333333331"/>
    <n v="0"/>
    <n v="256000"/>
    <n v="814366.66666666663"/>
    <x v="175"/>
    <x v="1"/>
    <x v="3"/>
    <n v="2"/>
    <x v="19"/>
    <n v="0.68564528672588099"/>
  </r>
  <r>
    <s v="ID-2026-00895"/>
    <d v="2026-02-15T00:00:00"/>
    <s v="ST-003"/>
    <x v="4"/>
    <s v="CUST-150"/>
    <x v="1"/>
    <s v="PRD-016"/>
    <x v="2"/>
    <x v="0"/>
    <n v="1"/>
    <n v="441000"/>
    <n v="0"/>
    <n v="316000"/>
    <n v="441000"/>
    <x v="176"/>
    <x v="1"/>
    <x v="3"/>
    <n v="2"/>
    <x v="19"/>
    <n v="0.28344671201814059"/>
  </r>
  <r>
    <s v="ID-2026-01134"/>
    <d v="2026-05-25T00:00:00"/>
    <s v="ST-004"/>
    <x v="2"/>
    <s v="CUST-116"/>
    <x v="1"/>
    <s v="PRD-016"/>
    <x v="2"/>
    <x v="0"/>
    <n v="1"/>
    <n v="552000"/>
    <n v="0"/>
    <n v="407000"/>
    <n v="552000"/>
    <x v="177"/>
    <x v="3"/>
    <x v="3"/>
    <n v="5"/>
    <x v="12"/>
    <n v="0.26268115942028986"/>
  </r>
  <r>
    <s v="ID-2026-00052"/>
    <d v="2026-05-26T00:00:00"/>
    <s v="ST-001"/>
    <x v="0"/>
    <s v="CUST-032"/>
    <x v="1"/>
    <s v="PRD-016"/>
    <x v="2"/>
    <x v="0"/>
    <n v="1"/>
    <n v="573000"/>
    <n v="0"/>
    <n v="415000"/>
    <n v="573000"/>
    <x v="178"/>
    <x v="3"/>
    <x v="3"/>
    <n v="5"/>
    <x v="6"/>
    <n v="0.27574171029668409"/>
  </r>
  <r>
    <s v="ID-2026-00376"/>
    <d v="2026-05-28T00:00:00"/>
    <s v="ST-004"/>
    <x v="2"/>
    <s v="CUST-036"/>
    <x v="1"/>
    <s v="PRD-016"/>
    <x v="2"/>
    <x v="0"/>
    <n v="1"/>
    <n v="517000"/>
    <n v="0"/>
    <n v="374000"/>
    <n v="517000"/>
    <x v="139"/>
    <x v="3"/>
    <x v="3"/>
    <n v="5"/>
    <x v="4"/>
    <n v="0.27659574468085107"/>
  </r>
  <r>
    <s v="ID-2023-00851"/>
    <d v="2023-01-03T00:00:00"/>
    <s v="ST-002"/>
    <x v="3"/>
    <s v="CUST-108"/>
    <x v="2"/>
    <s v="PRD-026"/>
    <x v="3"/>
    <x v="2"/>
    <n v="1"/>
    <n v="322000"/>
    <n v="0"/>
    <n v="229000"/>
    <n v="322000"/>
    <x v="148"/>
    <x v="0"/>
    <x v="0"/>
    <n v="1"/>
    <x v="8"/>
    <n v="0.28881987577639751"/>
  </r>
  <r>
    <s v="ID-2023-00769"/>
    <d v="2023-01-04T00:00:00"/>
    <s v="ST-003"/>
    <x v="4"/>
    <s v="CUST-075"/>
    <x v="2"/>
    <s v="PRD-026"/>
    <x v="3"/>
    <x v="2"/>
    <n v="1"/>
    <n v="318000"/>
    <n v="0"/>
    <n v="229000"/>
    <n v="318000"/>
    <x v="142"/>
    <x v="0"/>
    <x v="0"/>
    <n v="1"/>
    <x v="20"/>
    <n v="0.27987421383647798"/>
  </r>
  <r>
    <s v="ID-2023-01296"/>
    <d v="2023-01-05T00:00:00"/>
    <s v="ST-002"/>
    <x v="3"/>
    <s v="CUST-141"/>
    <x v="3"/>
    <s v="PRD-026"/>
    <x v="3"/>
    <x v="2"/>
    <n v="1"/>
    <n v="520000"/>
    <n v="0"/>
    <n v="365000"/>
    <n v="520000"/>
    <x v="179"/>
    <x v="0"/>
    <x v="0"/>
    <n v="1"/>
    <x v="21"/>
    <n v="0.29807692307692307"/>
  </r>
  <r>
    <s v="ID-2023-01449"/>
    <d v="2023-01-12T00:00:00"/>
    <s v="ST-001"/>
    <x v="0"/>
    <s v="CUST-023"/>
    <x v="1"/>
    <s v="PRD-026"/>
    <x v="3"/>
    <x v="2"/>
    <n v="1"/>
    <n v="489024.69135802472"/>
    <n v="0"/>
    <n v="324000"/>
    <n v="489024.69135802472"/>
    <x v="180"/>
    <x v="0"/>
    <x v="0"/>
    <n v="1"/>
    <x v="10"/>
    <n v="0.33745676705965516"/>
  </r>
  <r>
    <s v="ID-2023-00153"/>
    <d v="2023-02-27T00:00:00"/>
    <s v="ST-001"/>
    <x v="0"/>
    <s v="CUST-134"/>
    <x v="1"/>
    <s v="PRD-026"/>
    <x v="3"/>
    <x v="2"/>
    <n v="1"/>
    <n v="381000"/>
    <n v="0"/>
    <n v="279000"/>
    <n v="381000"/>
    <x v="155"/>
    <x v="1"/>
    <x v="0"/>
    <n v="2"/>
    <x v="24"/>
    <n v="0.26771653543307089"/>
  </r>
  <r>
    <s v="ID-2023-00055"/>
    <d v="2023-05-14T00:00:00"/>
    <s v="ST-001"/>
    <x v="0"/>
    <s v="CUST-007"/>
    <x v="1"/>
    <s v="PRD-026"/>
    <x v="3"/>
    <x v="2"/>
    <n v="1"/>
    <n v="410000"/>
    <n v="0"/>
    <n v="302000"/>
    <n v="410000"/>
    <x v="49"/>
    <x v="3"/>
    <x v="0"/>
    <n v="5"/>
    <x v="18"/>
    <n v="0.26341463414634148"/>
  </r>
  <r>
    <s v="ID-2023-01401"/>
    <d v="2023-06-01T00:00:00"/>
    <s v="ST-001"/>
    <x v="0"/>
    <s v="CUST-126"/>
    <x v="0"/>
    <s v="PRD-026"/>
    <x v="3"/>
    <x v="2"/>
    <n v="1"/>
    <n v="586000"/>
    <n v="0"/>
    <n v="430000"/>
    <n v="586000"/>
    <x v="181"/>
    <x v="4"/>
    <x v="0"/>
    <n v="6"/>
    <x v="0"/>
    <n v="0.26621160409556316"/>
  </r>
  <r>
    <s v="ID-2023-01535"/>
    <d v="2023-07-10T00:00:00"/>
    <s v="ST-004"/>
    <x v="2"/>
    <s v="CUST-041"/>
    <x v="1"/>
    <s v="PRD-026"/>
    <x v="3"/>
    <x v="2"/>
    <n v="1"/>
    <n v="528000"/>
    <n v="0.1"/>
    <n v="386000"/>
    <n v="475200"/>
    <x v="182"/>
    <x v="5"/>
    <x v="0"/>
    <n v="7"/>
    <x v="13"/>
    <n v="0.18771043771043772"/>
  </r>
  <r>
    <s v="ID-2023-00155"/>
    <d v="2023-07-10T00:00:00"/>
    <s v="ST-001"/>
    <x v="0"/>
    <s v="CUST-009"/>
    <x v="0"/>
    <s v="PRD-026"/>
    <x v="3"/>
    <x v="2"/>
    <n v="1"/>
    <n v="346000"/>
    <n v="0"/>
    <n v="251000"/>
    <n v="346000"/>
    <x v="12"/>
    <x v="5"/>
    <x v="0"/>
    <n v="7"/>
    <x v="13"/>
    <n v="0.27456647398843931"/>
  </r>
  <r>
    <s v="ID-2023-00418"/>
    <d v="2023-07-13T00:00:00"/>
    <s v="ST-001"/>
    <x v="0"/>
    <s v="CUST-086"/>
    <x v="1"/>
    <s v="PRD-026"/>
    <x v="3"/>
    <x v="2"/>
    <n v="1"/>
    <n v="454000"/>
    <n v="0"/>
    <n v="321000"/>
    <n v="454000"/>
    <x v="183"/>
    <x v="5"/>
    <x v="0"/>
    <n v="7"/>
    <x v="23"/>
    <n v="0.29295154185022027"/>
  </r>
  <r>
    <s v="ID-2023-00139"/>
    <d v="2023-07-20T00:00:00"/>
    <s v="ST-002"/>
    <x v="3"/>
    <s v="CUST-020"/>
    <x v="1"/>
    <s v="PRD-026"/>
    <x v="3"/>
    <x v="2"/>
    <n v="5"/>
    <n v="518000"/>
    <n v="0.15"/>
    <n v="367000"/>
    <n v="2201500"/>
    <x v="184"/>
    <x v="5"/>
    <x v="0"/>
    <n v="7"/>
    <x v="30"/>
    <n v="0.8332954803543039"/>
  </r>
  <r>
    <s v="ID-2023-01739"/>
    <d v="2023-07-29T00:00:00"/>
    <s v="ST-002"/>
    <x v="3"/>
    <s v="CUST-110"/>
    <x v="1"/>
    <s v="PRD-026"/>
    <x v="3"/>
    <x v="2"/>
    <n v="1"/>
    <n v="305000"/>
    <n v="0.05"/>
    <n v="222000"/>
    <n v="289750"/>
    <x v="185"/>
    <x v="5"/>
    <x v="0"/>
    <n v="7"/>
    <x v="7"/>
    <n v="0.23382226056945643"/>
  </r>
  <r>
    <s v="ID-2023-01430"/>
    <d v="2023-08-13T00:00:00"/>
    <s v="ST-001"/>
    <x v="0"/>
    <s v="CUST-045"/>
    <x v="1"/>
    <s v="PRD-026"/>
    <x v="3"/>
    <x v="2"/>
    <n v="1"/>
    <n v="519000"/>
    <n v="0"/>
    <n v="366000"/>
    <n v="519000"/>
    <x v="186"/>
    <x v="6"/>
    <x v="0"/>
    <n v="8"/>
    <x v="23"/>
    <n v="0.2947976878612717"/>
  </r>
  <r>
    <s v="ID-2023-01490"/>
    <d v="2023-08-13T00:00:00"/>
    <s v="ST-001"/>
    <x v="0"/>
    <s v="CUST-001"/>
    <x v="1"/>
    <s v="PRD-026"/>
    <x v="3"/>
    <x v="2"/>
    <n v="1"/>
    <n v="317000"/>
    <n v="0"/>
    <n v="225000"/>
    <n v="317000"/>
    <x v="28"/>
    <x v="6"/>
    <x v="0"/>
    <n v="8"/>
    <x v="23"/>
    <n v="0.29022082018927448"/>
  </r>
  <r>
    <s v="ID-2023-00312"/>
    <d v="2023-09-10T00:00:00"/>
    <s v="ST-002"/>
    <x v="3"/>
    <s v="CUST-113"/>
    <x v="2"/>
    <s v="PRD-026"/>
    <x v="3"/>
    <x v="2"/>
    <n v="1"/>
    <n v="550000"/>
    <n v="0"/>
    <n v="390000"/>
    <n v="550000"/>
    <x v="187"/>
    <x v="7"/>
    <x v="0"/>
    <n v="9"/>
    <x v="13"/>
    <n v="0.29090909090909089"/>
  </r>
  <r>
    <s v="ID-2023-01697"/>
    <d v="2023-09-21T00:00:00"/>
    <s v="ST-001"/>
    <x v="0"/>
    <s v="CUST-060"/>
    <x v="1"/>
    <s v="PRD-026"/>
    <x v="3"/>
    <x v="2"/>
    <n v="2"/>
    <n v="344000"/>
    <n v="0"/>
    <n v="242000"/>
    <n v="688000"/>
    <x v="188"/>
    <x v="7"/>
    <x v="0"/>
    <n v="9"/>
    <x v="14"/>
    <n v="0.64825581395348841"/>
  </r>
  <r>
    <s v="ID-2023-00184"/>
    <d v="2023-09-28T00:00:00"/>
    <s v="ST-001"/>
    <x v="0"/>
    <s v="CUST-027"/>
    <x v="1"/>
    <s v="PRD-026"/>
    <x v="3"/>
    <x v="2"/>
    <n v="1"/>
    <n v="560000"/>
    <n v="0.1"/>
    <n v="409000"/>
    <n v="504000"/>
    <x v="12"/>
    <x v="7"/>
    <x v="0"/>
    <n v="9"/>
    <x v="4"/>
    <n v="0.18849206349206349"/>
  </r>
  <r>
    <s v="ID-2023-01606"/>
    <d v="2023-10-07T00:00:00"/>
    <s v="ST-003"/>
    <x v="4"/>
    <s v="CUST-026"/>
    <x v="2"/>
    <s v="PRD-026"/>
    <x v="3"/>
    <x v="2"/>
    <n v="1"/>
    <n v="543000"/>
    <n v="0"/>
    <n v="390000"/>
    <n v="543000"/>
    <x v="186"/>
    <x v="8"/>
    <x v="0"/>
    <n v="10"/>
    <x v="3"/>
    <n v="0.28176795580110497"/>
  </r>
  <r>
    <s v="ID-2023-01725"/>
    <d v="2023-10-15T00:00:00"/>
    <s v="ST-001"/>
    <x v="0"/>
    <s v="CUST-056"/>
    <x v="2"/>
    <s v="PRD-026"/>
    <x v="3"/>
    <x v="2"/>
    <n v="1"/>
    <n v="556000"/>
    <n v="0.05"/>
    <n v="405000"/>
    <n v="528200"/>
    <x v="189"/>
    <x v="8"/>
    <x v="0"/>
    <n v="10"/>
    <x v="19"/>
    <n v="0.23324498296099963"/>
  </r>
  <r>
    <s v="ID-2023-01756"/>
    <d v="2023-11-28T00:00:00"/>
    <s v="ST-001"/>
    <x v="0"/>
    <s v="CUST-119"/>
    <x v="1"/>
    <s v="PRD-026"/>
    <x v="3"/>
    <x v="2"/>
    <n v="1"/>
    <n v="589000"/>
    <n v="0"/>
    <n v="427000"/>
    <n v="589000"/>
    <x v="190"/>
    <x v="9"/>
    <x v="0"/>
    <n v="11"/>
    <x v="4"/>
    <n v="0.27504244482173174"/>
  </r>
  <r>
    <s v="ID-2023-00364"/>
    <d v="2023-12-11T00:00:00"/>
    <s v="ST-002"/>
    <x v="3"/>
    <s v="CUST-078"/>
    <x v="1"/>
    <s v="PRD-026"/>
    <x v="3"/>
    <x v="2"/>
    <n v="1"/>
    <n v="377000"/>
    <n v="0"/>
    <n v="271000"/>
    <n v="377000"/>
    <x v="172"/>
    <x v="10"/>
    <x v="0"/>
    <n v="12"/>
    <x v="22"/>
    <n v="0.28116710875331563"/>
  </r>
  <r>
    <s v="ID-2024-01572"/>
    <d v="2024-01-03T00:00:00"/>
    <s v="ST-001"/>
    <x v="0"/>
    <s v="CUST-120"/>
    <x v="0"/>
    <s v="PRD-026"/>
    <x v="3"/>
    <x v="2"/>
    <n v="1"/>
    <n v="432000"/>
    <n v="0.1"/>
    <n v="312000"/>
    <n v="388800"/>
    <x v="191"/>
    <x v="0"/>
    <x v="1"/>
    <n v="1"/>
    <x v="8"/>
    <n v="0.19753086419753085"/>
  </r>
  <r>
    <s v="ID-2024-00284"/>
    <d v="2024-01-17T00:00:00"/>
    <s v="ST-001"/>
    <x v="0"/>
    <s v="CUST-009"/>
    <x v="0"/>
    <s v="PRD-026"/>
    <x v="3"/>
    <x v="2"/>
    <n v="1"/>
    <n v="372000"/>
    <n v="0.1"/>
    <n v="268000"/>
    <n v="334800"/>
    <x v="192"/>
    <x v="0"/>
    <x v="1"/>
    <n v="1"/>
    <x v="2"/>
    <n v="0.19952210274790919"/>
  </r>
  <r>
    <s v="ID-2024-00460"/>
    <d v="2024-03-01T00:00:00"/>
    <s v="ST-002"/>
    <x v="3"/>
    <s v="CUST-034"/>
    <x v="2"/>
    <s v="PRD-026"/>
    <x v="3"/>
    <x v="2"/>
    <n v="1"/>
    <n v="580000"/>
    <n v="0"/>
    <n v="426000"/>
    <n v="580000"/>
    <x v="193"/>
    <x v="2"/>
    <x v="1"/>
    <n v="3"/>
    <x v="0"/>
    <n v="0.26551724137931032"/>
  </r>
  <r>
    <s v="ID-2024-01443"/>
    <d v="2024-03-06T00:00:00"/>
    <s v="ST-003"/>
    <x v="4"/>
    <s v="CUST-035"/>
    <x v="3"/>
    <s v="PRD-026"/>
    <x v="3"/>
    <x v="2"/>
    <n v="1"/>
    <n v="427000"/>
    <n v="0.15"/>
    <n v="311000"/>
    <n v="362950"/>
    <x v="194"/>
    <x v="2"/>
    <x v="1"/>
    <n v="3"/>
    <x v="29"/>
    <n v="0.14313266290122606"/>
  </r>
  <r>
    <s v="ID-2024-00993"/>
    <d v="2024-03-21T00:00:00"/>
    <s v="ST-003"/>
    <x v="4"/>
    <s v="CUST-091"/>
    <x v="1"/>
    <s v="PRD-026"/>
    <x v="3"/>
    <x v="2"/>
    <n v="1"/>
    <n v="515000"/>
    <n v="0"/>
    <n v="377000"/>
    <n v="515000"/>
    <x v="195"/>
    <x v="2"/>
    <x v="1"/>
    <n v="3"/>
    <x v="14"/>
    <n v="0.26796116504854367"/>
  </r>
  <r>
    <s v="ID-2024-00864"/>
    <d v="2024-03-22T00:00:00"/>
    <s v="ST-001"/>
    <x v="0"/>
    <s v="CUST-002"/>
    <x v="3"/>
    <s v="PRD-026"/>
    <x v="3"/>
    <x v="2"/>
    <n v="1"/>
    <n v="598000"/>
    <n v="0"/>
    <n v="437000"/>
    <n v="598000"/>
    <x v="196"/>
    <x v="2"/>
    <x v="1"/>
    <n v="3"/>
    <x v="16"/>
    <n v="0.26923076923076922"/>
  </r>
  <r>
    <s v="ID-2024-01170"/>
    <d v="2024-04-26T00:00:00"/>
    <s v="ST-001"/>
    <x v="0"/>
    <s v="CUST-001"/>
    <x v="1"/>
    <s v="PRD-026"/>
    <x v="3"/>
    <x v="2"/>
    <n v="2"/>
    <n v="388000"/>
    <n v="0"/>
    <n v="284000"/>
    <n v="776000"/>
    <x v="197"/>
    <x v="11"/>
    <x v="1"/>
    <n v="4"/>
    <x v="6"/>
    <n v="0.634020618556701"/>
  </r>
  <r>
    <s v="ID-2024-00038"/>
    <d v="2024-04-28T00:00:00"/>
    <s v="ST-001"/>
    <x v="0"/>
    <s v="CUST-017"/>
    <x v="1"/>
    <s v="PRD-026"/>
    <x v="3"/>
    <x v="2"/>
    <n v="1"/>
    <n v="612000"/>
    <n v="0.05"/>
    <n v="450000"/>
    <n v="581400"/>
    <x v="198"/>
    <x v="11"/>
    <x v="1"/>
    <n v="4"/>
    <x v="4"/>
    <n v="0.2260061919504644"/>
  </r>
  <r>
    <s v="ID-2024-00849"/>
    <d v="2024-05-12T00:00:00"/>
    <s v="ST-001"/>
    <x v="0"/>
    <s v="CUST-008"/>
    <x v="1"/>
    <s v="PRD-026"/>
    <x v="3"/>
    <x v="2"/>
    <n v="1"/>
    <n v="479000"/>
    <n v="0"/>
    <n v="343000"/>
    <n v="479000"/>
    <x v="199"/>
    <x v="3"/>
    <x v="1"/>
    <n v="5"/>
    <x v="10"/>
    <n v="0.28392484342379959"/>
  </r>
  <r>
    <s v="ID-2024-00049"/>
    <d v="2024-05-12T00:00:00"/>
    <s v="ST-003"/>
    <x v="4"/>
    <s v="CUST-021"/>
    <x v="0"/>
    <s v="PRD-026"/>
    <x v="3"/>
    <x v="2"/>
    <n v="1"/>
    <n v="372000"/>
    <n v="0"/>
    <n v="265000"/>
    <n v="372000"/>
    <x v="39"/>
    <x v="3"/>
    <x v="1"/>
    <n v="5"/>
    <x v="10"/>
    <n v="0.28763440860215056"/>
  </r>
  <r>
    <s v="ID-2024-01394"/>
    <d v="2024-06-07T00:00:00"/>
    <s v="ST-001"/>
    <x v="0"/>
    <s v="CUST-036"/>
    <x v="1"/>
    <s v="PRD-026"/>
    <x v="3"/>
    <x v="2"/>
    <n v="1"/>
    <n v="489024.69135802472"/>
    <n v="0"/>
    <n v="324000"/>
    <n v="489024.69135802472"/>
    <x v="180"/>
    <x v="4"/>
    <x v="1"/>
    <n v="6"/>
    <x v="3"/>
    <n v="0.33745676705965516"/>
  </r>
  <r>
    <s v="ID-2024-01718"/>
    <d v="2024-06-23T00:00:00"/>
    <s v="ST-001"/>
    <x v="0"/>
    <s v="CUST-030"/>
    <x v="1"/>
    <s v="PRD-026"/>
    <x v="3"/>
    <x v="2"/>
    <n v="2"/>
    <n v="500000"/>
    <n v="0"/>
    <n v="361000"/>
    <n v="1000000"/>
    <x v="200"/>
    <x v="4"/>
    <x v="1"/>
    <n v="6"/>
    <x v="11"/>
    <n v="0.63900000000000001"/>
  </r>
  <r>
    <s v="ID-2024-01513"/>
    <d v="2024-07-09T00:00:00"/>
    <s v="ST-002"/>
    <x v="3"/>
    <s v="CUST-109"/>
    <x v="1"/>
    <s v="PRD-026"/>
    <x v="3"/>
    <x v="2"/>
    <n v="1"/>
    <n v="608000"/>
    <n v="0"/>
    <n v="440000"/>
    <n v="608000"/>
    <x v="201"/>
    <x v="5"/>
    <x v="1"/>
    <n v="7"/>
    <x v="1"/>
    <n v="0.27631578947368424"/>
  </r>
  <r>
    <s v="ID-2024-00313"/>
    <d v="2024-07-12T00:00:00"/>
    <s v="ST-002"/>
    <x v="3"/>
    <s v="CUST-049"/>
    <x v="0"/>
    <s v="PRD-026"/>
    <x v="3"/>
    <x v="2"/>
    <n v="1"/>
    <n v="566000"/>
    <n v="0"/>
    <n v="406000"/>
    <n v="566000"/>
    <x v="187"/>
    <x v="5"/>
    <x v="1"/>
    <n v="7"/>
    <x v="10"/>
    <n v="0.28268551236749118"/>
  </r>
  <r>
    <s v="ID-2024-00655"/>
    <d v="2024-07-15T00:00:00"/>
    <s v="ST-005"/>
    <x v="1"/>
    <s v="CUST-059"/>
    <x v="1"/>
    <s v="PRD-026"/>
    <x v="3"/>
    <x v="2"/>
    <n v="1"/>
    <n v="565000"/>
    <n v="0"/>
    <n v="402000"/>
    <n v="565000"/>
    <x v="202"/>
    <x v="5"/>
    <x v="1"/>
    <n v="7"/>
    <x v="19"/>
    <n v="0.28849557522123892"/>
  </r>
  <r>
    <s v="ID-2024-01495"/>
    <d v="2024-08-05T00:00:00"/>
    <s v="ST-003"/>
    <x v="4"/>
    <s v="CUST-083"/>
    <x v="1"/>
    <s v="PRD-026"/>
    <x v="3"/>
    <x v="2"/>
    <n v="5"/>
    <n v="517000"/>
    <n v="0"/>
    <n v="373000"/>
    <n v="2585000"/>
    <x v="203"/>
    <x v="6"/>
    <x v="1"/>
    <n v="8"/>
    <x v="21"/>
    <n v="0.85570599613152809"/>
  </r>
  <r>
    <s v="ID-2024-01324"/>
    <d v="2024-08-11T00:00:00"/>
    <s v="ST-002"/>
    <x v="3"/>
    <s v="CUST-008"/>
    <x v="1"/>
    <s v="PRD-026"/>
    <x v="3"/>
    <x v="2"/>
    <n v="2"/>
    <n v="385000"/>
    <n v="0"/>
    <n v="276000"/>
    <n v="770000"/>
    <x v="204"/>
    <x v="6"/>
    <x v="1"/>
    <n v="8"/>
    <x v="22"/>
    <n v="0.64155844155844155"/>
  </r>
  <r>
    <s v="ID-2024-01114"/>
    <d v="2024-09-03T00:00:00"/>
    <s v="ST-002"/>
    <x v="3"/>
    <s v="CUST-027"/>
    <x v="1"/>
    <s v="PRD-026"/>
    <x v="3"/>
    <x v="2"/>
    <n v="1"/>
    <n v="343000"/>
    <n v="0.15"/>
    <n v="248000"/>
    <n v="291550"/>
    <x v="205"/>
    <x v="7"/>
    <x v="1"/>
    <n v="9"/>
    <x v="8"/>
    <n v="0.14937403532841709"/>
  </r>
  <r>
    <s v="ID-2024-00109"/>
    <d v="2024-10-07T00:00:00"/>
    <s v="ST-003"/>
    <x v="4"/>
    <s v="CUST-094"/>
    <x v="0"/>
    <s v="PRD-026"/>
    <x v="3"/>
    <x v="2"/>
    <n v="2"/>
    <n v="590000"/>
    <n v="0"/>
    <n v="421000"/>
    <n v="1180000"/>
    <x v="206"/>
    <x v="8"/>
    <x v="1"/>
    <n v="10"/>
    <x v="3"/>
    <n v="0.64322033898305087"/>
  </r>
  <r>
    <s v="ID-2024-00015"/>
    <d v="2024-11-04T00:00:00"/>
    <s v="ST-002"/>
    <x v="3"/>
    <s v="CUST-003"/>
    <x v="2"/>
    <s v="PRD-026"/>
    <x v="3"/>
    <x v="2"/>
    <n v="1"/>
    <n v="562000"/>
    <n v="0"/>
    <n v="407000"/>
    <n v="562000"/>
    <x v="179"/>
    <x v="9"/>
    <x v="1"/>
    <n v="11"/>
    <x v="20"/>
    <n v="0.27580071174377224"/>
  </r>
  <r>
    <s v="ID-2024-01600"/>
    <d v="2024-11-08T00:00:00"/>
    <s v="ST-004"/>
    <x v="2"/>
    <s v="CUST-013"/>
    <x v="1"/>
    <s v="PRD-026"/>
    <x v="3"/>
    <x v="2"/>
    <n v="2"/>
    <n v="438000"/>
    <n v="0.1"/>
    <n v="320000"/>
    <n v="788400"/>
    <x v="207"/>
    <x v="9"/>
    <x v="1"/>
    <n v="11"/>
    <x v="27"/>
    <n v="0.59411466260781332"/>
  </r>
  <r>
    <s v="ID-2024-01242"/>
    <d v="2024-11-26T00:00:00"/>
    <s v="ST-001"/>
    <x v="0"/>
    <s v="CUST-019"/>
    <x v="0"/>
    <s v="PRD-026"/>
    <x v="3"/>
    <x v="2"/>
    <n v="1"/>
    <n v="416000"/>
    <n v="0"/>
    <n v="302000"/>
    <n v="416000"/>
    <x v="208"/>
    <x v="9"/>
    <x v="1"/>
    <n v="11"/>
    <x v="6"/>
    <n v="0.27403846153846156"/>
  </r>
  <r>
    <s v="ID-2024-01155"/>
    <d v="2024-12-05T00:00:00"/>
    <s v="ST-002"/>
    <x v="3"/>
    <s v="CUST-039"/>
    <x v="0"/>
    <s v="PRD-026"/>
    <x v="3"/>
    <x v="2"/>
    <n v="2"/>
    <n v="342000"/>
    <n v="0"/>
    <n v="246000"/>
    <n v="684000"/>
    <x v="209"/>
    <x v="10"/>
    <x v="1"/>
    <n v="12"/>
    <x v="21"/>
    <n v="0.64035087719298245"/>
  </r>
  <r>
    <s v="ID-2024-00855"/>
    <d v="2024-12-16T00:00:00"/>
    <s v="ST-001"/>
    <x v="0"/>
    <s v="CUST-115"/>
    <x v="0"/>
    <s v="PRD-026"/>
    <x v="3"/>
    <x v="2"/>
    <n v="1"/>
    <n v="331000"/>
    <n v="0.1"/>
    <n v="243000"/>
    <n v="297900"/>
    <x v="210"/>
    <x v="10"/>
    <x v="1"/>
    <n v="12"/>
    <x v="5"/>
    <n v="0.18429003021148035"/>
  </r>
  <r>
    <s v="ID-2025-01687"/>
    <d v="2025-01-08T00:00:00"/>
    <s v="ST-002"/>
    <x v="3"/>
    <s v="CUST-141"/>
    <x v="3"/>
    <s v="PRD-026"/>
    <x v="3"/>
    <x v="2"/>
    <n v="2"/>
    <n v="603000"/>
    <n v="0"/>
    <n v="435000"/>
    <n v="1206000"/>
    <x v="211"/>
    <x v="0"/>
    <x v="2"/>
    <n v="1"/>
    <x v="27"/>
    <n v="0.63930348258706471"/>
  </r>
  <r>
    <s v="ID-2025-01727"/>
    <d v="2025-01-11T00:00:00"/>
    <s v="ST-004"/>
    <x v="2"/>
    <s v="CUST-147"/>
    <x v="0"/>
    <s v="PRD-026"/>
    <x v="3"/>
    <x v="2"/>
    <n v="1"/>
    <n v="548000"/>
    <n v="0"/>
    <n v="384000"/>
    <n v="548000"/>
    <x v="212"/>
    <x v="0"/>
    <x v="2"/>
    <n v="1"/>
    <x v="22"/>
    <n v="0.29927007299270075"/>
  </r>
  <r>
    <s v="ID-2025-00906"/>
    <d v="2025-01-19T00:00:00"/>
    <s v="ST-004"/>
    <x v="2"/>
    <s v="CUST-145"/>
    <x v="1"/>
    <s v="PRD-026"/>
    <x v="3"/>
    <x v="2"/>
    <n v="2"/>
    <n v="489024.69135802472"/>
    <n v="0"/>
    <n v="0"/>
    <n v="978049.38271604944"/>
    <x v="213"/>
    <x v="0"/>
    <x v="2"/>
    <n v="1"/>
    <x v="26"/>
    <n v="1"/>
  </r>
  <r>
    <s v="ID-2025-00043"/>
    <d v="2025-01-24T00:00:00"/>
    <s v="ST-003"/>
    <x v="4"/>
    <s v="CUST-093"/>
    <x v="2"/>
    <s v="PRD-026"/>
    <x v="3"/>
    <x v="2"/>
    <n v="1"/>
    <n v="536000"/>
    <n v="0"/>
    <n v="383000"/>
    <n v="536000"/>
    <x v="186"/>
    <x v="0"/>
    <x v="2"/>
    <n v="1"/>
    <x v="25"/>
    <n v="0.28544776119402987"/>
  </r>
  <r>
    <s v="ID-2025-01685"/>
    <d v="2025-02-09T00:00:00"/>
    <s v="ST-001"/>
    <x v="0"/>
    <s v="CUST-066"/>
    <x v="0"/>
    <s v="PRD-026"/>
    <x v="3"/>
    <x v="2"/>
    <n v="1"/>
    <n v="537000"/>
    <n v="0"/>
    <n v="396000"/>
    <n v="537000"/>
    <x v="214"/>
    <x v="1"/>
    <x v="2"/>
    <n v="2"/>
    <x v="1"/>
    <n v="0.26256983240223464"/>
  </r>
  <r>
    <s v="ID-2025-01243"/>
    <d v="2025-02-11T00:00:00"/>
    <s v="ST-002"/>
    <x v="3"/>
    <s v="CUST-122"/>
    <x v="1"/>
    <s v="PRD-026"/>
    <x v="3"/>
    <x v="2"/>
    <n v="1"/>
    <n v="539000"/>
    <n v="0"/>
    <n v="391000"/>
    <n v="539000"/>
    <x v="215"/>
    <x v="1"/>
    <x v="2"/>
    <n v="2"/>
    <x v="22"/>
    <n v="0.27458256029684602"/>
  </r>
  <r>
    <s v="ID-2025-01330"/>
    <d v="2025-03-19T00:00:00"/>
    <s v="ST-003"/>
    <x v="4"/>
    <s v="CUST-016"/>
    <x v="1"/>
    <s v="PRD-026"/>
    <x v="3"/>
    <x v="2"/>
    <n v="2"/>
    <n v="421000"/>
    <n v="0"/>
    <n v="301000"/>
    <n v="842000"/>
    <x v="216"/>
    <x v="2"/>
    <x v="2"/>
    <n v="3"/>
    <x v="26"/>
    <n v="0.64251781472684089"/>
  </r>
  <r>
    <s v="ID-2025-01144"/>
    <d v="2025-03-21T00:00:00"/>
    <s v="ST-002"/>
    <x v="3"/>
    <s v="CUST-041"/>
    <x v="1"/>
    <s v="PRD-026"/>
    <x v="3"/>
    <x v="2"/>
    <n v="1"/>
    <n v="657000"/>
    <n v="0"/>
    <n v="476000"/>
    <n v="657000"/>
    <x v="217"/>
    <x v="2"/>
    <x v="2"/>
    <n v="3"/>
    <x v="14"/>
    <n v="0.27549467275494671"/>
  </r>
  <r>
    <s v="ID-2025-00683"/>
    <d v="2025-03-24T00:00:00"/>
    <s v="ST-002"/>
    <x v="3"/>
    <s v="CUST-048"/>
    <x v="0"/>
    <s v="PRD-026"/>
    <x v="3"/>
    <x v="2"/>
    <n v="2"/>
    <n v="467000"/>
    <n v="0"/>
    <n v="336000"/>
    <n v="934000"/>
    <x v="218"/>
    <x v="2"/>
    <x v="2"/>
    <n v="3"/>
    <x v="25"/>
    <n v="0.64025695931477511"/>
  </r>
  <r>
    <s v="ID-2025-01124"/>
    <d v="2025-04-12T00:00:00"/>
    <s v="ST-001"/>
    <x v="0"/>
    <s v="CUST-117"/>
    <x v="1"/>
    <s v="PRD-026"/>
    <x v="3"/>
    <x v="2"/>
    <n v="1"/>
    <n v="525000"/>
    <n v="0"/>
    <n v="373000"/>
    <n v="525000"/>
    <x v="219"/>
    <x v="11"/>
    <x v="2"/>
    <n v="4"/>
    <x v="10"/>
    <n v="0.28952380952380952"/>
  </r>
  <r>
    <s v="ID-2025-01179"/>
    <d v="2025-04-25T00:00:00"/>
    <s v="ST-001"/>
    <x v="0"/>
    <s v="CUST-036"/>
    <x v="1"/>
    <s v="PRD-026"/>
    <x v="3"/>
    <x v="2"/>
    <n v="1"/>
    <n v="611000"/>
    <n v="0"/>
    <n v="444000"/>
    <n v="611000"/>
    <x v="220"/>
    <x v="11"/>
    <x v="2"/>
    <n v="4"/>
    <x v="12"/>
    <n v="0.27332242225859249"/>
  </r>
  <r>
    <s v="ID-2025-00100"/>
    <d v="2025-05-13T00:00:00"/>
    <s v="ST-003"/>
    <x v="4"/>
    <s v="CUST-146"/>
    <x v="1"/>
    <s v="PRD-026"/>
    <x v="3"/>
    <x v="2"/>
    <n v="1"/>
    <n v="432000"/>
    <n v="0.05"/>
    <n v="315000"/>
    <n v="410400"/>
    <x v="221"/>
    <x v="3"/>
    <x v="2"/>
    <n v="5"/>
    <x v="23"/>
    <n v="0.23245614035087719"/>
  </r>
  <r>
    <s v="ID-2025-01561"/>
    <d v="2025-05-13T00:00:00"/>
    <s v="ST-001"/>
    <x v="0"/>
    <s v="CUST-061"/>
    <x v="1"/>
    <s v="PRD-026"/>
    <x v="3"/>
    <x v="2"/>
    <n v="1"/>
    <n v="336000"/>
    <n v="0"/>
    <n v="238000"/>
    <n v="336000"/>
    <x v="222"/>
    <x v="3"/>
    <x v="2"/>
    <n v="5"/>
    <x v="23"/>
    <n v="0.29166666666666669"/>
  </r>
  <r>
    <s v="ID-2025-00910"/>
    <d v="2025-05-28T00:00:00"/>
    <s v="ST-002"/>
    <x v="3"/>
    <s v="CUST-035"/>
    <x v="3"/>
    <s v="PRD-026"/>
    <x v="3"/>
    <x v="2"/>
    <n v="2"/>
    <n v="553000"/>
    <n v="0.15"/>
    <n v="401000"/>
    <n v="940100"/>
    <x v="223"/>
    <x v="3"/>
    <x v="2"/>
    <n v="5"/>
    <x v="4"/>
    <n v="0.57344963301776408"/>
  </r>
  <r>
    <s v="ID-2025-00086"/>
    <d v="2025-06-22T00:00:00"/>
    <s v="ST-001"/>
    <x v="0"/>
    <s v="CUST-120"/>
    <x v="0"/>
    <s v="PRD-026"/>
    <x v="3"/>
    <x v="2"/>
    <n v="1"/>
    <n v="633000"/>
    <n v="0"/>
    <n v="450000"/>
    <n v="633000"/>
    <x v="224"/>
    <x v="4"/>
    <x v="2"/>
    <n v="6"/>
    <x v="16"/>
    <n v="0.2890995260663507"/>
  </r>
  <r>
    <s v="ID-2025-01316"/>
    <d v="2025-07-19T00:00:00"/>
    <s v="ST-001"/>
    <x v="0"/>
    <s v="CUST-032"/>
    <x v="1"/>
    <s v="PRD-026"/>
    <x v="3"/>
    <x v="2"/>
    <n v="1"/>
    <n v="485000"/>
    <n v="0"/>
    <n v="342000"/>
    <n v="485000"/>
    <x v="139"/>
    <x v="5"/>
    <x v="2"/>
    <n v="7"/>
    <x v="26"/>
    <n v="0.29484536082474228"/>
  </r>
  <r>
    <s v="ID-2025-00970"/>
    <d v="2025-07-29T00:00:00"/>
    <s v="ST-001"/>
    <x v="0"/>
    <s v="CUST-056"/>
    <x v="2"/>
    <s v="PRD-026"/>
    <x v="3"/>
    <x v="2"/>
    <n v="1"/>
    <n v="533000"/>
    <n v="0"/>
    <n v="386000"/>
    <n v="533000"/>
    <x v="225"/>
    <x v="5"/>
    <x v="2"/>
    <n v="7"/>
    <x v="7"/>
    <n v="0.27579737335834897"/>
  </r>
  <r>
    <s v="ID-2025-00570"/>
    <d v="2025-09-04T00:00:00"/>
    <s v="ST-003"/>
    <x v="4"/>
    <s v="CUST-054"/>
    <x v="1"/>
    <s v="PRD-026"/>
    <x v="3"/>
    <x v="2"/>
    <n v="1"/>
    <n v="534000"/>
    <n v="0"/>
    <n v="387000"/>
    <n v="534000"/>
    <x v="225"/>
    <x v="7"/>
    <x v="2"/>
    <n v="9"/>
    <x v="20"/>
    <n v="0.2752808988764045"/>
  </r>
  <r>
    <s v="ID-2025-00428"/>
    <d v="2025-10-16T00:00:00"/>
    <s v="ST-002"/>
    <x v="3"/>
    <s v="CUST-126"/>
    <x v="0"/>
    <s v="PRD-026"/>
    <x v="3"/>
    <x v="2"/>
    <n v="2"/>
    <n v="484000"/>
    <n v="0"/>
    <n v="347000"/>
    <n v="968000"/>
    <x v="126"/>
    <x v="8"/>
    <x v="2"/>
    <n v="10"/>
    <x v="5"/>
    <n v="0.64152892561983466"/>
  </r>
  <r>
    <s v="ID-2025-00709"/>
    <d v="2025-10-24T00:00:00"/>
    <s v="ST-002"/>
    <x v="3"/>
    <s v="CUST-067"/>
    <x v="1"/>
    <s v="PRD-026"/>
    <x v="3"/>
    <x v="2"/>
    <n v="2"/>
    <n v="443000"/>
    <n v="0"/>
    <n v="311000"/>
    <n v="886000"/>
    <x v="226"/>
    <x v="8"/>
    <x v="2"/>
    <n v="10"/>
    <x v="25"/>
    <n v="0.6489841986455982"/>
  </r>
  <r>
    <s v="ID-2025-00248"/>
    <d v="2025-12-05T00:00:00"/>
    <s v="ST-001"/>
    <x v="0"/>
    <s v="CUST-043"/>
    <x v="1"/>
    <s v="PRD-026"/>
    <x v="3"/>
    <x v="2"/>
    <n v="1"/>
    <n v="460000"/>
    <n v="0.15"/>
    <n v="336000"/>
    <n v="391000"/>
    <x v="227"/>
    <x v="10"/>
    <x v="2"/>
    <n v="12"/>
    <x v="21"/>
    <n v="0.14066496163682865"/>
  </r>
  <r>
    <s v="ID-2025-01159"/>
    <d v="2025-12-22T00:00:00"/>
    <s v="ST-002"/>
    <x v="3"/>
    <s v="CUST-036"/>
    <x v="1"/>
    <s v="PRD-026"/>
    <x v="3"/>
    <x v="2"/>
    <n v="2"/>
    <n v="371000"/>
    <n v="0"/>
    <n v="272000"/>
    <n v="742000"/>
    <x v="59"/>
    <x v="10"/>
    <x v="2"/>
    <n v="12"/>
    <x v="16"/>
    <n v="0.63342318059299196"/>
  </r>
  <r>
    <s v="ID-2026-01716"/>
    <d v="2026-01-05T00:00:00"/>
    <s v="ST-004"/>
    <x v="2"/>
    <s v="CUST-003"/>
    <x v="2"/>
    <s v="PRD-026"/>
    <x v="3"/>
    <x v="2"/>
    <n v="1"/>
    <n v="509000"/>
    <n v="0"/>
    <n v="368000"/>
    <n v="509000"/>
    <x v="214"/>
    <x v="0"/>
    <x v="3"/>
    <n v="1"/>
    <x v="21"/>
    <n v="0.27701375245579568"/>
  </r>
  <r>
    <s v="ID-2026-01675"/>
    <d v="2026-02-09T00:00:00"/>
    <s v="ST-004"/>
    <x v="2"/>
    <s v="CUST-018"/>
    <x v="0"/>
    <s v="PRD-026"/>
    <x v="3"/>
    <x v="2"/>
    <n v="1"/>
    <n v="566000"/>
    <n v="0"/>
    <n v="408000"/>
    <n v="566000"/>
    <x v="178"/>
    <x v="1"/>
    <x v="3"/>
    <n v="2"/>
    <x v="1"/>
    <n v="0.27915194346289751"/>
  </r>
  <r>
    <s v="ID-2026-00181"/>
    <d v="2026-02-25T00:00:00"/>
    <s v="ST-001"/>
    <x v="0"/>
    <s v="CUST-136"/>
    <x v="1"/>
    <s v="PRD-026"/>
    <x v="3"/>
    <x v="2"/>
    <n v="3"/>
    <n v="653000"/>
    <n v="0"/>
    <n v="474000"/>
    <n v="1959000"/>
    <x v="228"/>
    <x v="1"/>
    <x v="3"/>
    <n v="2"/>
    <x v="12"/>
    <n v="0.75803981623277183"/>
  </r>
  <r>
    <s v="ID-2026-01390"/>
    <d v="2026-03-05T00:00:00"/>
    <s v="ST-001"/>
    <x v="0"/>
    <s v="CUST-098"/>
    <x v="0"/>
    <s v="PRD-026"/>
    <x v="3"/>
    <x v="2"/>
    <n v="2"/>
    <n v="570000"/>
    <n v="0.1"/>
    <n v="404000"/>
    <n v="1026000"/>
    <x v="229"/>
    <x v="2"/>
    <x v="3"/>
    <n v="3"/>
    <x v="21"/>
    <n v="0.60623781676413258"/>
  </r>
  <r>
    <s v="ID-2026-01258"/>
    <d v="2026-03-12T00:00:00"/>
    <s v="ST-005"/>
    <x v="1"/>
    <s v="CUST-073"/>
    <x v="1"/>
    <s v="PRD-026"/>
    <x v="3"/>
    <x v="2"/>
    <n v="1"/>
    <n v="369000"/>
    <n v="0"/>
    <n v="267000"/>
    <n v="369000"/>
    <x v="155"/>
    <x v="2"/>
    <x v="3"/>
    <n v="3"/>
    <x v="10"/>
    <n v="0.27642276422764228"/>
  </r>
  <r>
    <s v="ID-2026-00152"/>
    <d v="2026-03-27T00:00:00"/>
    <s v="ST-004"/>
    <x v="2"/>
    <s v="CUST-146"/>
    <x v="1"/>
    <s v="PRD-026"/>
    <x v="3"/>
    <x v="2"/>
    <n v="1"/>
    <n v="660000"/>
    <n v="0"/>
    <n v="487000"/>
    <n v="660000"/>
    <x v="230"/>
    <x v="2"/>
    <x v="3"/>
    <n v="3"/>
    <x v="24"/>
    <n v="0.26212121212121214"/>
  </r>
  <r>
    <s v="ID-2026-01639"/>
    <d v="2026-04-03T00:00:00"/>
    <s v="ST-001"/>
    <x v="0"/>
    <s v="CUST-147"/>
    <x v="0"/>
    <s v="PRD-026"/>
    <x v="3"/>
    <x v="2"/>
    <n v="1"/>
    <n v="582000"/>
    <n v="0"/>
    <n v="423000"/>
    <n v="582000"/>
    <x v="231"/>
    <x v="11"/>
    <x v="3"/>
    <n v="4"/>
    <x v="8"/>
    <n v="0.27319587628865977"/>
  </r>
  <r>
    <s v="ID-2026-00397"/>
    <d v="2026-05-04T00:00:00"/>
    <s v="ST-002"/>
    <x v="3"/>
    <s v="CUST-113"/>
    <x v="2"/>
    <s v="PRD-026"/>
    <x v="3"/>
    <x v="2"/>
    <n v="1"/>
    <n v="605000"/>
    <n v="0"/>
    <n v="441000"/>
    <n v="605000"/>
    <x v="212"/>
    <x v="3"/>
    <x v="3"/>
    <n v="5"/>
    <x v="20"/>
    <n v="0.27107438016528923"/>
  </r>
  <r>
    <s v="ID-2026-01374"/>
    <d v="2026-05-05T00:00:00"/>
    <s v="ST-005"/>
    <x v="1"/>
    <s v="CUST-013"/>
    <x v="1"/>
    <s v="PRD-026"/>
    <x v="3"/>
    <x v="2"/>
    <n v="3"/>
    <n v="473000"/>
    <n v="0"/>
    <n v="342000"/>
    <n v="1419000"/>
    <x v="56"/>
    <x v="3"/>
    <x v="3"/>
    <n v="5"/>
    <x v="21"/>
    <n v="0.75898520084566601"/>
  </r>
  <r>
    <s v="ID-2026-01163"/>
    <d v="2026-05-07T00:00:00"/>
    <s v="ST-002"/>
    <x v="3"/>
    <s v="CUST-001"/>
    <x v="1"/>
    <s v="PRD-026"/>
    <x v="3"/>
    <x v="2"/>
    <n v="1"/>
    <n v="452000"/>
    <n v="0"/>
    <n v="326000"/>
    <n v="452000"/>
    <x v="51"/>
    <x v="3"/>
    <x v="3"/>
    <n v="5"/>
    <x v="3"/>
    <n v="0.27876106194690264"/>
  </r>
  <r>
    <s v="ID-2026-01325"/>
    <d v="2026-05-09T00:00:00"/>
    <s v="ST-001"/>
    <x v="0"/>
    <s v="CUST-140"/>
    <x v="3"/>
    <s v="PRD-026"/>
    <x v="3"/>
    <x v="2"/>
    <n v="3"/>
    <n v="689000"/>
    <n v="0"/>
    <n v="492000"/>
    <n v="2067000"/>
    <x v="232"/>
    <x v="3"/>
    <x v="3"/>
    <n v="5"/>
    <x v="1"/>
    <n v="0.76197387518142234"/>
  </r>
  <r>
    <s v="ID-2026-00663"/>
    <d v="2026-05-27T00:00:00"/>
    <s v="ST-005"/>
    <x v="1"/>
    <s v="CUST-044"/>
    <x v="2"/>
    <s v="PRD-026"/>
    <x v="3"/>
    <x v="2"/>
    <n v="1"/>
    <n v="455000"/>
    <n v="0.1"/>
    <n v="321000"/>
    <n v="409500"/>
    <x v="233"/>
    <x v="3"/>
    <x v="3"/>
    <n v="5"/>
    <x v="24"/>
    <n v="0.21611721611721613"/>
  </r>
  <r>
    <s v="ID-2026-00685"/>
    <d v="2026-06-07T00:00:00"/>
    <s v="ST-001"/>
    <x v="0"/>
    <s v="CUST-124"/>
    <x v="1"/>
    <s v="PRD-026"/>
    <x v="3"/>
    <x v="2"/>
    <n v="1"/>
    <n v="392000"/>
    <n v="0"/>
    <n v="285000"/>
    <n v="392000"/>
    <x v="39"/>
    <x v="4"/>
    <x v="3"/>
    <n v="6"/>
    <x v="3"/>
    <n v="0.27295918367346939"/>
  </r>
  <r>
    <s v="ID-2026-01070"/>
    <d v="2026-06-20T00:00:00"/>
    <s v="ST-001"/>
    <x v="0"/>
    <s v="CUST-146"/>
    <x v="1"/>
    <s v="PRD-026"/>
    <x v="3"/>
    <x v="2"/>
    <n v="1"/>
    <n v="607000"/>
    <n v="0.1"/>
    <n v="438000"/>
    <n v="546300"/>
    <x v="234"/>
    <x v="4"/>
    <x v="3"/>
    <n v="6"/>
    <x v="30"/>
    <n v="0.19824272377814386"/>
  </r>
  <r>
    <s v="ID-2026-00629"/>
    <d v="2026-06-22T00:00:00"/>
    <s v="ST-002"/>
    <x v="3"/>
    <s v="CUST-112"/>
    <x v="1"/>
    <s v="PRD-026"/>
    <x v="3"/>
    <x v="2"/>
    <n v="1"/>
    <n v="374000"/>
    <n v="0"/>
    <n v="265000"/>
    <n v="374000"/>
    <x v="25"/>
    <x v="4"/>
    <x v="3"/>
    <n v="6"/>
    <x v="16"/>
    <n v="0.29144385026737968"/>
  </r>
  <r>
    <s v="ID-2026-00371"/>
    <d v="2026-06-24T00:00:00"/>
    <s v="ST-001"/>
    <x v="0"/>
    <s v="CUST-012"/>
    <x v="3"/>
    <s v="PRD-026"/>
    <x v="3"/>
    <x v="2"/>
    <n v="1"/>
    <n v="354000"/>
    <n v="0.05"/>
    <n v="249000"/>
    <n v="336300"/>
    <x v="235"/>
    <x v="4"/>
    <x v="3"/>
    <n v="6"/>
    <x v="25"/>
    <n v="0.25958965209634255"/>
  </r>
  <r>
    <s v="ID-2026-00858"/>
    <d v="2026-06-24T00:00:00"/>
    <s v="ST-002"/>
    <x v="3"/>
    <s v="CUST-058"/>
    <x v="1"/>
    <s v="PRD-026"/>
    <x v="3"/>
    <x v="2"/>
    <n v="2"/>
    <n v="612000"/>
    <n v="0.05"/>
    <n v="451000"/>
    <n v="1162800"/>
    <x v="236"/>
    <x v="4"/>
    <x v="3"/>
    <n v="6"/>
    <x v="25"/>
    <n v="0.61214310285517715"/>
  </r>
  <r>
    <s v="ID-2023-01602"/>
    <d v="2023-01-04T00:00:00"/>
    <s v="ST-001"/>
    <x v="0"/>
    <s v="CUST-051"/>
    <x v="3"/>
    <s v="PRD-007"/>
    <x v="4"/>
    <x v="3"/>
    <n v="1"/>
    <n v="5952000"/>
    <n v="0"/>
    <n v="4571000"/>
    <n v="5952000"/>
    <x v="237"/>
    <x v="0"/>
    <x v="0"/>
    <n v="1"/>
    <x v="20"/>
    <n v="0.23202284946236559"/>
  </r>
  <r>
    <s v="ID-2023-01181"/>
    <d v="2023-02-04T00:00:00"/>
    <s v="ST-001"/>
    <x v="0"/>
    <s v="CUST-020"/>
    <x v="1"/>
    <s v="PRD-007"/>
    <x v="4"/>
    <x v="3"/>
    <n v="2"/>
    <n v="5427000"/>
    <n v="0"/>
    <n v="4031000"/>
    <n v="10854000"/>
    <x v="238"/>
    <x v="1"/>
    <x v="0"/>
    <n v="2"/>
    <x v="20"/>
    <n v="0.62861617836742212"/>
  </r>
  <r>
    <s v="ID-2023-01745"/>
    <d v="2023-02-16T00:00:00"/>
    <s v="ST-001"/>
    <x v="0"/>
    <s v="CUST-140"/>
    <x v="3"/>
    <s v="PRD-007"/>
    <x v="4"/>
    <x v="3"/>
    <n v="1"/>
    <n v="5919000"/>
    <n v="0"/>
    <n v="4516000"/>
    <n v="5919000"/>
    <x v="239"/>
    <x v="1"/>
    <x v="0"/>
    <n v="2"/>
    <x v="5"/>
    <n v="0.23703328264909612"/>
  </r>
  <r>
    <s v="ID-2023-01419"/>
    <d v="2023-02-18T00:00:00"/>
    <s v="ST-001"/>
    <x v="0"/>
    <s v="CUST-082"/>
    <x v="0"/>
    <s v="PRD-007"/>
    <x v="4"/>
    <x v="3"/>
    <n v="1"/>
    <n v="5905000"/>
    <n v="0"/>
    <n v="4590000"/>
    <n v="5905000"/>
    <x v="240"/>
    <x v="1"/>
    <x v="0"/>
    <n v="2"/>
    <x v="9"/>
    <n v="0.22269263336155801"/>
  </r>
  <r>
    <s v="ID-2023-01589"/>
    <d v="2023-02-23T00:00:00"/>
    <s v="ST-001"/>
    <x v="0"/>
    <s v="CUST-136"/>
    <x v="1"/>
    <s v="PRD-007"/>
    <x v="4"/>
    <x v="3"/>
    <n v="1"/>
    <n v="4351000"/>
    <n v="0"/>
    <n v="3372000"/>
    <n v="4351000"/>
    <x v="241"/>
    <x v="1"/>
    <x v="0"/>
    <n v="2"/>
    <x v="11"/>
    <n v="0.22500574580556193"/>
  </r>
  <r>
    <s v="ID-2023-00531"/>
    <d v="2023-02-26T00:00:00"/>
    <s v="ST-001"/>
    <x v="0"/>
    <s v="CUST-067"/>
    <x v="1"/>
    <s v="PRD-007"/>
    <x v="4"/>
    <x v="3"/>
    <n v="1"/>
    <n v="3891000"/>
    <n v="0"/>
    <n v="2911000"/>
    <n v="3891000"/>
    <x v="242"/>
    <x v="1"/>
    <x v="0"/>
    <n v="2"/>
    <x v="6"/>
    <n v="0.25186327422256488"/>
  </r>
  <r>
    <s v="ID-2023-00972"/>
    <d v="2023-03-07T00:00:00"/>
    <s v="ST-003"/>
    <x v="4"/>
    <s v="CUST-134"/>
    <x v="1"/>
    <s v="PRD-007"/>
    <x v="4"/>
    <x v="3"/>
    <n v="1"/>
    <n v="5568000"/>
    <n v="0"/>
    <n v="4297000"/>
    <n v="5568000"/>
    <x v="243"/>
    <x v="2"/>
    <x v="0"/>
    <n v="3"/>
    <x v="3"/>
    <n v="0.22826867816091953"/>
  </r>
  <r>
    <s v="ID-2023-01622"/>
    <d v="2023-03-08T00:00:00"/>
    <s v="ST-001"/>
    <x v="0"/>
    <s v="CUST-022"/>
    <x v="1"/>
    <s v="PRD-007"/>
    <x v="4"/>
    <x v="3"/>
    <n v="1"/>
    <n v="6341000"/>
    <n v="0"/>
    <n v="4871000"/>
    <n v="6341000"/>
    <x v="244"/>
    <x v="2"/>
    <x v="0"/>
    <n v="3"/>
    <x v="27"/>
    <n v="0.23182463333859013"/>
  </r>
  <r>
    <s v="ID-2023-01196"/>
    <d v="2023-03-10T00:00:00"/>
    <s v="ST-004"/>
    <x v="2"/>
    <s v="CUST-002"/>
    <x v="3"/>
    <s v="PRD-007"/>
    <x v="4"/>
    <x v="3"/>
    <n v="1"/>
    <n v="4500000"/>
    <n v="0"/>
    <n v="3506000"/>
    <n v="4500000"/>
    <x v="245"/>
    <x v="2"/>
    <x v="0"/>
    <n v="3"/>
    <x v="13"/>
    <n v="0.22088888888888888"/>
  </r>
  <r>
    <s v="ID-2023-01084"/>
    <d v="2023-03-19T00:00:00"/>
    <s v="ST-002"/>
    <x v="3"/>
    <s v="CUST-062"/>
    <x v="1"/>
    <s v="PRD-007"/>
    <x v="4"/>
    <x v="3"/>
    <n v="1"/>
    <n v="4743000"/>
    <n v="0"/>
    <n v="3656000"/>
    <n v="4743000"/>
    <x v="246"/>
    <x v="2"/>
    <x v="0"/>
    <n v="3"/>
    <x v="26"/>
    <n v="0.22917984398060298"/>
  </r>
  <r>
    <s v="ID-2023-01088"/>
    <d v="2023-03-31T00:00:00"/>
    <s v="ST-002"/>
    <x v="3"/>
    <s v="CUST-049"/>
    <x v="0"/>
    <s v="PRD-007"/>
    <x v="4"/>
    <x v="3"/>
    <n v="1"/>
    <n v="4816000"/>
    <n v="0"/>
    <n v="3678000"/>
    <n v="4816000"/>
    <x v="247"/>
    <x v="2"/>
    <x v="0"/>
    <n v="3"/>
    <x v="28"/>
    <n v="0.23629568106312293"/>
  </r>
  <r>
    <s v="ID-2023-00773"/>
    <d v="2023-05-05T00:00:00"/>
    <s v="ST-002"/>
    <x v="3"/>
    <s v="CUST-120"/>
    <x v="0"/>
    <s v="PRD-007"/>
    <x v="4"/>
    <x v="3"/>
    <n v="5"/>
    <n v="5983000"/>
    <n v="0"/>
    <n v="4428000"/>
    <n v="29915000"/>
    <x v="248"/>
    <x v="3"/>
    <x v="0"/>
    <n v="5"/>
    <x v="21"/>
    <n v="0.85198061173324424"/>
  </r>
  <r>
    <s v="ID-2023-01291"/>
    <d v="2023-05-16T00:00:00"/>
    <s v="ST-003"/>
    <x v="4"/>
    <s v="CUST-077"/>
    <x v="2"/>
    <s v="PRD-007"/>
    <x v="4"/>
    <x v="3"/>
    <n v="1"/>
    <n v="5330521.7391304346"/>
    <n v="0"/>
    <n v="0"/>
    <n v="5330521.7391304346"/>
    <x v="249"/>
    <x v="3"/>
    <x v="0"/>
    <n v="5"/>
    <x v="5"/>
    <n v="1"/>
  </r>
  <r>
    <s v="ID-2023-01079"/>
    <d v="2023-06-29T00:00:00"/>
    <s v="ST-001"/>
    <x v="0"/>
    <s v="CUST-017"/>
    <x v="1"/>
    <s v="PRD-007"/>
    <x v="4"/>
    <x v="3"/>
    <n v="1"/>
    <n v="4153000"/>
    <n v="0"/>
    <n v="3188000"/>
    <n v="4153000"/>
    <x v="250"/>
    <x v="4"/>
    <x v="0"/>
    <n v="6"/>
    <x v="7"/>
    <n v="0.23236214784493137"/>
  </r>
  <r>
    <s v="ID-2023-01139"/>
    <d v="2023-07-03T00:00:00"/>
    <s v="ST-003"/>
    <x v="4"/>
    <s v="CUST-011"/>
    <x v="1"/>
    <s v="PRD-007"/>
    <x v="4"/>
    <x v="3"/>
    <n v="1"/>
    <n v="4386000"/>
    <n v="0.1"/>
    <n v="3346000"/>
    <n v="3947400"/>
    <x v="251"/>
    <x v="5"/>
    <x v="0"/>
    <n v="7"/>
    <x v="8"/>
    <n v="0.15235344783908394"/>
  </r>
  <r>
    <s v="ID-2023-00664"/>
    <d v="2023-07-13T00:00:00"/>
    <s v="ST-001"/>
    <x v="0"/>
    <s v="CUST-046"/>
    <x v="0"/>
    <s v="PRD-007"/>
    <x v="4"/>
    <x v="3"/>
    <n v="2"/>
    <n v="6004000"/>
    <n v="0"/>
    <n v="4617000"/>
    <n v="12008000"/>
    <x v="252"/>
    <x v="5"/>
    <x v="0"/>
    <n v="7"/>
    <x v="23"/>
    <n v="0.615506329113924"/>
  </r>
  <r>
    <s v="ID-2023-01460"/>
    <d v="2023-07-22T00:00:00"/>
    <s v="ST-001"/>
    <x v="0"/>
    <s v="CUST-006"/>
    <x v="1"/>
    <s v="PRD-007"/>
    <x v="4"/>
    <x v="3"/>
    <n v="5"/>
    <n v="5192000"/>
    <n v="0"/>
    <n v="3941000"/>
    <n v="25960000"/>
    <x v="253"/>
    <x v="5"/>
    <x v="0"/>
    <n v="7"/>
    <x v="16"/>
    <n v="0.84818952234206468"/>
  </r>
  <r>
    <s v="ID-2023-01331"/>
    <d v="2023-08-24T00:00:00"/>
    <s v="ST-001"/>
    <x v="0"/>
    <s v="CUST-030"/>
    <x v="1"/>
    <s v="PRD-007"/>
    <x v="4"/>
    <x v="3"/>
    <n v="3"/>
    <n v="4501000"/>
    <n v="0"/>
    <n v="3464000"/>
    <n v="13503000"/>
    <x v="254"/>
    <x v="6"/>
    <x v="0"/>
    <n v="8"/>
    <x v="25"/>
    <n v="0.7434644153151152"/>
  </r>
  <r>
    <s v="ID-2023-01615"/>
    <d v="2023-08-27T00:00:00"/>
    <s v="ST-002"/>
    <x v="3"/>
    <s v="CUST-090"/>
    <x v="0"/>
    <s v="PRD-007"/>
    <x v="4"/>
    <x v="3"/>
    <n v="3"/>
    <n v="6476000"/>
    <n v="0.1"/>
    <n v="4907000"/>
    <n v="17485200"/>
    <x v="255"/>
    <x v="6"/>
    <x v="0"/>
    <n v="8"/>
    <x v="24"/>
    <n v="0.71936266099329715"/>
  </r>
  <r>
    <s v="ID-2023-01679"/>
    <d v="2023-09-04T00:00:00"/>
    <s v="ST-002"/>
    <x v="3"/>
    <s v="CUST-121"/>
    <x v="1"/>
    <s v="PRD-007"/>
    <x v="4"/>
    <x v="3"/>
    <n v="2"/>
    <n v="4561000"/>
    <n v="0"/>
    <n v="3378000"/>
    <n v="9122000"/>
    <x v="256"/>
    <x v="7"/>
    <x v="0"/>
    <n v="9"/>
    <x v="20"/>
    <n v="0.62968647226485419"/>
  </r>
  <r>
    <s v="ID-2023-01048"/>
    <d v="2023-09-07T00:00:00"/>
    <s v="ST-005"/>
    <x v="1"/>
    <s v="CUST-126"/>
    <x v="0"/>
    <s v="PRD-007"/>
    <x v="4"/>
    <x v="3"/>
    <n v="1"/>
    <n v="6176000"/>
    <n v="0"/>
    <n v="4776000"/>
    <n v="6176000"/>
    <x v="257"/>
    <x v="7"/>
    <x v="0"/>
    <n v="9"/>
    <x v="3"/>
    <n v="0.2266839378238342"/>
  </r>
  <r>
    <s v="ID-2023-01601"/>
    <d v="2023-09-09T00:00:00"/>
    <s v="ST-001"/>
    <x v="0"/>
    <s v="CUST-021"/>
    <x v="0"/>
    <s v="PRD-007"/>
    <x v="4"/>
    <x v="3"/>
    <n v="1"/>
    <n v="5809000"/>
    <n v="0"/>
    <n v="4464000"/>
    <n v="5809000"/>
    <x v="258"/>
    <x v="7"/>
    <x v="0"/>
    <n v="9"/>
    <x v="1"/>
    <n v="0.23153726975383027"/>
  </r>
  <r>
    <s v="ID-2023-01315"/>
    <d v="2023-09-23T00:00:00"/>
    <s v="ST-001"/>
    <x v="0"/>
    <s v="CUST-020"/>
    <x v="1"/>
    <s v="PRD-007"/>
    <x v="4"/>
    <x v="3"/>
    <n v="2"/>
    <n v="5077000"/>
    <n v="0"/>
    <n v="3943000"/>
    <n v="10154000"/>
    <x v="259"/>
    <x v="7"/>
    <x v="0"/>
    <n v="9"/>
    <x v="11"/>
    <n v="0.61168012605869604"/>
  </r>
  <r>
    <s v="ID-2023-01075"/>
    <d v="2023-09-24T00:00:00"/>
    <s v="ST-001"/>
    <x v="0"/>
    <s v="CUST-102"/>
    <x v="0"/>
    <s v="PRD-007"/>
    <x v="4"/>
    <x v="3"/>
    <n v="1"/>
    <n v="5330521.7391304346"/>
    <n v="0.05"/>
    <n v="3800000"/>
    <n v="5063995.6521739122"/>
    <x v="260"/>
    <x v="7"/>
    <x v="0"/>
    <n v="9"/>
    <x v="25"/>
    <n v="0.24960441102102726"/>
  </r>
  <r>
    <s v="ID-2023-00473"/>
    <d v="2023-09-26T00:00:00"/>
    <s v="ST-005"/>
    <x v="1"/>
    <s v="CUST-118"/>
    <x v="1"/>
    <s v="PRD-007"/>
    <x v="4"/>
    <x v="3"/>
    <n v="1"/>
    <n v="4225000"/>
    <n v="0"/>
    <n v="3213000"/>
    <n v="4225000"/>
    <x v="261"/>
    <x v="7"/>
    <x v="0"/>
    <n v="9"/>
    <x v="6"/>
    <n v="0.23952662721893492"/>
  </r>
  <r>
    <s v="ID-2023-01213"/>
    <d v="2023-10-03T00:00:00"/>
    <s v="ST-001"/>
    <x v="0"/>
    <s v="CUST-119"/>
    <x v="1"/>
    <s v="PRD-007"/>
    <x v="4"/>
    <x v="3"/>
    <n v="1"/>
    <n v="6470000"/>
    <n v="0"/>
    <n v="5009000"/>
    <n v="6470000"/>
    <x v="262"/>
    <x v="8"/>
    <x v="0"/>
    <n v="10"/>
    <x v="8"/>
    <n v="0.22581143740340032"/>
  </r>
  <r>
    <s v="ID-2023-00737"/>
    <d v="2023-12-07T00:00:00"/>
    <s v="ST-001"/>
    <x v="0"/>
    <s v="CUST-081"/>
    <x v="1"/>
    <s v="PRD-007"/>
    <x v="4"/>
    <x v="3"/>
    <n v="1"/>
    <n v="5330521.7391304346"/>
    <n v="0"/>
    <n v="3800000"/>
    <n v="5330521.7391304346"/>
    <x v="263"/>
    <x v="10"/>
    <x v="0"/>
    <n v="12"/>
    <x v="3"/>
    <n v="0.287124190469976"/>
  </r>
  <r>
    <s v="ID-2024-00976"/>
    <d v="2024-01-23T00:00:00"/>
    <s v="ST-001"/>
    <x v="0"/>
    <s v="CUST-010"/>
    <x v="2"/>
    <s v="PRD-007"/>
    <x v="4"/>
    <x v="3"/>
    <n v="1"/>
    <n v="5805000"/>
    <n v="0"/>
    <n v="4348000"/>
    <n v="5805000"/>
    <x v="264"/>
    <x v="0"/>
    <x v="1"/>
    <n v="1"/>
    <x v="11"/>
    <n v="0.25099052540913008"/>
  </r>
  <r>
    <s v="ID-2024-01266"/>
    <d v="2024-01-29T00:00:00"/>
    <s v="ST-002"/>
    <x v="3"/>
    <s v="CUST-081"/>
    <x v="1"/>
    <s v="PRD-007"/>
    <x v="4"/>
    <x v="3"/>
    <n v="3"/>
    <n v="5625000"/>
    <n v="0"/>
    <n v="4336000"/>
    <n v="16875000"/>
    <x v="265"/>
    <x v="0"/>
    <x v="1"/>
    <n v="1"/>
    <x v="7"/>
    <n v="0.74305185185185185"/>
  </r>
  <r>
    <s v="ID-2024-01030"/>
    <d v="2024-01-30T00:00:00"/>
    <s v="ST-001"/>
    <x v="0"/>
    <s v="CUST-082"/>
    <x v="0"/>
    <s v="PRD-007"/>
    <x v="4"/>
    <x v="3"/>
    <n v="5"/>
    <n v="5489000"/>
    <n v="0"/>
    <n v="4068000"/>
    <n v="27445000"/>
    <x v="266"/>
    <x v="0"/>
    <x v="1"/>
    <n v="1"/>
    <x v="15"/>
    <n v="0.85177627983239201"/>
  </r>
  <r>
    <s v="ID-2024-00585"/>
    <d v="2024-02-27T00:00:00"/>
    <s v="ST-003"/>
    <x v="4"/>
    <s v="CUST-144"/>
    <x v="1"/>
    <s v="PRD-007"/>
    <x v="4"/>
    <x v="3"/>
    <n v="1"/>
    <n v="6360000"/>
    <n v="0"/>
    <n v="4863000"/>
    <n v="6360000"/>
    <x v="267"/>
    <x v="1"/>
    <x v="1"/>
    <n v="2"/>
    <x v="24"/>
    <n v="0.23537735849056604"/>
  </r>
  <r>
    <s v="ID-2024-00998"/>
    <d v="2024-03-21T00:00:00"/>
    <s v="ST-005"/>
    <x v="1"/>
    <s v="CUST-099"/>
    <x v="1"/>
    <s v="PRD-007"/>
    <x v="4"/>
    <x v="3"/>
    <n v="1"/>
    <n v="4091000"/>
    <n v="0"/>
    <n v="3139000"/>
    <n v="4091000"/>
    <x v="268"/>
    <x v="2"/>
    <x v="1"/>
    <n v="3"/>
    <x v="14"/>
    <n v="0.23270593986800292"/>
  </r>
  <r>
    <s v="ID-2024-00166"/>
    <d v="2024-03-22T00:00:00"/>
    <s v="ST-002"/>
    <x v="3"/>
    <s v="CUST-074"/>
    <x v="1"/>
    <s v="PRD-007"/>
    <x v="4"/>
    <x v="3"/>
    <n v="1"/>
    <n v="3930000"/>
    <n v="0"/>
    <n v="2928000"/>
    <n v="3930000"/>
    <x v="269"/>
    <x v="2"/>
    <x v="1"/>
    <n v="3"/>
    <x v="16"/>
    <n v="0.25496183206106871"/>
  </r>
  <r>
    <s v="ID-2024-00315"/>
    <d v="2024-05-15T00:00:00"/>
    <s v="ST-001"/>
    <x v="0"/>
    <s v="CUST-067"/>
    <x v="1"/>
    <s v="PRD-007"/>
    <x v="4"/>
    <x v="3"/>
    <n v="2"/>
    <n v="5174000"/>
    <n v="0.1"/>
    <n v="4010000"/>
    <n v="9313200"/>
    <x v="270"/>
    <x v="3"/>
    <x v="1"/>
    <n v="5"/>
    <x v="19"/>
    <n v="0.56942833827255934"/>
  </r>
  <r>
    <s v="ID-2024-00085"/>
    <d v="2024-06-30T00:00:00"/>
    <s v="ST-002"/>
    <x v="3"/>
    <s v="CUST-104"/>
    <x v="0"/>
    <s v="PRD-007"/>
    <x v="4"/>
    <x v="3"/>
    <n v="2"/>
    <n v="5776000"/>
    <n v="0.05"/>
    <n v="4457000"/>
    <n v="10974400"/>
    <x v="271"/>
    <x v="4"/>
    <x v="1"/>
    <n v="6"/>
    <x v="15"/>
    <n v="0.59387301355882782"/>
  </r>
  <r>
    <s v="ID-2024-00020"/>
    <d v="2024-07-01T00:00:00"/>
    <s v="ST-005"/>
    <x v="1"/>
    <s v="CUST-006"/>
    <x v="1"/>
    <s v="PRD-007"/>
    <x v="4"/>
    <x v="3"/>
    <n v="1"/>
    <n v="4584000"/>
    <n v="0"/>
    <n v="3469000"/>
    <n v="4584000"/>
    <x v="272"/>
    <x v="5"/>
    <x v="1"/>
    <n v="7"/>
    <x v="0"/>
    <n v="0.24323734729493893"/>
  </r>
  <r>
    <s v="ID-2024-01103"/>
    <d v="2024-07-12T00:00:00"/>
    <s v="ST-001"/>
    <x v="0"/>
    <s v="CUST-133"/>
    <x v="1"/>
    <s v="PRD-007"/>
    <x v="4"/>
    <x v="3"/>
    <n v="1"/>
    <n v="3840000"/>
    <n v="0"/>
    <n v="2899000"/>
    <n v="3840000"/>
    <x v="273"/>
    <x v="5"/>
    <x v="1"/>
    <n v="7"/>
    <x v="10"/>
    <n v="0.24505208333333334"/>
  </r>
  <r>
    <s v="ID-2024-00250"/>
    <d v="2024-07-30T00:00:00"/>
    <s v="ST-001"/>
    <x v="0"/>
    <s v="CUST-134"/>
    <x v="1"/>
    <s v="PRD-007"/>
    <x v="4"/>
    <x v="3"/>
    <n v="1"/>
    <n v="6103000"/>
    <n v="0"/>
    <n v="4696000"/>
    <n v="6103000"/>
    <x v="274"/>
    <x v="5"/>
    <x v="1"/>
    <n v="7"/>
    <x v="15"/>
    <n v="0.23054235621825331"/>
  </r>
  <r>
    <s v="ID-2024-01121"/>
    <d v="2024-08-03T00:00:00"/>
    <s v="ST-001"/>
    <x v="0"/>
    <s v="CUST-102"/>
    <x v="0"/>
    <s v="PRD-007"/>
    <x v="4"/>
    <x v="3"/>
    <n v="1"/>
    <n v="4339000"/>
    <n v="0"/>
    <n v="3297000"/>
    <n v="4339000"/>
    <x v="275"/>
    <x v="6"/>
    <x v="1"/>
    <n v="8"/>
    <x v="8"/>
    <n v="0.24014749942383037"/>
  </r>
  <r>
    <s v="ID-2024-00413"/>
    <d v="2024-08-11T00:00:00"/>
    <s v="ST-005"/>
    <x v="1"/>
    <s v="CUST-150"/>
    <x v="1"/>
    <s v="PRD-007"/>
    <x v="4"/>
    <x v="3"/>
    <n v="1"/>
    <n v="6356000"/>
    <n v="0"/>
    <n v="4816000"/>
    <n v="6356000"/>
    <x v="276"/>
    <x v="6"/>
    <x v="1"/>
    <n v="8"/>
    <x v="22"/>
    <n v="0.24229074889867841"/>
  </r>
  <r>
    <s v="ID-2024-01503"/>
    <d v="2024-09-01T00:00:00"/>
    <s v="ST-003"/>
    <x v="4"/>
    <s v="CUST-039"/>
    <x v="0"/>
    <s v="PRD-007"/>
    <x v="4"/>
    <x v="3"/>
    <n v="1"/>
    <n v="6820000"/>
    <n v="0.1"/>
    <n v="5222000"/>
    <n v="6138000"/>
    <x v="277"/>
    <x v="7"/>
    <x v="1"/>
    <n v="9"/>
    <x v="0"/>
    <n v="0.14923427826653632"/>
  </r>
  <r>
    <s v="ID-2024-01346"/>
    <d v="2024-09-18T00:00:00"/>
    <s v="ST-001"/>
    <x v="0"/>
    <s v="CUST-004"/>
    <x v="0"/>
    <s v="PRD-007"/>
    <x v="4"/>
    <x v="3"/>
    <n v="1"/>
    <n v="5330521.7391304346"/>
    <n v="0"/>
    <n v="0"/>
    <n v="5330521.7391304346"/>
    <x v="249"/>
    <x v="7"/>
    <x v="1"/>
    <n v="9"/>
    <x v="9"/>
    <n v="1"/>
  </r>
  <r>
    <s v="ID-2024-00013"/>
    <d v="2024-10-17T00:00:00"/>
    <s v="ST-003"/>
    <x v="4"/>
    <s v="CUST-012"/>
    <x v="3"/>
    <s v="PRD-007"/>
    <x v="4"/>
    <x v="3"/>
    <n v="1"/>
    <n v="5506000"/>
    <n v="0"/>
    <n v="4092000"/>
    <n v="5506000"/>
    <x v="278"/>
    <x v="8"/>
    <x v="1"/>
    <n v="10"/>
    <x v="2"/>
    <n v="0.25681075190701053"/>
  </r>
  <r>
    <s v="ID-2024-01233"/>
    <d v="2024-10-17T00:00:00"/>
    <s v="ST-001"/>
    <x v="0"/>
    <s v="CUST-075"/>
    <x v="2"/>
    <s v="PRD-007"/>
    <x v="4"/>
    <x v="3"/>
    <n v="1"/>
    <n v="3997000"/>
    <n v="0"/>
    <n v="3093000"/>
    <n v="3997000"/>
    <x v="279"/>
    <x v="8"/>
    <x v="1"/>
    <n v="10"/>
    <x v="2"/>
    <n v="0.22616962722041531"/>
  </r>
  <r>
    <s v="ID-2024-00950"/>
    <d v="2024-11-22T00:00:00"/>
    <s v="ST-003"/>
    <x v="4"/>
    <s v="CUST-064"/>
    <x v="1"/>
    <s v="PRD-007"/>
    <x v="4"/>
    <x v="3"/>
    <n v="1"/>
    <n v="6428000"/>
    <n v="0"/>
    <n v="4824000"/>
    <n v="6428000"/>
    <x v="280"/>
    <x v="9"/>
    <x v="1"/>
    <n v="11"/>
    <x v="16"/>
    <n v="0.24953329184816428"/>
  </r>
  <r>
    <s v="ID-2024-00562"/>
    <d v="2024-11-24T00:00:00"/>
    <s v="ST-005"/>
    <x v="1"/>
    <s v="CUST-094"/>
    <x v="0"/>
    <s v="PRD-007"/>
    <x v="4"/>
    <x v="3"/>
    <n v="1"/>
    <n v="6340000"/>
    <n v="0"/>
    <n v="4842000"/>
    <n v="6340000"/>
    <x v="281"/>
    <x v="9"/>
    <x v="1"/>
    <n v="11"/>
    <x v="25"/>
    <n v="0.23627760252365931"/>
  </r>
  <r>
    <s v="ID-2024-00622"/>
    <d v="2024-11-28T00:00:00"/>
    <s v="ST-001"/>
    <x v="0"/>
    <s v="CUST-104"/>
    <x v="0"/>
    <s v="PRD-007"/>
    <x v="4"/>
    <x v="3"/>
    <n v="1"/>
    <n v="5844000"/>
    <n v="0"/>
    <n v="4482000"/>
    <n v="5844000"/>
    <x v="282"/>
    <x v="9"/>
    <x v="1"/>
    <n v="11"/>
    <x v="4"/>
    <n v="0.23305954825462014"/>
  </r>
  <r>
    <s v="ID-2024-01691"/>
    <d v="2024-12-15T00:00:00"/>
    <s v="ST-001"/>
    <x v="0"/>
    <s v="CUST-020"/>
    <x v="1"/>
    <s v="PRD-007"/>
    <x v="4"/>
    <x v="3"/>
    <n v="1"/>
    <n v="4997000"/>
    <n v="0.1"/>
    <n v="3814000"/>
    <n v="4497300"/>
    <x v="283"/>
    <x v="10"/>
    <x v="1"/>
    <n v="12"/>
    <x v="19"/>
    <n v="0.1519356058079292"/>
  </r>
  <r>
    <s v="ID-2024-01415"/>
    <d v="2024-12-18T00:00:00"/>
    <s v="ST-002"/>
    <x v="3"/>
    <s v="CUST-085"/>
    <x v="1"/>
    <s v="PRD-007"/>
    <x v="4"/>
    <x v="3"/>
    <n v="1"/>
    <n v="5492000"/>
    <n v="0"/>
    <n v="4221000"/>
    <n v="5492000"/>
    <x v="243"/>
    <x v="10"/>
    <x v="1"/>
    <n v="12"/>
    <x v="9"/>
    <n v="0.23142753095411508"/>
  </r>
  <r>
    <s v="ID-2024-00278"/>
    <d v="2024-12-30T00:00:00"/>
    <s v="ST-003"/>
    <x v="4"/>
    <s v="CUST-100"/>
    <x v="1"/>
    <s v="PRD-007"/>
    <x v="4"/>
    <x v="3"/>
    <n v="1"/>
    <n v="5792000"/>
    <n v="0.05"/>
    <n v="4472000"/>
    <n v="5502400"/>
    <x v="284"/>
    <x v="10"/>
    <x v="1"/>
    <n v="12"/>
    <x v="15"/>
    <n v="0.1872637394591451"/>
  </r>
  <r>
    <s v="ID-2025-01768"/>
    <d v="2025-01-26T00:00:00"/>
    <s v="ST-001"/>
    <x v="0"/>
    <s v="CUST-146"/>
    <x v="1"/>
    <s v="PRD-007"/>
    <x v="4"/>
    <x v="3"/>
    <n v="3"/>
    <n v="5099000"/>
    <n v="0"/>
    <n v="3809000"/>
    <n v="15297000"/>
    <x v="285"/>
    <x v="0"/>
    <x v="2"/>
    <n v="1"/>
    <x v="6"/>
    <n v="0.75099692750212454"/>
  </r>
  <r>
    <s v="ID-2025-01238"/>
    <d v="2025-02-06T00:00:00"/>
    <s v="ST-005"/>
    <x v="1"/>
    <s v="CUST-129"/>
    <x v="1"/>
    <s v="PRD-007"/>
    <x v="4"/>
    <x v="3"/>
    <n v="1"/>
    <n v="4540000"/>
    <n v="0"/>
    <n v="3381000"/>
    <n v="4540000"/>
    <x v="286"/>
    <x v="1"/>
    <x v="2"/>
    <n v="2"/>
    <x v="29"/>
    <n v="0.25528634361233482"/>
  </r>
  <r>
    <s v="ID-2025-00024"/>
    <d v="2025-03-04T00:00:00"/>
    <s v="ST-001"/>
    <x v="0"/>
    <s v="CUST-069"/>
    <x v="1"/>
    <s v="PRD-007"/>
    <x v="4"/>
    <x v="3"/>
    <n v="1"/>
    <n v="4194000"/>
    <n v="0.1"/>
    <n v="3130000"/>
    <n v="3774600"/>
    <x v="287"/>
    <x v="2"/>
    <x v="2"/>
    <n v="3"/>
    <x v="20"/>
    <n v="0.17077306204630954"/>
  </r>
  <r>
    <s v="ID-2025-01476"/>
    <d v="2025-03-12T00:00:00"/>
    <s v="ST-002"/>
    <x v="3"/>
    <s v="CUST-137"/>
    <x v="0"/>
    <s v="PRD-007"/>
    <x v="4"/>
    <x v="3"/>
    <n v="1"/>
    <n v="6521000"/>
    <n v="0.05"/>
    <n v="5048000"/>
    <n v="6194950"/>
    <x v="288"/>
    <x v="2"/>
    <x v="2"/>
    <n v="3"/>
    <x v="10"/>
    <n v="0.1851427372295176"/>
  </r>
  <r>
    <s v="ID-2025-00245"/>
    <d v="2025-03-13T00:00:00"/>
    <s v="ST-001"/>
    <x v="0"/>
    <s v="CUST-064"/>
    <x v="1"/>
    <s v="PRD-007"/>
    <x v="4"/>
    <x v="3"/>
    <n v="1"/>
    <n v="5910000"/>
    <n v="0"/>
    <n v="4579000"/>
    <n v="5910000"/>
    <x v="289"/>
    <x v="2"/>
    <x v="2"/>
    <n v="3"/>
    <x v="23"/>
    <n v="0.22521150592216582"/>
  </r>
  <r>
    <s v="ID-2025-00401"/>
    <d v="2025-03-29T00:00:00"/>
    <s v="ST-001"/>
    <x v="0"/>
    <s v="CUST-014"/>
    <x v="1"/>
    <s v="PRD-007"/>
    <x v="4"/>
    <x v="3"/>
    <n v="1"/>
    <n v="6007000"/>
    <n v="0"/>
    <n v="4618000"/>
    <n v="6007000"/>
    <x v="290"/>
    <x v="2"/>
    <x v="2"/>
    <n v="3"/>
    <x v="7"/>
    <n v="0.23123023139670384"/>
  </r>
  <r>
    <s v="ID-2025-01780"/>
    <d v="2025-05-05T00:00:00"/>
    <s v="ST-001"/>
    <x v="0"/>
    <s v="CUST-075"/>
    <x v="2"/>
    <s v="PRD-007"/>
    <x v="4"/>
    <x v="3"/>
    <n v="1"/>
    <n v="5258000"/>
    <n v="0"/>
    <n v="4002000"/>
    <n v="5258000"/>
    <x v="291"/>
    <x v="3"/>
    <x v="2"/>
    <n v="5"/>
    <x v="21"/>
    <n v="0.2388740966146824"/>
  </r>
  <r>
    <s v="ID-2025-00915"/>
    <d v="2025-06-20T00:00:00"/>
    <s v="ST-001"/>
    <x v="0"/>
    <s v="CUST-136"/>
    <x v="1"/>
    <s v="PRD-007"/>
    <x v="4"/>
    <x v="3"/>
    <n v="1"/>
    <n v="6253000"/>
    <n v="0"/>
    <n v="4714000"/>
    <n v="6253000"/>
    <x v="292"/>
    <x v="4"/>
    <x v="2"/>
    <n v="6"/>
    <x v="30"/>
    <n v="0.24612186150647689"/>
  </r>
  <r>
    <s v="ID-2025-00923"/>
    <d v="2025-09-13T00:00:00"/>
    <s v="ST-003"/>
    <x v="4"/>
    <s v="CUST-044"/>
    <x v="2"/>
    <s v="PRD-007"/>
    <x v="4"/>
    <x v="3"/>
    <n v="3"/>
    <n v="6757000"/>
    <n v="0"/>
    <n v="5217000"/>
    <n v="20271000"/>
    <x v="293"/>
    <x v="7"/>
    <x v="2"/>
    <n v="9"/>
    <x v="23"/>
    <n v="0.74263726505845784"/>
  </r>
  <r>
    <s v="ID-2025-01791"/>
    <d v="2025-09-26T00:00:00"/>
    <s v="ST-003"/>
    <x v="4"/>
    <s v="CUST-009"/>
    <x v="0"/>
    <s v="PRD-007"/>
    <x v="4"/>
    <x v="3"/>
    <n v="1"/>
    <n v="3890000"/>
    <n v="0"/>
    <n v="2976000"/>
    <n v="3890000"/>
    <x v="294"/>
    <x v="7"/>
    <x v="2"/>
    <n v="9"/>
    <x v="6"/>
    <n v="0.23496143958868895"/>
  </r>
  <r>
    <s v="ID-2025-01168"/>
    <d v="2025-10-03T00:00:00"/>
    <s v="ST-001"/>
    <x v="0"/>
    <s v="CUST-134"/>
    <x v="1"/>
    <s v="PRD-007"/>
    <x v="4"/>
    <x v="3"/>
    <n v="2"/>
    <n v="5660000"/>
    <n v="0.05"/>
    <n v="4230000"/>
    <n v="10754000"/>
    <x v="295"/>
    <x v="8"/>
    <x v="2"/>
    <n v="10"/>
    <x v="8"/>
    <n v="0.60665798772549751"/>
  </r>
  <r>
    <s v="ID-2025-01459"/>
    <d v="2025-10-09T00:00:00"/>
    <s v="ST-001"/>
    <x v="0"/>
    <s v="CUST-017"/>
    <x v="1"/>
    <s v="PRD-007"/>
    <x v="4"/>
    <x v="3"/>
    <n v="3"/>
    <n v="6370000"/>
    <n v="0.15"/>
    <n v="4783000"/>
    <n v="16243500"/>
    <x v="296"/>
    <x v="8"/>
    <x v="2"/>
    <n v="10"/>
    <x v="1"/>
    <n v="0.70554375596392405"/>
  </r>
  <r>
    <s v="ID-2025-01522"/>
    <d v="2025-12-04T00:00:00"/>
    <s v="ST-001"/>
    <x v="0"/>
    <s v="CUST-040"/>
    <x v="0"/>
    <s v="PRD-007"/>
    <x v="4"/>
    <x v="3"/>
    <n v="1"/>
    <n v="4233000"/>
    <n v="0"/>
    <n v="3221000"/>
    <n v="4233000"/>
    <x v="261"/>
    <x v="10"/>
    <x v="2"/>
    <n v="12"/>
    <x v="20"/>
    <n v="0.2390739428301441"/>
  </r>
  <r>
    <s v="ID-2025-01387"/>
    <d v="2025-12-16T00:00:00"/>
    <s v="ST-005"/>
    <x v="1"/>
    <s v="CUST-036"/>
    <x v="1"/>
    <s v="PRD-007"/>
    <x v="4"/>
    <x v="3"/>
    <n v="2"/>
    <n v="3955000"/>
    <n v="0"/>
    <n v="3066000"/>
    <n v="7910000"/>
    <x v="297"/>
    <x v="10"/>
    <x v="2"/>
    <n v="12"/>
    <x v="5"/>
    <n v="0.61238938053097347"/>
  </r>
  <r>
    <s v="ID-2025-00678"/>
    <d v="2025-12-25T00:00:00"/>
    <s v="ST-002"/>
    <x v="3"/>
    <s v="CUST-031"/>
    <x v="0"/>
    <s v="PRD-007"/>
    <x v="4"/>
    <x v="3"/>
    <n v="1"/>
    <n v="5330521.7391304346"/>
    <n v="0"/>
    <n v="0"/>
    <n v="5330521.7391304346"/>
    <x v="249"/>
    <x v="10"/>
    <x v="2"/>
    <n v="12"/>
    <x v="12"/>
    <n v="1"/>
  </r>
  <r>
    <s v="ID-2026-01377"/>
    <d v="2026-01-15T00:00:00"/>
    <s v="ST-001"/>
    <x v="0"/>
    <s v="CUST-051"/>
    <x v="3"/>
    <s v="PRD-007"/>
    <x v="4"/>
    <x v="3"/>
    <n v="1"/>
    <n v="5330521.7391304346"/>
    <n v="0.05"/>
    <n v="0"/>
    <n v="5063995.6521739122"/>
    <x v="298"/>
    <x v="0"/>
    <x v="3"/>
    <n v="1"/>
    <x v="19"/>
    <n v="1"/>
  </r>
  <r>
    <s v="ID-2026-01501"/>
    <d v="2026-02-15T00:00:00"/>
    <s v="ST-001"/>
    <x v="0"/>
    <s v="CUST-015"/>
    <x v="1"/>
    <s v="PRD-007"/>
    <x v="4"/>
    <x v="3"/>
    <n v="2"/>
    <n v="4025000"/>
    <n v="0"/>
    <n v="3003000"/>
    <n v="8050000"/>
    <x v="299"/>
    <x v="1"/>
    <x v="3"/>
    <n v="2"/>
    <x v="19"/>
    <n v="0.62695652173913041"/>
  </r>
  <r>
    <s v="ID-2026-00443"/>
    <d v="2026-02-17T00:00:00"/>
    <s v="ST-005"/>
    <x v="1"/>
    <s v="CUST-026"/>
    <x v="2"/>
    <s v="PRD-007"/>
    <x v="4"/>
    <x v="3"/>
    <n v="1"/>
    <n v="4418000"/>
    <n v="0"/>
    <n v="3431000"/>
    <n v="4418000"/>
    <x v="300"/>
    <x v="1"/>
    <x v="3"/>
    <n v="2"/>
    <x v="2"/>
    <n v="0.22340425531914893"/>
  </r>
  <r>
    <s v="ID-2026-00498"/>
    <d v="2026-03-05T00:00:00"/>
    <s v="ST-004"/>
    <x v="2"/>
    <s v="CUST-139"/>
    <x v="1"/>
    <s v="PRD-007"/>
    <x v="4"/>
    <x v="3"/>
    <n v="1"/>
    <n v="5631000"/>
    <n v="0"/>
    <n v="4234000"/>
    <n v="5631000"/>
    <x v="301"/>
    <x v="2"/>
    <x v="3"/>
    <n v="3"/>
    <x v="21"/>
    <n v="0.24809092523530457"/>
  </r>
  <r>
    <s v="ID-2026-00602"/>
    <d v="2026-04-24T00:00:00"/>
    <s v="ST-001"/>
    <x v="0"/>
    <s v="CUST-025"/>
    <x v="0"/>
    <s v="PRD-007"/>
    <x v="4"/>
    <x v="3"/>
    <n v="3"/>
    <n v="6474000"/>
    <n v="0"/>
    <n v="4935000"/>
    <n v="19422000"/>
    <x v="302"/>
    <x v="11"/>
    <x v="3"/>
    <n v="4"/>
    <x v="25"/>
    <n v="0.74590670373802903"/>
  </r>
  <r>
    <s v="ID-2026-00760"/>
    <d v="2026-05-13T00:00:00"/>
    <s v="ST-004"/>
    <x v="2"/>
    <s v="CUST-041"/>
    <x v="1"/>
    <s v="PRD-007"/>
    <x v="4"/>
    <x v="3"/>
    <n v="2"/>
    <n v="5070000"/>
    <n v="0"/>
    <n v="3797000"/>
    <n v="10140000"/>
    <x v="303"/>
    <x v="3"/>
    <x v="3"/>
    <n v="5"/>
    <x v="23"/>
    <n v="0.62554240631163704"/>
  </r>
  <r>
    <s v="ID-2026-00070"/>
    <d v="2026-05-18T00:00:00"/>
    <s v="ST-001"/>
    <x v="0"/>
    <s v="CUST-012"/>
    <x v="3"/>
    <s v="PRD-007"/>
    <x v="4"/>
    <x v="3"/>
    <n v="1"/>
    <n v="5330521.7391304346"/>
    <n v="0"/>
    <n v="3800000"/>
    <n v="5330521.7391304346"/>
    <x v="263"/>
    <x v="3"/>
    <x v="3"/>
    <n v="5"/>
    <x v="9"/>
    <n v="0.287124190469976"/>
  </r>
  <r>
    <s v="ID-2026-01538"/>
    <d v="2026-06-01T00:00:00"/>
    <s v="ST-002"/>
    <x v="3"/>
    <s v="CUST-130"/>
    <x v="0"/>
    <s v="PRD-007"/>
    <x v="4"/>
    <x v="3"/>
    <n v="1"/>
    <n v="6509000"/>
    <n v="0.1"/>
    <n v="4845000"/>
    <n v="5858100"/>
    <x v="304"/>
    <x v="4"/>
    <x v="3"/>
    <n v="6"/>
    <x v="0"/>
    <n v="0.172940031750909"/>
  </r>
  <r>
    <s v="ID-2026-01257"/>
    <d v="2026-06-09T00:00:00"/>
    <s v="ST-001"/>
    <x v="0"/>
    <s v="CUST-109"/>
    <x v="1"/>
    <s v="PRD-007"/>
    <x v="4"/>
    <x v="3"/>
    <n v="1"/>
    <n v="4771000"/>
    <n v="0"/>
    <n v="3611000"/>
    <n v="4771000"/>
    <x v="305"/>
    <x v="4"/>
    <x v="3"/>
    <n v="6"/>
    <x v="1"/>
    <n v="0.24313561098302242"/>
  </r>
  <r>
    <s v="ID-2026-00872"/>
    <d v="2026-06-24T00:00:00"/>
    <s v="ST-004"/>
    <x v="2"/>
    <s v="CUST-064"/>
    <x v="1"/>
    <s v="PRD-007"/>
    <x v="4"/>
    <x v="3"/>
    <n v="1"/>
    <n v="4654000"/>
    <n v="0"/>
    <n v="3542000"/>
    <n v="4654000"/>
    <x v="306"/>
    <x v="4"/>
    <x v="3"/>
    <n v="6"/>
    <x v="25"/>
    <n v="0.23893425010743446"/>
  </r>
  <r>
    <s v="ID-2026-00186"/>
    <d v="2026-06-29T00:00:00"/>
    <s v="ST-001"/>
    <x v="0"/>
    <s v="CUST-119"/>
    <x v="1"/>
    <s v="PRD-007"/>
    <x v="4"/>
    <x v="3"/>
    <n v="1"/>
    <n v="6493000"/>
    <n v="0"/>
    <n v="4994000"/>
    <n v="6493000"/>
    <x v="307"/>
    <x v="4"/>
    <x v="3"/>
    <n v="6"/>
    <x v="7"/>
    <n v="0.23086400739257662"/>
  </r>
  <r>
    <s v="ID-2023-00704"/>
    <d v="2023-01-07T00:00:00"/>
    <s v="ST-001"/>
    <x v="0"/>
    <s v="CUST-002"/>
    <x v="3"/>
    <s v="PRD-002"/>
    <x v="5"/>
    <x v="1"/>
    <n v="1"/>
    <n v="5879000"/>
    <n v="0"/>
    <n v="4011000"/>
    <n v="5879000"/>
    <x v="308"/>
    <x v="0"/>
    <x v="0"/>
    <n v="1"/>
    <x v="3"/>
    <n v="0.31774111243408742"/>
  </r>
  <r>
    <s v="ID-2023-01769"/>
    <d v="2023-01-08T00:00:00"/>
    <s v="ST-004"/>
    <x v="2"/>
    <s v="CUST-034"/>
    <x v="2"/>
    <s v="PRD-002"/>
    <x v="5"/>
    <x v="1"/>
    <n v="1"/>
    <n v="7342000"/>
    <n v="0.15"/>
    <n v="5079000"/>
    <n v="6240700"/>
    <x v="309"/>
    <x v="0"/>
    <x v="0"/>
    <n v="1"/>
    <x v="27"/>
    <n v="0.18614898969666865"/>
  </r>
  <r>
    <s v="ID-2023-01722"/>
    <d v="2023-01-17T00:00:00"/>
    <s v="ST-001"/>
    <x v="0"/>
    <s v="CUST-148"/>
    <x v="0"/>
    <s v="PRD-002"/>
    <x v="5"/>
    <x v="1"/>
    <n v="1"/>
    <n v="5188000"/>
    <n v="0.1"/>
    <n v="3527000"/>
    <n v="4669200"/>
    <x v="310"/>
    <x v="0"/>
    <x v="0"/>
    <n v="1"/>
    <x v="2"/>
    <n v="0.24462434678317485"/>
  </r>
  <r>
    <s v="ID-2023-00736"/>
    <d v="2023-01-21T00:00:00"/>
    <s v="ST-002"/>
    <x v="3"/>
    <s v="CUST-107"/>
    <x v="0"/>
    <s v="PRD-002"/>
    <x v="5"/>
    <x v="1"/>
    <n v="1"/>
    <n v="5901000"/>
    <n v="0"/>
    <n v="4097000"/>
    <n v="5901000"/>
    <x v="311"/>
    <x v="0"/>
    <x v="0"/>
    <n v="1"/>
    <x v="14"/>
    <n v="0.30571089645822741"/>
  </r>
  <r>
    <s v="ID-2023-00742"/>
    <d v="2023-03-04T00:00:00"/>
    <s v="ST-002"/>
    <x v="3"/>
    <s v="CUST-148"/>
    <x v="0"/>
    <s v="PRD-002"/>
    <x v="5"/>
    <x v="1"/>
    <n v="2"/>
    <n v="5642000"/>
    <n v="0"/>
    <n v="3779000"/>
    <n v="11284000"/>
    <x v="312"/>
    <x v="2"/>
    <x v="0"/>
    <n v="3"/>
    <x v="20"/>
    <n v="0.66510102800425386"/>
  </r>
  <r>
    <s v="ID-2023-01299"/>
    <d v="2023-04-04T00:00:00"/>
    <s v="ST-002"/>
    <x v="3"/>
    <s v="CUST-132"/>
    <x v="1"/>
    <s v="PRD-002"/>
    <x v="5"/>
    <x v="1"/>
    <n v="1"/>
    <n v="6301000"/>
    <n v="0"/>
    <n v="4284000"/>
    <n v="6301000"/>
    <x v="313"/>
    <x v="11"/>
    <x v="0"/>
    <n v="4"/>
    <x v="20"/>
    <n v="0.32010791937787653"/>
  </r>
  <r>
    <s v="ID-2023-01035"/>
    <d v="2023-04-09T00:00:00"/>
    <s v="ST-004"/>
    <x v="2"/>
    <s v="CUST-066"/>
    <x v="0"/>
    <s v="PRD-002"/>
    <x v="5"/>
    <x v="1"/>
    <n v="1"/>
    <n v="5588000"/>
    <n v="0"/>
    <n v="3869000"/>
    <n v="5588000"/>
    <x v="314"/>
    <x v="11"/>
    <x v="0"/>
    <n v="4"/>
    <x v="1"/>
    <n v="0.30762347888332142"/>
  </r>
  <r>
    <s v="ID-2023-01218"/>
    <d v="2023-04-23T00:00:00"/>
    <s v="ST-002"/>
    <x v="3"/>
    <s v="CUST-026"/>
    <x v="2"/>
    <s v="PRD-002"/>
    <x v="5"/>
    <x v="1"/>
    <n v="3"/>
    <n v="6108000"/>
    <n v="0.05"/>
    <n v="4246000"/>
    <n v="17407800"/>
    <x v="315"/>
    <x v="11"/>
    <x v="0"/>
    <n v="4"/>
    <x v="11"/>
    <n v="0.75608635209503783"/>
  </r>
  <r>
    <s v="ID-2023-00787"/>
    <d v="2023-05-14T00:00:00"/>
    <s v="ST-003"/>
    <x v="4"/>
    <s v="CUST-038"/>
    <x v="1"/>
    <s v="PRD-002"/>
    <x v="5"/>
    <x v="1"/>
    <n v="2"/>
    <n v="6120000"/>
    <n v="0"/>
    <n v="4205000"/>
    <n v="12240000"/>
    <x v="316"/>
    <x v="3"/>
    <x v="0"/>
    <n v="5"/>
    <x v="18"/>
    <n v="0.65645424836601307"/>
  </r>
  <r>
    <s v="ID-2023-00893"/>
    <d v="2023-05-19T00:00:00"/>
    <s v="ST-001"/>
    <x v="0"/>
    <s v="CUST-060"/>
    <x v="1"/>
    <s v="PRD-002"/>
    <x v="5"/>
    <x v="1"/>
    <n v="1"/>
    <n v="6698000"/>
    <n v="0"/>
    <n v="4530000"/>
    <n v="6698000"/>
    <x v="317"/>
    <x v="3"/>
    <x v="0"/>
    <n v="5"/>
    <x v="26"/>
    <n v="0.32367871006270527"/>
  </r>
  <r>
    <s v="ID-2023-01580"/>
    <d v="2023-05-20T00:00:00"/>
    <s v="ST-002"/>
    <x v="3"/>
    <s v="CUST-026"/>
    <x v="2"/>
    <s v="PRD-002"/>
    <x v="5"/>
    <x v="1"/>
    <n v="2"/>
    <n v="6146000"/>
    <n v="0.1"/>
    <n v="4176000"/>
    <n v="11062800"/>
    <x v="318"/>
    <x v="3"/>
    <x v="0"/>
    <n v="5"/>
    <x v="30"/>
    <n v="0.62251871135698011"/>
  </r>
  <r>
    <s v="ID-2023-01567"/>
    <d v="2023-05-22T00:00:00"/>
    <s v="ST-002"/>
    <x v="3"/>
    <s v="CUST-017"/>
    <x v="1"/>
    <s v="PRD-002"/>
    <x v="5"/>
    <x v="1"/>
    <n v="1"/>
    <n v="5780000"/>
    <n v="0.15"/>
    <n v="3959000"/>
    <n v="4913000"/>
    <x v="319"/>
    <x v="3"/>
    <x v="0"/>
    <n v="5"/>
    <x v="16"/>
    <n v="0.19417870954610217"/>
  </r>
  <r>
    <s v="ID-2023-00083"/>
    <d v="2023-09-03T00:00:00"/>
    <s v="ST-001"/>
    <x v="0"/>
    <s v="CUST-139"/>
    <x v="1"/>
    <s v="PRD-002"/>
    <x v="5"/>
    <x v="1"/>
    <n v="2"/>
    <n v="7442000"/>
    <n v="0.05"/>
    <n v="5088000"/>
    <n v="14139800"/>
    <x v="320"/>
    <x v="7"/>
    <x v="0"/>
    <n v="9"/>
    <x v="8"/>
    <n v="0.64016464164981113"/>
  </r>
  <r>
    <s v="ID-2023-01104"/>
    <d v="2023-09-05T00:00:00"/>
    <s v="ST-001"/>
    <x v="0"/>
    <s v="CUST-056"/>
    <x v="2"/>
    <s v="PRD-002"/>
    <x v="5"/>
    <x v="1"/>
    <n v="1"/>
    <n v="6954000"/>
    <n v="0"/>
    <n v="4662000"/>
    <n v="6954000"/>
    <x v="321"/>
    <x v="7"/>
    <x v="0"/>
    <n v="9"/>
    <x v="21"/>
    <n v="0.32959447799827435"/>
  </r>
  <r>
    <s v="ID-2023-00146"/>
    <d v="2023-09-12T00:00:00"/>
    <s v="ST-005"/>
    <x v="1"/>
    <s v="CUST-001"/>
    <x v="1"/>
    <s v="PRD-002"/>
    <x v="5"/>
    <x v="1"/>
    <n v="1"/>
    <n v="6331000"/>
    <n v="0"/>
    <n v="4426000"/>
    <n v="6331000"/>
    <x v="322"/>
    <x v="7"/>
    <x v="0"/>
    <n v="9"/>
    <x v="10"/>
    <n v="0.30090033170115305"/>
  </r>
  <r>
    <s v="ID-2023-00912"/>
    <d v="2023-09-30T00:00:00"/>
    <s v="ST-001"/>
    <x v="0"/>
    <s v="CUST-063"/>
    <x v="1"/>
    <s v="PRD-002"/>
    <x v="5"/>
    <x v="1"/>
    <n v="1"/>
    <n v="5991000"/>
    <n v="0"/>
    <n v="4163000"/>
    <n v="5991000"/>
    <x v="323"/>
    <x v="7"/>
    <x v="0"/>
    <n v="9"/>
    <x v="15"/>
    <n v="0.30512435319646136"/>
  </r>
  <r>
    <s v="ID-2023-00259"/>
    <d v="2023-10-02T00:00:00"/>
    <s v="ST-002"/>
    <x v="3"/>
    <s v="CUST-070"/>
    <x v="3"/>
    <s v="PRD-002"/>
    <x v="5"/>
    <x v="1"/>
    <n v="3"/>
    <n v="4665000"/>
    <n v="0"/>
    <n v="3112000"/>
    <n v="13995000"/>
    <x v="324"/>
    <x v="8"/>
    <x v="0"/>
    <n v="10"/>
    <x v="17"/>
    <n v="0.77763486959628436"/>
  </r>
  <r>
    <s v="ID-2023-00743"/>
    <d v="2023-10-08T00:00:00"/>
    <s v="ST-004"/>
    <x v="2"/>
    <s v="CUST-125"/>
    <x v="1"/>
    <s v="PRD-002"/>
    <x v="5"/>
    <x v="1"/>
    <n v="1"/>
    <n v="7229000"/>
    <n v="0"/>
    <n v="4856000"/>
    <n v="7229000"/>
    <x v="325"/>
    <x v="8"/>
    <x v="0"/>
    <n v="10"/>
    <x v="27"/>
    <n v="0.32826117028634666"/>
  </r>
  <r>
    <s v="ID-2023-01278"/>
    <d v="2023-11-14T00:00:00"/>
    <s v="ST-001"/>
    <x v="0"/>
    <s v="CUST-043"/>
    <x v="1"/>
    <s v="PRD-002"/>
    <x v="5"/>
    <x v="1"/>
    <n v="2"/>
    <n v="4657000"/>
    <n v="0"/>
    <n v="3087000"/>
    <n v="9314000"/>
    <x v="326"/>
    <x v="9"/>
    <x v="0"/>
    <n v="11"/>
    <x v="18"/>
    <n v="0.66856345286665231"/>
  </r>
  <r>
    <s v="ID-2023-00618"/>
    <d v="2023-11-15T00:00:00"/>
    <s v="ST-004"/>
    <x v="2"/>
    <s v="CUST-124"/>
    <x v="1"/>
    <s v="PRD-002"/>
    <x v="5"/>
    <x v="1"/>
    <n v="1"/>
    <n v="4978000"/>
    <n v="0"/>
    <n v="3384000"/>
    <n v="4978000"/>
    <x v="327"/>
    <x v="9"/>
    <x v="0"/>
    <n v="11"/>
    <x v="19"/>
    <n v="0.32020891924467659"/>
  </r>
  <r>
    <s v="ID-2023-00512"/>
    <d v="2023-11-18T00:00:00"/>
    <s v="ST-004"/>
    <x v="2"/>
    <s v="CUST-146"/>
    <x v="1"/>
    <s v="PRD-002"/>
    <x v="5"/>
    <x v="1"/>
    <n v="1"/>
    <n v="6647000"/>
    <n v="0.05"/>
    <n v="4417000"/>
    <n v="6314650"/>
    <x v="328"/>
    <x v="9"/>
    <x v="0"/>
    <n v="11"/>
    <x v="9"/>
    <n v="0.30051546799901818"/>
  </r>
  <r>
    <s v="ID-2024-00287"/>
    <d v="2024-03-13T00:00:00"/>
    <s v="ST-004"/>
    <x v="2"/>
    <s v="CUST-045"/>
    <x v="1"/>
    <s v="PRD-002"/>
    <x v="5"/>
    <x v="1"/>
    <n v="5"/>
    <n v="5697000"/>
    <n v="0"/>
    <n v="3958000"/>
    <n v="28485000"/>
    <x v="329"/>
    <x v="2"/>
    <x v="1"/>
    <n v="3"/>
    <x v="23"/>
    <n v="0.86104967526768472"/>
  </r>
  <r>
    <s v="ID-2024-00729"/>
    <d v="2024-05-21T00:00:00"/>
    <s v="ST-001"/>
    <x v="0"/>
    <s v="CUST-083"/>
    <x v="1"/>
    <s v="PRD-002"/>
    <x v="5"/>
    <x v="1"/>
    <n v="2"/>
    <n v="4864000"/>
    <n v="0"/>
    <n v="3275000"/>
    <n v="9728000"/>
    <x v="330"/>
    <x v="3"/>
    <x v="1"/>
    <n v="5"/>
    <x v="14"/>
    <n v="0.66334292763157898"/>
  </r>
  <r>
    <s v="ID-2024-01285"/>
    <d v="2024-05-24T00:00:00"/>
    <s v="ST-001"/>
    <x v="0"/>
    <s v="CUST-045"/>
    <x v="1"/>
    <s v="PRD-002"/>
    <x v="5"/>
    <x v="1"/>
    <n v="1"/>
    <n v="6025000"/>
    <n v="0"/>
    <n v="4069000"/>
    <n v="6025000"/>
    <x v="331"/>
    <x v="3"/>
    <x v="1"/>
    <n v="5"/>
    <x v="25"/>
    <n v="0.32464730290456434"/>
  </r>
  <r>
    <s v="ID-2024-00420"/>
    <d v="2024-05-29T00:00:00"/>
    <s v="ST-002"/>
    <x v="3"/>
    <s v="CUST-056"/>
    <x v="2"/>
    <s v="PRD-002"/>
    <x v="5"/>
    <x v="1"/>
    <n v="1"/>
    <n v="7673000"/>
    <n v="0"/>
    <n v="5342000"/>
    <n v="7673000"/>
    <x v="332"/>
    <x v="3"/>
    <x v="1"/>
    <n v="5"/>
    <x v="7"/>
    <n v="0.30379251922325035"/>
  </r>
  <r>
    <s v="ID-2024-00876"/>
    <d v="2024-06-24T00:00:00"/>
    <s v="ST-001"/>
    <x v="0"/>
    <s v="CUST-100"/>
    <x v="1"/>
    <s v="PRD-002"/>
    <x v="5"/>
    <x v="1"/>
    <n v="3"/>
    <n v="7686000"/>
    <n v="0.05"/>
    <n v="5330000"/>
    <n v="21905100"/>
    <x v="333"/>
    <x v="4"/>
    <x v="1"/>
    <n v="6"/>
    <x v="25"/>
    <n v="0.75667766867076613"/>
  </r>
  <r>
    <s v="ID-2024-00807"/>
    <d v="2024-06-25T00:00:00"/>
    <s v="ST-003"/>
    <x v="4"/>
    <s v="CUST-132"/>
    <x v="1"/>
    <s v="PRD-002"/>
    <x v="5"/>
    <x v="1"/>
    <n v="3"/>
    <n v="6154000"/>
    <n v="0"/>
    <n v="4152000"/>
    <n v="18462000"/>
    <x v="334"/>
    <x v="4"/>
    <x v="1"/>
    <n v="6"/>
    <x v="12"/>
    <n v="0.77510562235944103"/>
  </r>
  <r>
    <s v="ID-2024-00294"/>
    <d v="2024-07-17T00:00:00"/>
    <s v="ST-003"/>
    <x v="4"/>
    <s v="CUST-096"/>
    <x v="0"/>
    <s v="PRD-002"/>
    <x v="5"/>
    <x v="1"/>
    <n v="1"/>
    <n v="5012000"/>
    <n v="0"/>
    <n v="3364000"/>
    <n v="5012000"/>
    <x v="335"/>
    <x v="5"/>
    <x v="1"/>
    <n v="7"/>
    <x v="2"/>
    <n v="0.32881085395051873"/>
  </r>
  <r>
    <s v="ID-2024-01568"/>
    <d v="2024-08-13T00:00:00"/>
    <s v="ST-001"/>
    <x v="0"/>
    <s v="CUST-149"/>
    <x v="1"/>
    <s v="PRD-002"/>
    <x v="5"/>
    <x v="1"/>
    <n v="1"/>
    <n v="7086000"/>
    <n v="0"/>
    <n v="4763000"/>
    <n v="7086000"/>
    <x v="336"/>
    <x v="6"/>
    <x v="1"/>
    <n v="8"/>
    <x v="23"/>
    <n v="0.32782952300310469"/>
  </r>
  <r>
    <s v="ID-2024-00291"/>
    <d v="2024-08-18T00:00:00"/>
    <s v="ST-003"/>
    <x v="4"/>
    <s v="CUST-097"/>
    <x v="0"/>
    <s v="PRD-002"/>
    <x v="5"/>
    <x v="1"/>
    <n v="3"/>
    <n v="6254000"/>
    <n v="0.1"/>
    <n v="4242000"/>
    <n v="16885800"/>
    <x v="337"/>
    <x v="6"/>
    <x v="1"/>
    <n v="8"/>
    <x v="9"/>
    <n v="0.7487830011015173"/>
  </r>
  <r>
    <s v="ID-2024-01343"/>
    <d v="2024-09-08T00:00:00"/>
    <s v="ST-002"/>
    <x v="3"/>
    <s v="CUST-140"/>
    <x v="3"/>
    <s v="PRD-002"/>
    <x v="5"/>
    <x v="1"/>
    <n v="1"/>
    <n v="7820000"/>
    <n v="0"/>
    <n v="5361000"/>
    <n v="7820000"/>
    <x v="338"/>
    <x v="7"/>
    <x v="1"/>
    <n v="9"/>
    <x v="27"/>
    <n v="0.31445012787723786"/>
  </r>
  <r>
    <s v="ID-2024-01566"/>
    <d v="2024-09-27T00:00:00"/>
    <s v="ST-001"/>
    <x v="0"/>
    <s v="CUST-064"/>
    <x v="1"/>
    <s v="PRD-002"/>
    <x v="5"/>
    <x v="1"/>
    <n v="1"/>
    <n v="5774000"/>
    <n v="0"/>
    <n v="4013000"/>
    <n v="5774000"/>
    <x v="339"/>
    <x v="7"/>
    <x v="1"/>
    <n v="9"/>
    <x v="24"/>
    <n v="0.30498787668860411"/>
  </r>
  <r>
    <s v="ID-2024-00482"/>
    <d v="2024-11-10T00:00:00"/>
    <s v="ST-001"/>
    <x v="0"/>
    <s v="CUST-130"/>
    <x v="0"/>
    <s v="PRD-002"/>
    <x v="5"/>
    <x v="1"/>
    <n v="1"/>
    <n v="6447234.375"/>
    <n v="0"/>
    <n v="0"/>
    <n v="6447234.375"/>
    <x v="340"/>
    <x v="9"/>
    <x v="1"/>
    <n v="11"/>
    <x v="13"/>
    <n v="1"/>
  </r>
  <r>
    <s v="ID-2025-00866"/>
    <d v="2025-01-10T00:00:00"/>
    <s v="ST-002"/>
    <x v="3"/>
    <s v="CUST-139"/>
    <x v="1"/>
    <s v="PRD-002"/>
    <x v="5"/>
    <x v="1"/>
    <n v="1"/>
    <n v="5709000"/>
    <n v="0"/>
    <n v="3823000"/>
    <n v="5709000"/>
    <x v="341"/>
    <x v="0"/>
    <x v="2"/>
    <n v="1"/>
    <x v="13"/>
    <n v="0.33035557891049222"/>
  </r>
  <r>
    <s v="ID-2025-01337"/>
    <d v="2025-01-18T00:00:00"/>
    <s v="ST-001"/>
    <x v="0"/>
    <s v="CUST-097"/>
    <x v="0"/>
    <s v="PRD-002"/>
    <x v="5"/>
    <x v="1"/>
    <n v="1"/>
    <n v="5147000"/>
    <n v="0"/>
    <n v="3537000"/>
    <n v="5147000"/>
    <x v="342"/>
    <x v="0"/>
    <x v="2"/>
    <n v="1"/>
    <x v="9"/>
    <n v="0.31280357489799882"/>
  </r>
  <r>
    <s v="ID-2025-01623"/>
    <d v="2025-01-21T00:00:00"/>
    <s v="ST-005"/>
    <x v="1"/>
    <s v="CUST-020"/>
    <x v="1"/>
    <s v="PRD-002"/>
    <x v="5"/>
    <x v="1"/>
    <n v="1"/>
    <n v="7794000"/>
    <n v="0"/>
    <n v="5298000"/>
    <n v="7794000"/>
    <x v="343"/>
    <x v="0"/>
    <x v="2"/>
    <n v="1"/>
    <x v="14"/>
    <n v="0.32024634334103158"/>
  </r>
  <r>
    <s v="ID-2025-00628"/>
    <d v="2025-01-30T00:00:00"/>
    <s v="ST-001"/>
    <x v="0"/>
    <s v="CUST-040"/>
    <x v="0"/>
    <s v="PRD-002"/>
    <x v="5"/>
    <x v="1"/>
    <n v="1"/>
    <n v="4993000"/>
    <n v="0"/>
    <n v="3348000"/>
    <n v="4993000"/>
    <x v="344"/>
    <x v="0"/>
    <x v="2"/>
    <n v="1"/>
    <x v="15"/>
    <n v="0.32946124574404168"/>
  </r>
  <r>
    <s v="ID-2025-00217"/>
    <d v="2025-04-01T00:00:00"/>
    <s v="ST-002"/>
    <x v="3"/>
    <s v="CUST-092"/>
    <x v="2"/>
    <s v="PRD-002"/>
    <x v="5"/>
    <x v="1"/>
    <n v="1"/>
    <n v="8087000"/>
    <n v="0"/>
    <n v="5529000"/>
    <n v="8087000"/>
    <x v="345"/>
    <x v="11"/>
    <x v="2"/>
    <n v="4"/>
    <x v="0"/>
    <n v="0.31631012736490666"/>
  </r>
  <r>
    <s v="ID-2025-01620"/>
    <d v="2025-04-13T00:00:00"/>
    <s v="ST-003"/>
    <x v="4"/>
    <s v="CUST-100"/>
    <x v="1"/>
    <s v="PRD-002"/>
    <x v="5"/>
    <x v="1"/>
    <n v="2"/>
    <n v="7972000"/>
    <n v="0"/>
    <n v="5302000"/>
    <n v="15944000"/>
    <x v="346"/>
    <x v="11"/>
    <x v="2"/>
    <n v="4"/>
    <x v="23"/>
    <n v="0.66746111389864526"/>
  </r>
  <r>
    <s v="ID-2025-01342"/>
    <d v="2025-06-17T00:00:00"/>
    <s v="ST-001"/>
    <x v="0"/>
    <s v="CUST-045"/>
    <x v="1"/>
    <s v="PRD-002"/>
    <x v="5"/>
    <x v="1"/>
    <n v="1"/>
    <n v="6407000"/>
    <n v="0"/>
    <n v="4372000"/>
    <n v="6407000"/>
    <x v="347"/>
    <x v="4"/>
    <x v="2"/>
    <n v="6"/>
    <x v="2"/>
    <n v="0.31762135164663652"/>
  </r>
  <r>
    <s v="ID-2025-00878"/>
    <d v="2025-07-13T00:00:00"/>
    <s v="ST-003"/>
    <x v="4"/>
    <s v="CUST-010"/>
    <x v="2"/>
    <s v="PRD-002"/>
    <x v="5"/>
    <x v="1"/>
    <n v="1"/>
    <n v="5477000"/>
    <n v="0"/>
    <n v="3798000"/>
    <n v="5477000"/>
    <x v="348"/>
    <x v="5"/>
    <x v="2"/>
    <n v="7"/>
    <x v="23"/>
    <n v="0.30655468322074131"/>
  </r>
  <r>
    <s v="ID-2025-00005"/>
    <d v="2025-08-19T00:00:00"/>
    <s v="ST-001"/>
    <x v="0"/>
    <s v="CUST-130"/>
    <x v="0"/>
    <s v="PRD-002"/>
    <x v="5"/>
    <x v="1"/>
    <n v="1"/>
    <n v="6858000"/>
    <n v="0"/>
    <n v="4791000"/>
    <n v="6858000"/>
    <x v="349"/>
    <x v="6"/>
    <x v="2"/>
    <n v="8"/>
    <x v="26"/>
    <n v="0.30139982502187229"/>
  </r>
  <r>
    <s v="ID-2025-00749"/>
    <d v="2025-09-10T00:00:00"/>
    <s v="ST-002"/>
    <x v="3"/>
    <s v="CUST-012"/>
    <x v="3"/>
    <s v="PRD-002"/>
    <x v="5"/>
    <x v="1"/>
    <n v="3"/>
    <n v="5145000"/>
    <n v="0.05"/>
    <n v="3399000"/>
    <n v="14663250"/>
    <x v="350"/>
    <x v="7"/>
    <x v="2"/>
    <n v="9"/>
    <x v="13"/>
    <n v="0.76819600020459311"/>
  </r>
  <r>
    <s v="ID-2025-00475"/>
    <d v="2025-09-22T00:00:00"/>
    <s v="ST-001"/>
    <x v="0"/>
    <s v="CUST-010"/>
    <x v="2"/>
    <s v="PRD-002"/>
    <x v="5"/>
    <x v="1"/>
    <n v="2"/>
    <n v="7905000"/>
    <n v="0"/>
    <n v="5293000"/>
    <n v="15810000"/>
    <x v="351"/>
    <x v="7"/>
    <x v="2"/>
    <n v="9"/>
    <x v="16"/>
    <n v="0.6652118912080961"/>
  </r>
  <r>
    <s v="ID-2025-01041"/>
    <d v="2025-10-12T00:00:00"/>
    <s v="ST-003"/>
    <x v="4"/>
    <s v="CUST-065"/>
    <x v="1"/>
    <s v="PRD-002"/>
    <x v="5"/>
    <x v="1"/>
    <n v="1"/>
    <n v="6222000"/>
    <n v="0.05"/>
    <n v="4247000"/>
    <n v="5910900"/>
    <x v="352"/>
    <x v="8"/>
    <x v="2"/>
    <n v="10"/>
    <x v="10"/>
    <n v="0.28149689556581908"/>
  </r>
  <r>
    <s v="ID-2025-01549"/>
    <d v="2025-10-23T00:00:00"/>
    <s v="ST-001"/>
    <x v="0"/>
    <s v="CUST-002"/>
    <x v="3"/>
    <s v="PRD-002"/>
    <x v="5"/>
    <x v="1"/>
    <n v="1"/>
    <n v="5416000"/>
    <n v="0"/>
    <n v="3613000"/>
    <n v="5416000"/>
    <x v="353"/>
    <x v="8"/>
    <x v="2"/>
    <n v="10"/>
    <x v="11"/>
    <n v="0.33290251107828656"/>
  </r>
  <r>
    <s v="ID-2025-01344"/>
    <d v="2025-11-11T00:00:00"/>
    <s v="ST-001"/>
    <x v="0"/>
    <s v="CUST-026"/>
    <x v="2"/>
    <s v="PRD-002"/>
    <x v="5"/>
    <x v="1"/>
    <n v="1"/>
    <n v="7356000"/>
    <n v="0"/>
    <n v="5013000"/>
    <n v="7356000"/>
    <x v="354"/>
    <x v="9"/>
    <x v="2"/>
    <n v="11"/>
    <x v="22"/>
    <n v="0.31851549755301795"/>
  </r>
  <r>
    <s v="ID-2025-01033"/>
    <d v="2025-12-05T00:00:00"/>
    <s v="ST-001"/>
    <x v="0"/>
    <s v="CUST-013"/>
    <x v="1"/>
    <s v="PRD-002"/>
    <x v="5"/>
    <x v="1"/>
    <n v="3"/>
    <n v="7933000"/>
    <n v="0"/>
    <n v="5260000"/>
    <n v="23799000"/>
    <x v="355"/>
    <x v="10"/>
    <x v="2"/>
    <n v="12"/>
    <x v="21"/>
    <n v="0.77898231018110009"/>
  </r>
  <r>
    <s v="ID-2026-01526"/>
    <d v="2026-01-03T00:00:00"/>
    <s v="ST-002"/>
    <x v="3"/>
    <s v="CUST-138"/>
    <x v="2"/>
    <s v="PRD-002"/>
    <x v="5"/>
    <x v="1"/>
    <n v="1"/>
    <n v="6889000"/>
    <n v="0"/>
    <n v="4723000"/>
    <n v="6889000"/>
    <x v="356"/>
    <x v="0"/>
    <x v="3"/>
    <n v="1"/>
    <x v="8"/>
    <n v="0.31441428364058643"/>
  </r>
  <r>
    <s v="ID-2026-00255"/>
    <d v="2026-01-28T00:00:00"/>
    <s v="ST-001"/>
    <x v="0"/>
    <s v="CUST-122"/>
    <x v="1"/>
    <s v="PRD-002"/>
    <x v="5"/>
    <x v="1"/>
    <n v="1"/>
    <n v="6498000"/>
    <n v="0"/>
    <n v="4331000"/>
    <n v="6498000"/>
    <x v="357"/>
    <x v="0"/>
    <x v="3"/>
    <n v="1"/>
    <x v="4"/>
    <n v="0.33348722683902737"/>
  </r>
  <r>
    <s v="ID-2026-00434"/>
    <d v="2026-03-11T00:00:00"/>
    <s v="ST-003"/>
    <x v="4"/>
    <s v="CUST-027"/>
    <x v="1"/>
    <s v="PRD-002"/>
    <x v="5"/>
    <x v="1"/>
    <n v="1"/>
    <n v="5275000"/>
    <n v="0"/>
    <n v="3679000"/>
    <n v="5275000"/>
    <x v="358"/>
    <x v="2"/>
    <x v="3"/>
    <n v="3"/>
    <x v="22"/>
    <n v="0.30255924170616116"/>
  </r>
  <r>
    <s v="ID-2026-00261"/>
    <d v="2026-03-15T00:00:00"/>
    <s v="ST-004"/>
    <x v="2"/>
    <s v="CUST-016"/>
    <x v="1"/>
    <s v="PRD-002"/>
    <x v="5"/>
    <x v="1"/>
    <n v="1"/>
    <n v="6298000"/>
    <n v="0"/>
    <n v="4161000"/>
    <n v="6298000"/>
    <x v="359"/>
    <x v="2"/>
    <x v="3"/>
    <n v="3"/>
    <x v="19"/>
    <n v="0.33931406795808194"/>
  </r>
  <r>
    <s v="ID-2026-00270"/>
    <d v="2026-03-15T00:00:00"/>
    <s v="ST-001"/>
    <x v="0"/>
    <s v="CUST-112"/>
    <x v="1"/>
    <s v="PRD-002"/>
    <x v="5"/>
    <x v="1"/>
    <n v="2"/>
    <n v="6537000"/>
    <n v="0.05"/>
    <n v="4447000"/>
    <n v="12420300"/>
    <x v="360"/>
    <x v="2"/>
    <x v="3"/>
    <n v="3"/>
    <x v="19"/>
    <n v="0.64195711858811788"/>
  </r>
  <r>
    <s v="ID-2026-00863"/>
    <d v="2026-03-15T00:00:00"/>
    <s v="ST-001"/>
    <x v="0"/>
    <s v="CUST-071"/>
    <x v="2"/>
    <s v="PRD-002"/>
    <x v="5"/>
    <x v="1"/>
    <n v="1"/>
    <n v="7412000"/>
    <n v="0.1"/>
    <n v="5049000"/>
    <n v="6670800"/>
    <x v="361"/>
    <x v="2"/>
    <x v="3"/>
    <n v="3"/>
    <x v="19"/>
    <n v="0.24311926605504589"/>
  </r>
  <r>
    <s v="ID-2026-00771"/>
    <d v="2026-04-05T00:00:00"/>
    <s v="ST-002"/>
    <x v="3"/>
    <s v="CUST-073"/>
    <x v="1"/>
    <s v="PRD-002"/>
    <x v="5"/>
    <x v="1"/>
    <n v="1"/>
    <n v="7439000"/>
    <n v="0"/>
    <n v="5091000"/>
    <n v="7439000"/>
    <x v="362"/>
    <x v="11"/>
    <x v="3"/>
    <n v="4"/>
    <x v="21"/>
    <n v="0.31563382175023524"/>
  </r>
  <r>
    <s v="ID-2026-00971"/>
    <d v="2026-04-10T00:00:00"/>
    <s v="ST-002"/>
    <x v="3"/>
    <s v="CUST-143"/>
    <x v="0"/>
    <s v="PRD-002"/>
    <x v="5"/>
    <x v="1"/>
    <n v="1"/>
    <n v="5837000"/>
    <n v="0.1"/>
    <n v="4049000"/>
    <n v="5253300"/>
    <x v="363"/>
    <x v="11"/>
    <x v="3"/>
    <n v="4"/>
    <x v="13"/>
    <n v="0.22924637846686843"/>
  </r>
  <r>
    <s v="ID-2026-00337"/>
    <d v="2026-04-10T00:00:00"/>
    <s v="ST-001"/>
    <x v="0"/>
    <s v="CUST-130"/>
    <x v="0"/>
    <s v="PRD-002"/>
    <x v="5"/>
    <x v="1"/>
    <n v="1"/>
    <n v="6913000"/>
    <n v="0.15"/>
    <n v="4660000"/>
    <n v="5876050"/>
    <x v="364"/>
    <x v="11"/>
    <x v="3"/>
    <n v="4"/>
    <x v="13"/>
    <n v="0.20695024718986393"/>
  </r>
  <r>
    <s v="ID-2026-00210"/>
    <d v="2026-04-20T00:00:00"/>
    <s v="ST-001"/>
    <x v="0"/>
    <s v="CUST-122"/>
    <x v="1"/>
    <s v="PRD-002"/>
    <x v="5"/>
    <x v="1"/>
    <n v="2"/>
    <n v="7255000"/>
    <n v="0"/>
    <n v="4867000"/>
    <n v="14510000"/>
    <x v="365"/>
    <x v="11"/>
    <x v="3"/>
    <n v="4"/>
    <x v="30"/>
    <n v="0.66457615437629225"/>
  </r>
  <r>
    <s v="ID-2026-01037"/>
    <d v="2026-05-08T00:00:00"/>
    <s v="ST-001"/>
    <x v="0"/>
    <s v="CUST-087"/>
    <x v="2"/>
    <s v="PRD-002"/>
    <x v="5"/>
    <x v="1"/>
    <n v="1"/>
    <n v="6509000"/>
    <n v="0.15"/>
    <n v="4388000"/>
    <n v="5532650"/>
    <x v="366"/>
    <x v="3"/>
    <x v="3"/>
    <n v="5"/>
    <x v="27"/>
    <n v="0.20689000750092632"/>
  </r>
  <r>
    <s v="ID-2026-00114"/>
    <d v="2026-05-30T00:00:00"/>
    <s v="ST-001"/>
    <x v="0"/>
    <s v="CUST-149"/>
    <x v="1"/>
    <s v="PRD-002"/>
    <x v="5"/>
    <x v="1"/>
    <n v="1"/>
    <n v="7476000"/>
    <n v="0.05"/>
    <n v="5137000"/>
    <n v="7102200"/>
    <x v="367"/>
    <x v="3"/>
    <x v="3"/>
    <n v="5"/>
    <x v="15"/>
    <n v="0.27670299343865279"/>
  </r>
  <r>
    <s v="ID-2026-01024"/>
    <d v="2026-06-07T00:00:00"/>
    <s v="ST-001"/>
    <x v="0"/>
    <s v="CUST-132"/>
    <x v="1"/>
    <s v="PRD-002"/>
    <x v="5"/>
    <x v="1"/>
    <n v="5"/>
    <n v="8214000"/>
    <n v="0"/>
    <n v="5463000"/>
    <n v="41070000"/>
    <x v="368"/>
    <x v="4"/>
    <x v="3"/>
    <n v="6"/>
    <x v="3"/>
    <n v="0.86698319941563184"/>
  </r>
  <r>
    <s v="ID-2026-00486"/>
    <d v="2026-06-07T00:00:00"/>
    <s v="ST-001"/>
    <x v="0"/>
    <s v="CUST-138"/>
    <x v="2"/>
    <s v="PRD-002"/>
    <x v="5"/>
    <x v="1"/>
    <n v="2"/>
    <n v="7976000"/>
    <n v="0"/>
    <n v="5324000"/>
    <n v="15952000"/>
    <x v="369"/>
    <x v="4"/>
    <x v="3"/>
    <n v="6"/>
    <x v="3"/>
    <n v="0.66624874623871611"/>
  </r>
  <r>
    <s v="ID-2026-00143"/>
    <d v="2026-06-09T00:00:00"/>
    <s v="ST-002"/>
    <x v="3"/>
    <s v="CUST-052"/>
    <x v="2"/>
    <s v="PRD-002"/>
    <x v="5"/>
    <x v="1"/>
    <n v="1"/>
    <n v="8400000"/>
    <n v="0"/>
    <n v="5796000"/>
    <n v="8400000"/>
    <x v="370"/>
    <x v="4"/>
    <x v="3"/>
    <n v="6"/>
    <x v="1"/>
    <n v="0.31"/>
  </r>
  <r>
    <s v="ID-2026-01541"/>
    <d v="2026-06-10T00:00:00"/>
    <s v="ST-001"/>
    <x v="0"/>
    <s v="CUST-014"/>
    <x v="1"/>
    <s v="PRD-002"/>
    <x v="5"/>
    <x v="1"/>
    <n v="1"/>
    <n v="6386000"/>
    <n v="0"/>
    <n v="4404000"/>
    <n v="6386000"/>
    <x v="371"/>
    <x v="4"/>
    <x v="3"/>
    <n v="6"/>
    <x v="13"/>
    <n v="0.31036642655809582"/>
  </r>
  <r>
    <s v="ID-2026-00441"/>
    <d v="2026-06-28T00:00:00"/>
    <s v="ST-001"/>
    <x v="0"/>
    <s v="CUST-102"/>
    <x v="0"/>
    <s v="PRD-002"/>
    <x v="5"/>
    <x v="1"/>
    <n v="2"/>
    <n v="5256000"/>
    <n v="0"/>
    <n v="3600000"/>
    <n v="10512000"/>
    <x v="372"/>
    <x v="4"/>
    <x v="3"/>
    <n v="6"/>
    <x v="4"/>
    <n v="0.65753424657534243"/>
  </r>
  <r>
    <s v="ID-2023-01672"/>
    <d v="2023-01-07T00:00:00"/>
    <s v="ST-002"/>
    <x v="3"/>
    <s v="CUST-104"/>
    <x v="0"/>
    <s v="PRD-009"/>
    <x v="6"/>
    <x v="3"/>
    <n v="2"/>
    <n v="2145000"/>
    <n v="0"/>
    <n v="1648000"/>
    <n v="4290000"/>
    <x v="373"/>
    <x v="0"/>
    <x v="0"/>
    <n v="1"/>
    <x v="3"/>
    <n v="0.6158508158508158"/>
  </r>
  <r>
    <s v="ID-2023-01099"/>
    <d v="2023-01-21T00:00:00"/>
    <s v="ST-001"/>
    <x v="0"/>
    <s v="CUST-104"/>
    <x v="0"/>
    <s v="PRD-009"/>
    <x v="6"/>
    <x v="3"/>
    <n v="1"/>
    <n v="2792000"/>
    <n v="0"/>
    <n v="2125000"/>
    <n v="2792000"/>
    <x v="374"/>
    <x v="0"/>
    <x v="0"/>
    <n v="1"/>
    <x v="14"/>
    <n v="0.23889684813753581"/>
  </r>
  <r>
    <s v="ID-2023-00632"/>
    <d v="2023-02-21T00:00:00"/>
    <s v="ST-002"/>
    <x v="3"/>
    <s v="CUST-007"/>
    <x v="1"/>
    <s v="PRD-009"/>
    <x v="6"/>
    <x v="3"/>
    <n v="1"/>
    <n v="1849000"/>
    <n v="0"/>
    <n v="1398000"/>
    <n v="1849000"/>
    <x v="375"/>
    <x v="1"/>
    <x v="0"/>
    <n v="2"/>
    <x v="14"/>
    <n v="0.24391563007030828"/>
  </r>
  <r>
    <s v="ID-2023-01376"/>
    <d v="2023-03-12T00:00:00"/>
    <s v="ST-005"/>
    <x v="1"/>
    <s v="CUST-047"/>
    <x v="1"/>
    <s v="PRD-009"/>
    <x v="6"/>
    <x v="3"/>
    <n v="3"/>
    <n v="2202000"/>
    <n v="0.05"/>
    <n v="1671000"/>
    <n v="6275700"/>
    <x v="376"/>
    <x v="2"/>
    <x v="0"/>
    <n v="3"/>
    <x v="10"/>
    <n v="0.73373488216453941"/>
  </r>
  <r>
    <s v="ID-2023-00027"/>
    <d v="2023-03-28T00:00:00"/>
    <s v="ST-005"/>
    <x v="1"/>
    <s v="CUST-032"/>
    <x v="1"/>
    <s v="PRD-009"/>
    <x v="6"/>
    <x v="3"/>
    <n v="2"/>
    <n v="1684000"/>
    <n v="0"/>
    <n v="1238000"/>
    <n v="3368000"/>
    <x v="377"/>
    <x v="2"/>
    <x v="0"/>
    <n v="3"/>
    <x v="4"/>
    <n v="0.63242280285035635"/>
  </r>
  <r>
    <s v="ID-2023-01770"/>
    <d v="2023-04-07T00:00:00"/>
    <s v="ST-001"/>
    <x v="0"/>
    <s v="CUST-147"/>
    <x v="0"/>
    <s v="PRD-009"/>
    <x v="6"/>
    <x v="3"/>
    <n v="2"/>
    <n v="1729000"/>
    <n v="0"/>
    <n v="1290000"/>
    <n v="3458000"/>
    <x v="317"/>
    <x v="11"/>
    <x v="0"/>
    <n v="4"/>
    <x v="3"/>
    <n v="0.62695199537304802"/>
  </r>
  <r>
    <s v="ID-2023-01433"/>
    <d v="2023-04-11T00:00:00"/>
    <s v="ST-003"/>
    <x v="4"/>
    <s v="CUST-121"/>
    <x v="1"/>
    <s v="PRD-009"/>
    <x v="6"/>
    <x v="3"/>
    <n v="1"/>
    <n v="2636000"/>
    <n v="0"/>
    <n v="2022000"/>
    <n v="2636000"/>
    <x v="378"/>
    <x v="11"/>
    <x v="0"/>
    <n v="4"/>
    <x v="22"/>
    <n v="0.23292867981790591"/>
  </r>
  <r>
    <s v="ID-2023-01507"/>
    <d v="2023-04-16T00:00:00"/>
    <s v="ST-001"/>
    <x v="0"/>
    <s v="CUST-038"/>
    <x v="1"/>
    <s v="PRD-009"/>
    <x v="6"/>
    <x v="3"/>
    <n v="2"/>
    <n v="1908000"/>
    <n v="0"/>
    <n v="1446000"/>
    <n v="3816000"/>
    <x v="379"/>
    <x v="11"/>
    <x v="0"/>
    <n v="4"/>
    <x v="5"/>
    <n v="0.62106918238993714"/>
  </r>
  <r>
    <s v="ID-2023-00280"/>
    <d v="2023-05-02T00:00:00"/>
    <s v="ST-001"/>
    <x v="0"/>
    <s v="CUST-031"/>
    <x v="0"/>
    <s v="PRD-009"/>
    <x v="6"/>
    <x v="3"/>
    <n v="3"/>
    <n v="2706000"/>
    <n v="0"/>
    <n v="2066000"/>
    <n v="8118000"/>
    <x v="380"/>
    <x v="3"/>
    <x v="0"/>
    <n v="5"/>
    <x v="17"/>
    <n v="0.7455038186745504"/>
  </r>
  <r>
    <s v="ID-2023-01275"/>
    <d v="2023-05-12T00:00:00"/>
    <s v="ST-003"/>
    <x v="4"/>
    <s v="CUST-027"/>
    <x v="1"/>
    <s v="PRD-009"/>
    <x v="6"/>
    <x v="3"/>
    <n v="2"/>
    <n v="1978000"/>
    <n v="0"/>
    <n v="1486000"/>
    <n v="3956000"/>
    <x v="381"/>
    <x v="3"/>
    <x v="0"/>
    <n v="5"/>
    <x v="10"/>
    <n v="0.62436804853387262"/>
  </r>
  <r>
    <s v="ID-2023-00953"/>
    <d v="2023-05-13T00:00:00"/>
    <s v="ST-001"/>
    <x v="0"/>
    <s v="CUST-111"/>
    <x v="1"/>
    <s v="PRD-009"/>
    <x v="6"/>
    <x v="3"/>
    <n v="1"/>
    <n v="1790000"/>
    <n v="0"/>
    <n v="1341000"/>
    <n v="1790000"/>
    <x v="382"/>
    <x v="3"/>
    <x v="0"/>
    <n v="5"/>
    <x v="23"/>
    <n v="0.25083798882681563"/>
  </r>
  <r>
    <s v="ID-2023-01250"/>
    <d v="2023-05-31T00:00:00"/>
    <s v="ST-002"/>
    <x v="3"/>
    <s v="CUST-055"/>
    <x v="0"/>
    <s v="PRD-009"/>
    <x v="6"/>
    <x v="3"/>
    <n v="3"/>
    <n v="2654000"/>
    <n v="0.05"/>
    <n v="1989000"/>
    <n v="7563900"/>
    <x v="383"/>
    <x v="3"/>
    <x v="0"/>
    <n v="5"/>
    <x v="28"/>
    <n v="0.7370404156585888"/>
  </r>
  <r>
    <s v="ID-2023-00105"/>
    <d v="2023-06-19T00:00:00"/>
    <s v="ST-003"/>
    <x v="4"/>
    <s v="CUST-039"/>
    <x v="0"/>
    <s v="PRD-009"/>
    <x v="6"/>
    <x v="3"/>
    <n v="1"/>
    <n v="2425000"/>
    <n v="0"/>
    <n v="1795000"/>
    <n v="2425000"/>
    <x v="384"/>
    <x v="4"/>
    <x v="0"/>
    <n v="6"/>
    <x v="26"/>
    <n v="0.25979381443298971"/>
  </r>
  <r>
    <s v="ID-2023-00263"/>
    <d v="2023-07-29T00:00:00"/>
    <s v="ST-002"/>
    <x v="3"/>
    <s v="CUST-010"/>
    <x v="2"/>
    <s v="PRD-009"/>
    <x v="6"/>
    <x v="3"/>
    <n v="1"/>
    <n v="2904000"/>
    <n v="0"/>
    <n v="2157000"/>
    <n v="2904000"/>
    <x v="385"/>
    <x v="5"/>
    <x v="0"/>
    <n v="7"/>
    <x v="7"/>
    <n v="0.25723140495867769"/>
  </r>
  <r>
    <s v="ID-2023-01102"/>
    <d v="2023-09-08T00:00:00"/>
    <s v="ST-003"/>
    <x v="4"/>
    <s v="CUST-139"/>
    <x v="1"/>
    <s v="PRD-009"/>
    <x v="6"/>
    <x v="3"/>
    <n v="3"/>
    <n v="1798000"/>
    <n v="0.05"/>
    <n v="1369000"/>
    <n v="5124300"/>
    <x v="386"/>
    <x v="7"/>
    <x v="0"/>
    <n v="9"/>
    <x v="27"/>
    <n v="0.73284155884706204"/>
  </r>
  <r>
    <s v="ID-2023-01295"/>
    <d v="2023-10-04T00:00:00"/>
    <s v="ST-004"/>
    <x v="2"/>
    <s v="CUST-096"/>
    <x v="0"/>
    <s v="PRD-009"/>
    <x v="6"/>
    <x v="3"/>
    <n v="1"/>
    <n v="2487000"/>
    <n v="0"/>
    <n v="1912000"/>
    <n v="2487000"/>
    <x v="226"/>
    <x v="8"/>
    <x v="0"/>
    <n v="10"/>
    <x v="20"/>
    <n v="0.2312022517088862"/>
  </r>
  <r>
    <s v="ID-2023-01532"/>
    <d v="2023-10-25T00:00:00"/>
    <s v="ST-001"/>
    <x v="0"/>
    <s v="CUST-058"/>
    <x v="1"/>
    <s v="PRD-009"/>
    <x v="6"/>
    <x v="3"/>
    <n v="2"/>
    <n v="2850000"/>
    <n v="0"/>
    <n v="2186000"/>
    <n v="5700000"/>
    <x v="387"/>
    <x v="8"/>
    <x v="0"/>
    <n v="10"/>
    <x v="12"/>
    <n v="0.61649122807017542"/>
  </r>
  <r>
    <s v="ID-2023-00254"/>
    <d v="2023-11-07T00:00:00"/>
    <s v="ST-001"/>
    <x v="0"/>
    <s v="CUST-001"/>
    <x v="1"/>
    <s v="PRD-009"/>
    <x v="6"/>
    <x v="3"/>
    <n v="2"/>
    <n v="1824000"/>
    <n v="0"/>
    <n v="1391000"/>
    <n v="3648000"/>
    <x v="388"/>
    <x v="9"/>
    <x v="0"/>
    <n v="11"/>
    <x v="3"/>
    <n v="0.61869517543859653"/>
  </r>
  <r>
    <s v="ID-2023-00592"/>
    <d v="2023-12-23T00:00:00"/>
    <s v="ST-002"/>
    <x v="3"/>
    <s v="CUST-044"/>
    <x v="2"/>
    <s v="PRD-009"/>
    <x v="6"/>
    <x v="3"/>
    <n v="1"/>
    <n v="1896000"/>
    <n v="0"/>
    <n v="1403000"/>
    <n v="1896000"/>
    <x v="389"/>
    <x v="10"/>
    <x v="0"/>
    <n v="12"/>
    <x v="11"/>
    <n v="0.26002109704641352"/>
  </r>
  <r>
    <s v="ID-2024-00974"/>
    <d v="2024-02-11T00:00:00"/>
    <s v="ST-001"/>
    <x v="0"/>
    <s v="CUST-094"/>
    <x v="0"/>
    <s v="PRD-009"/>
    <x v="6"/>
    <x v="3"/>
    <n v="3"/>
    <n v="2063000"/>
    <n v="0"/>
    <n v="1560000"/>
    <n v="6189000"/>
    <x v="390"/>
    <x v="1"/>
    <x v="1"/>
    <n v="2"/>
    <x v="22"/>
    <n v="0.74793989335918565"/>
  </r>
  <r>
    <s v="ID-2024-00386"/>
    <d v="2024-02-16T00:00:00"/>
    <s v="ST-001"/>
    <x v="0"/>
    <s v="CUST-140"/>
    <x v="3"/>
    <s v="PRD-009"/>
    <x v="6"/>
    <x v="3"/>
    <n v="1"/>
    <n v="2379000"/>
    <n v="0.05"/>
    <n v="1781000"/>
    <n v="2260050"/>
    <x v="391"/>
    <x v="1"/>
    <x v="1"/>
    <n v="2"/>
    <x v="5"/>
    <n v="0.21196433707218867"/>
  </r>
  <r>
    <s v="ID-2024-00961"/>
    <d v="2024-04-23T00:00:00"/>
    <s v="ST-005"/>
    <x v="1"/>
    <s v="CUST-142"/>
    <x v="1"/>
    <s v="PRD-009"/>
    <x v="6"/>
    <x v="3"/>
    <n v="1"/>
    <n v="2390000"/>
    <n v="0"/>
    <n v="1783000"/>
    <n v="2390000"/>
    <x v="392"/>
    <x v="11"/>
    <x v="1"/>
    <n v="4"/>
    <x v="11"/>
    <n v="0.25397489539748952"/>
  </r>
  <r>
    <s v="ID-2024-00805"/>
    <d v="2024-05-06T00:00:00"/>
    <s v="ST-002"/>
    <x v="3"/>
    <s v="CUST-121"/>
    <x v="1"/>
    <s v="PRD-009"/>
    <x v="6"/>
    <x v="3"/>
    <n v="1"/>
    <n v="2588000"/>
    <n v="0"/>
    <n v="1939000"/>
    <n v="2588000"/>
    <x v="393"/>
    <x v="3"/>
    <x v="1"/>
    <n v="5"/>
    <x v="29"/>
    <n v="0.2507727975270479"/>
  </r>
  <r>
    <s v="ID-2024-01164"/>
    <d v="2024-05-11T00:00:00"/>
    <s v="ST-001"/>
    <x v="0"/>
    <s v="CUST-147"/>
    <x v="0"/>
    <s v="PRD-009"/>
    <x v="6"/>
    <x v="3"/>
    <n v="1"/>
    <n v="2650000"/>
    <n v="0.1"/>
    <n v="1987000"/>
    <n v="2385000"/>
    <x v="394"/>
    <x v="3"/>
    <x v="1"/>
    <n v="5"/>
    <x v="22"/>
    <n v="0.16687631027253669"/>
  </r>
  <r>
    <s v="ID-2024-01200"/>
    <d v="2024-08-06T00:00:00"/>
    <s v="ST-001"/>
    <x v="0"/>
    <s v="CUST-130"/>
    <x v="0"/>
    <s v="PRD-009"/>
    <x v="6"/>
    <x v="3"/>
    <n v="1"/>
    <n v="1753000"/>
    <n v="0"/>
    <n v="1348000"/>
    <n v="1753000"/>
    <x v="395"/>
    <x v="6"/>
    <x v="1"/>
    <n v="8"/>
    <x v="29"/>
    <n v="0.23103251568739305"/>
  </r>
  <r>
    <s v="ID-2024-00587"/>
    <d v="2024-08-12T00:00:00"/>
    <s v="ST-001"/>
    <x v="0"/>
    <s v="CUST-084"/>
    <x v="1"/>
    <s v="PRD-009"/>
    <x v="6"/>
    <x v="3"/>
    <n v="2"/>
    <n v="3111000"/>
    <n v="0"/>
    <n v="2316000"/>
    <n v="6222000"/>
    <x v="396"/>
    <x v="6"/>
    <x v="1"/>
    <n v="8"/>
    <x v="10"/>
    <n v="0.62777242044358728"/>
  </r>
  <r>
    <s v="ID-2024-00125"/>
    <d v="2024-09-05T00:00:00"/>
    <s v="ST-001"/>
    <x v="0"/>
    <s v="CUST-054"/>
    <x v="1"/>
    <s v="PRD-009"/>
    <x v="6"/>
    <x v="3"/>
    <n v="3"/>
    <n v="1591000"/>
    <n v="0"/>
    <n v="1180000"/>
    <n v="4773000"/>
    <x v="397"/>
    <x v="7"/>
    <x v="1"/>
    <n v="9"/>
    <x v="21"/>
    <n v="0.75277603184579933"/>
  </r>
  <r>
    <s v="ID-2024-01474"/>
    <d v="2024-09-06T00:00:00"/>
    <s v="ST-002"/>
    <x v="3"/>
    <s v="CUST-045"/>
    <x v="1"/>
    <s v="PRD-009"/>
    <x v="6"/>
    <x v="3"/>
    <n v="1"/>
    <n v="2921000"/>
    <n v="0"/>
    <n v="2155000"/>
    <n v="2921000"/>
    <x v="398"/>
    <x v="7"/>
    <x v="1"/>
    <n v="9"/>
    <x v="29"/>
    <n v="0.2622389592605272"/>
  </r>
  <r>
    <s v="ID-2024-01212"/>
    <d v="2024-09-14T00:00:00"/>
    <s v="ST-001"/>
    <x v="0"/>
    <s v="CUST-024"/>
    <x v="1"/>
    <s v="PRD-009"/>
    <x v="6"/>
    <x v="3"/>
    <n v="2"/>
    <n v="2232000"/>
    <n v="0"/>
    <n v="1637000"/>
    <n v="4464000"/>
    <x v="399"/>
    <x v="7"/>
    <x v="1"/>
    <n v="9"/>
    <x v="18"/>
    <n v="0.63328853046594979"/>
  </r>
  <r>
    <s v="ID-2024-00571"/>
    <d v="2024-10-16T00:00:00"/>
    <s v="ST-001"/>
    <x v="0"/>
    <s v="CUST-128"/>
    <x v="1"/>
    <s v="PRD-009"/>
    <x v="6"/>
    <x v="3"/>
    <n v="1"/>
    <n v="2112000"/>
    <n v="0"/>
    <n v="1610000"/>
    <n v="2112000"/>
    <x v="400"/>
    <x v="8"/>
    <x v="1"/>
    <n v="10"/>
    <x v="5"/>
    <n v="0.23768939393939395"/>
  </r>
  <r>
    <s v="ID-2024-01738"/>
    <d v="2024-10-31T00:00:00"/>
    <s v="ST-003"/>
    <x v="4"/>
    <s v="CUST-018"/>
    <x v="0"/>
    <s v="PRD-009"/>
    <x v="6"/>
    <x v="3"/>
    <n v="1"/>
    <n v="1721000"/>
    <n v="0"/>
    <n v="1282000"/>
    <n v="1721000"/>
    <x v="401"/>
    <x v="8"/>
    <x v="1"/>
    <n v="10"/>
    <x v="28"/>
    <n v="0.25508425334108076"/>
  </r>
  <r>
    <s v="ID-2024-01109"/>
    <d v="2024-11-19T00:00:00"/>
    <s v="ST-005"/>
    <x v="1"/>
    <s v="CUST-022"/>
    <x v="1"/>
    <s v="PRD-009"/>
    <x v="6"/>
    <x v="3"/>
    <n v="2"/>
    <n v="1724000"/>
    <n v="0"/>
    <n v="1271000"/>
    <n v="3448000"/>
    <x v="402"/>
    <x v="9"/>
    <x v="1"/>
    <n v="11"/>
    <x v="26"/>
    <n v="0.63138051044083532"/>
  </r>
  <r>
    <s v="ID-2024-00064"/>
    <d v="2024-11-28T00:00:00"/>
    <s v="ST-002"/>
    <x v="3"/>
    <s v="CUST-132"/>
    <x v="1"/>
    <s v="PRD-009"/>
    <x v="6"/>
    <x v="3"/>
    <n v="3"/>
    <n v="2382484.375"/>
    <n v="0"/>
    <n v="1688000"/>
    <n v="7147453.125"/>
    <x v="403"/>
    <x v="9"/>
    <x v="1"/>
    <n v="11"/>
    <x v="4"/>
    <n v="0.76383195937364057"/>
  </r>
  <r>
    <s v="ID-2024-00249"/>
    <d v="2024-12-30T00:00:00"/>
    <s v="ST-003"/>
    <x v="4"/>
    <s v="CUST-141"/>
    <x v="3"/>
    <s v="PRD-009"/>
    <x v="6"/>
    <x v="3"/>
    <n v="1"/>
    <n v="1659000"/>
    <n v="0"/>
    <n v="1268000"/>
    <n v="1659000"/>
    <x v="404"/>
    <x v="10"/>
    <x v="1"/>
    <n v="12"/>
    <x v="15"/>
    <n v="0.23568414707655214"/>
  </r>
  <r>
    <s v="ID-2025-00687"/>
    <d v="2025-01-04T00:00:00"/>
    <s v="ST-005"/>
    <x v="1"/>
    <s v="CUST-031"/>
    <x v="0"/>
    <s v="PRD-009"/>
    <x v="6"/>
    <x v="3"/>
    <n v="1"/>
    <n v="2474000"/>
    <n v="0"/>
    <n v="1835000"/>
    <n v="2474000"/>
    <x v="200"/>
    <x v="0"/>
    <x v="2"/>
    <n v="1"/>
    <x v="20"/>
    <n v="0.25828617623282135"/>
  </r>
  <r>
    <s v="ID-2025-01161"/>
    <d v="2025-02-23T00:00:00"/>
    <s v="ST-002"/>
    <x v="3"/>
    <s v="CUST-036"/>
    <x v="1"/>
    <s v="PRD-009"/>
    <x v="6"/>
    <x v="3"/>
    <n v="1"/>
    <n v="2194000"/>
    <n v="0"/>
    <n v="1617000"/>
    <n v="2194000"/>
    <x v="405"/>
    <x v="1"/>
    <x v="2"/>
    <n v="2"/>
    <x v="11"/>
    <n v="0.26298997265268914"/>
  </r>
  <r>
    <s v="ID-2025-01137"/>
    <d v="2025-03-23T00:00:00"/>
    <s v="ST-003"/>
    <x v="4"/>
    <s v="CUST-070"/>
    <x v="3"/>
    <s v="PRD-009"/>
    <x v="6"/>
    <x v="3"/>
    <n v="1"/>
    <n v="2898000"/>
    <n v="0.1"/>
    <n v="2157000"/>
    <n v="2608200"/>
    <x v="406"/>
    <x v="2"/>
    <x v="2"/>
    <n v="3"/>
    <x v="11"/>
    <n v="0.17299286864504257"/>
  </r>
  <r>
    <s v="ID-2025-01333"/>
    <d v="2025-03-24T00:00:00"/>
    <s v="ST-001"/>
    <x v="0"/>
    <s v="CUST-149"/>
    <x v="1"/>
    <s v="PRD-009"/>
    <x v="6"/>
    <x v="3"/>
    <n v="3"/>
    <n v="2112000"/>
    <n v="0.05"/>
    <n v="1571000"/>
    <n v="6019200"/>
    <x v="407"/>
    <x v="2"/>
    <x v="2"/>
    <n v="3"/>
    <x v="25"/>
    <n v="0.73900186071238705"/>
  </r>
  <r>
    <s v="ID-2025-01790"/>
    <d v="2025-04-28T00:00:00"/>
    <s v="ST-001"/>
    <x v="0"/>
    <s v="CUST-109"/>
    <x v="1"/>
    <s v="PRD-009"/>
    <x v="6"/>
    <x v="3"/>
    <n v="1"/>
    <n v="2163000"/>
    <n v="0"/>
    <n v="1595000"/>
    <n v="2163000"/>
    <x v="408"/>
    <x v="11"/>
    <x v="2"/>
    <n v="4"/>
    <x v="4"/>
    <n v="0.26259824318076747"/>
  </r>
  <r>
    <s v="ID-2025-00300"/>
    <d v="2025-05-13T00:00:00"/>
    <s v="ST-001"/>
    <x v="0"/>
    <s v="CUST-016"/>
    <x v="1"/>
    <s v="PRD-009"/>
    <x v="6"/>
    <x v="3"/>
    <n v="1"/>
    <n v="1794000"/>
    <n v="0"/>
    <n v="1379000"/>
    <n v="1794000"/>
    <x v="409"/>
    <x v="3"/>
    <x v="2"/>
    <n v="5"/>
    <x v="23"/>
    <n v="0.23132664437012262"/>
  </r>
  <r>
    <s v="ID-2025-01286"/>
    <d v="2025-06-21T00:00:00"/>
    <s v="ST-002"/>
    <x v="3"/>
    <s v="CUST-089"/>
    <x v="1"/>
    <s v="PRD-009"/>
    <x v="6"/>
    <x v="3"/>
    <n v="1"/>
    <n v="2382484.375"/>
    <n v="0.05"/>
    <n v="1688000"/>
    <n v="2263360.15625"/>
    <x v="410"/>
    <x v="4"/>
    <x v="2"/>
    <n v="6"/>
    <x v="14"/>
    <n v="0.25420618749570689"/>
  </r>
  <r>
    <s v="ID-2025-01224"/>
    <d v="2025-06-23T00:00:00"/>
    <s v="ST-002"/>
    <x v="3"/>
    <s v="CUST-091"/>
    <x v="1"/>
    <s v="PRD-009"/>
    <x v="6"/>
    <x v="3"/>
    <n v="1"/>
    <n v="2082000"/>
    <n v="0"/>
    <n v="1570000"/>
    <n v="2082000"/>
    <x v="411"/>
    <x v="4"/>
    <x v="2"/>
    <n v="6"/>
    <x v="11"/>
    <n v="0.24591738712776176"/>
  </r>
  <r>
    <s v="ID-2025-00746"/>
    <d v="2025-07-17T00:00:00"/>
    <s v="ST-001"/>
    <x v="0"/>
    <s v="CUST-088"/>
    <x v="0"/>
    <s v="PRD-009"/>
    <x v="6"/>
    <x v="3"/>
    <n v="1"/>
    <n v="2071000"/>
    <n v="0.05"/>
    <n v="1575000"/>
    <n v="1967450"/>
    <x v="412"/>
    <x v="5"/>
    <x v="2"/>
    <n v="7"/>
    <x v="2"/>
    <n v="0.19947139698594626"/>
  </r>
  <r>
    <s v="ID-2025-00059"/>
    <d v="2025-07-28T00:00:00"/>
    <s v="ST-002"/>
    <x v="3"/>
    <s v="CUST-101"/>
    <x v="1"/>
    <s v="PRD-009"/>
    <x v="6"/>
    <x v="3"/>
    <n v="2"/>
    <n v="2087000"/>
    <n v="0"/>
    <n v="1605000"/>
    <n v="4174000"/>
    <x v="98"/>
    <x v="5"/>
    <x v="2"/>
    <n v="7"/>
    <x v="4"/>
    <n v="0.6154767609008146"/>
  </r>
  <r>
    <s v="ID-2025-01226"/>
    <d v="2025-08-05T00:00:00"/>
    <s v="ST-001"/>
    <x v="0"/>
    <s v="CUST-117"/>
    <x v="1"/>
    <s v="PRD-009"/>
    <x v="6"/>
    <x v="3"/>
    <n v="2"/>
    <n v="2606000"/>
    <n v="0"/>
    <n v="1969000"/>
    <n v="5212000"/>
    <x v="413"/>
    <x v="6"/>
    <x v="2"/>
    <n v="8"/>
    <x v="21"/>
    <n v="0.62221795855717577"/>
  </r>
  <r>
    <s v="ID-2025-01116"/>
    <d v="2025-08-23T00:00:00"/>
    <s v="ST-001"/>
    <x v="0"/>
    <s v="CUST-030"/>
    <x v="1"/>
    <s v="PRD-009"/>
    <x v="6"/>
    <x v="3"/>
    <n v="1"/>
    <n v="2924000"/>
    <n v="0"/>
    <n v="2207000"/>
    <n v="2924000"/>
    <x v="414"/>
    <x v="6"/>
    <x v="2"/>
    <n v="8"/>
    <x v="11"/>
    <n v="0.24521203830369356"/>
  </r>
  <r>
    <s v="ID-2025-00424"/>
    <d v="2025-09-17T00:00:00"/>
    <s v="ST-004"/>
    <x v="2"/>
    <s v="CUST-022"/>
    <x v="1"/>
    <s v="PRD-009"/>
    <x v="6"/>
    <x v="3"/>
    <n v="1"/>
    <n v="2421000"/>
    <n v="0"/>
    <n v="1786000"/>
    <n v="2421000"/>
    <x v="415"/>
    <x v="7"/>
    <x v="2"/>
    <n v="9"/>
    <x v="2"/>
    <n v="0.26228831061544816"/>
  </r>
  <r>
    <s v="ID-2025-01259"/>
    <d v="2025-09-20T00:00:00"/>
    <s v="ST-004"/>
    <x v="2"/>
    <s v="CUST-024"/>
    <x v="1"/>
    <s v="PRD-009"/>
    <x v="6"/>
    <x v="3"/>
    <n v="1"/>
    <n v="2493000"/>
    <n v="0"/>
    <n v="1858000"/>
    <n v="2493000"/>
    <x v="415"/>
    <x v="7"/>
    <x v="2"/>
    <n v="9"/>
    <x v="30"/>
    <n v="0.2547131969514641"/>
  </r>
  <r>
    <s v="ID-2025-00651"/>
    <d v="2025-10-12T00:00:00"/>
    <s v="ST-003"/>
    <x v="4"/>
    <s v="CUST-147"/>
    <x v="0"/>
    <s v="PRD-009"/>
    <x v="6"/>
    <x v="3"/>
    <n v="2"/>
    <n v="3132000"/>
    <n v="0"/>
    <n v="2356000"/>
    <n v="6264000"/>
    <x v="416"/>
    <x v="8"/>
    <x v="2"/>
    <n v="10"/>
    <x v="10"/>
    <n v="0.62388250319284799"/>
  </r>
  <r>
    <s v="ID-2025-00652"/>
    <d v="2025-10-24T00:00:00"/>
    <s v="ST-002"/>
    <x v="3"/>
    <s v="CUST-145"/>
    <x v="1"/>
    <s v="PRD-009"/>
    <x v="6"/>
    <x v="3"/>
    <n v="3"/>
    <n v="2958000"/>
    <n v="0"/>
    <n v="2189000"/>
    <n v="8874000"/>
    <x v="417"/>
    <x v="8"/>
    <x v="2"/>
    <n v="10"/>
    <x v="25"/>
    <n v="0.75332431823304036"/>
  </r>
  <r>
    <s v="ID-2025-00986"/>
    <d v="2025-11-08T00:00:00"/>
    <s v="ST-002"/>
    <x v="3"/>
    <s v="CUST-131"/>
    <x v="0"/>
    <s v="PRD-009"/>
    <x v="6"/>
    <x v="3"/>
    <n v="1"/>
    <n v="2284000"/>
    <n v="0"/>
    <n v="1703000"/>
    <n v="2284000"/>
    <x v="418"/>
    <x v="9"/>
    <x v="2"/>
    <n v="11"/>
    <x v="27"/>
    <n v="0.25437828371278459"/>
  </r>
  <r>
    <s v="ID-2025-01406"/>
    <d v="2025-11-17T00:00:00"/>
    <s v="ST-001"/>
    <x v="0"/>
    <s v="CUST-100"/>
    <x v="1"/>
    <s v="PRD-009"/>
    <x v="6"/>
    <x v="3"/>
    <n v="2"/>
    <n v="2908000"/>
    <n v="0"/>
    <n v="2159000"/>
    <n v="5816000"/>
    <x v="419"/>
    <x v="9"/>
    <x v="2"/>
    <n v="11"/>
    <x v="2"/>
    <n v="0.62878266850068776"/>
  </r>
  <r>
    <s v="ID-2025-00436"/>
    <d v="2025-12-02T00:00:00"/>
    <s v="ST-003"/>
    <x v="4"/>
    <s v="CUST-106"/>
    <x v="1"/>
    <s v="PRD-009"/>
    <x v="6"/>
    <x v="3"/>
    <n v="1"/>
    <n v="3279000"/>
    <n v="0"/>
    <n v="2451000"/>
    <n v="3279000"/>
    <x v="69"/>
    <x v="10"/>
    <x v="2"/>
    <n v="12"/>
    <x v="17"/>
    <n v="0.25251601097895698"/>
  </r>
  <r>
    <s v="ID-2026-00821"/>
    <d v="2026-01-25T00:00:00"/>
    <s v="ST-001"/>
    <x v="0"/>
    <s v="CUST-140"/>
    <x v="3"/>
    <s v="PRD-009"/>
    <x v="6"/>
    <x v="3"/>
    <n v="1"/>
    <n v="1975000"/>
    <n v="0"/>
    <n v="1487000"/>
    <n v="1975000"/>
    <x v="42"/>
    <x v="0"/>
    <x v="3"/>
    <n v="1"/>
    <x v="12"/>
    <n v="0.2470886075949367"/>
  </r>
  <r>
    <s v="ID-2026-01223"/>
    <d v="2026-02-03T00:00:00"/>
    <s v="ST-001"/>
    <x v="0"/>
    <s v="CUST-008"/>
    <x v="1"/>
    <s v="PRD-009"/>
    <x v="6"/>
    <x v="3"/>
    <n v="1"/>
    <n v="2807000"/>
    <n v="0"/>
    <n v="2069000"/>
    <n v="2807000"/>
    <x v="420"/>
    <x v="1"/>
    <x v="3"/>
    <n v="2"/>
    <x v="8"/>
    <n v="0.26291414321339507"/>
  </r>
  <r>
    <s v="ID-2026-00476"/>
    <d v="2026-02-09T00:00:00"/>
    <s v="ST-001"/>
    <x v="0"/>
    <s v="CUST-146"/>
    <x v="1"/>
    <s v="PRD-009"/>
    <x v="6"/>
    <x v="3"/>
    <n v="1"/>
    <n v="2024000"/>
    <n v="0"/>
    <n v="1555000"/>
    <n v="2024000"/>
    <x v="421"/>
    <x v="1"/>
    <x v="3"/>
    <n v="2"/>
    <x v="1"/>
    <n v="0.2317193675889328"/>
  </r>
  <r>
    <s v="ID-2026-00672"/>
    <d v="2026-02-14T00:00:00"/>
    <s v="ST-001"/>
    <x v="0"/>
    <s v="CUST-122"/>
    <x v="1"/>
    <s v="PRD-009"/>
    <x v="6"/>
    <x v="3"/>
    <n v="2"/>
    <n v="3225000"/>
    <n v="0.15"/>
    <n v="2423000"/>
    <n v="5482500"/>
    <x v="422"/>
    <x v="1"/>
    <x v="3"/>
    <n v="2"/>
    <x v="18"/>
    <n v="0.55804833561331513"/>
  </r>
  <r>
    <s v="ID-2026-01290"/>
    <d v="2026-03-13T00:00:00"/>
    <s v="ST-002"/>
    <x v="3"/>
    <s v="CUST-139"/>
    <x v="1"/>
    <s v="PRD-009"/>
    <x v="6"/>
    <x v="3"/>
    <n v="1"/>
    <n v="3164000"/>
    <n v="0"/>
    <n v="2334000"/>
    <n v="3164000"/>
    <x v="423"/>
    <x v="2"/>
    <x v="3"/>
    <n v="3"/>
    <x v="23"/>
    <n v="0.26232616940581543"/>
  </r>
  <r>
    <s v="ID-2026-00324"/>
    <d v="2026-04-01T00:00:00"/>
    <s v="ST-001"/>
    <x v="0"/>
    <s v="CUST-111"/>
    <x v="1"/>
    <s v="PRD-009"/>
    <x v="6"/>
    <x v="3"/>
    <n v="1"/>
    <n v="3328000"/>
    <n v="0"/>
    <n v="2512000"/>
    <n v="3328000"/>
    <x v="89"/>
    <x v="11"/>
    <x v="3"/>
    <n v="4"/>
    <x v="0"/>
    <n v="0.24519230769230768"/>
  </r>
  <r>
    <s v="ID-2026-01356"/>
    <d v="2026-04-03T00:00:00"/>
    <s v="ST-003"/>
    <x v="4"/>
    <s v="CUST-052"/>
    <x v="2"/>
    <s v="PRD-009"/>
    <x v="6"/>
    <x v="3"/>
    <n v="1"/>
    <n v="2185000"/>
    <n v="0"/>
    <n v="1648000"/>
    <n v="2185000"/>
    <x v="424"/>
    <x v="11"/>
    <x v="3"/>
    <n v="4"/>
    <x v="8"/>
    <n v="0.24576659038901602"/>
  </r>
  <r>
    <s v="ID-2026-00137"/>
    <d v="2026-04-27T00:00:00"/>
    <s v="ST-002"/>
    <x v="3"/>
    <s v="CUST-095"/>
    <x v="2"/>
    <s v="PRD-009"/>
    <x v="6"/>
    <x v="3"/>
    <n v="2"/>
    <n v="2161000"/>
    <n v="0"/>
    <n v="1589000"/>
    <n v="4322000"/>
    <x v="425"/>
    <x v="11"/>
    <x v="3"/>
    <n v="4"/>
    <x v="24"/>
    <n v="0.63234613604812584"/>
  </r>
  <r>
    <s v="ID-2026-00122"/>
    <d v="2026-04-29T00:00:00"/>
    <s v="ST-002"/>
    <x v="3"/>
    <s v="CUST-053"/>
    <x v="2"/>
    <s v="PRD-009"/>
    <x v="6"/>
    <x v="3"/>
    <n v="1"/>
    <n v="3227000"/>
    <n v="0"/>
    <n v="2382000"/>
    <n v="3227000"/>
    <x v="426"/>
    <x v="11"/>
    <x v="3"/>
    <n v="4"/>
    <x v="7"/>
    <n v="0.26185311434769137"/>
  </r>
  <r>
    <s v="ID-2026-01352"/>
    <d v="2026-05-27T00:00:00"/>
    <s v="ST-001"/>
    <x v="0"/>
    <s v="CUST-101"/>
    <x v="1"/>
    <s v="PRD-009"/>
    <x v="6"/>
    <x v="3"/>
    <n v="1"/>
    <n v="1997000"/>
    <n v="0"/>
    <n v="1460000"/>
    <n v="1997000"/>
    <x v="424"/>
    <x v="3"/>
    <x v="3"/>
    <n v="5"/>
    <x v="24"/>
    <n v="0.26890335503254881"/>
  </r>
  <r>
    <s v="ID-2026-01587"/>
    <d v="2026-06-09T00:00:00"/>
    <s v="ST-001"/>
    <x v="0"/>
    <s v="CUST-038"/>
    <x v="1"/>
    <s v="PRD-009"/>
    <x v="6"/>
    <x v="3"/>
    <n v="1"/>
    <n v="2327000"/>
    <n v="0"/>
    <n v="1723000"/>
    <n v="2327000"/>
    <x v="427"/>
    <x v="4"/>
    <x v="3"/>
    <n v="6"/>
    <x v="1"/>
    <n v="0.25956166738289643"/>
  </r>
  <r>
    <s v="ID-2026-00214"/>
    <d v="2026-06-14T00:00:00"/>
    <s v="ST-003"/>
    <x v="4"/>
    <s v="CUST-132"/>
    <x v="1"/>
    <s v="PRD-009"/>
    <x v="6"/>
    <x v="3"/>
    <n v="1"/>
    <n v="2590000"/>
    <n v="0.15"/>
    <n v="1955000"/>
    <n v="2201500"/>
    <x v="428"/>
    <x v="4"/>
    <x v="3"/>
    <n v="6"/>
    <x v="18"/>
    <n v="0.11196911196911197"/>
  </r>
  <r>
    <s v="ID-2026-00557"/>
    <d v="2026-06-21T00:00:00"/>
    <s v="ST-002"/>
    <x v="3"/>
    <s v="CUST-112"/>
    <x v="1"/>
    <s v="PRD-009"/>
    <x v="6"/>
    <x v="3"/>
    <n v="1"/>
    <n v="3438000"/>
    <n v="0"/>
    <n v="2562000"/>
    <n v="3438000"/>
    <x v="429"/>
    <x v="4"/>
    <x v="3"/>
    <n v="6"/>
    <x v="14"/>
    <n v="0.25479930191972078"/>
  </r>
  <r>
    <s v="ID-2023-01201"/>
    <d v="2023-01-08T00:00:00"/>
    <s v="ST-001"/>
    <x v="0"/>
    <s v="CUST-040"/>
    <x v="0"/>
    <s v="PRD-005"/>
    <x v="7"/>
    <x v="1"/>
    <n v="1"/>
    <n v="1649000"/>
    <n v="0"/>
    <n v="1189000"/>
    <n v="1649000"/>
    <x v="430"/>
    <x v="0"/>
    <x v="0"/>
    <n v="1"/>
    <x v="27"/>
    <n v="0.27895694360218315"/>
  </r>
  <r>
    <s v="ID-2023-01143"/>
    <d v="2023-01-11T00:00:00"/>
    <s v="ST-001"/>
    <x v="0"/>
    <s v="CUST-102"/>
    <x v="0"/>
    <s v="PRD-005"/>
    <x v="7"/>
    <x v="1"/>
    <n v="1"/>
    <n v="1226000"/>
    <n v="0"/>
    <n v="874000"/>
    <n v="1226000"/>
    <x v="431"/>
    <x v="0"/>
    <x v="0"/>
    <n v="1"/>
    <x v="22"/>
    <n v="0.28711256117455136"/>
  </r>
  <r>
    <s v="ID-2023-01178"/>
    <d v="2023-07-04T00:00:00"/>
    <s v="ST-003"/>
    <x v="4"/>
    <s v="CUST-065"/>
    <x v="1"/>
    <s v="PRD-005"/>
    <x v="7"/>
    <x v="1"/>
    <n v="5"/>
    <n v="1212000"/>
    <n v="0"/>
    <n v="856000"/>
    <n v="6060000"/>
    <x v="432"/>
    <x v="5"/>
    <x v="0"/>
    <n v="7"/>
    <x v="20"/>
    <n v="0.85874587458745877"/>
  </r>
  <r>
    <s v="ID-2023-00089"/>
    <d v="2023-07-29T00:00:00"/>
    <s v="ST-002"/>
    <x v="3"/>
    <s v="CUST-100"/>
    <x v="1"/>
    <s v="PRD-005"/>
    <x v="7"/>
    <x v="1"/>
    <n v="1"/>
    <n v="1226000"/>
    <n v="0.05"/>
    <n v="875000"/>
    <n v="1164700"/>
    <x v="433"/>
    <x v="5"/>
    <x v="0"/>
    <n v="7"/>
    <x v="7"/>
    <n v="0.24873357946252253"/>
  </r>
  <r>
    <s v="ID-2023-01637"/>
    <d v="2023-08-16T00:00:00"/>
    <s v="ST-001"/>
    <x v="0"/>
    <s v="CUST-060"/>
    <x v="1"/>
    <s v="PRD-005"/>
    <x v="7"/>
    <x v="1"/>
    <n v="1"/>
    <n v="1373000"/>
    <n v="0"/>
    <n v="976000"/>
    <n v="1373000"/>
    <x v="434"/>
    <x v="6"/>
    <x v="0"/>
    <n v="8"/>
    <x v="5"/>
    <n v="0.28914785142024763"/>
  </r>
  <r>
    <s v="ID-2023-00726"/>
    <d v="2023-08-18T00:00:00"/>
    <s v="ST-001"/>
    <x v="0"/>
    <s v="CUST-141"/>
    <x v="3"/>
    <s v="PRD-005"/>
    <x v="7"/>
    <x v="1"/>
    <n v="1"/>
    <n v="1287000"/>
    <n v="0"/>
    <n v="944000"/>
    <n v="1287000"/>
    <x v="435"/>
    <x v="6"/>
    <x v="0"/>
    <n v="8"/>
    <x v="9"/>
    <n v="0.2665112665112665"/>
  </r>
  <r>
    <s v="ID-2023-01660"/>
    <d v="2023-08-22T00:00:00"/>
    <s v="ST-001"/>
    <x v="0"/>
    <s v="CUST-015"/>
    <x v="1"/>
    <s v="PRD-005"/>
    <x v="7"/>
    <x v="1"/>
    <n v="1"/>
    <n v="1512000"/>
    <n v="0"/>
    <n v="1090000"/>
    <n v="1512000"/>
    <x v="436"/>
    <x v="6"/>
    <x v="0"/>
    <n v="8"/>
    <x v="16"/>
    <n v="0.27910052910052913"/>
  </r>
  <r>
    <s v="ID-2023-00346"/>
    <d v="2023-10-01T00:00:00"/>
    <s v="ST-001"/>
    <x v="0"/>
    <s v="CUST-040"/>
    <x v="0"/>
    <s v="PRD-005"/>
    <x v="7"/>
    <x v="1"/>
    <n v="1"/>
    <n v="1221000"/>
    <n v="0"/>
    <n v="869000"/>
    <n v="1221000"/>
    <x v="431"/>
    <x v="8"/>
    <x v="0"/>
    <n v="10"/>
    <x v="0"/>
    <n v="0.28828828828828829"/>
  </r>
  <r>
    <s v="ID-2023-01564"/>
    <d v="2023-10-19T00:00:00"/>
    <s v="ST-001"/>
    <x v="0"/>
    <s v="CUST-009"/>
    <x v="0"/>
    <s v="PRD-005"/>
    <x v="7"/>
    <x v="1"/>
    <n v="2"/>
    <n v="1283000"/>
    <n v="0.1"/>
    <n v="918000"/>
    <n v="2309400"/>
    <x v="437"/>
    <x v="8"/>
    <x v="0"/>
    <n v="10"/>
    <x v="26"/>
    <n v="0.60249415432579889"/>
  </r>
  <r>
    <s v="ID-2023-01132"/>
    <d v="2023-11-04T00:00:00"/>
    <s v="ST-001"/>
    <x v="0"/>
    <s v="CUST-077"/>
    <x v="2"/>
    <s v="PRD-005"/>
    <x v="7"/>
    <x v="1"/>
    <n v="1"/>
    <n v="1624000"/>
    <n v="0"/>
    <n v="1191000"/>
    <n v="1624000"/>
    <x v="438"/>
    <x v="9"/>
    <x v="0"/>
    <n v="11"/>
    <x v="20"/>
    <n v="0.26662561576354682"/>
  </r>
  <r>
    <s v="ID-2023-00834"/>
    <d v="2023-11-11T00:00:00"/>
    <s v="ST-002"/>
    <x v="3"/>
    <s v="CUST-104"/>
    <x v="0"/>
    <s v="PRD-005"/>
    <x v="7"/>
    <x v="1"/>
    <n v="1"/>
    <n v="1505000"/>
    <n v="0.1"/>
    <n v="1080000"/>
    <n v="1354500"/>
    <x v="439"/>
    <x v="9"/>
    <x v="0"/>
    <n v="11"/>
    <x v="22"/>
    <n v="0.20265780730897009"/>
  </r>
  <r>
    <s v="ID-2023-00560"/>
    <d v="2023-11-17T00:00:00"/>
    <s v="ST-002"/>
    <x v="3"/>
    <s v="CUST-068"/>
    <x v="1"/>
    <s v="PRD-005"/>
    <x v="7"/>
    <x v="1"/>
    <n v="2"/>
    <n v="1768000"/>
    <n v="0.05"/>
    <n v="1282000"/>
    <n v="3359200"/>
    <x v="440"/>
    <x v="9"/>
    <x v="0"/>
    <n v="11"/>
    <x v="2"/>
    <n v="0.61836151464634437"/>
  </r>
  <r>
    <s v="ID-2023-01095"/>
    <d v="2023-11-19T00:00:00"/>
    <s v="ST-001"/>
    <x v="0"/>
    <s v="CUST-068"/>
    <x v="1"/>
    <s v="PRD-005"/>
    <x v="7"/>
    <x v="1"/>
    <n v="2"/>
    <n v="1551000"/>
    <n v="0.15"/>
    <n v="1142000"/>
    <n v="2636700"/>
    <x v="441"/>
    <x v="9"/>
    <x v="0"/>
    <n v="11"/>
    <x v="26"/>
    <n v="0.56688284598171956"/>
  </r>
  <r>
    <s v="ID-2023-01057"/>
    <d v="2023-11-24T00:00:00"/>
    <s v="ST-003"/>
    <x v="4"/>
    <s v="CUST-042"/>
    <x v="0"/>
    <s v="PRD-005"/>
    <x v="7"/>
    <x v="1"/>
    <n v="1"/>
    <n v="1332000"/>
    <n v="0"/>
    <n v="949000"/>
    <n v="1332000"/>
    <x v="442"/>
    <x v="9"/>
    <x v="0"/>
    <n v="11"/>
    <x v="25"/>
    <n v="0.28753753753753752"/>
  </r>
  <r>
    <s v="ID-2023-00402"/>
    <d v="2023-11-28T00:00:00"/>
    <s v="ST-004"/>
    <x v="2"/>
    <s v="CUST-020"/>
    <x v="1"/>
    <s v="PRD-005"/>
    <x v="7"/>
    <x v="1"/>
    <n v="1"/>
    <n v="1430000"/>
    <n v="0"/>
    <n v="1043000"/>
    <n v="1430000"/>
    <x v="443"/>
    <x v="9"/>
    <x v="0"/>
    <n v="11"/>
    <x v="4"/>
    <n v="0.27062937062937065"/>
  </r>
  <r>
    <s v="ID-2023-01684"/>
    <d v="2023-12-14T00:00:00"/>
    <s v="ST-001"/>
    <x v="0"/>
    <s v="CUST-126"/>
    <x v="0"/>
    <s v="PRD-005"/>
    <x v="7"/>
    <x v="1"/>
    <n v="2"/>
    <n v="1292000"/>
    <n v="0"/>
    <n v="946000"/>
    <n v="2584000"/>
    <x v="444"/>
    <x v="10"/>
    <x v="0"/>
    <n v="12"/>
    <x v="18"/>
    <n v="0.63390092879256965"/>
  </r>
  <r>
    <s v="ID-2024-01025"/>
    <d v="2024-01-04T00:00:00"/>
    <s v="ST-003"/>
    <x v="4"/>
    <s v="CUST-085"/>
    <x v="1"/>
    <s v="PRD-005"/>
    <x v="7"/>
    <x v="1"/>
    <n v="1"/>
    <n v="1359000"/>
    <n v="0"/>
    <n v="973000"/>
    <n v="1359000"/>
    <x v="445"/>
    <x v="0"/>
    <x v="1"/>
    <n v="1"/>
    <x v="20"/>
    <n v="0.28403237674760856"/>
  </r>
  <r>
    <s v="ID-2024-01592"/>
    <d v="2024-01-27T00:00:00"/>
    <s v="ST-002"/>
    <x v="3"/>
    <s v="CUST-100"/>
    <x v="1"/>
    <s v="PRD-005"/>
    <x v="7"/>
    <x v="1"/>
    <n v="2"/>
    <n v="1859000"/>
    <n v="0"/>
    <n v="1339000"/>
    <n v="3718000"/>
    <x v="446"/>
    <x v="0"/>
    <x v="1"/>
    <n v="1"/>
    <x v="24"/>
    <n v="0.6398601398601399"/>
  </r>
  <r>
    <s v="ID-2024-00784"/>
    <d v="2024-01-31T00:00:00"/>
    <s v="ST-002"/>
    <x v="3"/>
    <s v="CUST-053"/>
    <x v="2"/>
    <s v="PRD-005"/>
    <x v="7"/>
    <x v="1"/>
    <n v="1"/>
    <n v="1445000"/>
    <n v="0"/>
    <n v="1042000"/>
    <n v="1445000"/>
    <x v="447"/>
    <x v="0"/>
    <x v="1"/>
    <n v="1"/>
    <x v="28"/>
    <n v="0.27889273356401384"/>
  </r>
  <r>
    <s v="ID-2024-00272"/>
    <d v="2024-03-14T00:00:00"/>
    <s v="ST-001"/>
    <x v="0"/>
    <s v="CUST-029"/>
    <x v="0"/>
    <s v="PRD-005"/>
    <x v="7"/>
    <x v="1"/>
    <n v="1"/>
    <n v="1525000"/>
    <n v="0.15"/>
    <n v="1074000"/>
    <n v="1296250"/>
    <x v="448"/>
    <x v="2"/>
    <x v="1"/>
    <n v="3"/>
    <x v="18"/>
    <n v="0.17145612343297975"/>
  </r>
  <r>
    <s v="ID-2024-00552"/>
    <d v="2024-04-09T00:00:00"/>
    <s v="ST-001"/>
    <x v="0"/>
    <s v="CUST-064"/>
    <x v="1"/>
    <s v="PRD-005"/>
    <x v="7"/>
    <x v="1"/>
    <n v="1"/>
    <n v="1268000"/>
    <n v="0.05"/>
    <n v="932000"/>
    <n v="1204600"/>
    <x v="449"/>
    <x v="11"/>
    <x v="1"/>
    <n v="4"/>
    <x v="1"/>
    <n v="0.22629918645193425"/>
  </r>
  <r>
    <s v="ID-2024-00374"/>
    <d v="2024-05-13T00:00:00"/>
    <s v="ST-001"/>
    <x v="0"/>
    <s v="CUST-038"/>
    <x v="1"/>
    <s v="PRD-005"/>
    <x v="7"/>
    <x v="1"/>
    <n v="3"/>
    <n v="1357000"/>
    <n v="0"/>
    <n v="994000"/>
    <n v="4071000"/>
    <x v="450"/>
    <x v="3"/>
    <x v="1"/>
    <n v="5"/>
    <x v="23"/>
    <n v="0.75583394743306309"/>
  </r>
  <r>
    <s v="ID-2024-01100"/>
    <d v="2024-05-28T00:00:00"/>
    <s v="ST-001"/>
    <x v="0"/>
    <s v="CUST-044"/>
    <x v="2"/>
    <s v="PRD-005"/>
    <x v="7"/>
    <x v="1"/>
    <n v="2"/>
    <n v="1382000"/>
    <n v="0.05"/>
    <n v="984000"/>
    <n v="2625800"/>
    <x v="451"/>
    <x v="3"/>
    <x v="1"/>
    <n v="5"/>
    <x v="4"/>
    <n v="0.62525706451367202"/>
  </r>
  <r>
    <s v="ID-2024-01307"/>
    <d v="2024-06-01T00:00:00"/>
    <s v="ST-001"/>
    <x v="0"/>
    <s v="CUST-036"/>
    <x v="1"/>
    <s v="PRD-005"/>
    <x v="7"/>
    <x v="1"/>
    <n v="2"/>
    <n v="1527818.1818181819"/>
    <n v="0"/>
    <n v="1080000"/>
    <n v="3055636.3636363638"/>
    <x v="452"/>
    <x v="4"/>
    <x v="1"/>
    <n v="6"/>
    <x v="0"/>
    <n v="0.64655480185647984"/>
  </r>
  <r>
    <s v="ID-2024-01413"/>
    <d v="2024-06-14T00:00:00"/>
    <s v="ST-001"/>
    <x v="0"/>
    <s v="CUST-113"/>
    <x v="2"/>
    <s v="PRD-005"/>
    <x v="7"/>
    <x v="1"/>
    <n v="1"/>
    <n v="1424000"/>
    <n v="0.15"/>
    <n v="1049000"/>
    <n v="1210400"/>
    <x v="453"/>
    <x v="4"/>
    <x v="1"/>
    <n v="6"/>
    <x v="18"/>
    <n v="0.13334434897554528"/>
  </r>
  <r>
    <s v="ID-2024-01462"/>
    <d v="2024-06-17T00:00:00"/>
    <s v="ST-001"/>
    <x v="0"/>
    <s v="CUST-104"/>
    <x v="0"/>
    <s v="PRD-005"/>
    <x v="7"/>
    <x v="1"/>
    <n v="1"/>
    <n v="1799000"/>
    <n v="0"/>
    <n v="1276000"/>
    <n v="1799000"/>
    <x v="454"/>
    <x v="4"/>
    <x v="1"/>
    <n v="6"/>
    <x v="2"/>
    <n v="0.29071706503613121"/>
  </r>
  <r>
    <s v="ID-2024-01180"/>
    <d v="2024-07-21T00:00:00"/>
    <s v="ST-003"/>
    <x v="4"/>
    <s v="CUST-127"/>
    <x v="1"/>
    <s v="PRD-005"/>
    <x v="7"/>
    <x v="1"/>
    <n v="1"/>
    <n v="1790000"/>
    <n v="0.05"/>
    <n v="1276000"/>
    <n v="1700500"/>
    <x v="455"/>
    <x v="5"/>
    <x v="1"/>
    <n v="7"/>
    <x v="14"/>
    <n v="0.24963246104087033"/>
  </r>
  <r>
    <s v="ID-2024-01647"/>
    <d v="2024-08-05T00:00:00"/>
    <s v="ST-001"/>
    <x v="0"/>
    <s v="CUST-056"/>
    <x v="2"/>
    <s v="PRD-005"/>
    <x v="7"/>
    <x v="1"/>
    <n v="1"/>
    <n v="1364000"/>
    <n v="0.05"/>
    <n v="1003000"/>
    <n v="1295800"/>
    <x v="456"/>
    <x v="6"/>
    <x v="1"/>
    <n v="8"/>
    <x v="21"/>
    <n v="0.2259607964192005"/>
  </r>
  <r>
    <s v="ID-2024-00669"/>
    <d v="2024-08-17T00:00:00"/>
    <s v="ST-001"/>
    <x v="0"/>
    <s v="CUST-136"/>
    <x v="1"/>
    <s v="PRD-005"/>
    <x v="7"/>
    <x v="1"/>
    <n v="3"/>
    <n v="1784000"/>
    <n v="0"/>
    <n v="1286000"/>
    <n v="5352000"/>
    <x v="457"/>
    <x v="6"/>
    <x v="1"/>
    <n v="8"/>
    <x v="2"/>
    <n v="0.75971599402092671"/>
  </r>
  <r>
    <s v="ID-2024-01706"/>
    <d v="2024-09-18T00:00:00"/>
    <s v="ST-002"/>
    <x v="3"/>
    <s v="CUST-026"/>
    <x v="2"/>
    <s v="PRD-005"/>
    <x v="7"/>
    <x v="1"/>
    <n v="2"/>
    <n v="1411000"/>
    <n v="0"/>
    <n v="1006000"/>
    <n v="2822000"/>
    <x v="458"/>
    <x v="7"/>
    <x v="1"/>
    <n v="9"/>
    <x v="9"/>
    <n v="0.64351523742026928"/>
  </r>
  <r>
    <s v="ID-2024-01477"/>
    <d v="2024-10-19T00:00:00"/>
    <s v="ST-002"/>
    <x v="3"/>
    <s v="CUST-086"/>
    <x v="1"/>
    <s v="PRD-005"/>
    <x v="7"/>
    <x v="1"/>
    <n v="1"/>
    <n v="1283000"/>
    <n v="0"/>
    <n v="949000"/>
    <n v="1283000"/>
    <x v="459"/>
    <x v="8"/>
    <x v="1"/>
    <n v="10"/>
    <x v="26"/>
    <n v="0.26032735775526111"/>
  </r>
  <r>
    <s v="ID-2024-01710"/>
    <d v="2024-12-18T00:00:00"/>
    <s v="ST-004"/>
    <x v="2"/>
    <s v="CUST-070"/>
    <x v="3"/>
    <s v="PRD-005"/>
    <x v="7"/>
    <x v="1"/>
    <n v="1"/>
    <n v="1600000"/>
    <n v="0"/>
    <n v="1150000"/>
    <n v="1600000"/>
    <x v="460"/>
    <x v="10"/>
    <x v="1"/>
    <n v="12"/>
    <x v="9"/>
    <n v="0.28125"/>
  </r>
  <r>
    <s v="ID-2025-01015"/>
    <d v="2025-01-06T00:00:00"/>
    <s v="ST-001"/>
    <x v="0"/>
    <s v="CUST-026"/>
    <x v="2"/>
    <s v="PRD-005"/>
    <x v="7"/>
    <x v="1"/>
    <n v="2"/>
    <n v="1368000"/>
    <n v="0"/>
    <n v="981000"/>
    <n v="2736000"/>
    <x v="461"/>
    <x v="0"/>
    <x v="2"/>
    <n v="1"/>
    <x v="29"/>
    <n v="0.64144736842105265"/>
  </r>
  <r>
    <s v="ID-2025-01569"/>
    <d v="2025-01-25T00:00:00"/>
    <s v="ST-003"/>
    <x v="4"/>
    <s v="CUST-036"/>
    <x v="1"/>
    <s v="PRD-005"/>
    <x v="7"/>
    <x v="1"/>
    <n v="1"/>
    <n v="1967000"/>
    <n v="0"/>
    <n v="1441000"/>
    <n v="1967000"/>
    <x v="462"/>
    <x v="0"/>
    <x v="2"/>
    <n v="1"/>
    <x v="12"/>
    <n v="0.26741230299949159"/>
  </r>
  <r>
    <s v="ID-2025-01484"/>
    <d v="2025-01-28T00:00:00"/>
    <s v="ST-004"/>
    <x v="2"/>
    <s v="CUST-030"/>
    <x v="1"/>
    <s v="PRD-005"/>
    <x v="7"/>
    <x v="1"/>
    <n v="1"/>
    <n v="1658000"/>
    <n v="0"/>
    <n v="1209000"/>
    <n v="1658000"/>
    <x v="382"/>
    <x v="0"/>
    <x v="2"/>
    <n v="1"/>
    <x v="4"/>
    <n v="0.27080820265379973"/>
  </r>
  <r>
    <s v="ID-2025-00054"/>
    <d v="2025-02-22T00:00:00"/>
    <s v="ST-002"/>
    <x v="3"/>
    <s v="CUST-142"/>
    <x v="1"/>
    <s v="PRD-005"/>
    <x v="7"/>
    <x v="1"/>
    <n v="1"/>
    <n v="1860000"/>
    <n v="0.05"/>
    <n v="1348000"/>
    <n v="1767000"/>
    <x v="463"/>
    <x v="1"/>
    <x v="2"/>
    <n v="2"/>
    <x v="16"/>
    <n v="0.23712507074136954"/>
  </r>
  <r>
    <s v="ID-2025-01023"/>
    <d v="2025-02-26T00:00:00"/>
    <s v="ST-002"/>
    <x v="3"/>
    <s v="CUST-014"/>
    <x v="1"/>
    <s v="PRD-005"/>
    <x v="7"/>
    <x v="1"/>
    <n v="5"/>
    <n v="1412000"/>
    <n v="0"/>
    <n v="1005000"/>
    <n v="7060000"/>
    <x v="464"/>
    <x v="1"/>
    <x v="2"/>
    <n v="2"/>
    <x v="6"/>
    <n v="0.8576487252124646"/>
  </r>
  <r>
    <s v="ID-2025-01760"/>
    <d v="2025-04-16T00:00:00"/>
    <s v="ST-001"/>
    <x v="0"/>
    <s v="CUST-130"/>
    <x v="0"/>
    <s v="PRD-005"/>
    <x v="7"/>
    <x v="1"/>
    <n v="1"/>
    <n v="1922000"/>
    <n v="0"/>
    <n v="1368000"/>
    <n v="1922000"/>
    <x v="465"/>
    <x v="11"/>
    <x v="2"/>
    <n v="4"/>
    <x v="5"/>
    <n v="0.28824141519250779"/>
  </r>
  <r>
    <s v="ID-2025-01711"/>
    <d v="2025-04-27T00:00:00"/>
    <s v="ST-002"/>
    <x v="3"/>
    <s v="CUST-014"/>
    <x v="1"/>
    <s v="PRD-005"/>
    <x v="7"/>
    <x v="1"/>
    <n v="1"/>
    <n v="1874000"/>
    <n v="0"/>
    <n v="1358000"/>
    <n v="1874000"/>
    <x v="466"/>
    <x v="11"/>
    <x v="2"/>
    <n v="4"/>
    <x v="24"/>
    <n v="0.27534685165421557"/>
  </r>
  <r>
    <s v="ID-2025-00530"/>
    <d v="2025-05-30T00:00:00"/>
    <s v="ST-001"/>
    <x v="0"/>
    <s v="CUST-052"/>
    <x v="2"/>
    <s v="PRD-005"/>
    <x v="7"/>
    <x v="1"/>
    <n v="1"/>
    <n v="1337000"/>
    <n v="0.05"/>
    <n v="986000"/>
    <n v="1270150"/>
    <x v="467"/>
    <x v="3"/>
    <x v="2"/>
    <n v="5"/>
    <x v="15"/>
    <n v="0.22371373459827579"/>
  </r>
  <r>
    <s v="ID-2025-00927"/>
    <d v="2025-05-31T00:00:00"/>
    <s v="ST-002"/>
    <x v="3"/>
    <s v="CUST-087"/>
    <x v="2"/>
    <s v="PRD-005"/>
    <x v="7"/>
    <x v="1"/>
    <n v="1"/>
    <n v="1831000"/>
    <n v="0"/>
    <n v="1346000"/>
    <n v="1831000"/>
    <x v="468"/>
    <x v="3"/>
    <x v="2"/>
    <n v="5"/>
    <x v="28"/>
    <n v="0.26488257782632441"/>
  </r>
  <r>
    <s v="ID-2025-00104"/>
    <d v="2025-06-09T00:00:00"/>
    <s v="ST-003"/>
    <x v="4"/>
    <s v="CUST-100"/>
    <x v="1"/>
    <s v="PRD-005"/>
    <x v="7"/>
    <x v="1"/>
    <n v="1"/>
    <n v="1491000"/>
    <n v="0"/>
    <n v="1077000"/>
    <n v="1491000"/>
    <x v="469"/>
    <x v="4"/>
    <x v="2"/>
    <n v="6"/>
    <x v="1"/>
    <n v="0.27766599597585512"/>
  </r>
  <r>
    <s v="ID-2025-00907"/>
    <d v="2025-07-29T00:00:00"/>
    <s v="ST-001"/>
    <x v="0"/>
    <s v="CUST-088"/>
    <x v="0"/>
    <s v="PRD-005"/>
    <x v="7"/>
    <x v="1"/>
    <n v="1"/>
    <n v="1342000"/>
    <n v="0"/>
    <n v="942000"/>
    <n v="1342000"/>
    <x v="470"/>
    <x v="5"/>
    <x v="2"/>
    <n v="7"/>
    <x v="7"/>
    <n v="0.29806259314456035"/>
  </r>
  <r>
    <s v="ID-2025-01558"/>
    <d v="2025-08-01T00:00:00"/>
    <s v="ST-002"/>
    <x v="3"/>
    <s v="CUST-013"/>
    <x v="1"/>
    <s v="PRD-005"/>
    <x v="7"/>
    <x v="1"/>
    <n v="1"/>
    <n v="1465000"/>
    <n v="0"/>
    <n v="1050000"/>
    <n v="1465000"/>
    <x v="409"/>
    <x v="6"/>
    <x v="2"/>
    <n v="8"/>
    <x v="0"/>
    <n v="0.28327645051194539"/>
  </r>
  <r>
    <s v="ID-2025-01000"/>
    <d v="2025-09-04T00:00:00"/>
    <s v="ST-001"/>
    <x v="0"/>
    <s v="CUST-002"/>
    <x v="3"/>
    <s v="PRD-005"/>
    <x v="7"/>
    <x v="1"/>
    <n v="1"/>
    <n v="1359000"/>
    <n v="0.1"/>
    <n v="982000"/>
    <n v="1223100"/>
    <x v="471"/>
    <x v="7"/>
    <x v="2"/>
    <n v="9"/>
    <x v="20"/>
    <n v="0.19712206687924128"/>
  </r>
  <r>
    <s v="ID-2025-00569"/>
    <d v="2025-09-19T00:00:00"/>
    <s v="ST-001"/>
    <x v="0"/>
    <s v="CUST-044"/>
    <x v="2"/>
    <s v="PRD-005"/>
    <x v="7"/>
    <x v="1"/>
    <n v="1"/>
    <n v="1383000"/>
    <n v="0"/>
    <n v="1002000"/>
    <n v="1383000"/>
    <x v="472"/>
    <x v="7"/>
    <x v="2"/>
    <n v="9"/>
    <x v="26"/>
    <n v="0.27548806941431669"/>
  </r>
  <r>
    <s v="ID-2025-01508"/>
    <d v="2025-09-24T00:00:00"/>
    <s v="ST-004"/>
    <x v="2"/>
    <s v="CUST-129"/>
    <x v="1"/>
    <s v="PRD-005"/>
    <x v="7"/>
    <x v="1"/>
    <n v="2"/>
    <n v="1630000"/>
    <n v="0.05"/>
    <n v="1199000"/>
    <n v="3097000"/>
    <x v="473"/>
    <x v="7"/>
    <x v="2"/>
    <n v="9"/>
    <x v="25"/>
    <n v="0.61285114627058446"/>
  </r>
  <r>
    <s v="ID-2025-01441"/>
    <d v="2025-09-27T00:00:00"/>
    <s v="ST-002"/>
    <x v="3"/>
    <s v="CUST-037"/>
    <x v="1"/>
    <s v="PRD-005"/>
    <x v="7"/>
    <x v="1"/>
    <n v="1"/>
    <n v="1493000"/>
    <n v="0"/>
    <n v="1046000"/>
    <n v="1493000"/>
    <x v="474"/>
    <x v="7"/>
    <x v="2"/>
    <n v="9"/>
    <x v="24"/>
    <n v="0.29939718687206968"/>
  </r>
  <r>
    <s v="ID-2026-00636"/>
    <d v="2026-01-03T00:00:00"/>
    <s v="ST-001"/>
    <x v="0"/>
    <s v="CUST-111"/>
    <x v="1"/>
    <s v="PRD-005"/>
    <x v="7"/>
    <x v="1"/>
    <n v="1"/>
    <n v="1594000"/>
    <n v="0"/>
    <n v="1132000"/>
    <n v="1594000"/>
    <x v="475"/>
    <x v="0"/>
    <x v="3"/>
    <n v="1"/>
    <x v="8"/>
    <n v="0.28983688833124216"/>
  </r>
  <r>
    <s v="ID-2026-01183"/>
    <d v="2026-02-09T00:00:00"/>
    <s v="ST-001"/>
    <x v="0"/>
    <s v="CUST-104"/>
    <x v="0"/>
    <s v="PRD-005"/>
    <x v="7"/>
    <x v="1"/>
    <n v="1"/>
    <n v="2012000"/>
    <n v="0"/>
    <n v="1474000"/>
    <n v="2012000"/>
    <x v="476"/>
    <x v="1"/>
    <x v="3"/>
    <n v="2"/>
    <x v="1"/>
    <n v="0.2673956262425447"/>
  </r>
  <r>
    <s v="ID-2026-01185"/>
    <d v="2026-02-28T00:00:00"/>
    <s v="ST-001"/>
    <x v="0"/>
    <s v="CUST-007"/>
    <x v="1"/>
    <s v="PRD-005"/>
    <x v="7"/>
    <x v="1"/>
    <n v="2"/>
    <n v="1660000"/>
    <n v="0"/>
    <n v="1168000"/>
    <n v="3320000"/>
    <x v="477"/>
    <x v="1"/>
    <x v="3"/>
    <n v="2"/>
    <x v="4"/>
    <n v="0.64819277108433737"/>
  </r>
  <r>
    <s v="ID-2026-00354"/>
    <d v="2026-03-15T00:00:00"/>
    <s v="ST-003"/>
    <x v="4"/>
    <s v="CUST-122"/>
    <x v="1"/>
    <s v="PRD-005"/>
    <x v="7"/>
    <x v="1"/>
    <n v="2"/>
    <n v="1680000"/>
    <n v="0"/>
    <n v="1238000"/>
    <n v="3360000"/>
    <x v="478"/>
    <x v="2"/>
    <x v="3"/>
    <n v="3"/>
    <x v="19"/>
    <n v="0.63154761904761902"/>
  </r>
  <r>
    <s v="ID-2026-01131"/>
    <d v="2026-03-25T00:00:00"/>
    <s v="ST-001"/>
    <x v="0"/>
    <s v="CUST-062"/>
    <x v="1"/>
    <s v="PRD-005"/>
    <x v="7"/>
    <x v="1"/>
    <n v="3"/>
    <n v="1711000"/>
    <n v="0"/>
    <n v="1216000"/>
    <n v="5133000"/>
    <x v="479"/>
    <x v="2"/>
    <x v="3"/>
    <n v="3"/>
    <x v="12"/>
    <n v="0.76310150009740896"/>
  </r>
  <r>
    <s v="ID-2026-01755"/>
    <d v="2026-05-29T00:00:00"/>
    <s v="ST-003"/>
    <x v="4"/>
    <s v="CUST-043"/>
    <x v="1"/>
    <s v="PRD-005"/>
    <x v="7"/>
    <x v="1"/>
    <n v="1"/>
    <n v="1745000"/>
    <n v="0"/>
    <n v="1279000"/>
    <n v="1745000"/>
    <x v="480"/>
    <x v="3"/>
    <x v="3"/>
    <n v="5"/>
    <x v="7"/>
    <n v="0.2670487106017192"/>
  </r>
  <r>
    <s v="ID-2026-01448"/>
    <d v="2026-06-02T00:00:00"/>
    <s v="ST-001"/>
    <x v="0"/>
    <s v="CUST-078"/>
    <x v="1"/>
    <s v="PRD-005"/>
    <x v="7"/>
    <x v="1"/>
    <n v="2"/>
    <n v="1527818.1818181819"/>
    <n v="0"/>
    <n v="1080000"/>
    <n v="3055636.3636363638"/>
    <x v="452"/>
    <x v="4"/>
    <x v="3"/>
    <n v="6"/>
    <x v="17"/>
    <n v="0.64655480185647984"/>
  </r>
  <r>
    <s v="ID-2026-01403"/>
    <d v="2026-06-05T00:00:00"/>
    <s v="ST-001"/>
    <x v="0"/>
    <s v="CUST-021"/>
    <x v="0"/>
    <s v="PRD-005"/>
    <x v="7"/>
    <x v="1"/>
    <n v="2"/>
    <n v="1638000"/>
    <n v="0"/>
    <n v="1195000"/>
    <n v="3276000"/>
    <x v="481"/>
    <x v="4"/>
    <x v="3"/>
    <n v="6"/>
    <x v="21"/>
    <n v="0.63522588522588519"/>
  </r>
  <r>
    <s v="ID-2026-00488"/>
    <d v="2026-06-16T00:00:00"/>
    <s v="ST-003"/>
    <x v="4"/>
    <s v="CUST-010"/>
    <x v="2"/>
    <s v="PRD-005"/>
    <x v="7"/>
    <x v="1"/>
    <n v="1"/>
    <n v="1457000"/>
    <n v="0"/>
    <n v="1026000"/>
    <n v="1457000"/>
    <x v="482"/>
    <x v="4"/>
    <x v="3"/>
    <n v="6"/>
    <x v="5"/>
    <n v="0.29581331503088537"/>
  </r>
  <r>
    <s v="ID-2023-01434"/>
    <d v="2023-01-09T00:00:00"/>
    <s v="ST-001"/>
    <x v="0"/>
    <s v="CUST-092"/>
    <x v="2"/>
    <s v="PRD-018"/>
    <x v="8"/>
    <x v="4"/>
    <n v="3"/>
    <n v="512000"/>
    <n v="0.05"/>
    <n v="355000"/>
    <n v="1459200"/>
    <x v="483"/>
    <x v="0"/>
    <x v="0"/>
    <n v="1"/>
    <x v="1"/>
    <n v="0.75671600877192979"/>
  </r>
  <r>
    <s v="ID-2023-00996"/>
    <d v="2023-01-31T00:00:00"/>
    <s v="ST-004"/>
    <x v="2"/>
    <s v="CUST-036"/>
    <x v="1"/>
    <s v="PRD-018"/>
    <x v="8"/>
    <x v="4"/>
    <n v="2"/>
    <n v="325000"/>
    <n v="0"/>
    <n v="228000"/>
    <n v="650000"/>
    <x v="436"/>
    <x v="0"/>
    <x v="0"/>
    <n v="1"/>
    <x v="28"/>
    <n v="0.64923076923076928"/>
  </r>
  <r>
    <s v="ID-2023-00762"/>
    <d v="2023-02-21T00:00:00"/>
    <s v="ST-002"/>
    <x v="3"/>
    <s v="CUST-046"/>
    <x v="0"/>
    <s v="PRD-018"/>
    <x v="8"/>
    <x v="4"/>
    <n v="1"/>
    <n v="339000"/>
    <n v="0.15"/>
    <n v="237000"/>
    <n v="288150"/>
    <x v="484"/>
    <x v="1"/>
    <x v="0"/>
    <n v="2"/>
    <x v="14"/>
    <n v="0.17751171264966165"/>
  </r>
  <r>
    <s v="ID-2023-01720"/>
    <d v="2023-02-21T00:00:00"/>
    <s v="ST-002"/>
    <x v="3"/>
    <s v="CUST-122"/>
    <x v="1"/>
    <s v="PRD-018"/>
    <x v="8"/>
    <x v="4"/>
    <n v="1"/>
    <n v="519000"/>
    <n v="0"/>
    <n v="363000"/>
    <n v="519000"/>
    <x v="181"/>
    <x v="1"/>
    <x v="0"/>
    <n v="2"/>
    <x v="14"/>
    <n v="0.30057803468208094"/>
  </r>
  <r>
    <s v="ID-2023-01612"/>
    <d v="2023-03-06T00:00:00"/>
    <s v="ST-002"/>
    <x v="3"/>
    <s v="CUST-073"/>
    <x v="1"/>
    <s v="PRD-018"/>
    <x v="8"/>
    <x v="4"/>
    <n v="1"/>
    <n v="486000"/>
    <n v="0"/>
    <n v="343000"/>
    <n v="486000"/>
    <x v="139"/>
    <x v="2"/>
    <x v="0"/>
    <n v="3"/>
    <x v="29"/>
    <n v="0.29423868312757201"/>
  </r>
  <r>
    <s v="ID-2023-00206"/>
    <d v="2023-04-25T00:00:00"/>
    <s v="ST-005"/>
    <x v="1"/>
    <s v="CUST-031"/>
    <x v="0"/>
    <s v="PRD-018"/>
    <x v="8"/>
    <x v="4"/>
    <n v="1"/>
    <n v="279000"/>
    <n v="0"/>
    <n v="194000"/>
    <n v="279000"/>
    <x v="485"/>
    <x v="11"/>
    <x v="0"/>
    <n v="4"/>
    <x v="12"/>
    <n v="0.30465949820788529"/>
  </r>
  <r>
    <s v="ID-2023-00510"/>
    <d v="2023-04-30T00:00:00"/>
    <s v="ST-002"/>
    <x v="3"/>
    <s v="CUST-025"/>
    <x v="0"/>
    <s v="PRD-018"/>
    <x v="8"/>
    <x v="4"/>
    <n v="1"/>
    <n v="500000"/>
    <n v="0"/>
    <n v="344000"/>
    <n v="500000"/>
    <x v="181"/>
    <x v="11"/>
    <x v="0"/>
    <n v="4"/>
    <x v="15"/>
    <n v="0.312"/>
  </r>
  <r>
    <s v="ID-2023-00068"/>
    <d v="2023-07-17T00:00:00"/>
    <s v="ST-004"/>
    <x v="2"/>
    <s v="CUST-074"/>
    <x v="1"/>
    <s v="PRD-018"/>
    <x v="8"/>
    <x v="4"/>
    <n v="2"/>
    <n v="256000"/>
    <n v="0"/>
    <n v="183000"/>
    <n v="512000"/>
    <x v="486"/>
    <x v="5"/>
    <x v="0"/>
    <n v="7"/>
    <x v="2"/>
    <n v="0.642578125"/>
  </r>
  <r>
    <s v="ID-2023-00756"/>
    <d v="2023-07-23T00:00:00"/>
    <s v="ST-001"/>
    <x v="0"/>
    <s v="CUST-021"/>
    <x v="0"/>
    <s v="PRD-018"/>
    <x v="8"/>
    <x v="4"/>
    <n v="2"/>
    <n v="530000"/>
    <n v="0"/>
    <n v="377000"/>
    <n v="1060000"/>
    <x v="487"/>
    <x v="5"/>
    <x v="0"/>
    <n v="7"/>
    <x v="11"/>
    <n v="0.64433962264150946"/>
  </r>
  <r>
    <s v="ID-2023-01721"/>
    <d v="2023-08-04T00:00:00"/>
    <s v="ST-002"/>
    <x v="3"/>
    <s v="CUST-028"/>
    <x v="0"/>
    <s v="PRD-018"/>
    <x v="8"/>
    <x v="4"/>
    <n v="1"/>
    <n v="582000"/>
    <n v="0"/>
    <n v="418000"/>
    <n v="582000"/>
    <x v="212"/>
    <x v="6"/>
    <x v="0"/>
    <n v="8"/>
    <x v="20"/>
    <n v="0.28178694158075601"/>
  </r>
  <r>
    <s v="ID-2023-00747"/>
    <d v="2023-08-19T00:00:00"/>
    <s v="ST-001"/>
    <x v="0"/>
    <s v="CUST-052"/>
    <x v="2"/>
    <s v="PRD-018"/>
    <x v="8"/>
    <x v="4"/>
    <n v="1"/>
    <n v="386000"/>
    <n v="0"/>
    <n v="270000"/>
    <n v="386000"/>
    <x v="3"/>
    <x v="6"/>
    <x v="0"/>
    <n v="8"/>
    <x v="26"/>
    <n v="0.30051813471502592"/>
  </r>
  <r>
    <s v="ID-2023-00273"/>
    <d v="2023-10-24T00:00:00"/>
    <s v="ST-003"/>
    <x v="4"/>
    <s v="CUST-127"/>
    <x v="1"/>
    <s v="PRD-018"/>
    <x v="8"/>
    <x v="4"/>
    <n v="1"/>
    <n v="486000"/>
    <n v="0"/>
    <n v="349000"/>
    <n v="486000"/>
    <x v="488"/>
    <x v="8"/>
    <x v="0"/>
    <n v="10"/>
    <x v="25"/>
    <n v="0.28189300411522633"/>
  </r>
  <r>
    <s v="ID-2023-00115"/>
    <d v="2023-11-27T00:00:00"/>
    <s v="ST-003"/>
    <x v="4"/>
    <s v="CUST-125"/>
    <x v="1"/>
    <s v="PRD-018"/>
    <x v="8"/>
    <x v="4"/>
    <n v="1"/>
    <n v="571000"/>
    <n v="0"/>
    <n v="395000"/>
    <n v="571000"/>
    <x v="489"/>
    <x v="9"/>
    <x v="0"/>
    <n v="11"/>
    <x v="24"/>
    <n v="0.30823117338003503"/>
  </r>
  <r>
    <s v="ID-2023-00432"/>
    <d v="2023-12-16T00:00:00"/>
    <s v="ST-001"/>
    <x v="0"/>
    <s v="CUST-013"/>
    <x v="1"/>
    <s v="PRD-018"/>
    <x v="8"/>
    <x v="4"/>
    <n v="1"/>
    <n v="423000"/>
    <n v="0"/>
    <n v="299000"/>
    <n v="423000"/>
    <x v="36"/>
    <x v="10"/>
    <x v="0"/>
    <n v="12"/>
    <x v="5"/>
    <n v="0.29314420803782504"/>
  </r>
  <r>
    <s v="ID-2023-01264"/>
    <d v="2023-12-28T00:00:00"/>
    <s v="ST-001"/>
    <x v="0"/>
    <s v="CUST-027"/>
    <x v="1"/>
    <s v="PRD-018"/>
    <x v="8"/>
    <x v="4"/>
    <n v="1"/>
    <n v="255000"/>
    <n v="0.05"/>
    <n v="181000"/>
    <n v="242250"/>
    <x v="490"/>
    <x v="10"/>
    <x v="0"/>
    <n v="12"/>
    <x v="4"/>
    <n v="0.25283797729618163"/>
  </r>
  <r>
    <s v="ID-2024-01632"/>
    <d v="2024-01-02T00:00:00"/>
    <s v="ST-002"/>
    <x v="3"/>
    <s v="CUST-050"/>
    <x v="1"/>
    <s v="PRD-018"/>
    <x v="8"/>
    <x v="4"/>
    <n v="1"/>
    <n v="274000"/>
    <n v="0"/>
    <n v="188000"/>
    <n v="274000"/>
    <x v="491"/>
    <x v="0"/>
    <x v="1"/>
    <n v="1"/>
    <x v="17"/>
    <n v="0.31386861313868614"/>
  </r>
  <r>
    <s v="ID-2024-00090"/>
    <d v="2024-01-22T00:00:00"/>
    <s v="ST-001"/>
    <x v="0"/>
    <s v="CUST-017"/>
    <x v="1"/>
    <s v="PRD-018"/>
    <x v="8"/>
    <x v="4"/>
    <n v="1"/>
    <n v="399000"/>
    <n v="0"/>
    <n v="287000"/>
    <n v="399000"/>
    <x v="160"/>
    <x v="0"/>
    <x v="1"/>
    <n v="1"/>
    <x v="16"/>
    <n v="0.2807017543859649"/>
  </r>
  <r>
    <s v="ID-2024-00840"/>
    <d v="2024-01-31T00:00:00"/>
    <s v="ST-005"/>
    <x v="1"/>
    <s v="CUST-120"/>
    <x v="0"/>
    <s v="PRD-018"/>
    <x v="8"/>
    <x v="4"/>
    <n v="1"/>
    <n v="532000"/>
    <n v="0"/>
    <n v="372000"/>
    <n v="532000"/>
    <x v="187"/>
    <x v="0"/>
    <x v="1"/>
    <n v="1"/>
    <x v="28"/>
    <n v="0.3007518796992481"/>
  </r>
  <r>
    <s v="ID-2024-01198"/>
    <d v="2024-02-27T00:00:00"/>
    <s v="ST-002"/>
    <x v="3"/>
    <s v="CUST-003"/>
    <x v="2"/>
    <s v="PRD-018"/>
    <x v="8"/>
    <x v="4"/>
    <n v="1"/>
    <n v="593000"/>
    <n v="0"/>
    <n v="415000"/>
    <n v="593000"/>
    <x v="492"/>
    <x v="1"/>
    <x v="1"/>
    <n v="2"/>
    <x v="24"/>
    <n v="0.30016863406408095"/>
  </r>
  <r>
    <s v="ID-2024-00691"/>
    <d v="2024-03-13T00:00:00"/>
    <s v="ST-001"/>
    <x v="0"/>
    <s v="CUST-136"/>
    <x v="1"/>
    <s v="PRD-018"/>
    <x v="8"/>
    <x v="4"/>
    <n v="3"/>
    <n v="285000"/>
    <n v="0"/>
    <n v="201000"/>
    <n v="855000"/>
    <x v="493"/>
    <x v="2"/>
    <x v="1"/>
    <n v="3"/>
    <x v="23"/>
    <n v="0.76491228070175443"/>
  </r>
  <r>
    <s v="ID-2024-00568"/>
    <d v="2024-03-29T00:00:00"/>
    <s v="ST-002"/>
    <x v="3"/>
    <s v="CUST-027"/>
    <x v="1"/>
    <s v="PRD-018"/>
    <x v="8"/>
    <x v="4"/>
    <n v="1"/>
    <n v="332000"/>
    <n v="0.05"/>
    <n v="233000"/>
    <n v="315400"/>
    <x v="494"/>
    <x v="2"/>
    <x v="1"/>
    <n v="3"/>
    <x v="7"/>
    <n v="0.26125554850982879"/>
  </r>
  <r>
    <s v="ID-2024-00197"/>
    <d v="2024-04-23T00:00:00"/>
    <s v="ST-005"/>
    <x v="1"/>
    <s v="CUST-101"/>
    <x v="1"/>
    <s v="PRD-018"/>
    <x v="8"/>
    <x v="4"/>
    <n v="2"/>
    <n v="355000"/>
    <n v="0"/>
    <n v="255000"/>
    <n v="710000"/>
    <x v="495"/>
    <x v="11"/>
    <x v="1"/>
    <n v="4"/>
    <x v="11"/>
    <n v="0.64084507042253525"/>
  </r>
  <r>
    <s v="ID-2024-01127"/>
    <d v="2024-05-30T00:00:00"/>
    <s v="ST-001"/>
    <x v="0"/>
    <s v="CUST-010"/>
    <x v="2"/>
    <s v="PRD-018"/>
    <x v="8"/>
    <x v="4"/>
    <n v="1"/>
    <n v="472000"/>
    <n v="0"/>
    <n v="338000"/>
    <n v="472000"/>
    <x v="496"/>
    <x v="3"/>
    <x v="1"/>
    <n v="5"/>
    <x v="15"/>
    <n v="0.28389830508474578"/>
  </r>
  <r>
    <s v="ID-2024-01358"/>
    <d v="2024-07-14T00:00:00"/>
    <s v="ST-003"/>
    <x v="4"/>
    <s v="CUST-051"/>
    <x v="3"/>
    <s v="PRD-018"/>
    <x v="8"/>
    <x v="4"/>
    <n v="3"/>
    <n v="542000"/>
    <n v="0.15"/>
    <n v="385000"/>
    <n v="1382100"/>
    <x v="497"/>
    <x v="5"/>
    <x v="1"/>
    <n v="7"/>
    <x v="18"/>
    <n v="0.72143839085449679"/>
  </r>
  <r>
    <s v="ID-2024-00600"/>
    <d v="2024-08-05T00:00:00"/>
    <s v="ST-002"/>
    <x v="3"/>
    <s v="CUST-095"/>
    <x v="2"/>
    <s v="PRD-018"/>
    <x v="8"/>
    <x v="4"/>
    <n v="3"/>
    <n v="282000"/>
    <n v="0"/>
    <n v="196000"/>
    <n v="846000"/>
    <x v="162"/>
    <x v="6"/>
    <x v="1"/>
    <n v="8"/>
    <x v="21"/>
    <n v="0.76832151300236406"/>
  </r>
  <r>
    <s v="ID-2024-00580"/>
    <d v="2024-08-07T00:00:00"/>
    <s v="ST-001"/>
    <x v="0"/>
    <s v="CUST-130"/>
    <x v="0"/>
    <s v="PRD-018"/>
    <x v="8"/>
    <x v="4"/>
    <n v="1"/>
    <n v="427000"/>
    <n v="0"/>
    <n v="304000"/>
    <n v="427000"/>
    <x v="498"/>
    <x v="6"/>
    <x v="1"/>
    <n v="8"/>
    <x v="3"/>
    <n v="0.28805620608899296"/>
  </r>
  <r>
    <s v="ID-2024-00305"/>
    <d v="2024-08-23T00:00:00"/>
    <s v="ST-001"/>
    <x v="0"/>
    <s v="CUST-037"/>
    <x v="1"/>
    <s v="PRD-018"/>
    <x v="8"/>
    <x v="4"/>
    <n v="2"/>
    <n v="360000"/>
    <n v="0.05"/>
    <n v="256000"/>
    <n v="684000"/>
    <x v="499"/>
    <x v="6"/>
    <x v="1"/>
    <n v="8"/>
    <x v="11"/>
    <n v="0.6257309941520468"/>
  </r>
  <r>
    <s v="ID-2024-00470"/>
    <d v="2024-10-03T00:00:00"/>
    <s v="ST-002"/>
    <x v="3"/>
    <s v="CUST-087"/>
    <x v="2"/>
    <s v="PRD-018"/>
    <x v="8"/>
    <x v="4"/>
    <n v="1"/>
    <n v="512000"/>
    <n v="0"/>
    <n v="349000"/>
    <n v="512000"/>
    <x v="202"/>
    <x v="8"/>
    <x v="1"/>
    <n v="10"/>
    <x v="8"/>
    <n v="0.318359375"/>
  </r>
  <r>
    <s v="ID-2024-00433"/>
    <d v="2024-10-30T00:00:00"/>
    <s v="ST-001"/>
    <x v="0"/>
    <s v="CUST-045"/>
    <x v="1"/>
    <s v="PRD-018"/>
    <x v="8"/>
    <x v="4"/>
    <n v="1"/>
    <n v="309000"/>
    <n v="0"/>
    <n v="218000"/>
    <n v="309000"/>
    <x v="45"/>
    <x v="8"/>
    <x v="1"/>
    <n v="10"/>
    <x v="15"/>
    <n v="0.29449838187702265"/>
  </r>
  <r>
    <s v="ID-2024-00667"/>
    <d v="2024-12-20T00:00:00"/>
    <s v="ST-004"/>
    <x v="2"/>
    <s v="CUST-025"/>
    <x v="0"/>
    <s v="PRD-018"/>
    <x v="8"/>
    <x v="4"/>
    <n v="1"/>
    <n v="356000"/>
    <n v="0"/>
    <n v="253000"/>
    <n v="356000"/>
    <x v="147"/>
    <x v="10"/>
    <x v="1"/>
    <n v="12"/>
    <x v="30"/>
    <n v="0.2893258426966292"/>
  </r>
  <r>
    <s v="ID-2024-00169"/>
    <d v="2024-12-30T00:00:00"/>
    <s v="ST-002"/>
    <x v="3"/>
    <s v="CUST-013"/>
    <x v="1"/>
    <s v="PRD-018"/>
    <x v="8"/>
    <x v="4"/>
    <n v="1"/>
    <n v="445000"/>
    <n v="0"/>
    <n v="317000"/>
    <n v="445000"/>
    <x v="31"/>
    <x v="10"/>
    <x v="1"/>
    <n v="12"/>
    <x v="15"/>
    <n v="0.28764044943820227"/>
  </r>
  <r>
    <s v="ID-2025-00030"/>
    <d v="2025-01-20T00:00:00"/>
    <s v="ST-001"/>
    <x v="0"/>
    <s v="CUST-081"/>
    <x v="1"/>
    <s v="PRD-018"/>
    <x v="8"/>
    <x v="4"/>
    <n v="1"/>
    <n v="315000"/>
    <n v="0.05"/>
    <n v="223000"/>
    <n v="299250"/>
    <x v="500"/>
    <x v="0"/>
    <x v="2"/>
    <n v="1"/>
    <x v="30"/>
    <n v="0.25480367585630742"/>
  </r>
  <r>
    <s v="ID-2025-00251"/>
    <d v="2025-03-02T00:00:00"/>
    <s v="ST-005"/>
    <x v="1"/>
    <s v="CUST-118"/>
    <x v="1"/>
    <s v="PRD-018"/>
    <x v="8"/>
    <x v="4"/>
    <n v="2"/>
    <n v="410000"/>
    <n v="0"/>
    <n v="288000"/>
    <n v="820000"/>
    <x v="501"/>
    <x v="2"/>
    <x v="2"/>
    <n v="3"/>
    <x v="17"/>
    <n v="0.64878048780487807"/>
  </r>
  <r>
    <s v="ID-2025-00607"/>
    <d v="2025-03-23T00:00:00"/>
    <s v="ST-001"/>
    <x v="0"/>
    <s v="CUST-080"/>
    <x v="1"/>
    <s v="PRD-018"/>
    <x v="8"/>
    <x v="4"/>
    <n v="1"/>
    <n v="411000"/>
    <n v="0"/>
    <n v="284000"/>
    <n v="411000"/>
    <x v="502"/>
    <x v="2"/>
    <x v="2"/>
    <n v="3"/>
    <x v="11"/>
    <n v="0.30900243309002434"/>
  </r>
  <r>
    <s v="ID-2025-01360"/>
    <d v="2025-04-05T00:00:00"/>
    <s v="ST-003"/>
    <x v="4"/>
    <s v="CUST-020"/>
    <x v="1"/>
    <s v="PRD-018"/>
    <x v="8"/>
    <x v="4"/>
    <n v="1"/>
    <n v="642000"/>
    <n v="0"/>
    <n v="454000"/>
    <n v="642000"/>
    <x v="503"/>
    <x v="11"/>
    <x v="2"/>
    <n v="4"/>
    <x v="21"/>
    <n v="0.29283489096573206"/>
  </r>
  <r>
    <s v="ID-2025-00814"/>
    <d v="2025-04-21T00:00:00"/>
    <s v="ST-005"/>
    <x v="1"/>
    <s v="CUST-116"/>
    <x v="1"/>
    <s v="PRD-018"/>
    <x v="8"/>
    <x v="4"/>
    <n v="1"/>
    <n v="346000"/>
    <n v="0"/>
    <n v="239000"/>
    <n v="346000"/>
    <x v="39"/>
    <x v="11"/>
    <x v="2"/>
    <n v="4"/>
    <x v="14"/>
    <n v="0.30924855491329478"/>
  </r>
  <r>
    <s v="ID-2025-01192"/>
    <d v="2025-05-13T00:00:00"/>
    <s v="ST-001"/>
    <x v="0"/>
    <s v="CUST-013"/>
    <x v="1"/>
    <s v="PRD-018"/>
    <x v="8"/>
    <x v="4"/>
    <n v="1"/>
    <n v="276000"/>
    <n v="0"/>
    <n v="198000"/>
    <n v="276000"/>
    <x v="22"/>
    <x v="3"/>
    <x v="2"/>
    <n v="5"/>
    <x v="23"/>
    <n v="0.28260869565217389"/>
  </r>
  <r>
    <s v="ID-2025-00283"/>
    <d v="2025-05-16T00:00:00"/>
    <s v="ST-005"/>
    <x v="1"/>
    <s v="CUST-054"/>
    <x v="1"/>
    <s v="PRD-018"/>
    <x v="8"/>
    <x v="4"/>
    <n v="2"/>
    <n v="562000"/>
    <n v="0"/>
    <n v="385000"/>
    <n v="1124000"/>
    <x v="504"/>
    <x v="3"/>
    <x v="2"/>
    <n v="5"/>
    <x v="5"/>
    <n v="0.65747330960854089"/>
  </r>
  <r>
    <s v="ID-2025-00903"/>
    <d v="2025-06-07T00:00:00"/>
    <s v="ST-001"/>
    <x v="0"/>
    <s v="CUST-044"/>
    <x v="2"/>
    <s v="PRD-018"/>
    <x v="8"/>
    <x v="4"/>
    <n v="1"/>
    <n v="313000"/>
    <n v="0"/>
    <n v="222000"/>
    <n v="313000"/>
    <x v="45"/>
    <x v="4"/>
    <x v="2"/>
    <n v="6"/>
    <x v="3"/>
    <n v="0.29073482428115016"/>
  </r>
  <r>
    <s v="ID-2025-00963"/>
    <d v="2025-06-14T00:00:00"/>
    <s v="ST-001"/>
    <x v="0"/>
    <s v="CUST-120"/>
    <x v="0"/>
    <s v="PRD-018"/>
    <x v="8"/>
    <x v="4"/>
    <n v="1"/>
    <n v="441000"/>
    <n v="0.05"/>
    <n v="317000"/>
    <n v="418950"/>
    <x v="505"/>
    <x v="4"/>
    <x v="2"/>
    <n v="6"/>
    <x v="18"/>
    <n v="0.24334646139157418"/>
  </r>
  <r>
    <s v="ID-2025-01251"/>
    <d v="2025-07-12T00:00:00"/>
    <s v="ST-004"/>
    <x v="2"/>
    <s v="CUST-087"/>
    <x v="2"/>
    <s v="PRD-018"/>
    <x v="8"/>
    <x v="4"/>
    <n v="1"/>
    <n v="557000"/>
    <n v="0.1"/>
    <n v="400000"/>
    <n v="501300"/>
    <x v="506"/>
    <x v="5"/>
    <x v="2"/>
    <n v="7"/>
    <x v="10"/>
    <n v="0.20207460602433672"/>
  </r>
  <r>
    <s v="ID-2025-00029"/>
    <d v="2025-07-22T00:00:00"/>
    <s v="ST-001"/>
    <x v="0"/>
    <s v="CUST-122"/>
    <x v="1"/>
    <s v="PRD-018"/>
    <x v="8"/>
    <x v="4"/>
    <n v="2"/>
    <n v="443000"/>
    <n v="0"/>
    <n v="303000"/>
    <n v="886000"/>
    <x v="507"/>
    <x v="5"/>
    <x v="2"/>
    <n v="7"/>
    <x v="16"/>
    <n v="0.65801354401805867"/>
  </r>
  <r>
    <s v="ID-2025-00755"/>
    <d v="2025-08-11T00:00:00"/>
    <s v="ST-003"/>
    <x v="4"/>
    <s v="CUST-105"/>
    <x v="2"/>
    <s v="PRD-018"/>
    <x v="8"/>
    <x v="4"/>
    <n v="2"/>
    <n v="351000"/>
    <n v="0.05"/>
    <n v="253000"/>
    <n v="666900"/>
    <x v="508"/>
    <x v="6"/>
    <x v="2"/>
    <n v="8"/>
    <x v="22"/>
    <n v="0.62063277852751542"/>
  </r>
  <r>
    <s v="ID-2025-01090"/>
    <d v="2025-09-08T00:00:00"/>
    <s v="ST-002"/>
    <x v="3"/>
    <s v="CUST-032"/>
    <x v="1"/>
    <s v="PRD-018"/>
    <x v="8"/>
    <x v="4"/>
    <n v="1"/>
    <n v="626000"/>
    <n v="0"/>
    <n v="443000"/>
    <n v="626000"/>
    <x v="224"/>
    <x v="7"/>
    <x v="2"/>
    <n v="9"/>
    <x v="27"/>
    <n v="0.29233226837060705"/>
  </r>
  <r>
    <s v="ID-2025-00187"/>
    <d v="2025-09-18T00:00:00"/>
    <s v="ST-003"/>
    <x v="4"/>
    <s v="CUST-021"/>
    <x v="0"/>
    <s v="PRD-018"/>
    <x v="8"/>
    <x v="4"/>
    <n v="1"/>
    <n v="343000"/>
    <n v="0"/>
    <n v="235000"/>
    <n v="343000"/>
    <x v="49"/>
    <x v="7"/>
    <x v="2"/>
    <n v="9"/>
    <x v="9"/>
    <n v="0.31486880466472306"/>
  </r>
  <r>
    <s v="ID-2025-00540"/>
    <d v="2025-10-12T00:00:00"/>
    <s v="ST-001"/>
    <x v="0"/>
    <s v="CUST-081"/>
    <x v="1"/>
    <s v="PRD-018"/>
    <x v="8"/>
    <x v="4"/>
    <n v="1"/>
    <n v="301000"/>
    <n v="0"/>
    <n v="206000"/>
    <n v="301000"/>
    <x v="12"/>
    <x v="8"/>
    <x v="2"/>
    <n v="10"/>
    <x v="10"/>
    <n v="0.31561461794019935"/>
  </r>
  <r>
    <s v="ID-2025-00285"/>
    <d v="2025-11-20T00:00:00"/>
    <s v="ST-001"/>
    <x v="0"/>
    <s v="CUST-134"/>
    <x v="1"/>
    <s v="PRD-018"/>
    <x v="8"/>
    <x v="4"/>
    <n v="2"/>
    <n v="513000"/>
    <n v="0"/>
    <n v="367000"/>
    <n v="1026000"/>
    <x v="509"/>
    <x v="9"/>
    <x v="2"/>
    <n v="11"/>
    <x v="30"/>
    <n v="0.64230019493177393"/>
  </r>
  <r>
    <s v="ID-2025-01570"/>
    <d v="2025-12-31T00:00:00"/>
    <s v="ST-002"/>
    <x v="3"/>
    <s v="CUST-109"/>
    <x v="1"/>
    <s v="PRD-018"/>
    <x v="8"/>
    <x v="4"/>
    <n v="1"/>
    <n v="638000"/>
    <n v="0.05"/>
    <n v="458000"/>
    <n v="606100"/>
    <x v="510"/>
    <x v="10"/>
    <x v="2"/>
    <n v="12"/>
    <x v="28"/>
    <n v="0.24434911730737502"/>
  </r>
  <r>
    <s v="ID-2026-01730"/>
    <d v="2026-01-04T00:00:00"/>
    <s v="ST-003"/>
    <x v="4"/>
    <s v="CUST-104"/>
    <x v="0"/>
    <s v="PRD-018"/>
    <x v="8"/>
    <x v="4"/>
    <n v="1"/>
    <n v="679000"/>
    <n v="0"/>
    <n v="475000"/>
    <n v="679000"/>
    <x v="511"/>
    <x v="0"/>
    <x v="3"/>
    <n v="1"/>
    <x v="20"/>
    <n v="0.30044182621502208"/>
  </r>
  <r>
    <s v="ID-2026-00744"/>
    <d v="2026-01-06T00:00:00"/>
    <s v="ST-003"/>
    <x v="4"/>
    <s v="CUST-099"/>
    <x v="1"/>
    <s v="PRD-018"/>
    <x v="8"/>
    <x v="4"/>
    <n v="5"/>
    <n v="519000"/>
    <n v="0"/>
    <n v="366000"/>
    <n v="2595000"/>
    <x v="512"/>
    <x v="0"/>
    <x v="3"/>
    <n v="1"/>
    <x v="29"/>
    <n v="0.85895953757225429"/>
  </r>
  <r>
    <s v="ID-2026-01125"/>
    <d v="2026-01-08T00:00:00"/>
    <s v="ST-004"/>
    <x v="2"/>
    <s v="CUST-029"/>
    <x v="0"/>
    <s v="PRD-018"/>
    <x v="8"/>
    <x v="4"/>
    <n v="2"/>
    <n v="664000"/>
    <n v="0"/>
    <n v="452000"/>
    <n v="1328000"/>
    <x v="429"/>
    <x v="0"/>
    <x v="3"/>
    <n v="1"/>
    <x v="27"/>
    <n v="0.65963855421686746"/>
  </r>
  <r>
    <s v="ID-2026-01613"/>
    <d v="2026-01-15T00:00:00"/>
    <s v="ST-001"/>
    <x v="0"/>
    <s v="CUST-054"/>
    <x v="1"/>
    <s v="PRD-018"/>
    <x v="8"/>
    <x v="4"/>
    <n v="2"/>
    <n v="439000"/>
    <n v="0"/>
    <n v="304000"/>
    <n v="878000"/>
    <x v="513"/>
    <x v="0"/>
    <x v="3"/>
    <n v="1"/>
    <x v="19"/>
    <n v="0.65375854214123008"/>
  </r>
  <r>
    <s v="ID-2026-00394"/>
    <d v="2026-01-17T00:00:00"/>
    <s v="ST-001"/>
    <x v="0"/>
    <s v="CUST-095"/>
    <x v="2"/>
    <s v="PRD-018"/>
    <x v="8"/>
    <x v="4"/>
    <n v="1"/>
    <n v="645000"/>
    <n v="0"/>
    <n v="447000"/>
    <n v="645000"/>
    <x v="514"/>
    <x v="0"/>
    <x v="3"/>
    <n v="1"/>
    <x v="2"/>
    <n v="0.30697674418604654"/>
  </r>
  <r>
    <s v="ID-2026-00331"/>
    <d v="2026-01-19T00:00:00"/>
    <s v="ST-002"/>
    <x v="3"/>
    <s v="CUST-093"/>
    <x v="2"/>
    <s v="PRD-018"/>
    <x v="8"/>
    <x v="4"/>
    <n v="1"/>
    <n v="624000"/>
    <n v="0"/>
    <n v="425000"/>
    <n v="624000"/>
    <x v="515"/>
    <x v="0"/>
    <x v="3"/>
    <n v="1"/>
    <x v="26"/>
    <n v="0.31891025641025639"/>
  </r>
  <r>
    <s v="ID-2026-01355"/>
    <d v="2026-02-23T00:00:00"/>
    <s v="ST-001"/>
    <x v="0"/>
    <s v="CUST-059"/>
    <x v="1"/>
    <s v="PRD-018"/>
    <x v="8"/>
    <x v="4"/>
    <n v="2"/>
    <n v="459000"/>
    <n v="0.1"/>
    <n v="315000"/>
    <n v="826200"/>
    <x v="516"/>
    <x v="1"/>
    <x v="3"/>
    <n v="2"/>
    <x v="11"/>
    <n v="0.61873638344226578"/>
  </r>
  <r>
    <s v="ID-2026-00382"/>
    <d v="2026-03-11T00:00:00"/>
    <s v="ST-001"/>
    <x v="0"/>
    <s v="CUST-015"/>
    <x v="1"/>
    <s v="PRD-018"/>
    <x v="8"/>
    <x v="4"/>
    <n v="1"/>
    <n v="616000"/>
    <n v="0.1"/>
    <n v="434000"/>
    <n v="554400"/>
    <x v="517"/>
    <x v="2"/>
    <x v="3"/>
    <n v="3"/>
    <x v="22"/>
    <n v="0.21717171717171718"/>
  </r>
  <r>
    <s v="ID-2026-00888"/>
    <d v="2026-04-18T00:00:00"/>
    <s v="ST-002"/>
    <x v="3"/>
    <s v="CUST-027"/>
    <x v="1"/>
    <s v="PRD-018"/>
    <x v="8"/>
    <x v="4"/>
    <n v="2"/>
    <n v="431000"/>
    <n v="0.05"/>
    <n v="303000"/>
    <n v="818900"/>
    <x v="518"/>
    <x v="11"/>
    <x v="3"/>
    <n v="4"/>
    <x v="9"/>
    <n v="0.62999145194773476"/>
  </r>
  <r>
    <s v="ID-2026-01618"/>
    <d v="2026-04-20T00:00:00"/>
    <s v="ST-001"/>
    <x v="0"/>
    <s v="CUST-090"/>
    <x v="0"/>
    <s v="PRD-018"/>
    <x v="8"/>
    <x v="4"/>
    <n v="1"/>
    <n v="302000"/>
    <n v="0"/>
    <n v="210000"/>
    <n v="302000"/>
    <x v="28"/>
    <x v="11"/>
    <x v="3"/>
    <n v="4"/>
    <x v="30"/>
    <n v="0.30463576158940397"/>
  </r>
  <r>
    <s v="ID-2026-00448"/>
    <d v="2026-05-10T00:00:00"/>
    <s v="ST-001"/>
    <x v="0"/>
    <s v="CUST-022"/>
    <x v="1"/>
    <s v="PRD-018"/>
    <x v="8"/>
    <x v="4"/>
    <n v="1"/>
    <n v="506000"/>
    <n v="0"/>
    <n v="345000"/>
    <n v="506000"/>
    <x v="196"/>
    <x v="3"/>
    <x v="3"/>
    <n v="5"/>
    <x v="13"/>
    <n v="0.31818181818181818"/>
  </r>
  <r>
    <s v="ID-2026-01247"/>
    <d v="2026-05-16T00:00:00"/>
    <s v="ST-005"/>
    <x v="1"/>
    <s v="CUST-083"/>
    <x v="1"/>
    <s v="PRD-018"/>
    <x v="8"/>
    <x v="4"/>
    <n v="1"/>
    <n v="573000"/>
    <n v="0"/>
    <n v="396000"/>
    <n v="573000"/>
    <x v="519"/>
    <x v="3"/>
    <x v="3"/>
    <n v="5"/>
    <x v="5"/>
    <n v="0.30890052356020942"/>
  </r>
  <r>
    <s v="ID-2026-01092"/>
    <d v="2026-05-18T00:00:00"/>
    <s v="ST-002"/>
    <x v="3"/>
    <s v="CUST-044"/>
    <x v="2"/>
    <s v="PRD-018"/>
    <x v="8"/>
    <x v="4"/>
    <n v="1"/>
    <n v="536000"/>
    <n v="0"/>
    <n v="378000"/>
    <n v="536000"/>
    <x v="178"/>
    <x v="3"/>
    <x v="3"/>
    <n v="5"/>
    <x v="9"/>
    <n v="0.29477611940298509"/>
  </r>
  <r>
    <s v="ID-2026-00425"/>
    <d v="2026-05-28T00:00:00"/>
    <s v="ST-001"/>
    <x v="0"/>
    <s v="CUST-012"/>
    <x v="3"/>
    <s v="PRD-018"/>
    <x v="8"/>
    <x v="4"/>
    <n v="3"/>
    <n v="629000"/>
    <n v="0"/>
    <n v="429000"/>
    <n v="1887000"/>
    <x v="520"/>
    <x v="3"/>
    <x v="3"/>
    <n v="5"/>
    <x v="4"/>
    <n v="0.77265500794912556"/>
  </r>
  <r>
    <s v="ID-2026-00733"/>
    <d v="2026-06-19T00:00:00"/>
    <s v="ST-001"/>
    <x v="0"/>
    <s v="CUST-149"/>
    <x v="1"/>
    <s v="PRD-018"/>
    <x v="8"/>
    <x v="4"/>
    <n v="2"/>
    <n v="593000"/>
    <n v="0"/>
    <n v="410000"/>
    <n v="1186000"/>
    <x v="121"/>
    <x v="4"/>
    <x v="3"/>
    <n v="6"/>
    <x v="26"/>
    <n v="0.65430016863406404"/>
  </r>
  <r>
    <s v="ID-2026-00716"/>
    <d v="2026-06-24T00:00:00"/>
    <s v="ST-004"/>
    <x v="2"/>
    <s v="CUST-122"/>
    <x v="1"/>
    <s v="PRD-018"/>
    <x v="8"/>
    <x v="4"/>
    <n v="1"/>
    <n v="474000"/>
    <n v="0"/>
    <n v="336000"/>
    <n v="474000"/>
    <x v="195"/>
    <x v="4"/>
    <x v="3"/>
    <n v="6"/>
    <x v="25"/>
    <n v="0.29113924050632911"/>
  </r>
  <r>
    <s v="ID-2023-01611"/>
    <d v="2023-01-10T00:00:00"/>
    <s v="ST-003"/>
    <x v="4"/>
    <s v="CUST-108"/>
    <x v="2"/>
    <s v="PRD-021"/>
    <x v="9"/>
    <x v="4"/>
    <n v="1"/>
    <n v="267000"/>
    <n v="0.05"/>
    <n v="183000"/>
    <n v="253650"/>
    <x v="521"/>
    <x v="0"/>
    <x v="0"/>
    <n v="1"/>
    <x v="13"/>
    <n v="0.27853341218214073"/>
  </r>
  <r>
    <s v="ID-2023-01059"/>
    <d v="2023-01-11T00:00:00"/>
    <s v="ST-002"/>
    <x v="3"/>
    <s v="CUST-136"/>
    <x v="1"/>
    <s v="PRD-021"/>
    <x v="9"/>
    <x v="4"/>
    <n v="2"/>
    <n v="284000"/>
    <n v="0"/>
    <n v="189000"/>
    <n v="568000"/>
    <x v="522"/>
    <x v="0"/>
    <x v="0"/>
    <n v="1"/>
    <x v="22"/>
    <n v="0.66725352112676062"/>
  </r>
  <r>
    <s v="ID-2023-00894"/>
    <d v="2023-01-31T00:00:00"/>
    <s v="ST-004"/>
    <x v="2"/>
    <s v="CUST-114"/>
    <x v="1"/>
    <s v="PRD-021"/>
    <x v="9"/>
    <x v="4"/>
    <n v="1"/>
    <n v="206000"/>
    <n v="0"/>
    <n v="137000"/>
    <n v="206000"/>
    <x v="523"/>
    <x v="0"/>
    <x v="0"/>
    <n v="1"/>
    <x v="28"/>
    <n v="0.33495145631067963"/>
  </r>
  <r>
    <s v="ID-2023-00165"/>
    <d v="2023-02-01T00:00:00"/>
    <s v="ST-003"/>
    <x v="4"/>
    <s v="CUST-043"/>
    <x v="1"/>
    <s v="PRD-021"/>
    <x v="9"/>
    <x v="4"/>
    <n v="3"/>
    <n v="238000"/>
    <n v="0"/>
    <n v="160000"/>
    <n v="714000"/>
    <x v="465"/>
    <x v="1"/>
    <x v="0"/>
    <n v="2"/>
    <x v="0"/>
    <n v="0.77591036414565828"/>
  </r>
  <r>
    <s v="ID-2023-00946"/>
    <d v="2023-02-21T00:00:00"/>
    <s v="ST-001"/>
    <x v="0"/>
    <s v="CUST-115"/>
    <x v="0"/>
    <s v="PRD-021"/>
    <x v="9"/>
    <x v="4"/>
    <n v="1"/>
    <n v="290000"/>
    <n v="0"/>
    <n v="202000"/>
    <n v="290000"/>
    <x v="15"/>
    <x v="1"/>
    <x v="0"/>
    <n v="2"/>
    <x v="14"/>
    <n v="0.30344827586206896"/>
  </r>
  <r>
    <s v="ID-2023-01399"/>
    <d v="2023-02-26T00:00:00"/>
    <s v="ST-002"/>
    <x v="3"/>
    <s v="CUST-063"/>
    <x v="1"/>
    <s v="PRD-021"/>
    <x v="9"/>
    <x v="4"/>
    <n v="2"/>
    <n v="260000"/>
    <n v="0"/>
    <n v="177000"/>
    <n v="520000"/>
    <x v="435"/>
    <x v="1"/>
    <x v="0"/>
    <n v="2"/>
    <x v="6"/>
    <n v="0.6596153846153846"/>
  </r>
  <r>
    <s v="ID-2023-00921"/>
    <d v="2023-03-23T00:00:00"/>
    <s v="ST-001"/>
    <x v="0"/>
    <s v="CUST-065"/>
    <x v="1"/>
    <s v="PRD-021"/>
    <x v="9"/>
    <x v="4"/>
    <n v="1"/>
    <n v="314000"/>
    <n v="0.05"/>
    <n v="216000"/>
    <n v="298300"/>
    <x v="524"/>
    <x v="2"/>
    <x v="0"/>
    <n v="3"/>
    <x v="11"/>
    <n v="0.2758967482400268"/>
  </r>
  <r>
    <s v="ID-2023-00922"/>
    <d v="2023-03-29T00:00:00"/>
    <s v="ST-001"/>
    <x v="0"/>
    <s v="CUST-055"/>
    <x v="0"/>
    <s v="PRD-021"/>
    <x v="9"/>
    <x v="4"/>
    <n v="1"/>
    <n v="222000"/>
    <n v="0"/>
    <n v="154000"/>
    <n v="222000"/>
    <x v="525"/>
    <x v="2"/>
    <x v="0"/>
    <n v="3"/>
    <x v="7"/>
    <n v="0.30630630630630629"/>
  </r>
  <r>
    <s v="ID-2023-01007"/>
    <d v="2023-04-20T00:00:00"/>
    <s v="ST-001"/>
    <x v="0"/>
    <s v="CUST-008"/>
    <x v="1"/>
    <s v="PRD-021"/>
    <x v="9"/>
    <x v="4"/>
    <n v="1"/>
    <n v="253000"/>
    <n v="0"/>
    <n v="176000"/>
    <n v="253000"/>
    <x v="157"/>
    <x v="11"/>
    <x v="0"/>
    <n v="4"/>
    <x v="30"/>
    <n v="0.30434782608695654"/>
  </r>
  <r>
    <s v="ID-2023-00406"/>
    <d v="2023-05-25T00:00:00"/>
    <s v="ST-001"/>
    <x v="0"/>
    <s v="CUST-094"/>
    <x v="0"/>
    <s v="PRD-021"/>
    <x v="9"/>
    <x v="4"/>
    <n v="2"/>
    <n v="319000"/>
    <n v="0"/>
    <n v="220000"/>
    <n v="638000"/>
    <x v="526"/>
    <x v="3"/>
    <x v="0"/>
    <n v="5"/>
    <x v="12"/>
    <n v="0.65517241379310343"/>
  </r>
  <r>
    <s v="ID-2023-00308"/>
    <d v="2023-06-10T00:00:00"/>
    <s v="ST-001"/>
    <x v="0"/>
    <s v="CUST-145"/>
    <x v="1"/>
    <s v="PRD-021"/>
    <x v="9"/>
    <x v="4"/>
    <n v="2"/>
    <n v="257000"/>
    <n v="0"/>
    <n v="173000"/>
    <n v="514000"/>
    <x v="527"/>
    <x v="4"/>
    <x v="0"/>
    <n v="6"/>
    <x v="13"/>
    <n v="0.66342412451361865"/>
  </r>
  <r>
    <s v="ID-2023-01156"/>
    <d v="2023-06-13T00:00:00"/>
    <s v="ST-002"/>
    <x v="3"/>
    <s v="CUST-023"/>
    <x v="1"/>
    <s v="PRD-021"/>
    <x v="9"/>
    <x v="4"/>
    <n v="1"/>
    <n v="350000"/>
    <n v="0"/>
    <n v="243000"/>
    <n v="350000"/>
    <x v="39"/>
    <x v="4"/>
    <x v="0"/>
    <n v="6"/>
    <x v="23"/>
    <n v="0.30571428571428572"/>
  </r>
  <r>
    <s v="ID-2023-00314"/>
    <d v="2023-07-12T00:00:00"/>
    <s v="ST-001"/>
    <x v="0"/>
    <s v="CUST-105"/>
    <x v="2"/>
    <s v="PRD-021"/>
    <x v="9"/>
    <x v="4"/>
    <n v="1"/>
    <n v="282000"/>
    <n v="0.1"/>
    <n v="192000"/>
    <n v="253800"/>
    <x v="528"/>
    <x v="5"/>
    <x v="0"/>
    <n v="7"/>
    <x v="10"/>
    <n v="0.24349881796690306"/>
  </r>
  <r>
    <s v="ID-2023-00722"/>
    <d v="2023-07-26T00:00:00"/>
    <s v="ST-002"/>
    <x v="3"/>
    <s v="CUST-109"/>
    <x v="1"/>
    <s v="PRD-021"/>
    <x v="9"/>
    <x v="4"/>
    <n v="1"/>
    <n v="206000"/>
    <n v="0.05"/>
    <n v="141000"/>
    <n v="195700"/>
    <x v="529"/>
    <x v="5"/>
    <x v="0"/>
    <n v="7"/>
    <x v="6"/>
    <n v="0.2795094532447624"/>
  </r>
  <r>
    <s v="ID-2023-00877"/>
    <d v="2023-08-22T00:00:00"/>
    <s v="ST-005"/>
    <x v="1"/>
    <s v="CUST-124"/>
    <x v="1"/>
    <s v="PRD-021"/>
    <x v="9"/>
    <x v="4"/>
    <n v="2"/>
    <n v="181000"/>
    <n v="0"/>
    <n v="126000"/>
    <n v="362000"/>
    <x v="530"/>
    <x v="6"/>
    <x v="0"/>
    <n v="8"/>
    <x v="16"/>
    <n v="0.65193370165745856"/>
  </r>
  <r>
    <s v="ID-2023-00966"/>
    <d v="2023-09-15T00:00:00"/>
    <s v="ST-002"/>
    <x v="3"/>
    <s v="CUST-019"/>
    <x v="0"/>
    <s v="PRD-021"/>
    <x v="9"/>
    <x v="4"/>
    <n v="1"/>
    <n v="186000"/>
    <n v="0"/>
    <n v="126000"/>
    <n v="186000"/>
    <x v="531"/>
    <x v="7"/>
    <x v="0"/>
    <n v="9"/>
    <x v="19"/>
    <n v="0.32258064516129031"/>
  </r>
  <r>
    <s v="ID-2023-01471"/>
    <d v="2023-09-20T00:00:00"/>
    <s v="ST-001"/>
    <x v="0"/>
    <s v="CUST-039"/>
    <x v="0"/>
    <s v="PRD-021"/>
    <x v="9"/>
    <x v="4"/>
    <n v="1"/>
    <n v="348000"/>
    <n v="0"/>
    <n v="232000"/>
    <n v="348000"/>
    <x v="3"/>
    <x v="7"/>
    <x v="0"/>
    <n v="9"/>
    <x v="30"/>
    <n v="0.33333333333333331"/>
  </r>
  <r>
    <s v="ID-2023-01065"/>
    <d v="2023-10-09T00:00:00"/>
    <s v="ST-001"/>
    <x v="0"/>
    <s v="CUST-104"/>
    <x v="0"/>
    <s v="PRD-021"/>
    <x v="9"/>
    <x v="4"/>
    <n v="1"/>
    <n v="218000"/>
    <n v="0.05"/>
    <n v="146000"/>
    <n v="207100"/>
    <x v="532"/>
    <x v="8"/>
    <x v="0"/>
    <n v="10"/>
    <x v="1"/>
    <n v="0.29502655721873489"/>
  </r>
  <r>
    <s v="ID-2023-01777"/>
    <d v="2023-11-18T00:00:00"/>
    <s v="ST-004"/>
    <x v="2"/>
    <s v="CUST-090"/>
    <x v="0"/>
    <s v="PRD-021"/>
    <x v="9"/>
    <x v="4"/>
    <n v="1"/>
    <n v="220000"/>
    <n v="0"/>
    <n v="151000"/>
    <n v="220000"/>
    <x v="523"/>
    <x v="9"/>
    <x v="0"/>
    <n v="11"/>
    <x v="9"/>
    <n v="0.31363636363636366"/>
  </r>
  <r>
    <s v="ID-2023-01380"/>
    <d v="2023-11-26T00:00:00"/>
    <s v="ST-003"/>
    <x v="4"/>
    <s v="CUST-079"/>
    <x v="1"/>
    <s v="PRD-021"/>
    <x v="9"/>
    <x v="4"/>
    <n v="1"/>
    <n v="297000"/>
    <n v="0"/>
    <n v="197000"/>
    <n v="297000"/>
    <x v="13"/>
    <x v="9"/>
    <x v="0"/>
    <n v="11"/>
    <x v="6"/>
    <n v="0.33670033670033672"/>
  </r>
  <r>
    <s v="ID-2023-00665"/>
    <d v="2023-12-10T00:00:00"/>
    <s v="ST-005"/>
    <x v="1"/>
    <s v="CUST-015"/>
    <x v="1"/>
    <s v="PRD-021"/>
    <x v="9"/>
    <x v="4"/>
    <n v="1"/>
    <n v="193000"/>
    <n v="0"/>
    <n v="135000"/>
    <n v="193000"/>
    <x v="533"/>
    <x v="10"/>
    <x v="0"/>
    <n v="12"/>
    <x v="13"/>
    <n v="0.30051813471502592"/>
  </r>
  <r>
    <s v="ID-2024-01456"/>
    <d v="2024-01-09T00:00:00"/>
    <s v="ST-003"/>
    <x v="4"/>
    <s v="CUST-075"/>
    <x v="2"/>
    <s v="PRD-021"/>
    <x v="9"/>
    <x v="4"/>
    <n v="1"/>
    <n v="259000"/>
    <n v="0"/>
    <n v="174000"/>
    <n v="259000"/>
    <x v="485"/>
    <x v="0"/>
    <x v="1"/>
    <n v="1"/>
    <x v="1"/>
    <n v="0.3281853281853282"/>
  </r>
  <r>
    <s v="ID-2024-00189"/>
    <d v="2024-01-31T00:00:00"/>
    <s v="ST-001"/>
    <x v="0"/>
    <s v="CUST-145"/>
    <x v="1"/>
    <s v="PRD-021"/>
    <x v="9"/>
    <x v="4"/>
    <n v="1"/>
    <n v="266000"/>
    <n v="0"/>
    <n v="176000"/>
    <n v="266000"/>
    <x v="8"/>
    <x v="0"/>
    <x v="1"/>
    <n v="1"/>
    <x v="28"/>
    <n v="0.33834586466165412"/>
  </r>
  <r>
    <s v="ID-2024-00712"/>
    <d v="2024-02-27T00:00:00"/>
    <s v="ST-003"/>
    <x v="4"/>
    <s v="CUST-112"/>
    <x v="1"/>
    <s v="PRD-021"/>
    <x v="9"/>
    <x v="4"/>
    <n v="1"/>
    <n v="256000"/>
    <n v="0.05"/>
    <n v="176000"/>
    <n v="243200"/>
    <x v="534"/>
    <x v="1"/>
    <x v="1"/>
    <n v="2"/>
    <x v="24"/>
    <n v="0.27631578947368424"/>
  </r>
  <r>
    <s v="ID-2024-01232"/>
    <d v="2024-02-29T00:00:00"/>
    <s v="ST-001"/>
    <x v="0"/>
    <s v="CUST-105"/>
    <x v="2"/>
    <s v="PRD-021"/>
    <x v="9"/>
    <x v="4"/>
    <n v="2"/>
    <n v="341000"/>
    <n v="0"/>
    <n v="233000"/>
    <n v="682000"/>
    <x v="382"/>
    <x v="1"/>
    <x v="1"/>
    <n v="2"/>
    <x v="7"/>
    <n v="0.65835777126099704"/>
  </r>
  <r>
    <s v="ID-2024-01098"/>
    <d v="2024-04-04T00:00:00"/>
    <s v="ST-001"/>
    <x v="0"/>
    <s v="CUST-048"/>
    <x v="0"/>
    <s v="PRD-021"/>
    <x v="9"/>
    <x v="4"/>
    <n v="2"/>
    <n v="258000"/>
    <n v="0"/>
    <n v="180000"/>
    <n v="516000"/>
    <x v="535"/>
    <x v="11"/>
    <x v="1"/>
    <n v="4"/>
    <x v="20"/>
    <n v="0.65116279069767447"/>
  </r>
  <r>
    <s v="ID-2024-00520"/>
    <d v="2024-04-23T00:00:00"/>
    <s v="ST-001"/>
    <x v="0"/>
    <s v="CUST-056"/>
    <x v="2"/>
    <s v="PRD-021"/>
    <x v="9"/>
    <x v="4"/>
    <n v="2"/>
    <n v="348000"/>
    <n v="0"/>
    <n v="236000"/>
    <n v="696000"/>
    <x v="430"/>
    <x v="11"/>
    <x v="1"/>
    <n v="4"/>
    <x v="11"/>
    <n v="0.66091954022988508"/>
  </r>
  <r>
    <s v="ID-2024-00653"/>
    <d v="2024-05-12T00:00:00"/>
    <s v="ST-001"/>
    <x v="0"/>
    <s v="CUST-016"/>
    <x v="1"/>
    <s v="PRD-021"/>
    <x v="9"/>
    <x v="4"/>
    <n v="1"/>
    <n v="257000"/>
    <n v="0"/>
    <n v="176000"/>
    <n v="257000"/>
    <x v="40"/>
    <x v="3"/>
    <x v="1"/>
    <n v="5"/>
    <x v="10"/>
    <n v="0.31517509727626458"/>
  </r>
  <r>
    <s v="ID-2024-01544"/>
    <d v="2024-05-19T00:00:00"/>
    <s v="ST-004"/>
    <x v="2"/>
    <s v="CUST-022"/>
    <x v="1"/>
    <s v="PRD-021"/>
    <x v="9"/>
    <x v="4"/>
    <n v="1"/>
    <n v="284000"/>
    <n v="0"/>
    <n v="195000"/>
    <n v="284000"/>
    <x v="142"/>
    <x v="3"/>
    <x v="1"/>
    <n v="5"/>
    <x v="26"/>
    <n v="0.31338028169014087"/>
  </r>
  <r>
    <s v="ID-2024-00674"/>
    <d v="2024-05-21T00:00:00"/>
    <s v="ST-003"/>
    <x v="4"/>
    <s v="CUST-040"/>
    <x v="0"/>
    <s v="PRD-021"/>
    <x v="9"/>
    <x v="4"/>
    <n v="1"/>
    <n v="271000"/>
    <n v="0"/>
    <n v="179000"/>
    <n v="271000"/>
    <x v="28"/>
    <x v="3"/>
    <x v="1"/>
    <n v="5"/>
    <x v="14"/>
    <n v="0.33948339483394835"/>
  </r>
  <r>
    <s v="ID-2024-00785"/>
    <d v="2024-06-11T00:00:00"/>
    <s v="ST-001"/>
    <x v="0"/>
    <s v="CUST-059"/>
    <x v="1"/>
    <s v="PRD-021"/>
    <x v="9"/>
    <x v="4"/>
    <n v="1"/>
    <n v="359000"/>
    <n v="0"/>
    <n v="250000"/>
    <n v="359000"/>
    <x v="25"/>
    <x v="4"/>
    <x v="1"/>
    <n v="6"/>
    <x v="22"/>
    <n v="0.30362116991643456"/>
  </r>
  <r>
    <s v="ID-2024-01042"/>
    <d v="2024-06-12T00:00:00"/>
    <s v="ST-001"/>
    <x v="0"/>
    <s v="CUST-045"/>
    <x v="1"/>
    <s v="PRD-021"/>
    <x v="9"/>
    <x v="4"/>
    <n v="1"/>
    <n v="336000"/>
    <n v="0"/>
    <n v="224000"/>
    <n v="336000"/>
    <x v="160"/>
    <x v="4"/>
    <x v="1"/>
    <n v="6"/>
    <x v="10"/>
    <n v="0.33333333333333331"/>
  </r>
  <r>
    <s v="ID-2024-00185"/>
    <d v="2024-06-30T00:00:00"/>
    <s v="ST-002"/>
    <x v="3"/>
    <s v="CUST-142"/>
    <x v="1"/>
    <s v="PRD-021"/>
    <x v="9"/>
    <x v="4"/>
    <n v="1"/>
    <n v="365000"/>
    <n v="0"/>
    <n v="252000"/>
    <n v="365000"/>
    <x v="135"/>
    <x v="4"/>
    <x v="1"/>
    <n v="6"/>
    <x v="15"/>
    <n v="0.30958904109589042"/>
  </r>
  <r>
    <s v="ID-2024-00151"/>
    <d v="2024-07-10T00:00:00"/>
    <s v="ST-001"/>
    <x v="0"/>
    <s v="CUST-051"/>
    <x v="3"/>
    <s v="PRD-021"/>
    <x v="9"/>
    <x v="4"/>
    <n v="1"/>
    <n v="308000"/>
    <n v="0"/>
    <n v="210000"/>
    <n v="308000"/>
    <x v="222"/>
    <x v="5"/>
    <x v="1"/>
    <n v="7"/>
    <x v="13"/>
    <n v="0.31818181818181818"/>
  </r>
  <r>
    <s v="ID-2024-01167"/>
    <d v="2024-07-10T00:00:00"/>
    <s v="ST-004"/>
    <x v="2"/>
    <s v="CUST-053"/>
    <x v="2"/>
    <s v="PRD-021"/>
    <x v="9"/>
    <x v="4"/>
    <n v="1"/>
    <n v="278000"/>
    <n v="0.1"/>
    <n v="189000"/>
    <n v="250200"/>
    <x v="536"/>
    <x v="5"/>
    <x v="1"/>
    <n v="7"/>
    <x v="13"/>
    <n v="0.2446043165467626"/>
  </r>
  <r>
    <s v="ID-2024-00073"/>
    <d v="2024-08-18T00:00:00"/>
    <s v="ST-001"/>
    <x v="0"/>
    <s v="CUST-088"/>
    <x v="0"/>
    <s v="PRD-021"/>
    <x v="9"/>
    <x v="4"/>
    <n v="1"/>
    <n v="240000"/>
    <n v="0"/>
    <n v="160000"/>
    <n v="240000"/>
    <x v="133"/>
    <x v="6"/>
    <x v="1"/>
    <n v="8"/>
    <x v="9"/>
    <n v="0.33333333333333331"/>
  </r>
  <r>
    <s v="ID-2024-01410"/>
    <d v="2024-09-06T00:00:00"/>
    <s v="ST-001"/>
    <x v="0"/>
    <s v="CUST-006"/>
    <x v="1"/>
    <s v="PRD-021"/>
    <x v="9"/>
    <x v="4"/>
    <n v="1"/>
    <n v="311000"/>
    <n v="0.05"/>
    <n v="216000"/>
    <n v="295450"/>
    <x v="537"/>
    <x v="7"/>
    <x v="1"/>
    <n v="9"/>
    <x v="29"/>
    <n v="0.26891182941276021"/>
  </r>
  <r>
    <s v="ID-2024-01086"/>
    <d v="2024-10-18T00:00:00"/>
    <s v="ST-002"/>
    <x v="3"/>
    <s v="CUST-055"/>
    <x v="0"/>
    <s v="PRD-021"/>
    <x v="9"/>
    <x v="4"/>
    <n v="1"/>
    <n v="291590.90909090912"/>
    <n v="0"/>
    <n v="180000"/>
    <n v="291590.90909090912"/>
    <x v="538"/>
    <x v="8"/>
    <x v="1"/>
    <n v="10"/>
    <x v="9"/>
    <n v="0.3826968043647701"/>
  </r>
  <r>
    <s v="ID-2024-01122"/>
    <d v="2024-10-23T00:00:00"/>
    <s v="ST-003"/>
    <x v="4"/>
    <s v="CUST-131"/>
    <x v="0"/>
    <s v="PRD-021"/>
    <x v="9"/>
    <x v="4"/>
    <n v="1"/>
    <n v="306000"/>
    <n v="0.1"/>
    <n v="213000"/>
    <n v="275400"/>
    <x v="539"/>
    <x v="8"/>
    <x v="1"/>
    <n v="10"/>
    <x v="11"/>
    <n v="0.22657952069716775"/>
  </r>
  <r>
    <s v="ID-2024-00589"/>
    <d v="2024-11-16T00:00:00"/>
    <s v="ST-001"/>
    <x v="0"/>
    <s v="CUST-007"/>
    <x v="1"/>
    <s v="PRD-021"/>
    <x v="9"/>
    <x v="4"/>
    <n v="1"/>
    <n v="219000"/>
    <n v="0"/>
    <n v="152000"/>
    <n v="219000"/>
    <x v="145"/>
    <x v="9"/>
    <x v="1"/>
    <n v="11"/>
    <x v="5"/>
    <n v="0.30593607305936071"/>
  </r>
  <r>
    <s v="ID-2024-00162"/>
    <d v="2024-11-21T00:00:00"/>
    <s v="ST-001"/>
    <x v="0"/>
    <s v="CUST-020"/>
    <x v="1"/>
    <s v="PRD-021"/>
    <x v="9"/>
    <x v="4"/>
    <n v="1"/>
    <n v="325000"/>
    <n v="0.05"/>
    <n v="227000"/>
    <n v="308750"/>
    <x v="540"/>
    <x v="9"/>
    <x v="1"/>
    <n v="11"/>
    <x v="14"/>
    <n v="0.26477732793522268"/>
  </r>
  <r>
    <s v="ID-2024-01626"/>
    <d v="2024-11-26T00:00:00"/>
    <s v="ST-003"/>
    <x v="4"/>
    <s v="CUST-081"/>
    <x v="1"/>
    <s v="PRD-021"/>
    <x v="9"/>
    <x v="4"/>
    <n v="1"/>
    <n v="362000"/>
    <n v="0"/>
    <n v="240000"/>
    <n v="362000"/>
    <x v="541"/>
    <x v="9"/>
    <x v="1"/>
    <n v="11"/>
    <x v="6"/>
    <n v="0.33701657458563539"/>
  </r>
  <r>
    <s v="ID-2024-00360"/>
    <d v="2024-12-20T00:00:00"/>
    <s v="ST-001"/>
    <x v="0"/>
    <s v="CUST-055"/>
    <x v="0"/>
    <s v="PRD-021"/>
    <x v="9"/>
    <x v="4"/>
    <n v="3"/>
    <n v="194000"/>
    <n v="0"/>
    <n v="130000"/>
    <n v="582000"/>
    <x v="542"/>
    <x v="10"/>
    <x v="1"/>
    <n v="12"/>
    <x v="30"/>
    <n v="0.7766323024054983"/>
  </r>
  <r>
    <s v="ID-2025-00880"/>
    <d v="2025-01-05T00:00:00"/>
    <s v="ST-004"/>
    <x v="2"/>
    <s v="CUST-038"/>
    <x v="1"/>
    <s v="PRD-021"/>
    <x v="9"/>
    <x v="4"/>
    <n v="1"/>
    <n v="363000"/>
    <n v="0.05"/>
    <n v="254000"/>
    <n v="344850"/>
    <x v="543"/>
    <x v="0"/>
    <x v="2"/>
    <n v="1"/>
    <x v="21"/>
    <n v="0.26344787588806728"/>
  </r>
  <r>
    <s v="ID-2025-00688"/>
    <d v="2025-02-10T00:00:00"/>
    <s v="ST-001"/>
    <x v="0"/>
    <s v="CUST-092"/>
    <x v="2"/>
    <s v="PRD-021"/>
    <x v="9"/>
    <x v="4"/>
    <n v="1"/>
    <n v="328000"/>
    <n v="0.1"/>
    <n v="217000"/>
    <n v="295200"/>
    <x v="544"/>
    <x v="1"/>
    <x v="2"/>
    <n v="2"/>
    <x v="13"/>
    <n v="0.26490514905149054"/>
  </r>
  <r>
    <s v="ID-2025-00761"/>
    <d v="2025-02-12T00:00:00"/>
    <s v="ST-002"/>
    <x v="3"/>
    <s v="CUST-049"/>
    <x v="0"/>
    <s v="PRD-021"/>
    <x v="9"/>
    <x v="4"/>
    <n v="1"/>
    <n v="341000"/>
    <n v="0"/>
    <n v="231000"/>
    <n v="341000"/>
    <x v="24"/>
    <x v="1"/>
    <x v="2"/>
    <n v="2"/>
    <x v="10"/>
    <n v="0.32258064516129031"/>
  </r>
  <r>
    <s v="ID-2025-00365"/>
    <d v="2025-02-28T00:00:00"/>
    <s v="ST-004"/>
    <x v="2"/>
    <s v="CUST-147"/>
    <x v="0"/>
    <s v="PRD-021"/>
    <x v="9"/>
    <x v="4"/>
    <n v="1"/>
    <n v="244000"/>
    <n v="0"/>
    <n v="164000"/>
    <n v="244000"/>
    <x v="133"/>
    <x v="1"/>
    <x v="2"/>
    <n v="2"/>
    <x v="4"/>
    <n v="0.32786885245901637"/>
  </r>
  <r>
    <s v="ID-2025-00117"/>
    <d v="2025-04-12T00:00:00"/>
    <s v="ST-002"/>
    <x v="3"/>
    <s v="CUST-004"/>
    <x v="0"/>
    <s v="PRD-021"/>
    <x v="9"/>
    <x v="4"/>
    <n v="1"/>
    <n v="354000"/>
    <n v="0"/>
    <n v="239000"/>
    <n v="354000"/>
    <x v="43"/>
    <x v="11"/>
    <x v="2"/>
    <n v="4"/>
    <x v="10"/>
    <n v="0.3248587570621469"/>
  </r>
  <r>
    <s v="ID-2025-00867"/>
    <d v="2025-04-13T00:00:00"/>
    <s v="ST-002"/>
    <x v="3"/>
    <s v="CUST-128"/>
    <x v="1"/>
    <s v="PRD-021"/>
    <x v="9"/>
    <x v="4"/>
    <n v="1"/>
    <n v="291590.90909090912"/>
    <n v="0"/>
    <n v="180000"/>
    <n v="291590.90909090912"/>
    <x v="538"/>
    <x v="11"/>
    <x v="2"/>
    <n v="4"/>
    <x v="23"/>
    <n v="0.3826968043647701"/>
  </r>
  <r>
    <s v="ID-2025-00484"/>
    <d v="2025-05-07T00:00:00"/>
    <s v="ST-001"/>
    <x v="0"/>
    <s v="CUST-080"/>
    <x v="1"/>
    <s v="PRD-021"/>
    <x v="9"/>
    <x v="4"/>
    <n v="1"/>
    <n v="355000"/>
    <n v="0"/>
    <n v="237000"/>
    <n v="355000"/>
    <x v="7"/>
    <x v="3"/>
    <x v="2"/>
    <n v="5"/>
    <x v="3"/>
    <n v="0.3323943661971831"/>
  </r>
  <r>
    <s v="ID-2025-01689"/>
    <d v="2025-05-25T00:00:00"/>
    <s v="ST-002"/>
    <x v="3"/>
    <s v="CUST-100"/>
    <x v="1"/>
    <s v="PRD-021"/>
    <x v="9"/>
    <x v="4"/>
    <n v="1"/>
    <n v="338000"/>
    <n v="0"/>
    <n v="234000"/>
    <n v="338000"/>
    <x v="545"/>
    <x v="3"/>
    <x v="2"/>
    <n v="5"/>
    <x v="12"/>
    <n v="0.30769230769230771"/>
  </r>
  <r>
    <s v="ID-2025-01129"/>
    <d v="2025-07-24T00:00:00"/>
    <s v="ST-001"/>
    <x v="0"/>
    <s v="CUST-077"/>
    <x v="2"/>
    <s v="PRD-021"/>
    <x v="9"/>
    <x v="4"/>
    <n v="3"/>
    <n v="350000"/>
    <n v="0"/>
    <n v="237000"/>
    <n v="1050000"/>
    <x v="546"/>
    <x v="5"/>
    <x v="2"/>
    <n v="7"/>
    <x v="25"/>
    <n v="0.77428571428571424"/>
  </r>
  <r>
    <s v="ID-2025-00819"/>
    <d v="2025-08-21T00:00:00"/>
    <s v="ST-001"/>
    <x v="0"/>
    <s v="CUST-042"/>
    <x v="0"/>
    <s v="PRD-021"/>
    <x v="9"/>
    <x v="4"/>
    <n v="1"/>
    <n v="223000"/>
    <n v="0"/>
    <n v="156000"/>
    <n v="223000"/>
    <x v="145"/>
    <x v="6"/>
    <x v="2"/>
    <n v="8"/>
    <x v="14"/>
    <n v="0.30044843049327352"/>
  </r>
  <r>
    <s v="ID-2025-01466"/>
    <d v="2025-08-22T00:00:00"/>
    <s v="ST-004"/>
    <x v="2"/>
    <s v="CUST-143"/>
    <x v="0"/>
    <s v="PRD-021"/>
    <x v="9"/>
    <x v="4"/>
    <n v="1"/>
    <n v="380000"/>
    <n v="0"/>
    <n v="252000"/>
    <n v="380000"/>
    <x v="31"/>
    <x v="6"/>
    <x v="2"/>
    <n v="8"/>
    <x v="16"/>
    <n v="0.33684210526315789"/>
  </r>
  <r>
    <s v="ID-2025-00403"/>
    <d v="2025-09-20T00:00:00"/>
    <s v="ST-002"/>
    <x v="3"/>
    <s v="CUST-037"/>
    <x v="1"/>
    <s v="PRD-021"/>
    <x v="9"/>
    <x v="4"/>
    <n v="1"/>
    <n v="258000"/>
    <n v="0"/>
    <n v="176000"/>
    <n v="258000"/>
    <x v="27"/>
    <x v="7"/>
    <x v="2"/>
    <n v="9"/>
    <x v="30"/>
    <n v="0.31782945736434109"/>
  </r>
  <r>
    <s v="ID-2025-00751"/>
    <d v="2025-11-26T00:00:00"/>
    <s v="ST-004"/>
    <x v="2"/>
    <s v="CUST-039"/>
    <x v="0"/>
    <s v="PRD-021"/>
    <x v="9"/>
    <x v="4"/>
    <n v="1"/>
    <n v="314000"/>
    <n v="0"/>
    <n v="211000"/>
    <n v="314000"/>
    <x v="147"/>
    <x v="9"/>
    <x v="2"/>
    <n v="11"/>
    <x v="6"/>
    <n v="0.32802547770700635"/>
  </r>
  <r>
    <s v="ID-2025-00960"/>
    <d v="2025-12-04T00:00:00"/>
    <s v="ST-001"/>
    <x v="0"/>
    <s v="CUST-052"/>
    <x v="2"/>
    <s v="PRD-021"/>
    <x v="9"/>
    <x v="4"/>
    <n v="1"/>
    <n v="331000"/>
    <n v="0"/>
    <n v="226000"/>
    <n v="331000"/>
    <x v="547"/>
    <x v="10"/>
    <x v="2"/>
    <n v="12"/>
    <x v="20"/>
    <n v="0.31722054380664655"/>
  </r>
  <r>
    <s v="ID-2025-01608"/>
    <d v="2025-12-14T00:00:00"/>
    <s v="ST-004"/>
    <x v="2"/>
    <s v="CUST-076"/>
    <x v="2"/>
    <s v="PRD-021"/>
    <x v="9"/>
    <x v="4"/>
    <n v="1"/>
    <n v="296000"/>
    <n v="0"/>
    <n v="204000"/>
    <n v="296000"/>
    <x v="28"/>
    <x v="10"/>
    <x v="2"/>
    <n v="12"/>
    <x v="18"/>
    <n v="0.3108108108108108"/>
  </r>
  <r>
    <s v="ID-2025-01414"/>
    <d v="2025-12-16T00:00:00"/>
    <s v="ST-001"/>
    <x v="0"/>
    <s v="CUST-020"/>
    <x v="1"/>
    <s v="PRD-021"/>
    <x v="9"/>
    <x v="4"/>
    <n v="5"/>
    <n v="342000"/>
    <n v="0"/>
    <n v="235000"/>
    <n v="1710000"/>
    <x v="548"/>
    <x v="10"/>
    <x v="2"/>
    <n v="12"/>
    <x v="5"/>
    <n v="0.86257309941520466"/>
  </r>
  <r>
    <s v="ID-2026-01019"/>
    <d v="2026-02-03T00:00:00"/>
    <s v="ST-003"/>
    <x v="4"/>
    <s v="CUST-148"/>
    <x v="0"/>
    <s v="PRD-021"/>
    <x v="9"/>
    <x v="4"/>
    <n v="1"/>
    <n v="387000"/>
    <n v="0"/>
    <n v="262000"/>
    <n v="387000"/>
    <x v="176"/>
    <x v="1"/>
    <x v="3"/>
    <n v="2"/>
    <x v="8"/>
    <n v="0.32299741602067183"/>
  </r>
  <r>
    <s v="ID-2026-00247"/>
    <d v="2026-02-11T00:00:00"/>
    <s v="ST-003"/>
    <x v="4"/>
    <s v="CUST-103"/>
    <x v="1"/>
    <s v="PRD-021"/>
    <x v="9"/>
    <x v="4"/>
    <n v="1"/>
    <n v="382000"/>
    <n v="0.05"/>
    <n v="253000"/>
    <n v="362900"/>
    <x v="549"/>
    <x v="1"/>
    <x v="3"/>
    <n v="2"/>
    <x v="22"/>
    <n v="0.30283824745108845"/>
  </r>
  <r>
    <s v="ID-2026-01411"/>
    <d v="2026-02-18T00:00:00"/>
    <s v="ST-003"/>
    <x v="4"/>
    <s v="CUST-040"/>
    <x v="0"/>
    <s v="PRD-021"/>
    <x v="9"/>
    <x v="4"/>
    <n v="1"/>
    <n v="356000"/>
    <n v="0"/>
    <n v="246000"/>
    <n v="356000"/>
    <x v="24"/>
    <x v="1"/>
    <x v="3"/>
    <n v="2"/>
    <x v="9"/>
    <n v="0.3089887640449438"/>
  </r>
  <r>
    <s v="ID-2026-01339"/>
    <d v="2026-04-05T00:00:00"/>
    <s v="ST-003"/>
    <x v="4"/>
    <s v="CUST-114"/>
    <x v="1"/>
    <s v="PRD-021"/>
    <x v="9"/>
    <x v="4"/>
    <n v="1"/>
    <n v="372000"/>
    <n v="0"/>
    <n v="254000"/>
    <n v="372000"/>
    <x v="7"/>
    <x v="11"/>
    <x v="3"/>
    <n v="4"/>
    <x v="21"/>
    <n v="0.31720430107526881"/>
  </r>
  <r>
    <s v="ID-2026-00204"/>
    <d v="2026-04-11T00:00:00"/>
    <s v="ST-001"/>
    <x v="0"/>
    <s v="CUST-024"/>
    <x v="1"/>
    <s v="PRD-021"/>
    <x v="9"/>
    <x v="4"/>
    <n v="1"/>
    <n v="231000"/>
    <n v="0.05"/>
    <n v="156000"/>
    <n v="219450"/>
    <x v="550"/>
    <x v="11"/>
    <x v="3"/>
    <n v="4"/>
    <x v="22"/>
    <n v="0.28913192071086807"/>
  </r>
  <r>
    <s v="ID-2026-01080"/>
    <d v="2026-04-20T00:00:00"/>
    <s v="ST-001"/>
    <x v="0"/>
    <s v="CUST-125"/>
    <x v="1"/>
    <s v="PRD-021"/>
    <x v="9"/>
    <x v="4"/>
    <n v="2"/>
    <n v="209000"/>
    <n v="0.15"/>
    <n v="146000"/>
    <n v="355300"/>
    <x v="551"/>
    <x v="11"/>
    <x v="3"/>
    <n v="4"/>
    <x v="30"/>
    <n v="0.5890796509991556"/>
  </r>
  <r>
    <s v="ID-2026-00842"/>
    <d v="2026-05-05T00:00:00"/>
    <s v="ST-001"/>
    <x v="0"/>
    <s v="CUST-147"/>
    <x v="0"/>
    <s v="PRD-021"/>
    <x v="9"/>
    <x v="4"/>
    <n v="1"/>
    <n v="350000"/>
    <n v="0.05"/>
    <n v="241000"/>
    <n v="332500"/>
    <x v="552"/>
    <x v="3"/>
    <x v="3"/>
    <n v="5"/>
    <x v="21"/>
    <n v="0.27518796992481204"/>
  </r>
  <r>
    <s v="ID-2026-01350"/>
    <d v="2026-05-29T00:00:00"/>
    <s v="ST-001"/>
    <x v="0"/>
    <s v="CUST-087"/>
    <x v="2"/>
    <s v="PRD-021"/>
    <x v="9"/>
    <x v="4"/>
    <n v="1"/>
    <n v="397000"/>
    <n v="0"/>
    <n v="274000"/>
    <n v="397000"/>
    <x v="498"/>
    <x v="3"/>
    <x v="3"/>
    <n v="5"/>
    <x v="7"/>
    <n v="0.30982367758186397"/>
  </r>
  <r>
    <s v="ID-2026-00928"/>
    <d v="2026-06-23T00:00:00"/>
    <s v="ST-003"/>
    <x v="4"/>
    <s v="CUST-113"/>
    <x v="2"/>
    <s v="PRD-021"/>
    <x v="9"/>
    <x v="4"/>
    <n v="1"/>
    <n v="210000"/>
    <n v="0.1"/>
    <n v="144000"/>
    <n v="189000"/>
    <x v="553"/>
    <x v="4"/>
    <x v="3"/>
    <n v="6"/>
    <x v="11"/>
    <n v="0.23809523809523808"/>
  </r>
  <r>
    <s v="ID-2023-00288"/>
    <d v="2023-01-11T00:00:00"/>
    <s v="ST-001"/>
    <x v="0"/>
    <s v="CUST-032"/>
    <x v="1"/>
    <s v="PRD-024"/>
    <x v="10"/>
    <x v="2"/>
    <n v="1"/>
    <n v="144000"/>
    <n v="0"/>
    <n v="91000"/>
    <n v="144000"/>
    <x v="554"/>
    <x v="0"/>
    <x v="0"/>
    <n v="1"/>
    <x v="22"/>
    <n v="0.36805555555555558"/>
  </r>
  <r>
    <s v="ID-2023-00016"/>
    <d v="2023-03-22T00:00:00"/>
    <s v="ST-005"/>
    <x v="1"/>
    <s v="CUST-132"/>
    <x v="1"/>
    <s v="PRD-024"/>
    <x v="10"/>
    <x v="2"/>
    <n v="1"/>
    <n v="99000"/>
    <n v="0"/>
    <n v="66000"/>
    <n v="99000"/>
    <x v="555"/>
    <x v="2"/>
    <x v="0"/>
    <n v="3"/>
    <x v="16"/>
    <n v="0.33333333333333331"/>
  </r>
  <r>
    <s v="ID-2023-00051"/>
    <d v="2023-05-26T00:00:00"/>
    <s v="ST-003"/>
    <x v="4"/>
    <s v="CUST-069"/>
    <x v="1"/>
    <s v="PRD-024"/>
    <x v="10"/>
    <x v="2"/>
    <n v="2"/>
    <n v="82000"/>
    <n v="0.05"/>
    <n v="54000"/>
    <n v="155800"/>
    <x v="556"/>
    <x v="3"/>
    <x v="0"/>
    <n v="5"/>
    <x v="6"/>
    <n v="0.65340179717586655"/>
  </r>
  <r>
    <s v="ID-2023-01610"/>
    <d v="2023-06-05T00:00:00"/>
    <s v="ST-004"/>
    <x v="2"/>
    <s v="CUST-113"/>
    <x v="2"/>
    <s v="PRD-024"/>
    <x v="10"/>
    <x v="2"/>
    <n v="1"/>
    <n v="81000"/>
    <n v="0"/>
    <n v="53000"/>
    <n v="81000"/>
    <x v="557"/>
    <x v="4"/>
    <x v="0"/>
    <n v="6"/>
    <x v="21"/>
    <n v="0.34567901234567899"/>
  </r>
  <r>
    <s v="ID-2023-01029"/>
    <d v="2023-07-24T00:00:00"/>
    <s v="ST-001"/>
    <x v="0"/>
    <s v="CUST-100"/>
    <x v="1"/>
    <s v="PRD-024"/>
    <x v="10"/>
    <x v="2"/>
    <n v="2"/>
    <n v="128000"/>
    <n v="0"/>
    <n v="85000"/>
    <n v="256000"/>
    <x v="558"/>
    <x v="5"/>
    <x v="0"/>
    <n v="7"/>
    <x v="25"/>
    <n v="0.66796875"/>
  </r>
  <r>
    <s v="ID-2023-01583"/>
    <d v="2023-07-29T00:00:00"/>
    <s v="ST-004"/>
    <x v="2"/>
    <s v="CUST-025"/>
    <x v="0"/>
    <s v="PRD-024"/>
    <x v="10"/>
    <x v="2"/>
    <n v="1"/>
    <n v="167000"/>
    <n v="0"/>
    <n v="111000"/>
    <n v="167000"/>
    <x v="151"/>
    <x v="5"/>
    <x v="0"/>
    <n v="7"/>
    <x v="7"/>
    <n v="0.33532934131736525"/>
  </r>
  <r>
    <s v="ID-2023-00395"/>
    <d v="2023-08-10T00:00:00"/>
    <s v="ST-003"/>
    <x v="4"/>
    <s v="CUST-029"/>
    <x v="0"/>
    <s v="PRD-024"/>
    <x v="10"/>
    <x v="2"/>
    <n v="1"/>
    <n v="140000"/>
    <n v="0"/>
    <n v="89000"/>
    <n v="140000"/>
    <x v="559"/>
    <x v="6"/>
    <x v="0"/>
    <n v="8"/>
    <x v="13"/>
    <n v="0.36428571428571427"/>
  </r>
  <r>
    <s v="ID-2023-00449"/>
    <d v="2023-08-20T00:00:00"/>
    <s v="ST-001"/>
    <x v="0"/>
    <s v="CUST-129"/>
    <x v="1"/>
    <s v="PRD-024"/>
    <x v="10"/>
    <x v="2"/>
    <n v="1"/>
    <n v="131000"/>
    <n v="0"/>
    <n v="86000"/>
    <n v="131000"/>
    <x v="553"/>
    <x v="6"/>
    <x v="0"/>
    <n v="8"/>
    <x v="30"/>
    <n v="0.34351145038167941"/>
  </r>
  <r>
    <s v="ID-2023-01483"/>
    <d v="2023-09-13T00:00:00"/>
    <s v="ST-001"/>
    <x v="0"/>
    <s v="CUST-119"/>
    <x v="1"/>
    <s v="PRD-024"/>
    <x v="10"/>
    <x v="2"/>
    <n v="1"/>
    <n v="161000"/>
    <n v="0"/>
    <n v="102000"/>
    <n v="161000"/>
    <x v="560"/>
    <x v="7"/>
    <x v="0"/>
    <n v="9"/>
    <x v="23"/>
    <n v="0.36645962732919257"/>
  </r>
  <r>
    <s v="ID-2023-00638"/>
    <d v="2023-09-14T00:00:00"/>
    <s v="ST-002"/>
    <x v="3"/>
    <s v="CUST-138"/>
    <x v="2"/>
    <s v="PRD-024"/>
    <x v="10"/>
    <x v="2"/>
    <n v="1"/>
    <n v="132000"/>
    <n v="0"/>
    <n v="86000"/>
    <n v="132000"/>
    <x v="561"/>
    <x v="7"/>
    <x v="0"/>
    <n v="9"/>
    <x v="18"/>
    <n v="0.34848484848484851"/>
  </r>
  <r>
    <s v="ID-2023-00193"/>
    <d v="2023-09-21T00:00:00"/>
    <s v="ST-004"/>
    <x v="2"/>
    <s v="CUST-031"/>
    <x v="0"/>
    <s v="PRD-024"/>
    <x v="10"/>
    <x v="2"/>
    <n v="1"/>
    <n v="164000"/>
    <n v="0"/>
    <n v="105000"/>
    <n v="164000"/>
    <x v="560"/>
    <x v="7"/>
    <x v="0"/>
    <n v="9"/>
    <x v="14"/>
    <n v="0.3597560975609756"/>
  </r>
  <r>
    <s v="ID-2023-00999"/>
    <d v="2023-09-30T00:00:00"/>
    <s v="ST-001"/>
    <x v="0"/>
    <s v="CUST-025"/>
    <x v="0"/>
    <s v="PRD-024"/>
    <x v="10"/>
    <x v="2"/>
    <n v="1"/>
    <n v="86000"/>
    <n v="0"/>
    <n v="55000"/>
    <n v="86000"/>
    <x v="562"/>
    <x v="7"/>
    <x v="0"/>
    <n v="9"/>
    <x v="15"/>
    <n v="0.36046511627906974"/>
  </r>
  <r>
    <s v="ID-2023-00489"/>
    <d v="2023-10-31T00:00:00"/>
    <s v="ST-001"/>
    <x v="0"/>
    <s v="CUST-007"/>
    <x v="1"/>
    <s v="PRD-024"/>
    <x v="10"/>
    <x v="2"/>
    <n v="1"/>
    <n v="166000"/>
    <n v="0"/>
    <n v="106000"/>
    <n v="166000"/>
    <x v="531"/>
    <x v="8"/>
    <x v="0"/>
    <n v="10"/>
    <x v="28"/>
    <n v="0.36144578313253012"/>
  </r>
  <r>
    <s v="ID-2024-00645"/>
    <d v="2024-01-02T00:00:00"/>
    <s v="ST-003"/>
    <x v="4"/>
    <s v="CUST-060"/>
    <x v="1"/>
    <s v="PRD-024"/>
    <x v="10"/>
    <x v="2"/>
    <n v="1"/>
    <n v="91000"/>
    <n v="0"/>
    <n v="58000"/>
    <n v="91000"/>
    <x v="555"/>
    <x v="0"/>
    <x v="1"/>
    <n v="1"/>
    <x v="17"/>
    <n v="0.36263736263736263"/>
  </r>
  <r>
    <s v="ID-2024-01297"/>
    <d v="2024-01-20T00:00:00"/>
    <s v="ST-005"/>
    <x v="1"/>
    <s v="CUST-116"/>
    <x v="1"/>
    <s v="PRD-024"/>
    <x v="10"/>
    <x v="2"/>
    <n v="1"/>
    <n v="144000"/>
    <n v="0"/>
    <n v="93000"/>
    <n v="144000"/>
    <x v="559"/>
    <x v="0"/>
    <x v="1"/>
    <n v="1"/>
    <x v="30"/>
    <n v="0.35416666666666669"/>
  </r>
  <r>
    <s v="ID-2024-00373"/>
    <d v="2024-01-24T00:00:00"/>
    <s v="ST-001"/>
    <x v="0"/>
    <s v="CUST-005"/>
    <x v="1"/>
    <s v="PRD-024"/>
    <x v="10"/>
    <x v="2"/>
    <n v="1"/>
    <n v="141000"/>
    <n v="0.1"/>
    <n v="94000"/>
    <n v="126900"/>
    <x v="563"/>
    <x v="0"/>
    <x v="1"/>
    <n v="1"/>
    <x v="25"/>
    <n v="0.25925925925925924"/>
  </r>
  <r>
    <s v="ID-2024-00009"/>
    <d v="2024-02-01T00:00:00"/>
    <s v="ST-001"/>
    <x v="0"/>
    <s v="CUST-046"/>
    <x v="0"/>
    <s v="PRD-024"/>
    <x v="10"/>
    <x v="2"/>
    <n v="1"/>
    <n v="161000"/>
    <n v="0"/>
    <n v="107000"/>
    <n v="161000"/>
    <x v="564"/>
    <x v="1"/>
    <x v="1"/>
    <n v="2"/>
    <x v="0"/>
    <n v="0.33540372670807456"/>
  </r>
  <r>
    <s v="ID-2024-00943"/>
    <d v="2024-02-06T00:00:00"/>
    <s v="ST-002"/>
    <x v="3"/>
    <s v="CUST-064"/>
    <x v="1"/>
    <s v="PRD-024"/>
    <x v="10"/>
    <x v="2"/>
    <n v="1"/>
    <n v="170000"/>
    <n v="0"/>
    <n v="112000"/>
    <n v="170000"/>
    <x v="533"/>
    <x v="1"/>
    <x v="1"/>
    <n v="2"/>
    <x v="29"/>
    <n v="0.3411764705882353"/>
  </r>
  <r>
    <s v="ID-2024-00668"/>
    <d v="2024-02-10T00:00:00"/>
    <s v="ST-004"/>
    <x v="2"/>
    <s v="CUST-091"/>
    <x v="1"/>
    <s v="PRD-024"/>
    <x v="10"/>
    <x v="2"/>
    <n v="1"/>
    <n v="107000"/>
    <n v="0"/>
    <n v="68000"/>
    <n v="107000"/>
    <x v="565"/>
    <x v="1"/>
    <x v="1"/>
    <n v="2"/>
    <x v="13"/>
    <n v="0.3644859813084112"/>
  </r>
  <r>
    <s v="ID-2024-00178"/>
    <d v="2024-03-04T00:00:00"/>
    <s v="ST-001"/>
    <x v="0"/>
    <s v="CUST-028"/>
    <x v="0"/>
    <s v="PRD-024"/>
    <x v="10"/>
    <x v="2"/>
    <n v="1"/>
    <n v="157000"/>
    <n v="0"/>
    <n v="101000"/>
    <n v="157000"/>
    <x v="151"/>
    <x v="2"/>
    <x v="1"/>
    <n v="3"/>
    <x v="20"/>
    <n v="0.35668789808917195"/>
  </r>
  <r>
    <s v="ID-2024-00660"/>
    <d v="2024-03-05T00:00:00"/>
    <s v="ST-001"/>
    <x v="0"/>
    <s v="CUST-031"/>
    <x v="0"/>
    <s v="PRD-024"/>
    <x v="10"/>
    <x v="2"/>
    <n v="2"/>
    <n v="160000"/>
    <n v="0"/>
    <n v="101000"/>
    <n v="320000"/>
    <x v="566"/>
    <x v="2"/>
    <x v="1"/>
    <n v="3"/>
    <x v="21"/>
    <n v="0.68437499999999996"/>
  </r>
  <r>
    <s v="ID-2024-01560"/>
    <d v="2024-03-08T00:00:00"/>
    <s v="ST-003"/>
    <x v="4"/>
    <s v="CUST-058"/>
    <x v="1"/>
    <s v="PRD-024"/>
    <x v="10"/>
    <x v="2"/>
    <n v="1"/>
    <n v="89000"/>
    <n v="0.05"/>
    <n v="58000"/>
    <n v="84550"/>
    <x v="567"/>
    <x v="2"/>
    <x v="1"/>
    <n v="3"/>
    <x v="27"/>
    <n v="0.31401537551744529"/>
  </r>
  <r>
    <s v="ID-2024-00099"/>
    <d v="2024-03-11T00:00:00"/>
    <s v="ST-002"/>
    <x v="3"/>
    <s v="CUST-123"/>
    <x v="1"/>
    <s v="PRD-024"/>
    <x v="10"/>
    <x v="2"/>
    <n v="3"/>
    <n v="136000"/>
    <n v="0"/>
    <n v="89000"/>
    <n v="408000"/>
    <x v="568"/>
    <x v="2"/>
    <x v="1"/>
    <n v="3"/>
    <x v="22"/>
    <n v="0.78186274509803921"/>
  </r>
  <r>
    <s v="ID-2024-01302"/>
    <d v="2024-05-28T00:00:00"/>
    <s v="ST-003"/>
    <x v="4"/>
    <s v="CUST-041"/>
    <x v="1"/>
    <s v="PRD-024"/>
    <x v="10"/>
    <x v="2"/>
    <n v="1"/>
    <n v="174000"/>
    <n v="0.05"/>
    <n v="110000"/>
    <n v="165300"/>
    <x v="569"/>
    <x v="3"/>
    <x v="1"/>
    <n v="5"/>
    <x v="4"/>
    <n v="0.33454325468844526"/>
  </r>
  <r>
    <s v="ID-2024-01776"/>
    <d v="2024-06-16T00:00:00"/>
    <s v="ST-004"/>
    <x v="2"/>
    <s v="CUST-087"/>
    <x v="2"/>
    <s v="PRD-024"/>
    <x v="10"/>
    <x v="2"/>
    <n v="1"/>
    <n v="103000"/>
    <n v="0"/>
    <n v="65000"/>
    <n v="103000"/>
    <x v="570"/>
    <x v="4"/>
    <x v="1"/>
    <n v="6"/>
    <x v="5"/>
    <n v="0.36893203883495146"/>
  </r>
  <r>
    <s v="ID-2024-00973"/>
    <d v="2024-06-26T00:00:00"/>
    <s v="ST-001"/>
    <x v="0"/>
    <s v="CUST-090"/>
    <x v="0"/>
    <s v="PRD-024"/>
    <x v="10"/>
    <x v="2"/>
    <n v="1"/>
    <n v="132000"/>
    <n v="0"/>
    <n v="87000"/>
    <n v="132000"/>
    <x v="553"/>
    <x v="4"/>
    <x v="1"/>
    <n v="6"/>
    <x v="6"/>
    <n v="0.34090909090909088"/>
  </r>
  <r>
    <s v="ID-2024-00698"/>
    <d v="2024-08-08T00:00:00"/>
    <s v="ST-001"/>
    <x v="0"/>
    <s v="CUST-140"/>
    <x v="3"/>
    <s v="PRD-024"/>
    <x v="10"/>
    <x v="2"/>
    <n v="1"/>
    <n v="167000"/>
    <n v="0"/>
    <n v="111000"/>
    <n v="167000"/>
    <x v="151"/>
    <x v="6"/>
    <x v="1"/>
    <n v="8"/>
    <x v="27"/>
    <n v="0.33532934131736525"/>
  </r>
  <r>
    <s v="ID-2024-00816"/>
    <d v="2024-08-16T00:00:00"/>
    <s v="ST-005"/>
    <x v="1"/>
    <s v="CUST-143"/>
    <x v="0"/>
    <s v="PRD-024"/>
    <x v="10"/>
    <x v="2"/>
    <n v="1"/>
    <n v="97000"/>
    <n v="0"/>
    <n v="63000"/>
    <n v="97000"/>
    <x v="571"/>
    <x v="6"/>
    <x v="1"/>
    <n v="8"/>
    <x v="5"/>
    <n v="0.35051546391752575"/>
  </r>
  <r>
    <s v="ID-2024-01078"/>
    <d v="2024-08-19T00:00:00"/>
    <s v="ST-005"/>
    <x v="1"/>
    <s v="CUST-113"/>
    <x v="2"/>
    <s v="PRD-024"/>
    <x v="10"/>
    <x v="2"/>
    <n v="2"/>
    <n v="166000"/>
    <n v="0"/>
    <n v="105000"/>
    <n v="332000"/>
    <x v="572"/>
    <x v="6"/>
    <x v="1"/>
    <n v="8"/>
    <x v="26"/>
    <n v="0.6837349397590361"/>
  </r>
  <r>
    <s v="ID-2024-01671"/>
    <d v="2024-09-19T00:00:00"/>
    <s v="ST-005"/>
    <x v="1"/>
    <s v="CUST-045"/>
    <x v="1"/>
    <s v="PRD-024"/>
    <x v="10"/>
    <x v="2"/>
    <n v="1"/>
    <n v="141592.59259259258"/>
    <n v="0"/>
    <n v="84000"/>
    <n v="141592.59259259258"/>
    <x v="573"/>
    <x v="7"/>
    <x v="1"/>
    <n v="9"/>
    <x v="26"/>
    <n v="0.40674862673293222"/>
  </r>
  <r>
    <s v="ID-2024-01453"/>
    <d v="2024-11-06T00:00:00"/>
    <s v="ST-002"/>
    <x v="3"/>
    <s v="CUST-021"/>
    <x v="0"/>
    <s v="PRD-024"/>
    <x v="10"/>
    <x v="2"/>
    <n v="2"/>
    <n v="170000"/>
    <n v="0"/>
    <n v="109000"/>
    <n v="340000"/>
    <x v="574"/>
    <x v="9"/>
    <x v="1"/>
    <n v="11"/>
    <x v="29"/>
    <n v="0.67941176470588238"/>
  </r>
  <r>
    <s v="ID-2024-01786"/>
    <d v="2024-12-05T00:00:00"/>
    <s v="ST-001"/>
    <x v="0"/>
    <s v="CUST-124"/>
    <x v="1"/>
    <s v="PRD-024"/>
    <x v="10"/>
    <x v="2"/>
    <n v="1"/>
    <n v="113000"/>
    <n v="0.05"/>
    <n v="73000"/>
    <n v="107350"/>
    <x v="575"/>
    <x v="10"/>
    <x v="1"/>
    <n v="12"/>
    <x v="21"/>
    <n v="0.31998136935258498"/>
  </r>
  <r>
    <s v="ID-2025-00981"/>
    <d v="2025-01-05T00:00:00"/>
    <s v="ST-003"/>
    <x v="4"/>
    <s v="CUST-051"/>
    <x v="3"/>
    <s v="PRD-024"/>
    <x v="10"/>
    <x v="2"/>
    <n v="1"/>
    <n v="153000"/>
    <n v="0"/>
    <n v="99000"/>
    <n v="153000"/>
    <x v="564"/>
    <x v="0"/>
    <x v="2"/>
    <n v="1"/>
    <x v="21"/>
    <n v="0.35294117647058826"/>
  </r>
  <r>
    <s v="ID-2025-00824"/>
    <d v="2025-01-26T00:00:00"/>
    <s v="ST-001"/>
    <x v="0"/>
    <s v="CUST-064"/>
    <x v="1"/>
    <s v="PRD-024"/>
    <x v="10"/>
    <x v="2"/>
    <n v="1"/>
    <n v="154000"/>
    <n v="0"/>
    <n v="102000"/>
    <n v="154000"/>
    <x v="576"/>
    <x v="0"/>
    <x v="2"/>
    <n v="1"/>
    <x v="6"/>
    <n v="0.33766233766233766"/>
  </r>
  <r>
    <s v="ID-2025-01447"/>
    <d v="2025-02-25T00:00:00"/>
    <s v="ST-004"/>
    <x v="2"/>
    <s v="CUST-099"/>
    <x v="1"/>
    <s v="PRD-024"/>
    <x v="10"/>
    <x v="2"/>
    <n v="1"/>
    <n v="189000"/>
    <n v="0"/>
    <n v="122000"/>
    <n v="189000"/>
    <x v="145"/>
    <x v="1"/>
    <x v="2"/>
    <n v="2"/>
    <x v="12"/>
    <n v="0.35449735449735448"/>
  </r>
  <r>
    <s v="ID-2025-01542"/>
    <d v="2025-03-18T00:00:00"/>
    <s v="ST-002"/>
    <x v="3"/>
    <s v="CUST-101"/>
    <x v="1"/>
    <s v="PRD-024"/>
    <x v="10"/>
    <x v="2"/>
    <n v="1"/>
    <n v="187000"/>
    <n v="0.15"/>
    <n v="118000"/>
    <n v="158950"/>
    <x v="577"/>
    <x v="2"/>
    <x v="2"/>
    <n v="3"/>
    <x v="9"/>
    <n v="0.25762818496382511"/>
  </r>
  <r>
    <s v="ID-2025-00306"/>
    <d v="2025-04-09T00:00:00"/>
    <s v="ST-003"/>
    <x v="4"/>
    <s v="CUST-024"/>
    <x v="1"/>
    <s v="PRD-024"/>
    <x v="10"/>
    <x v="2"/>
    <n v="2"/>
    <n v="159000"/>
    <n v="0"/>
    <n v="104000"/>
    <n v="318000"/>
    <x v="578"/>
    <x v="11"/>
    <x v="2"/>
    <n v="4"/>
    <x v="1"/>
    <n v="0.67295597484276726"/>
  </r>
  <r>
    <s v="ID-2025-01110"/>
    <d v="2025-04-19T00:00:00"/>
    <s v="ST-002"/>
    <x v="3"/>
    <s v="CUST-058"/>
    <x v="1"/>
    <s v="PRD-024"/>
    <x v="10"/>
    <x v="2"/>
    <n v="1"/>
    <n v="175000"/>
    <n v="0"/>
    <n v="114000"/>
    <n v="175000"/>
    <x v="579"/>
    <x v="11"/>
    <x v="2"/>
    <n v="4"/>
    <x v="26"/>
    <n v="0.34857142857142859"/>
  </r>
  <r>
    <s v="ID-2025-01252"/>
    <d v="2025-04-19T00:00:00"/>
    <s v="ST-001"/>
    <x v="0"/>
    <s v="CUST-027"/>
    <x v="1"/>
    <s v="PRD-024"/>
    <x v="10"/>
    <x v="2"/>
    <n v="1"/>
    <n v="122000"/>
    <n v="0"/>
    <n v="80000"/>
    <n v="122000"/>
    <x v="580"/>
    <x v="11"/>
    <x v="2"/>
    <n v="4"/>
    <x v="26"/>
    <n v="0.34426229508196721"/>
  </r>
  <r>
    <s v="ID-2025-01534"/>
    <d v="2025-04-28T00:00:00"/>
    <s v="ST-001"/>
    <x v="0"/>
    <s v="CUST-094"/>
    <x v="0"/>
    <s v="PRD-024"/>
    <x v="10"/>
    <x v="2"/>
    <n v="3"/>
    <n v="174000"/>
    <n v="0.1"/>
    <n v="112000"/>
    <n v="469800"/>
    <x v="581"/>
    <x v="11"/>
    <x v="2"/>
    <n v="4"/>
    <x v="4"/>
    <n v="0.76160068114091106"/>
  </r>
  <r>
    <s v="ID-2025-00392"/>
    <d v="2025-07-03T00:00:00"/>
    <s v="ST-002"/>
    <x v="3"/>
    <s v="CUST-095"/>
    <x v="2"/>
    <s v="PRD-024"/>
    <x v="10"/>
    <x v="2"/>
    <n v="1"/>
    <n v="179000"/>
    <n v="0"/>
    <n v="115000"/>
    <n v="179000"/>
    <x v="582"/>
    <x v="5"/>
    <x v="2"/>
    <n v="7"/>
    <x v="8"/>
    <n v="0.35754189944134079"/>
  </r>
  <r>
    <s v="ID-2025-00490"/>
    <d v="2025-08-07T00:00:00"/>
    <s v="ST-001"/>
    <x v="0"/>
    <s v="CUST-087"/>
    <x v="2"/>
    <s v="PRD-024"/>
    <x v="10"/>
    <x v="2"/>
    <n v="1"/>
    <n v="173000"/>
    <n v="0"/>
    <n v="111000"/>
    <n v="173000"/>
    <x v="143"/>
    <x v="6"/>
    <x v="2"/>
    <n v="8"/>
    <x v="3"/>
    <n v="0.3583815028901734"/>
  </r>
  <r>
    <s v="ID-2025-01627"/>
    <d v="2025-08-08T00:00:00"/>
    <s v="ST-001"/>
    <x v="0"/>
    <s v="CUST-003"/>
    <x v="2"/>
    <s v="PRD-024"/>
    <x v="10"/>
    <x v="2"/>
    <n v="2"/>
    <n v="161000"/>
    <n v="0.05"/>
    <n v="102000"/>
    <n v="305900"/>
    <x v="583"/>
    <x v="6"/>
    <x v="2"/>
    <n v="8"/>
    <x v="27"/>
    <n v="0.66655769859431191"/>
  </r>
  <r>
    <s v="ID-2025-00988"/>
    <d v="2025-08-12T00:00:00"/>
    <s v="ST-002"/>
    <x v="3"/>
    <s v="CUST-039"/>
    <x v="0"/>
    <s v="PRD-024"/>
    <x v="10"/>
    <x v="2"/>
    <n v="1"/>
    <n v="118000"/>
    <n v="0"/>
    <n v="78000"/>
    <n v="118000"/>
    <x v="584"/>
    <x v="6"/>
    <x v="2"/>
    <n v="8"/>
    <x v="10"/>
    <n v="0.33898305084745761"/>
  </r>
  <r>
    <s v="ID-2025-00566"/>
    <d v="2025-08-30T00:00:00"/>
    <s v="ST-002"/>
    <x v="3"/>
    <s v="CUST-016"/>
    <x v="1"/>
    <s v="PRD-024"/>
    <x v="10"/>
    <x v="2"/>
    <n v="3"/>
    <n v="192000"/>
    <n v="0"/>
    <n v="126000"/>
    <n v="576000"/>
    <x v="460"/>
    <x v="6"/>
    <x v="2"/>
    <n v="8"/>
    <x v="15"/>
    <n v="0.78125"/>
  </r>
  <r>
    <s v="ID-2025-00239"/>
    <d v="2025-10-09T00:00:00"/>
    <s v="ST-001"/>
    <x v="0"/>
    <s v="CUST-049"/>
    <x v="0"/>
    <s v="PRD-024"/>
    <x v="10"/>
    <x v="2"/>
    <n v="1"/>
    <n v="124000"/>
    <n v="0.05"/>
    <n v="81000"/>
    <n v="117800"/>
    <x v="585"/>
    <x v="8"/>
    <x v="2"/>
    <n v="10"/>
    <x v="1"/>
    <n v="0.31239388794567063"/>
  </r>
  <r>
    <s v="ID-2025-00939"/>
    <d v="2025-10-31T00:00:00"/>
    <s v="ST-001"/>
    <x v="0"/>
    <s v="CUST-029"/>
    <x v="0"/>
    <s v="PRD-024"/>
    <x v="10"/>
    <x v="2"/>
    <n v="2"/>
    <n v="129000"/>
    <n v="0"/>
    <n v="86000"/>
    <n v="258000"/>
    <x v="586"/>
    <x v="8"/>
    <x v="2"/>
    <n v="10"/>
    <x v="28"/>
    <n v="0.66666666666666663"/>
  </r>
  <r>
    <s v="ID-2025-01551"/>
    <d v="2025-11-01T00:00:00"/>
    <s v="ST-002"/>
    <x v="3"/>
    <s v="CUST-137"/>
    <x v="0"/>
    <s v="PRD-024"/>
    <x v="10"/>
    <x v="2"/>
    <n v="3"/>
    <n v="141592.59259259258"/>
    <n v="0"/>
    <n v="0"/>
    <n v="424777.77777777775"/>
    <x v="587"/>
    <x v="9"/>
    <x v="2"/>
    <n v="11"/>
    <x v="0"/>
    <n v="1"/>
  </r>
  <r>
    <s v="ID-2025-00427"/>
    <d v="2025-11-25T00:00:00"/>
    <s v="ST-001"/>
    <x v="0"/>
    <s v="CUST-147"/>
    <x v="0"/>
    <s v="PRD-024"/>
    <x v="10"/>
    <x v="2"/>
    <n v="1"/>
    <n v="117000"/>
    <n v="0"/>
    <n v="76000"/>
    <n v="117000"/>
    <x v="588"/>
    <x v="9"/>
    <x v="2"/>
    <n v="11"/>
    <x v="12"/>
    <n v="0.3504273504273504"/>
  </r>
  <r>
    <s v="ID-2025-01293"/>
    <d v="2025-12-30T00:00:00"/>
    <s v="ST-001"/>
    <x v="0"/>
    <s v="CUST-127"/>
    <x v="1"/>
    <s v="PRD-024"/>
    <x v="10"/>
    <x v="2"/>
    <n v="1"/>
    <n v="89000"/>
    <n v="0"/>
    <n v="59000"/>
    <n v="89000"/>
    <x v="589"/>
    <x v="10"/>
    <x v="2"/>
    <n v="12"/>
    <x v="15"/>
    <n v="0.33707865168539325"/>
  </r>
  <r>
    <s v="ID-2026-01261"/>
    <d v="2026-01-13T00:00:00"/>
    <s v="ST-001"/>
    <x v="0"/>
    <s v="CUST-084"/>
    <x v="1"/>
    <s v="PRD-024"/>
    <x v="10"/>
    <x v="2"/>
    <n v="1"/>
    <n v="138000"/>
    <n v="0.1"/>
    <n v="88000"/>
    <n v="124200"/>
    <x v="590"/>
    <x v="0"/>
    <x v="3"/>
    <n v="1"/>
    <x v="23"/>
    <n v="0.29146537842190018"/>
  </r>
  <r>
    <s v="ID-2026-01039"/>
    <d v="2026-01-28T00:00:00"/>
    <s v="ST-001"/>
    <x v="0"/>
    <s v="CUST-112"/>
    <x v="1"/>
    <s v="PRD-024"/>
    <x v="10"/>
    <x v="2"/>
    <n v="1"/>
    <n v="153000"/>
    <n v="0"/>
    <n v="101000"/>
    <n v="153000"/>
    <x v="576"/>
    <x v="0"/>
    <x v="3"/>
    <n v="1"/>
    <x v="4"/>
    <n v="0.33986928104575165"/>
  </r>
  <r>
    <s v="ID-2026-00383"/>
    <d v="2026-02-06T00:00:00"/>
    <s v="ST-001"/>
    <x v="0"/>
    <s v="CUST-100"/>
    <x v="1"/>
    <s v="PRD-024"/>
    <x v="10"/>
    <x v="2"/>
    <n v="2"/>
    <n v="94000"/>
    <n v="0"/>
    <n v="60000"/>
    <n v="188000"/>
    <x v="31"/>
    <x v="1"/>
    <x v="3"/>
    <n v="2"/>
    <x v="29"/>
    <n v="0.68085106382978722"/>
  </r>
  <r>
    <s v="ID-2026-00980"/>
    <d v="2026-04-25T00:00:00"/>
    <s v="ST-001"/>
    <x v="0"/>
    <s v="CUST-112"/>
    <x v="1"/>
    <s v="PRD-024"/>
    <x v="10"/>
    <x v="2"/>
    <n v="1"/>
    <n v="165000"/>
    <n v="0.05"/>
    <n v="106000"/>
    <n v="156750"/>
    <x v="591"/>
    <x v="11"/>
    <x v="3"/>
    <n v="4"/>
    <x v="12"/>
    <n v="0.3237639553429027"/>
  </r>
  <r>
    <s v="ID-2026-01395"/>
    <d v="2026-05-10T00:00:00"/>
    <s v="ST-001"/>
    <x v="0"/>
    <s v="CUST-136"/>
    <x v="1"/>
    <s v="PRD-024"/>
    <x v="10"/>
    <x v="2"/>
    <n v="1"/>
    <n v="159000"/>
    <n v="0.15"/>
    <n v="105000"/>
    <n v="135150"/>
    <x v="592"/>
    <x v="3"/>
    <x v="3"/>
    <n v="5"/>
    <x v="13"/>
    <n v="0.22308546059933407"/>
  </r>
  <r>
    <s v="ID-2026-00925"/>
    <d v="2026-06-25T00:00:00"/>
    <s v="ST-001"/>
    <x v="0"/>
    <s v="CUST-091"/>
    <x v="1"/>
    <s v="PRD-024"/>
    <x v="10"/>
    <x v="2"/>
    <n v="3"/>
    <n v="183000"/>
    <n v="0"/>
    <n v="120000"/>
    <n v="549000"/>
    <x v="593"/>
    <x v="4"/>
    <x v="3"/>
    <n v="6"/>
    <x v="12"/>
    <n v="0.78142076502732238"/>
  </r>
  <r>
    <s v="ID-2023-01082"/>
    <d v="2023-01-11T00:00:00"/>
    <s v="ST-002"/>
    <x v="3"/>
    <s v="CUST-037"/>
    <x v="1"/>
    <s v="PRD-017"/>
    <x v="11"/>
    <x v="0"/>
    <n v="1"/>
    <n v="939000"/>
    <n v="0.15"/>
    <n v="672000"/>
    <n v="798150"/>
    <x v="594"/>
    <x v="0"/>
    <x v="0"/>
    <n v="1"/>
    <x v="22"/>
    <n v="0.15805299755685021"/>
  </r>
  <r>
    <s v="ID-2023-01004"/>
    <d v="2023-01-15T00:00:00"/>
    <s v="ST-001"/>
    <x v="0"/>
    <s v="CUST-144"/>
    <x v="1"/>
    <s v="PRD-017"/>
    <x v="11"/>
    <x v="0"/>
    <n v="1"/>
    <n v="814000"/>
    <n v="0"/>
    <n v="590000"/>
    <n v="814000"/>
    <x v="595"/>
    <x v="0"/>
    <x v="0"/>
    <n v="1"/>
    <x v="19"/>
    <n v="0.27518427518427518"/>
  </r>
  <r>
    <s v="ID-2023-01021"/>
    <d v="2023-01-17T00:00:00"/>
    <s v="ST-003"/>
    <x v="4"/>
    <s v="CUST-056"/>
    <x v="2"/>
    <s v="PRD-017"/>
    <x v="11"/>
    <x v="0"/>
    <n v="1"/>
    <n v="806000"/>
    <n v="0"/>
    <n v="588000"/>
    <n v="806000"/>
    <x v="596"/>
    <x v="0"/>
    <x v="0"/>
    <n v="1"/>
    <x v="2"/>
    <n v="0.27047146401985112"/>
  </r>
  <r>
    <s v="ID-2023-00240"/>
    <d v="2023-03-02T00:00:00"/>
    <s v="ST-002"/>
    <x v="3"/>
    <s v="CUST-016"/>
    <x v="1"/>
    <s v="PRD-017"/>
    <x v="11"/>
    <x v="0"/>
    <n v="1"/>
    <n v="1218000"/>
    <n v="0"/>
    <n v="896000"/>
    <n v="1218000"/>
    <x v="597"/>
    <x v="2"/>
    <x v="0"/>
    <n v="3"/>
    <x v="17"/>
    <n v="0.26436781609195403"/>
  </r>
  <r>
    <s v="ID-2023-01657"/>
    <d v="2023-06-08T00:00:00"/>
    <s v="ST-003"/>
    <x v="4"/>
    <s v="CUST-140"/>
    <x v="3"/>
    <s v="PRD-017"/>
    <x v="11"/>
    <x v="0"/>
    <n v="1"/>
    <n v="927000"/>
    <n v="0"/>
    <n v="667000"/>
    <n v="927000"/>
    <x v="598"/>
    <x v="4"/>
    <x v="0"/>
    <n v="6"/>
    <x v="27"/>
    <n v="0.28047464940668826"/>
  </r>
  <r>
    <s v="ID-2023-00806"/>
    <d v="2023-07-19T00:00:00"/>
    <s v="ST-001"/>
    <x v="0"/>
    <s v="CUST-096"/>
    <x v="0"/>
    <s v="PRD-017"/>
    <x v="11"/>
    <x v="0"/>
    <n v="1"/>
    <n v="1235000"/>
    <n v="0"/>
    <n v="907000"/>
    <n v="1235000"/>
    <x v="599"/>
    <x v="5"/>
    <x v="0"/>
    <n v="7"/>
    <x v="26"/>
    <n v="0.26558704453441295"/>
  </r>
  <r>
    <s v="ID-2023-00948"/>
    <d v="2023-07-21T00:00:00"/>
    <s v="ST-001"/>
    <x v="0"/>
    <s v="CUST-083"/>
    <x v="1"/>
    <s v="PRD-017"/>
    <x v="11"/>
    <x v="0"/>
    <n v="3"/>
    <n v="996000"/>
    <n v="0"/>
    <n v="735000"/>
    <n v="2988000"/>
    <x v="600"/>
    <x v="5"/>
    <x v="0"/>
    <n v="7"/>
    <x v="14"/>
    <n v="0.75401606425702816"/>
  </r>
  <r>
    <s v="ID-2023-00212"/>
    <d v="2023-10-22T00:00:00"/>
    <s v="ST-001"/>
    <x v="0"/>
    <s v="CUST-138"/>
    <x v="2"/>
    <s v="PRD-017"/>
    <x v="11"/>
    <x v="0"/>
    <n v="1"/>
    <n v="1050000"/>
    <n v="0"/>
    <n v="772000"/>
    <n v="1050000"/>
    <x v="601"/>
    <x v="8"/>
    <x v="0"/>
    <n v="10"/>
    <x v="16"/>
    <n v="0.26476190476190475"/>
  </r>
  <r>
    <s v="ID-2023-00075"/>
    <d v="2023-12-09T00:00:00"/>
    <s v="ST-001"/>
    <x v="0"/>
    <s v="CUST-076"/>
    <x v="2"/>
    <s v="PRD-017"/>
    <x v="11"/>
    <x v="0"/>
    <n v="1"/>
    <n v="1286000"/>
    <n v="0"/>
    <n v="935000"/>
    <n v="1286000"/>
    <x v="602"/>
    <x v="10"/>
    <x v="0"/>
    <n v="12"/>
    <x v="1"/>
    <n v="0.27293934681181958"/>
  </r>
  <r>
    <s v="ID-2023-00681"/>
    <d v="2023-12-16T00:00:00"/>
    <s v="ST-005"/>
    <x v="1"/>
    <s v="CUST-114"/>
    <x v="1"/>
    <s v="PRD-017"/>
    <x v="11"/>
    <x v="0"/>
    <n v="1"/>
    <n v="1153000"/>
    <n v="0"/>
    <n v="813000"/>
    <n v="1153000"/>
    <x v="603"/>
    <x v="10"/>
    <x v="0"/>
    <n v="12"/>
    <x v="5"/>
    <n v="0.29488291413703382"/>
  </r>
  <r>
    <s v="ID-2024-00586"/>
    <d v="2024-01-03T00:00:00"/>
    <s v="ST-005"/>
    <x v="1"/>
    <s v="CUST-084"/>
    <x v="1"/>
    <s v="PRD-017"/>
    <x v="11"/>
    <x v="0"/>
    <n v="1"/>
    <n v="960000"/>
    <n v="0"/>
    <n v="706000"/>
    <n v="960000"/>
    <x v="604"/>
    <x v="0"/>
    <x v="1"/>
    <n v="1"/>
    <x v="8"/>
    <n v="0.26458333333333334"/>
  </r>
  <r>
    <s v="ID-2024-01667"/>
    <d v="2024-02-09T00:00:00"/>
    <s v="ST-004"/>
    <x v="2"/>
    <s v="CUST-146"/>
    <x v="1"/>
    <s v="PRD-017"/>
    <x v="11"/>
    <x v="0"/>
    <n v="5"/>
    <n v="897000"/>
    <n v="0"/>
    <n v="649000"/>
    <n v="4485000"/>
    <x v="605"/>
    <x v="1"/>
    <x v="1"/>
    <n v="2"/>
    <x v="1"/>
    <n v="0.85529542920847268"/>
  </r>
  <r>
    <s v="ID-2024-00808"/>
    <d v="2024-02-25T00:00:00"/>
    <s v="ST-001"/>
    <x v="0"/>
    <s v="CUST-092"/>
    <x v="2"/>
    <s v="PRD-017"/>
    <x v="11"/>
    <x v="0"/>
    <n v="1"/>
    <n v="1308000"/>
    <n v="0.1"/>
    <n v="945000"/>
    <n v="1177200"/>
    <x v="606"/>
    <x v="1"/>
    <x v="1"/>
    <n v="2"/>
    <x v="12"/>
    <n v="0.19724770642201836"/>
  </r>
  <r>
    <s v="ID-2024-01311"/>
    <d v="2024-04-04T00:00:00"/>
    <s v="ST-001"/>
    <x v="0"/>
    <s v="CUST-078"/>
    <x v="1"/>
    <s v="PRD-017"/>
    <x v="11"/>
    <x v="0"/>
    <n v="3"/>
    <n v="883000"/>
    <n v="0.05"/>
    <n v="651000"/>
    <n v="2516550"/>
    <x v="607"/>
    <x v="11"/>
    <x v="1"/>
    <n v="4"/>
    <x v="20"/>
    <n v="0.74131251117601482"/>
  </r>
  <r>
    <s v="ID-2024-01304"/>
    <d v="2024-04-20T00:00:00"/>
    <s v="ST-001"/>
    <x v="0"/>
    <s v="CUST-022"/>
    <x v="1"/>
    <s v="PRD-017"/>
    <x v="11"/>
    <x v="0"/>
    <n v="1"/>
    <n v="1231000"/>
    <n v="0"/>
    <n v="867000"/>
    <n v="1231000"/>
    <x v="608"/>
    <x v="11"/>
    <x v="1"/>
    <n v="4"/>
    <x v="30"/>
    <n v="0.2956945572705118"/>
  </r>
  <r>
    <s v="ID-2024-00466"/>
    <d v="2024-04-26T00:00:00"/>
    <s v="ST-003"/>
    <x v="4"/>
    <s v="CUST-078"/>
    <x v="1"/>
    <s v="PRD-017"/>
    <x v="11"/>
    <x v="0"/>
    <n v="1"/>
    <n v="899000"/>
    <n v="0"/>
    <n v="633000"/>
    <n v="899000"/>
    <x v="609"/>
    <x v="11"/>
    <x v="1"/>
    <n v="4"/>
    <x v="6"/>
    <n v="0.29588431590656283"/>
  </r>
  <r>
    <s v="ID-2024-00968"/>
    <d v="2024-05-20T00:00:00"/>
    <s v="ST-001"/>
    <x v="0"/>
    <s v="CUST-102"/>
    <x v="0"/>
    <s v="PRD-017"/>
    <x v="11"/>
    <x v="0"/>
    <n v="1"/>
    <n v="900000"/>
    <n v="0"/>
    <n v="643000"/>
    <n v="900000"/>
    <x v="610"/>
    <x v="3"/>
    <x v="1"/>
    <n v="5"/>
    <x v="30"/>
    <n v="0.28555555555555556"/>
  </r>
  <r>
    <s v="ID-2024-00924"/>
    <d v="2024-05-23T00:00:00"/>
    <s v="ST-004"/>
    <x v="2"/>
    <s v="CUST-036"/>
    <x v="1"/>
    <s v="PRD-017"/>
    <x v="11"/>
    <x v="0"/>
    <n v="1"/>
    <n v="1342000"/>
    <n v="0"/>
    <n v="965000"/>
    <n v="1342000"/>
    <x v="611"/>
    <x v="3"/>
    <x v="1"/>
    <n v="5"/>
    <x v="11"/>
    <n v="0.28092399403874813"/>
  </r>
  <r>
    <s v="ID-2024-01177"/>
    <d v="2024-05-29T00:00:00"/>
    <s v="ST-004"/>
    <x v="2"/>
    <s v="CUST-102"/>
    <x v="0"/>
    <s v="PRD-017"/>
    <x v="11"/>
    <x v="0"/>
    <n v="1"/>
    <n v="885000"/>
    <n v="0"/>
    <n v="645000"/>
    <n v="885000"/>
    <x v="612"/>
    <x v="3"/>
    <x v="1"/>
    <n v="5"/>
    <x v="7"/>
    <n v="0.2711864406779661"/>
  </r>
  <r>
    <s v="ID-2024-00817"/>
    <d v="2024-05-30T00:00:00"/>
    <s v="ST-004"/>
    <x v="2"/>
    <s v="CUST-096"/>
    <x v="0"/>
    <s v="PRD-017"/>
    <x v="11"/>
    <x v="0"/>
    <n v="1"/>
    <n v="868000"/>
    <n v="0.05"/>
    <n v="634000"/>
    <n v="824600"/>
    <x v="613"/>
    <x v="3"/>
    <x v="1"/>
    <n v="5"/>
    <x v="15"/>
    <n v="0.2311423720591802"/>
  </r>
  <r>
    <s v="ID-2024-01318"/>
    <d v="2024-06-16T00:00:00"/>
    <s v="ST-003"/>
    <x v="4"/>
    <s v="CUST-054"/>
    <x v="1"/>
    <s v="PRD-017"/>
    <x v="11"/>
    <x v="0"/>
    <n v="1"/>
    <n v="1185000"/>
    <n v="0"/>
    <n v="869000"/>
    <n v="1185000"/>
    <x v="614"/>
    <x v="4"/>
    <x v="1"/>
    <n v="6"/>
    <x v="5"/>
    <n v="0.26666666666666666"/>
  </r>
  <r>
    <s v="ID-2024-01753"/>
    <d v="2024-06-26T00:00:00"/>
    <s v="ST-002"/>
    <x v="3"/>
    <s v="CUST-007"/>
    <x v="1"/>
    <s v="PRD-017"/>
    <x v="11"/>
    <x v="0"/>
    <n v="1"/>
    <n v="1131000"/>
    <n v="0"/>
    <n v="818000"/>
    <n v="1131000"/>
    <x v="615"/>
    <x v="4"/>
    <x v="1"/>
    <n v="6"/>
    <x v="6"/>
    <n v="0.27674624226348365"/>
  </r>
  <r>
    <s v="ID-2024-00899"/>
    <d v="2024-09-10T00:00:00"/>
    <s v="ST-003"/>
    <x v="4"/>
    <s v="CUST-133"/>
    <x v="1"/>
    <s v="PRD-017"/>
    <x v="11"/>
    <x v="0"/>
    <n v="2"/>
    <n v="930000"/>
    <n v="0"/>
    <n v="671000"/>
    <n v="1860000"/>
    <x v="616"/>
    <x v="7"/>
    <x v="1"/>
    <n v="9"/>
    <x v="13"/>
    <n v="0.63924731182795702"/>
  </r>
  <r>
    <s v="ID-2024-00918"/>
    <d v="2024-09-29T00:00:00"/>
    <s v="ST-001"/>
    <x v="0"/>
    <s v="CUST-145"/>
    <x v="1"/>
    <s v="PRD-017"/>
    <x v="11"/>
    <x v="0"/>
    <n v="1"/>
    <n v="1287000"/>
    <n v="0"/>
    <n v="932000"/>
    <n v="1287000"/>
    <x v="617"/>
    <x v="7"/>
    <x v="1"/>
    <n v="9"/>
    <x v="7"/>
    <n v="0.27583527583527584"/>
  </r>
  <r>
    <s v="ID-2024-00338"/>
    <d v="2024-10-13T00:00:00"/>
    <s v="ST-002"/>
    <x v="3"/>
    <s v="CUST-047"/>
    <x v="1"/>
    <s v="PRD-017"/>
    <x v="11"/>
    <x v="0"/>
    <n v="2"/>
    <n v="1226000"/>
    <n v="0.05"/>
    <n v="879000"/>
    <n v="2329400"/>
    <x v="618"/>
    <x v="8"/>
    <x v="1"/>
    <n v="10"/>
    <x v="23"/>
    <n v="0.6226496093414613"/>
  </r>
  <r>
    <s v="ID-2024-00694"/>
    <d v="2024-10-19T00:00:00"/>
    <s v="ST-004"/>
    <x v="2"/>
    <s v="CUST-137"/>
    <x v="0"/>
    <s v="PRD-017"/>
    <x v="11"/>
    <x v="0"/>
    <n v="2"/>
    <n v="1280000"/>
    <n v="0"/>
    <n v="912000"/>
    <n v="2560000"/>
    <x v="335"/>
    <x v="8"/>
    <x v="1"/>
    <n v="10"/>
    <x v="26"/>
    <n v="0.64375000000000004"/>
  </r>
  <r>
    <s v="ID-2024-01361"/>
    <d v="2024-11-03T00:00:00"/>
    <s v="ST-001"/>
    <x v="0"/>
    <s v="CUST-049"/>
    <x v="0"/>
    <s v="PRD-017"/>
    <x v="11"/>
    <x v="0"/>
    <n v="1"/>
    <n v="1107000"/>
    <n v="0"/>
    <n v="804000"/>
    <n v="1107000"/>
    <x v="619"/>
    <x v="9"/>
    <x v="1"/>
    <n v="11"/>
    <x v="8"/>
    <n v="0.27371273712737126"/>
  </r>
  <r>
    <s v="ID-2024-00919"/>
    <d v="2024-11-11T00:00:00"/>
    <s v="ST-001"/>
    <x v="0"/>
    <s v="CUST-031"/>
    <x v="0"/>
    <s v="PRD-017"/>
    <x v="11"/>
    <x v="0"/>
    <n v="2"/>
    <n v="1178000"/>
    <n v="0"/>
    <n v="856000"/>
    <n v="2356000"/>
    <x v="620"/>
    <x v="9"/>
    <x v="1"/>
    <n v="11"/>
    <x v="22"/>
    <n v="0.63667232597623091"/>
  </r>
  <r>
    <s v="ID-2024-01766"/>
    <d v="2024-11-15T00:00:00"/>
    <s v="ST-001"/>
    <x v="0"/>
    <s v="CUST-008"/>
    <x v="1"/>
    <s v="PRD-017"/>
    <x v="11"/>
    <x v="0"/>
    <n v="1"/>
    <n v="969000"/>
    <n v="0"/>
    <n v="690000"/>
    <n v="969000"/>
    <x v="621"/>
    <x v="9"/>
    <x v="1"/>
    <n v="11"/>
    <x v="19"/>
    <n v="0.28792569659442724"/>
  </r>
  <r>
    <s v="ID-2024-01554"/>
    <d v="2024-11-24T00:00:00"/>
    <s v="ST-001"/>
    <x v="0"/>
    <s v="CUST-061"/>
    <x v="1"/>
    <s v="PRD-017"/>
    <x v="11"/>
    <x v="0"/>
    <n v="2"/>
    <n v="1198000"/>
    <n v="0"/>
    <n v="868000"/>
    <n v="2396000"/>
    <x v="622"/>
    <x v="9"/>
    <x v="1"/>
    <n v="11"/>
    <x v="25"/>
    <n v="0.63772954924874792"/>
  </r>
  <r>
    <s v="ID-2024-01661"/>
    <d v="2024-11-28T00:00:00"/>
    <s v="ST-003"/>
    <x v="4"/>
    <s v="CUST-016"/>
    <x v="1"/>
    <s v="PRD-017"/>
    <x v="11"/>
    <x v="0"/>
    <n v="2"/>
    <n v="894000"/>
    <n v="0"/>
    <n v="644000"/>
    <n v="1788000"/>
    <x v="623"/>
    <x v="9"/>
    <x v="1"/>
    <n v="11"/>
    <x v="4"/>
    <n v="0.63982102908277405"/>
  </r>
  <r>
    <s v="ID-2024-00225"/>
    <d v="2024-12-15T00:00:00"/>
    <s v="ST-004"/>
    <x v="2"/>
    <s v="CUST-061"/>
    <x v="1"/>
    <s v="PRD-017"/>
    <x v="11"/>
    <x v="0"/>
    <n v="1"/>
    <n v="1114000"/>
    <n v="0"/>
    <n v="798000"/>
    <n v="1114000"/>
    <x v="614"/>
    <x v="10"/>
    <x v="1"/>
    <n v="12"/>
    <x v="19"/>
    <n v="0.28366247755834828"/>
  </r>
  <r>
    <s v="ID-2024-01301"/>
    <d v="2024-12-25T00:00:00"/>
    <s v="ST-001"/>
    <x v="0"/>
    <s v="CUST-006"/>
    <x v="1"/>
    <s v="PRD-017"/>
    <x v="11"/>
    <x v="0"/>
    <n v="2"/>
    <n v="1120000"/>
    <n v="0"/>
    <n v="791000"/>
    <n v="2240000"/>
    <x v="624"/>
    <x v="10"/>
    <x v="1"/>
    <n v="12"/>
    <x v="12"/>
    <n v="0.64687499999999998"/>
  </r>
  <r>
    <s v="ID-2025-01524"/>
    <d v="2025-02-15T00:00:00"/>
    <s v="ST-002"/>
    <x v="3"/>
    <s v="CUST-108"/>
    <x v="2"/>
    <s v="PRD-017"/>
    <x v="11"/>
    <x v="0"/>
    <n v="1"/>
    <n v="1161000"/>
    <n v="0"/>
    <n v="819000"/>
    <n v="1161000"/>
    <x v="625"/>
    <x v="1"/>
    <x v="2"/>
    <n v="2"/>
    <x v="19"/>
    <n v="0.29457364341085274"/>
  </r>
  <r>
    <s v="ID-2025-00593"/>
    <d v="2025-02-18T00:00:00"/>
    <s v="ST-002"/>
    <x v="3"/>
    <s v="CUST-073"/>
    <x v="1"/>
    <s v="PRD-017"/>
    <x v="11"/>
    <x v="0"/>
    <n v="1"/>
    <n v="905000"/>
    <n v="0"/>
    <n v="664000"/>
    <n v="905000"/>
    <x v="626"/>
    <x v="1"/>
    <x v="2"/>
    <n v="2"/>
    <x v="9"/>
    <n v="0.26629834254143647"/>
  </r>
  <r>
    <s v="ID-2025-00141"/>
    <d v="2025-04-16T00:00:00"/>
    <s v="ST-001"/>
    <x v="0"/>
    <s v="CUST-089"/>
    <x v="1"/>
    <s v="PRD-017"/>
    <x v="11"/>
    <x v="0"/>
    <n v="1"/>
    <n v="1265000"/>
    <n v="0.05"/>
    <n v="898000"/>
    <n v="1201750"/>
    <x v="627"/>
    <x v="11"/>
    <x v="2"/>
    <n v="4"/>
    <x v="5"/>
    <n v="0.25275639692115665"/>
  </r>
  <r>
    <s v="ID-2025-01742"/>
    <d v="2025-05-06T00:00:00"/>
    <s v="ST-003"/>
    <x v="4"/>
    <s v="CUST-121"/>
    <x v="1"/>
    <s v="PRD-017"/>
    <x v="11"/>
    <x v="0"/>
    <n v="1"/>
    <n v="910000"/>
    <n v="0"/>
    <n v="653000"/>
    <n v="910000"/>
    <x v="610"/>
    <x v="3"/>
    <x v="2"/>
    <n v="5"/>
    <x v="29"/>
    <n v="0.28241758241758241"/>
  </r>
  <r>
    <s v="ID-2025-01270"/>
    <d v="2025-06-05T00:00:00"/>
    <s v="ST-001"/>
    <x v="0"/>
    <s v="CUST-104"/>
    <x v="0"/>
    <s v="PRD-017"/>
    <x v="11"/>
    <x v="0"/>
    <n v="1"/>
    <n v="1058000"/>
    <n v="0"/>
    <n v="756000"/>
    <n v="1058000"/>
    <x v="628"/>
    <x v="4"/>
    <x v="2"/>
    <n v="6"/>
    <x v="21"/>
    <n v="0.28544423440453687"/>
  </r>
  <r>
    <s v="ID-2025-01115"/>
    <d v="2025-06-11T00:00:00"/>
    <s v="ST-004"/>
    <x v="2"/>
    <s v="CUST-030"/>
    <x v="1"/>
    <s v="PRD-017"/>
    <x v="11"/>
    <x v="0"/>
    <n v="1"/>
    <n v="1408000"/>
    <n v="0.1"/>
    <n v="987000"/>
    <n v="1267200"/>
    <x v="629"/>
    <x v="4"/>
    <x v="2"/>
    <n v="6"/>
    <x v="22"/>
    <n v="0.22111742424242425"/>
  </r>
  <r>
    <s v="ID-2025-00042"/>
    <d v="2025-06-18T00:00:00"/>
    <s v="ST-002"/>
    <x v="3"/>
    <s v="CUST-022"/>
    <x v="1"/>
    <s v="PRD-017"/>
    <x v="11"/>
    <x v="0"/>
    <n v="5"/>
    <n v="1133885.2459016393"/>
    <n v="0"/>
    <n v="756000"/>
    <n v="5669426.2295081969"/>
    <x v="630"/>
    <x v="4"/>
    <x v="2"/>
    <n v="6"/>
    <x v="9"/>
    <n v="0.8666531727557939"/>
  </r>
  <r>
    <s v="ID-2025-01149"/>
    <d v="2025-06-21T00:00:00"/>
    <s v="ST-004"/>
    <x v="2"/>
    <s v="CUST-002"/>
    <x v="3"/>
    <s v="PRD-017"/>
    <x v="11"/>
    <x v="0"/>
    <n v="2"/>
    <n v="1056000"/>
    <n v="0.15"/>
    <n v="752000"/>
    <n v="1795200"/>
    <x v="631"/>
    <x v="4"/>
    <x v="2"/>
    <n v="6"/>
    <x v="14"/>
    <n v="0.58110516934046341"/>
  </r>
  <r>
    <s v="ID-2025-01140"/>
    <d v="2025-06-23T00:00:00"/>
    <s v="ST-003"/>
    <x v="4"/>
    <s v="CUST-098"/>
    <x v="0"/>
    <s v="PRD-017"/>
    <x v="11"/>
    <x v="0"/>
    <n v="3"/>
    <n v="1295000"/>
    <n v="0"/>
    <n v="944000"/>
    <n v="3885000"/>
    <x v="632"/>
    <x v="4"/>
    <x v="2"/>
    <n v="6"/>
    <x v="11"/>
    <n v="0.75701415701415697"/>
  </r>
  <r>
    <s v="ID-2025-01062"/>
    <d v="2025-07-09T00:00:00"/>
    <s v="ST-001"/>
    <x v="0"/>
    <s v="CUST-112"/>
    <x v="1"/>
    <s v="PRD-017"/>
    <x v="11"/>
    <x v="0"/>
    <n v="3"/>
    <n v="1051000"/>
    <n v="0"/>
    <n v="739000"/>
    <n v="3153000"/>
    <x v="633"/>
    <x v="5"/>
    <x v="2"/>
    <n v="7"/>
    <x v="1"/>
    <n v="0.7656200444021567"/>
  </r>
  <r>
    <s v="ID-2025-01472"/>
    <d v="2025-07-18T00:00:00"/>
    <s v="ST-001"/>
    <x v="0"/>
    <s v="CUST-028"/>
    <x v="0"/>
    <s v="PRD-017"/>
    <x v="11"/>
    <x v="0"/>
    <n v="1"/>
    <n v="1428000"/>
    <n v="0"/>
    <n v="1044000"/>
    <n v="1428000"/>
    <x v="634"/>
    <x v="5"/>
    <x v="2"/>
    <n v="7"/>
    <x v="9"/>
    <n v="0.26890756302521007"/>
  </r>
  <r>
    <s v="ID-2025-00800"/>
    <d v="2025-07-20T00:00:00"/>
    <s v="ST-001"/>
    <x v="0"/>
    <s v="CUST-114"/>
    <x v="1"/>
    <s v="PRD-017"/>
    <x v="11"/>
    <x v="0"/>
    <n v="1"/>
    <n v="1375000"/>
    <n v="0"/>
    <n v="990000"/>
    <n v="1375000"/>
    <x v="635"/>
    <x v="5"/>
    <x v="2"/>
    <n v="7"/>
    <x v="30"/>
    <n v="0.28000000000000003"/>
  </r>
  <r>
    <s v="ID-2025-01408"/>
    <d v="2025-07-27T00:00:00"/>
    <s v="ST-002"/>
    <x v="3"/>
    <s v="CUST-055"/>
    <x v="0"/>
    <s v="PRD-017"/>
    <x v="11"/>
    <x v="0"/>
    <n v="1"/>
    <n v="1376000"/>
    <n v="0"/>
    <n v="1003000"/>
    <n v="1376000"/>
    <x v="636"/>
    <x v="5"/>
    <x v="2"/>
    <n v="7"/>
    <x v="24"/>
    <n v="0.27107558139534882"/>
  </r>
  <r>
    <s v="ID-2025-01489"/>
    <d v="2025-08-12T00:00:00"/>
    <s v="ST-005"/>
    <x v="1"/>
    <s v="CUST-006"/>
    <x v="1"/>
    <s v="PRD-017"/>
    <x v="11"/>
    <x v="0"/>
    <n v="2"/>
    <n v="1194000"/>
    <n v="0"/>
    <n v="861000"/>
    <n v="2388000"/>
    <x v="637"/>
    <x v="6"/>
    <x v="2"/>
    <n v="8"/>
    <x v="10"/>
    <n v="0.63944723618090449"/>
  </r>
  <r>
    <s v="ID-2025-01076"/>
    <d v="2025-11-15T00:00:00"/>
    <s v="ST-004"/>
    <x v="2"/>
    <s v="CUST-061"/>
    <x v="1"/>
    <s v="PRD-017"/>
    <x v="11"/>
    <x v="0"/>
    <n v="1"/>
    <n v="1155000"/>
    <n v="0"/>
    <n v="814000"/>
    <n v="1155000"/>
    <x v="527"/>
    <x v="9"/>
    <x v="2"/>
    <n v="11"/>
    <x v="19"/>
    <n v="0.29523809523809524"/>
  </r>
  <r>
    <s v="ID-2025-00036"/>
    <d v="2025-11-29T00:00:00"/>
    <s v="ST-004"/>
    <x v="2"/>
    <s v="CUST-062"/>
    <x v="1"/>
    <s v="PRD-017"/>
    <x v="11"/>
    <x v="0"/>
    <n v="1"/>
    <n v="1133885.2459016393"/>
    <n v="0.05"/>
    <n v="0"/>
    <n v="1077190.9836065574"/>
    <x v="638"/>
    <x v="9"/>
    <x v="2"/>
    <n v="11"/>
    <x v="7"/>
    <n v="1"/>
  </r>
  <r>
    <s v="ID-2025-00011"/>
    <d v="2025-12-01T00:00:00"/>
    <s v="ST-005"/>
    <x v="1"/>
    <s v="CUST-142"/>
    <x v="1"/>
    <s v="PRD-017"/>
    <x v="11"/>
    <x v="0"/>
    <n v="1"/>
    <n v="1133885.2459016393"/>
    <n v="0"/>
    <n v="756000"/>
    <n v="1133885.2459016393"/>
    <x v="639"/>
    <x v="10"/>
    <x v="2"/>
    <n v="12"/>
    <x v="0"/>
    <n v="0.33326586377896972"/>
  </r>
  <r>
    <s v="ID-2026-00188"/>
    <d v="2026-02-04T00:00:00"/>
    <s v="ST-003"/>
    <x v="4"/>
    <s v="CUST-140"/>
    <x v="3"/>
    <s v="PRD-017"/>
    <x v="11"/>
    <x v="0"/>
    <n v="1"/>
    <n v="936000"/>
    <n v="0"/>
    <n v="676000"/>
    <n v="936000"/>
    <x v="598"/>
    <x v="1"/>
    <x v="3"/>
    <n v="2"/>
    <x v="20"/>
    <n v="0.27777777777777779"/>
  </r>
  <r>
    <s v="ID-2026-01364"/>
    <d v="2026-02-10T00:00:00"/>
    <s v="ST-004"/>
    <x v="2"/>
    <s v="CUST-018"/>
    <x v="0"/>
    <s v="PRD-017"/>
    <x v="11"/>
    <x v="0"/>
    <n v="2"/>
    <n v="1444000"/>
    <n v="0"/>
    <n v="1021000"/>
    <n v="2888000"/>
    <x v="640"/>
    <x v="1"/>
    <x v="3"/>
    <n v="2"/>
    <x v="13"/>
    <n v="0.64646814404432129"/>
  </r>
  <r>
    <s v="ID-2026-00856"/>
    <d v="2026-02-21T00:00:00"/>
    <s v="ST-001"/>
    <x v="0"/>
    <s v="CUST-035"/>
    <x v="3"/>
    <s v="PRD-017"/>
    <x v="11"/>
    <x v="0"/>
    <n v="1"/>
    <n v="1469000"/>
    <n v="0.05"/>
    <n v="1075000"/>
    <n v="1395550"/>
    <x v="641"/>
    <x v="1"/>
    <x v="3"/>
    <n v="2"/>
    <x v="14"/>
    <n v="0.22969438572605783"/>
  </r>
  <r>
    <s v="ID-2026-01049"/>
    <d v="2026-02-22T00:00:00"/>
    <s v="ST-003"/>
    <x v="4"/>
    <s v="CUST-004"/>
    <x v="0"/>
    <s v="PRD-017"/>
    <x v="11"/>
    <x v="0"/>
    <n v="1"/>
    <n v="1220000"/>
    <n v="0"/>
    <n v="878000"/>
    <n v="1220000"/>
    <x v="625"/>
    <x v="1"/>
    <x v="3"/>
    <n v="2"/>
    <x v="16"/>
    <n v="0.28032786885245903"/>
  </r>
  <r>
    <s v="ID-2026-00093"/>
    <d v="2026-03-30T00:00:00"/>
    <s v="ST-001"/>
    <x v="0"/>
    <s v="CUST-075"/>
    <x v="2"/>
    <s v="PRD-017"/>
    <x v="11"/>
    <x v="0"/>
    <n v="2"/>
    <n v="1365000"/>
    <n v="0"/>
    <n v="993000"/>
    <n v="2730000"/>
    <x v="642"/>
    <x v="2"/>
    <x v="3"/>
    <n v="3"/>
    <x v="15"/>
    <n v="0.63626373626373622"/>
  </r>
  <r>
    <s v="ID-2026-00375"/>
    <d v="2026-04-26T00:00:00"/>
    <s v="ST-001"/>
    <x v="0"/>
    <s v="CUST-115"/>
    <x v="0"/>
    <s v="PRD-017"/>
    <x v="11"/>
    <x v="0"/>
    <n v="2"/>
    <n v="1169000"/>
    <n v="0.1"/>
    <n v="856000"/>
    <n v="2104200"/>
    <x v="643"/>
    <x v="11"/>
    <x v="3"/>
    <n v="4"/>
    <x v="6"/>
    <n v="0.59319456325444353"/>
  </r>
  <r>
    <s v="ID-2026-01001"/>
    <d v="2026-05-26T00:00:00"/>
    <s v="ST-005"/>
    <x v="1"/>
    <s v="CUST-122"/>
    <x v="1"/>
    <s v="PRD-017"/>
    <x v="11"/>
    <x v="0"/>
    <n v="1"/>
    <n v="1280000"/>
    <n v="0"/>
    <n v="923000"/>
    <n v="1280000"/>
    <x v="644"/>
    <x v="3"/>
    <x v="3"/>
    <n v="5"/>
    <x v="6"/>
    <n v="0.27890625000000002"/>
  </r>
  <r>
    <s v="ID-2026-00464"/>
    <d v="2026-05-31T00:00:00"/>
    <s v="ST-005"/>
    <x v="1"/>
    <s v="CUST-102"/>
    <x v="0"/>
    <s v="PRD-017"/>
    <x v="11"/>
    <x v="0"/>
    <n v="1"/>
    <n v="1414000"/>
    <n v="0"/>
    <n v="1041000"/>
    <n v="1414000"/>
    <x v="636"/>
    <x v="3"/>
    <x v="3"/>
    <n v="5"/>
    <x v="28"/>
    <n v="0.26379066478076379"/>
  </r>
  <r>
    <s v="ID-2026-01599"/>
    <d v="2026-06-06T00:00:00"/>
    <s v="ST-001"/>
    <x v="0"/>
    <s v="CUST-059"/>
    <x v="1"/>
    <s v="PRD-017"/>
    <x v="11"/>
    <x v="0"/>
    <n v="1"/>
    <n v="1065000"/>
    <n v="0"/>
    <n v="777000"/>
    <n v="1065000"/>
    <x v="645"/>
    <x v="4"/>
    <x v="3"/>
    <n v="6"/>
    <x v="29"/>
    <n v="0.27042253521126758"/>
  </r>
  <r>
    <s v="ID-2026-01595"/>
    <d v="2026-06-17T00:00:00"/>
    <s v="ST-001"/>
    <x v="0"/>
    <s v="CUST-113"/>
    <x v="2"/>
    <s v="PRD-017"/>
    <x v="11"/>
    <x v="0"/>
    <n v="3"/>
    <n v="1174000"/>
    <n v="0.05"/>
    <n v="856000"/>
    <n v="3345900"/>
    <x v="646"/>
    <x v="4"/>
    <x v="3"/>
    <n v="6"/>
    <x v="2"/>
    <n v="0.74416449983561972"/>
  </r>
  <r>
    <s v="ID-2026-00450"/>
    <d v="2026-06-18T00:00:00"/>
    <s v="ST-001"/>
    <x v="0"/>
    <s v="CUST-031"/>
    <x v="0"/>
    <s v="PRD-017"/>
    <x v="11"/>
    <x v="0"/>
    <n v="1"/>
    <n v="1400000"/>
    <n v="0.05"/>
    <n v="1035000"/>
    <n v="1330000"/>
    <x v="647"/>
    <x v="4"/>
    <x v="3"/>
    <n v="6"/>
    <x v="9"/>
    <n v="0.22180451127819548"/>
  </r>
  <r>
    <s v="ID-2026-00398"/>
    <d v="2026-06-25T00:00:00"/>
    <s v="ST-001"/>
    <x v="0"/>
    <s v="CUST-131"/>
    <x v="0"/>
    <s v="PRD-017"/>
    <x v="11"/>
    <x v="0"/>
    <n v="1"/>
    <n v="970000"/>
    <n v="0.05"/>
    <n v="685000"/>
    <n v="921500"/>
    <x v="648"/>
    <x v="4"/>
    <x v="3"/>
    <n v="6"/>
    <x v="12"/>
    <n v="0.25664677156809551"/>
  </r>
  <r>
    <s v="ID-2026-00714"/>
    <d v="2026-06-26T00:00:00"/>
    <s v="ST-002"/>
    <x v="3"/>
    <s v="CUST-109"/>
    <x v="1"/>
    <s v="PRD-017"/>
    <x v="11"/>
    <x v="0"/>
    <n v="3"/>
    <n v="1421000"/>
    <n v="0"/>
    <n v="1022000"/>
    <n v="4263000"/>
    <x v="649"/>
    <x v="4"/>
    <x v="3"/>
    <n v="6"/>
    <x v="6"/>
    <n v="0.76026272577996712"/>
  </r>
  <r>
    <s v="ID-2026-01594"/>
    <d v="2026-06-27T00:00:00"/>
    <s v="ST-003"/>
    <x v="4"/>
    <s v="CUST-127"/>
    <x v="1"/>
    <s v="PRD-017"/>
    <x v="11"/>
    <x v="0"/>
    <n v="1"/>
    <n v="987000"/>
    <n v="0"/>
    <n v="708000"/>
    <n v="987000"/>
    <x v="621"/>
    <x v="4"/>
    <x v="3"/>
    <n v="6"/>
    <x v="24"/>
    <n v="0.28267477203647418"/>
  </r>
  <r>
    <s v="ID-2023-01761"/>
    <d v="2023-01-13T00:00:00"/>
    <s v="ST-001"/>
    <x v="0"/>
    <s v="CUST-117"/>
    <x v="1"/>
    <s v="PRD-006"/>
    <x v="12"/>
    <x v="1"/>
    <n v="1"/>
    <n v="1245000"/>
    <n v="0"/>
    <n v="920000"/>
    <n v="1245000"/>
    <x v="650"/>
    <x v="0"/>
    <x v="0"/>
    <n v="1"/>
    <x v="23"/>
    <n v="0.26104417670682734"/>
  </r>
  <r>
    <s v="ID-2023-00154"/>
    <d v="2023-02-17T00:00:00"/>
    <s v="ST-001"/>
    <x v="0"/>
    <s v="CUST-031"/>
    <x v="0"/>
    <s v="PRD-006"/>
    <x v="12"/>
    <x v="1"/>
    <n v="5"/>
    <n v="1304000"/>
    <n v="0.05"/>
    <n v="963000"/>
    <n v="6194000"/>
    <x v="651"/>
    <x v="1"/>
    <x v="0"/>
    <n v="2"/>
    <x v="2"/>
    <n v="0.84452696157571838"/>
  </r>
  <r>
    <s v="ID-2023-00643"/>
    <d v="2023-05-06T00:00:00"/>
    <s v="ST-002"/>
    <x v="3"/>
    <s v="CUST-100"/>
    <x v="1"/>
    <s v="PRD-006"/>
    <x v="12"/>
    <x v="1"/>
    <n v="1"/>
    <n v="1434000"/>
    <n v="0"/>
    <n v="1073000"/>
    <n v="1434000"/>
    <x v="652"/>
    <x v="3"/>
    <x v="0"/>
    <n v="5"/>
    <x v="29"/>
    <n v="0.25174337517433754"/>
  </r>
  <r>
    <s v="ID-2023-01154"/>
    <d v="2023-05-10T00:00:00"/>
    <s v="ST-002"/>
    <x v="3"/>
    <s v="CUST-006"/>
    <x v="1"/>
    <s v="PRD-006"/>
    <x v="12"/>
    <x v="1"/>
    <n v="1"/>
    <n v="1161000"/>
    <n v="0"/>
    <n v="846000"/>
    <n v="1161000"/>
    <x v="653"/>
    <x v="3"/>
    <x v="0"/>
    <n v="5"/>
    <x v="13"/>
    <n v="0.27131782945736432"/>
  </r>
  <r>
    <s v="ID-2023-01133"/>
    <d v="2023-05-23T00:00:00"/>
    <s v="ST-001"/>
    <x v="0"/>
    <s v="CUST-035"/>
    <x v="3"/>
    <s v="PRD-006"/>
    <x v="12"/>
    <x v="1"/>
    <n v="1"/>
    <n v="921000"/>
    <n v="0"/>
    <n v="673000"/>
    <n v="921000"/>
    <x v="654"/>
    <x v="3"/>
    <x v="0"/>
    <n v="5"/>
    <x v="11"/>
    <n v="0.26927252985884909"/>
  </r>
  <r>
    <s v="ID-2023-01454"/>
    <d v="2023-06-20T00:00:00"/>
    <s v="ST-001"/>
    <x v="0"/>
    <s v="CUST-014"/>
    <x v="1"/>
    <s v="PRD-006"/>
    <x v="12"/>
    <x v="1"/>
    <n v="1"/>
    <n v="1093000"/>
    <n v="0"/>
    <n v="782000"/>
    <n v="1093000"/>
    <x v="655"/>
    <x v="4"/>
    <x v="0"/>
    <n v="6"/>
    <x v="30"/>
    <n v="0.28453796889295518"/>
  </r>
  <r>
    <s v="ID-2023-01228"/>
    <d v="2023-07-08T00:00:00"/>
    <s v="ST-003"/>
    <x v="4"/>
    <s v="CUST-002"/>
    <x v="3"/>
    <s v="PRD-006"/>
    <x v="12"/>
    <x v="1"/>
    <n v="1"/>
    <n v="1106000"/>
    <n v="0"/>
    <n v="811000"/>
    <n v="1106000"/>
    <x v="647"/>
    <x v="5"/>
    <x v="0"/>
    <n v="7"/>
    <x v="27"/>
    <n v="0.26672694394213381"/>
  </r>
  <r>
    <s v="ID-2023-00439"/>
    <d v="2023-08-05T00:00:00"/>
    <s v="ST-001"/>
    <x v="0"/>
    <s v="CUST-119"/>
    <x v="1"/>
    <s v="PRD-006"/>
    <x v="12"/>
    <x v="1"/>
    <n v="3"/>
    <n v="1334000"/>
    <n v="0"/>
    <n v="975000"/>
    <n v="4002000"/>
    <x v="656"/>
    <x v="6"/>
    <x v="0"/>
    <n v="8"/>
    <x v="21"/>
    <n v="0.75637181409295351"/>
  </r>
  <r>
    <s v="ID-2023-00336"/>
    <d v="2023-08-10T00:00:00"/>
    <s v="ST-005"/>
    <x v="1"/>
    <s v="CUST-114"/>
    <x v="1"/>
    <s v="PRD-006"/>
    <x v="12"/>
    <x v="1"/>
    <n v="5"/>
    <n v="1241600"/>
    <n v="0.05"/>
    <n v="840000"/>
    <n v="5897600"/>
    <x v="657"/>
    <x v="6"/>
    <x v="0"/>
    <n v="8"/>
    <x v="13"/>
    <n v="0.85756918068366794"/>
  </r>
  <r>
    <s v="ID-2023-00435"/>
    <d v="2023-08-11T00:00:00"/>
    <s v="ST-004"/>
    <x v="2"/>
    <s v="CUST-149"/>
    <x v="1"/>
    <s v="PRD-006"/>
    <x v="12"/>
    <x v="1"/>
    <n v="1"/>
    <n v="1177000"/>
    <n v="0"/>
    <n v="845000"/>
    <n v="1177000"/>
    <x v="658"/>
    <x v="6"/>
    <x v="0"/>
    <n v="8"/>
    <x v="22"/>
    <n v="0.28207306711979607"/>
  </r>
  <r>
    <s v="ID-2023-00416"/>
    <d v="2023-08-22T00:00:00"/>
    <s v="ST-004"/>
    <x v="2"/>
    <s v="CUST-082"/>
    <x v="0"/>
    <s v="PRD-006"/>
    <x v="12"/>
    <x v="1"/>
    <n v="2"/>
    <n v="1497000"/>
    <n v="0"/>
    <n v="1118000"/>
    <n v="2994000"/>
    <x v="659"/>
    <x v="6"/>
    <x v="0"/>
    <n v="8"/>
    <x v="16"/>
    <n v="0.62658650634602542"/>
  </r>
  <r>
    <s v="ID-2023-00526"/>
    <d v="2023-09-16T00:00:00"/>
    <s v="ST-001"/>
    <x v="0"/>
    <s v="CUST-034"/>
    <x v="2"/>
    <s v="PRD-006"/>
    <x v="12"/>
    <x v="1"/>
    <n v="3"/>
    <n v="905000"/>
    <n v="0"/>
    <n v="649000"/>
    <n v="2715000"/>
    <x v="660"/>
    <x v="7"/>
    <x v="0"/>
    <n v="9"/>
    <x v="5"/>
    <n v="0.76095764272559852"/>
  </r>
  <r>
    <s v="ID-2023-01153"/>
    <d v="2023-09-23T00:00:00"/>
    <s v="ST-001"/>
    <x v="0"/>
    <s v="CUST-085"/>
    <x v="1"/>
    <s v="PRD-006"/>
    <x v="12"/>
    <x v="1"/>
    <n v="1"/>
    <n v="1242000"/>
    <n v="0"/>
    <n v="894000"/>
    <n v="1242000"/>
    <x v="661"/>
    <x v="7"/>
    <x v="0"/>
    <n v="9"/>
    <x v="11"/>
    <n v="0.28019323671497587"/>
  </r>
  <r>
    <s v="ID-2023-00227"/>
    <d v="2023-10-02T00:00:00"/>
    <s v="ST-005"/>
    <x v="1"/>
    <s v="CUST-079"/>
    <x v="1"/>
    <s v="PRD-006"/>
    <x v="12"/>
    <x v="1"/>
    <n v="2"/>
    <n v="1335000"/>
    <n v="0"/>
    <n v="988000"/>
    <n v="2670000"/>
    <x v="662"/>
    <x v="8"/>
    <x v="0"/>
    <n v="10"/>
    <x v="17"/>
    <n v="0.62996254681647945"/>
  </r>
  <r>
    <s v="ID-2023-01771"/>
    <d v="2023-10-25T00:00:00"/>
    <s v="ST-002"/>
    <x v="3"/>
    <s v="CUST-137"/>
    <x v="0"/>
    <s v="PRD-006"/>
    <x v="12"/>
    <x v="1"/>
    <n v="3"/>
    <n v="1078000"/>
    <n v="0"/>
    <n v="807000"/>
    <n v="3234000"/>
    <x v="663"/>
    <x v="8"/>
    <x v="0"/>
    <n v="10"/>
    <x v="12"/>
    <n v="0.75046382189239336"/>
  </r>
  <r>
    <s v="ID-2023-00492"/>
    <d v="2023-11-04T00:00:00"/>
    <s v="ST-003"/>
    <x v="4"/>
    <s v="CUST-061"/>
    <x v="1"/>
    <s v="PRD-006"/>
    <x v="12"/>
    <x v="1"/>
    <n v="2"/>
    <n v="1343000"/>
    <n v="0.1"/>
    <n v="985000"/>
    <n v="2417400"/>
    <x v="664"/>
    <x v="9"/>
    <x v="0"/>
    <n v="11"/>
    <x v="20"/>
    <n v="0.59253743691569449"/>
  </r>
  <r>
    <s v="ID-2023-00623"/>
    <d v="2023-11-23T00:00:00"/>
    <s v="ST-001"/>
    <x v="0"/>
    <s v="CUST-102"/>
    <x v="0"/>
    <s v="PRD-006"/>
    <x v="12"/>
    <x v="1"/>
    <n v="2"/>
    <n v="1449000"/>
    <n v="0"/>
    <n v="1039000"/>
    <n v="2898000"/>
    <x v="665"/>
    <x v="9"/>
    <x v="0"/>
    <n v="11"/>
    <x v="11"/>
    <n v="0.64147688060731534"/>
  </r>
  <r>
    <s v="ID-2023-00635"/>
    <d v="2023-12-27T00:00:00"/>
    <s v="ST-002"/>
    <x v="3"/>
    <s v="CUST-055"/>
    <x v="0"/>
    <s v="PRD-006"/>
    <x v="12"/>
    <x v="1"/>
    <n v="1"/>
    <n v="872000"/>
    <n v="0"/>
    <n v="632000"/>
    <n v="872000"/>
    <x v="612"/>
    <x v="10"/>
    <x v="0"/>
    <n v="12"/>
    <x v="24"/>
    <n v="0.27522935779816515"/>
  </r>
  <r>
    <s v="ID-2024-00088"/>
    <d v="2024-02-05T00:00:00"/>
    <s v="ST-003"/>
    <x v="4"/>
    <s v="CUST-060"/>
    <x v="1"/>
    <s v="PRD-006"/>
    <x v="12"/>
    <x v="1"/>
    <n v="3"/>
    <n v="1208000"/>
    <n v="0"/>
    <n v="885000"/>
    <n v="3624000"/>
    <x v="666"/>
    <x v="1"/>
    <x v="1"/>
    <n v="2"/>
    <x v="21"/>
    <n v="0.75579470198675491"/>
  </r>
  <r>
    <s v="ID-2024-00775"/>
    <d v="2024-02-11T00:00:00"/>
    <s v="ST-003"/>
    <x v="4"/>
    <s v="CUST-005"/>
    <x v="1"/>
    <s v="PRD-006"/>
    <x v="12"/>
    <x v="1"/>
    <n v="1"/>
    <n v="1123000"/>
    <n v="0.05"/>
    <n v="829000"/>
    <n v="1066850"/>
    <x v="667"/>
    <x v="1"/>
    <x v="1"/>
    <n v="2"/>
    <x v="22"/>
    <n v="0.22294605614659979"/>
  </r>
  <r>
    <s v="ID-2024-01265"/>
    <d v="2024-03-30T00:00:00"/>
    <s v="ST-001"/>
    <x v="0"/>
    <s v="CUST-133"/>
    <x v="1"/>
    <s v="PRD-006"/>
    <x v="12"/>
    <x v="1"/>
    <n v="2"/>
    <n v="898000"/>
    <n v="0"/>
    <n v="666000"/>
    <n v="1796000"/>
    <x v="668"/>
    <x v="2"/>
    <x v="1"/>
    <n v="3"/>
    <x v="15"/>
    <n v="0.62917594654788422"/>
  </r>
  <r>
    <s v="ID-2024-01323"/>
    <d v="2024-04-04T00:00:00"/>
    <s v="ST-001"/>
    <x v="0"/>
    <s v="CUST-073"/>
    <x v="1"/>
    <s v="PRD-006"/>
    <x v="12"/>
    <x v="1"/>
    <n v="1"/>
    <n v="1072000"/>
    <n v="0"/>
    <n v="770000"/>
    <n v="1072000"/>
    <x v="628"/>
    <x v="11"/>
    <x v="1"/>
    <n v="4"/>
    <x v="20"/>
    <n v="0.28171641791044777"/>
  </r>
  <r>
    <s v="ID-2024-00811"/>
    <d v="2024-04-30T00:00:00"/>
    <s v="ST-001"/>
    <x v="0"/>
    <s v="CUST-150"/>
    <x v="1"/>
    <s v="PRD-006"/>
    <x v="12"/>
    <x v="1"/>
    <n v="1"/>
    <n v="1323000"/>
    <n v="0"/>
    <n v="949000"/>
    <n v="1323000"/>
    <x v="82"/>
    <x v="11"/>
    <x v="1"/>
    <n v="4"/>
    <x v="15"/>
    <n v="0.28269085411942557"/>
  </r>
  <r>
    <s v="ID-2024-00409"/>
    <d v="2024-05-21T00:00:00"/>
    <s v="ST-004"/>
    <x v="2"/>
    <s v="CUST-033"/>
    <x v="1"/>
    <s v="PRD-006"/>
    <x v="12"/>
    <x v="1"/>
    <n v="1"/>
    <n v="924000"/>
    <n v="0"/>
    <n v="691000"/>
    <n v="924000"/>
    <x v="669"/>
    <x v="3"/>
    <x v="1"/>
    <n v="5"/>
    <x v="14"/>
    <n v="0.25216450216450215"/>
  </r>
  <r>
    <s v="ID-2024-00405"/>
    <d v="2024-05-22T00:00:00"/>
    <s v="ST-001"/>
    <x v="0"/>
    <s v="CUST-069"/>
    <x v="1"/>
    <s v="PRD-006"/>
    <x v="12"/>
    <x v="1"/>
    <n v="2"/>
    <n v="1333000"/>
    <n v="0"/>
    <n v="961000"/>
    <n v="2666000"/>
    <x v="670"/>
    <x v="3"/>
    <x v="1"/>
    <n v="5"/>
    <x v="16"/>
    <n v="0.63953488372093026"/>
  </r>
  <r>
    <s v="ID-2024-00469"/>
    <d v="2024-06-03T00:00:00"/>
    <s v="ST-003"/>
    <x v="4"/>
    <s v="CUST-135"/>
    <x v="2"/>
    <s v="PRD-006"/>
    <x v="12"/>
    <x v="1"/>
    <n v="2"/>
    <n v="1090000"/>
    <n v="0"/>
    <n v="801000"/>
    <n v="2180000"/>
    <x v="671"/>
    <x v="4"/>
    <x v="1"/>
    <n v="6"/>
    <x v="8"/>
    <n v="0.63256880733944953"/>
  </r>
  <r>
    <s v="ID-2024-00965"/>
    <d v="2024-06-13T00:00:00"/>
    <s v="ST-001"/>
    <x v="0"/>
    <s v="CUST-021"/>
    <x v="0"/>
    <s v="PRD-006"/>
    <x v="12"/>
    <x v="1"/>
    <n v="1"/>
    <n v="1414000"/>
    <n v="0"/>
    <n v="1026000"/>
    <n v="1414000"/>
    <x v="672"/>
    <x v="4"/>
    <x v="1"/>
    <n v="6"/>
    <x v="23"/>
    <n v="0.27439886845827438"/>
  </r>
  <r>
    <s v="ID-2024-00887"/>
    <d v="2024-07-13T00:00:00"/>
    <s v="ST-001"/>
    <x v="0"/>
    <s v="CUST-092"/>
    <x v="2"/>
    <s v="PRD-006"/>
    <x v="12"/>
    <x v="1"/>
    <n v="1"/>
    <n v="1524000"/>
    <n v="0"/>
    <n v="1139000"/>
    <n v="1524000"/>
    <x v="635"/>
    <x v="5"/>
    <x v="1"/>
    <n v="7"/>
    <x v="23"/>
    <n v="0.25262467191601051"/>
  </r>
  <r>
    <s v="ID-2024-01624"/>
    <d v="2024-08-03T00:00:00"/>
    <s v="ST-002"/>
    <x v="3"/>
    <s v="CUST-136"/>
    <x v="1"/>
    <s v="PRD-006"/>
    <x v="12"/>
    <x v="1"/>
    <n v="1"/>
    <n v="1479000"/>
    <n v="0.05"/>
    <n v="1054000"/>
    <n v="1405050"/>
    <x v="673"/>
    <x v="6"/>
    <x v="1"/>
    <n v="8"/>
    <x v="8"/>
    <n v="0.249848759830611"/>
  </r>
  <r>
    <s v="ID-2024-00095"/>
    <d v="2024-08-23T00:00:00"/>
    <s v="ST-003"/>
    <x v="4"/>
    <s v="CUST-067"/>
    <x v="1"/>
    <s v="PRD-006"/>
    <x v="12"/>
    <x v="1"/>
    <n v="1"/>
    <n v="1339000"/>
    <n v="0"/>
    <n v="992000"/>
    <n v="1339000"/>
    <x v="674"/>
    <x v="6"/>
    <x v="1"/>
    <n v="8"/>
    <x v="11"/>
    <n v="0.25914861837191933"/>
  </r>
  <r>
    <s v="ID-2024-01548"/>
    <d v="2024-09-04T00:00:00"/>
    <s v="ST-003"/>
    <x v="4"/>
    <s v="CUST-057"/>
    <x v="1"/>
    <s v="PRD-006"/>
    <x v="12"/>
    <x v="1"/>
    <n v="1"/>
    <n v="939000"/>
    <n v="0"/>
    <n v="674000"/>
    <n v="939000"/>
    <x v="675"/>
    <x v="7"/>
    <x v="1"/>
    <n v="9"/>
    <x v="20"/>
    <n v="0.28221512247071351"/>
  </r>
  <r>
    <s v="ID-2024-01420"/>
    <d v="2024-09-23T00:00:00"/>
    <s v="ST-003"/>
    <x v="4"/>
    <s v="CUST-010"/>
    <x v="2"/>
    <s v="PRD-006"/>
    <x v="12"/>
    <x v="1"/>
    <n v="1"/>
    <n v="917000"/>
    <n v="0"/>
    <n v="658000"/>
    <n v="917000"/>
    <x v="676"/>
    <x v="7"/>
    <x v="1"/>
    <n v="9"/>
    <x v="11"/>
    <n v="0.28244274809160308"/>
  </r>
  <r>
    <s v="ID-2024-00650"/>
    <d v="2024-09-28T00:00:00"/>
    <s v="ST-001"/>
    <x v="0"/>
    <s v="CUST-091"/>
    <x v="1"/>
    <s v="PRD-006"/>
    <x v="12"/>
    <x v="1"/>
    <n v="3"/>
    <n v="1171000"/>
    <n v="0"/>
    <n v="843000"/>
    <n v="3513000"/>
    <x v="677"/>
    <x v="7"/>
    <x v="1"/>
    <n v="9"/>
    <x v="4"/>
    <n v="0.76003415883859948"/>
  </r>
  <r>
    <s v="ID-2024-00232"/>
    <d v="2024-11-30T00:00:00"/>
    <s v="ST-001"/>
    <x v="0"/>
    <s v="CUST-132"/>
    <x v="1"/>
    <s v="PRD-006"/>
    <x v="12"/>
    <x v="1"/>
    <n v="1"/>
    <n v="1241600"/>
    <n v="0"/>
    <n v="840000"/>
    <n v="1241600"/>
    <x v="678"/>
    <x v="9"/>
    <x v="1"/>
    <n v="11"/>
    <x v="15"/>
    <n v="0.3234536082474227"/>
  </r>
  <r>
    <s v="ID-2024-00431"/>
    <d v="2024-12-03T00:00:00"/>
    <s v="ST-003"/>
    <x v="4"/>
    <s v="CUST-078"/>
    <x v="1"/>
    <s v="PRD-006"/>
    <x v="12"/>
    <x v="1"/>
    <n v="1"/>
    <n v="982000"/>
    <n v="0.05"/>
    <n v="715000"/>
    <n v="932900"/>
    <x v="679"/>
    <x v="10"/>
    <x v="1"/>
    <n v="12"/>
    <x v="8"/>
    <n v="0.23357273019616251"/>
  </r>
  <r>
    <s v="ID-2025-00654"/>
    <d v="2025-01-26T00:00:00"/>
    <s v="ST-003"/>
    <x v="4"/>
    <s v="CUST-061"/>
    <x v="1"/>
    <s v="PRD-006"/>
    <x v="12"/>
    <x v="1"/>
    <n v="1"/>
    <n v="919000"/>
    <n v="0.05"/>
    <n v="656000"/>
    <n v="873050"/>
    <x v="680"/>
    <x v="0"/>
    <x v="2"/>
    <n v="1"/>
    <x v="6"/>
    <n v="0.24861119065345627"/>
  </r>
  <r>
    <s v="ID-2025-01227"/>
    <d v="2025-02-09T00:00:00"/>
    <s v="ST-001"/>
    <x v="0"/>
    <s v="CUST-073"/>
    <x v="1"/>
    <s v="PRD-006"/>
    <x v="12"/>
    <x v="1"/>
    <n v="1"/>
    <n v="1630000"/>
    <n v="0"/>
    <n v="1164000"/>
    <n v="1630000"/>
    <x v="480"/>
    <x v="1"/>
    <x v="2"/>
    <n v="2"/>
    <x v="1"/>
    <n v="0.28588957055214725"/>
  </r>
  <r>
    <s v="ID-2025-01171"/>
    <d v="2025-03-04T00:00:00"/>
    <s v="ST-001"/>
    <x v="0"/>
    <s v="CUST-050"/>
    <x v="1"/>
    <s v="PRD-006"/>
    <x v="12"/>
    <x v="1"/>
    <n v="1"/>
    <n v="1611000"/>
    <n v="0"/>
    <n v="1147000"/>
    <n v="1611000"/>
    <x v="681"/>
    <x v="2"/>
    <x v="2"/>
    <n v="3"/>
    <x v="20"/>
    <n v="0.28801986343885783"/>
  </r>
  <r>
    <s v="ID-2025-01432"/>
    <d v="2025-03-19T00:00:00"/>
    <s v="ST-002"/>
    <x v="3"/>
    <s v="CUST-082"/>
    <x v="0"/>
    <s v="PRD-006"/>
    <x v="12"/>
    <x v="1"/>
    <n v="1"/>
    <n v="910000"/>
    <n v="0.1"/>
    <n v="651000"/>
    <n v="819000"/>
    <x v="201"/>
    <x v="2"/>
    <x v="2"/>
    <n v="3"/>
    <x v="26"/>
    <n v="0.20512820512820512"/>
  </r>
  <r>
    <s v="ID-2025-01351"/>
    <d v="2025-03-23T00:00:00"/>
    <s v="ST-005"/>
    <x v="1"/>
    <s v="CUST-134"/>
    <x v="1"/>
    <s v="PRD-006"/>
    <x v="12"/>
    <x v="1"/>
    <n v="1"/>
    <n v="1374000"/>
    <n v="0.05"/>
    <n v="1024000"/>
    <n v="1305300"/>
    <x v="682"/>
    <x v="2"/>
    <x v="2"/>
    <n v="3"/>
    <x v="11"/>
    <n v="0.21550601394315483"/>
  </r>
  <r>
    <s v="ID-2025-00897"/>
    <d v="2025-03-25T00:00:00"/>
    <s v="ST-001"/>
    <x v="0"/>
    <s v="CUST-024"/>
    <x v="1"/>
    <s v="PRD-006"/>
    <x v="12"/>
    <x v="1"/>
    <n v="3"/>
    <n v="1489000"/>
    <n v="0"/>
    <n v="1108000"/>
    <n v="4467000"/>
    <x v="683"/>
    <x v="2"/>
    <x v="2"/>
    <n v="3"/>
    <x v="12"/>
    <n v="0.75195880904410117"/>
  </r>
  <r>
    <s v="ID-2025-01762"/>
    <d v="2025-04-10T00:00:00"/>
    <s v="ST-001"/>
    <x v="0"/>
    <s v="CUST-051"/>
    <x v="3"/>
    <s v="PRD-006"/>
    <x v="12"/>
    <x v="1"/>
    <n v="1"/>
    <n v="1369000"/>
    <n v="0"/>
    <n v="1025000"/>
    <n v="1369000"/>
    <x v="684"/>
    <x v="11"/>
    <x v="2"/>
    <n v="4"/>
    <x v="13"/>
    <n v="0.2512783053323594"/>
  </r>
  <r>
    <s v="ID-2025-00118"/>
    <d v="2025-05-25T00:00:00"/>
    <s v="ST-001"/>
    <x v="0"/>
    <s v="CUST-150"/>
    <x v="1"/>
    <s v="PRD-006"/>
    <x v="12"/>
    <x v="1"/>
    <n v="1"/>
    <n v="1604000"/>
    <n v="0"/>
    <n v="1153000"/>
    <n v="1604000"/>
    <x v="375"/>
    <x v="3"/>
    <x v="2"/>
    <n v="5"/>
    <x v="12"/>
    <n v="0.28117206982543641"/>
  </r>
  <r>
    <s v="ID-2025-00713"/>
    <d v="2025-06-18T00:00:00"/>
    <s v="ST-002"/>
    <x v="3"/>
    <s v="CUST-120"/>
    <x v="0"/>
    <s v="PRD-006"/>
    <x v="12"/>
    <x v="1"/>
    <n v="2"/>
    <n v="1330000"/>
    <n v="0.05"/>
    <n v="995000"/>
    <n v="2527000"/>
    <x v="685"/>
    <x v="4"/>
    <x v="2"/>
    <n v="6"/>
    <x v="9"/>
    <n v="0.60625247328848442"/>
  </r>
  <r>
    <s v="ID-2025-00938"/>
    <d v="2025-06-26T00:00:00"/>
    <s v="ST-004"/>
    <x v="2"/>
    <s v="CUST-150"/>
    <x v="1"/>
    <s v="PRD-006"/>
    <x v="12"/>
    <x v="1"/>
    <n v="1"/>
    <n v="1563000"/>
    <n v="0"/>
    <n v="1133000"/>
    <n v="1563000"/>
    <x v="686"/>
    <x v="4"/>
    <x v="2"/>
    <n v="6"/>
    <x v="6"/>
    <n v="0.27511196417146511"/>
  </r>
  <r>
    <s v="ID-2025-01220"/>
    <d v="2025-07-14T00:00:00"/>
    <s v="ST-003"/>
    <x v="4"/>
    <s v="CUST-059"/>
    <x v="1"/>
    <s v="PRD-006"/>
    <x v="12"/>
    <x v="1"/>
    <n v="3"/>
    <n v="1004000"/>
    <n v="0"/>
    <n v="721000"/>
    <n v="3012000"/>
    <x v="687"/>
    <x v="5"/>
    <x v="2"/>
    <n v="7"/>
    <x v="18"/>
    <n v="0.76062416998671978"/>
  </r>
  <r>
    <s v="ID-2025-00524"/>
    <d v="2025-07-20T00:00:00"/>
    <s v="ST-002"/>
    <x v="3"/>
    <s v="CUST-048"/>
    <x v="0"/>
    <s v="PRD-006"/>
    <x v="12"/>
    <x v="1"/>
    <n v="1"/>
    <n v="1241600"/>
    <n v="0"/>
    <n v="840000"/>
    <n v="1241600"/>
    <x v="678"/>
    <x v="5"/>
    <x v="2"/>
    <n v="7"/>
    <x v="30"/>
    <n v="0.3234536082474227"/>
  </r>
  <r>
    <s v="ID-2025-00340"/>
    <d v="2025-09-05T00:00:00"/>
    <s v="ST-002"/>
    <x v="3"/>
    <s v="CUST-078"/>
    <x v="1"/>
    <s v="PRD-006"/>
    <x v="12"/>
    <x v="1"/>
    <n v="2"/>
    <n v="1401000"/>
    <n v="0"/>
    <n v="1040000"/>
    <n v="2802000"/>
    <x v="688"/>
    <x v="7"/>
    <x v="2"/>
    <n v="9"/>
    <x v="21"/>
    <n v="0.62883654532476807"/>
  </r>
  <r>
    <s v="ID-2025-01527"/>
    <d v="2025-09-21T00:00:00"/>
    <s v="ST-001"/>
    <x v="0"/>
    <s v="CUST-130"/>
    <x v="0"/>
    <s v="PRD-006"/>
    <x v="12"/>
    <x v="1"/>
    <n v="2"/>
    <n v="1483000"/>
    <n v="0"/>
    <n v="1077000"/>
    <n v="2966000"/>
    <x v="689"/>
    <x v="7"/>
    <x v="2"/>
    <n v="9"/>
    <x v="14"/>
    <n v="0.63688469318948082"/>
  </r>
  <r>
    <s v="ID-2025-00076"/>
    <d v="2025-09-24T00:00:00"/>
    <s v="ST-004"/>
    <x v="2"/>
    <s v="CUST-113"/>
    <x v="2"/>
    <s v="PRD-006"/>
    <x v="12"/>
    <x v="1"/>
    <n v="1"/>
    <n v="1241600"/>
    <n v="0"/>
    <n v="840000"/>
    <n v="1241600"/>
    <x v="678"/>
    <x v="7"/>
    <x v="2"/>
    <n v="9"/>
    <x v="25"/>
    <n v="0.3234536082474227"/>
  </r>
  <r>
    <s v="ID-2025-01418"/>
    <d v="2025-10-12T00:00:00"/>
    <s v="ST-002"/>
    <x v="3"/>
    <s v="CUST-034"/>
    <x v="2"/>
    <s v="PRD-006"/>
    <x v="12"/>
    <x v="1"/>
    <n v="5"/>
    <n v="1170000"/>
    <n v="0"/>
    <n v="864000"/>
    <n v="5850000"/>
    <x v="690"/>
    <x v="8"/>
    <x v="2"/>
    <n v="10"/>
    <x v="10"/>
    <n v="0.85230769230769232"/>
  </r>
  <r>
    <s v="ID-2025-00634"/>
    <d v="2025-10-30T00:00:00"/>
    <s v="ST-002"/>
    <x v="3"/>
    <s v="CUST-046"/>
    <x v="0"/>
    <s v="PRD-006"/>
    <x v="12"/>
    <x v="1"/>
    <n v="2"/>
    <n v="1413000"/>
    <n v="0"/>
    <n v="1034000"/>
    <n v="2826000"/>
    <x v="691"/>
    <x v="8"/>
    <x v="2"/>
    <n v="10"/>
    <x v="15"/>
    <n v="0.63411181882519463"/>
  </r>
  <r>
    <s v="ID-2026-00599"/>
    <d v="2026-01-12T00:00:00"/>
    <s v="ST-003"/>
    <x v="4"/>
    <s v="CUST-060"/>
    <x v="1"/>
    <s v="PRD-006"/>
    <x v="12"/>
    <x v="1"/>
    <n v="2"/>
    <n v="1318000"/>
    <n v="0"/>
    <n v="943000"/>
    <n v="2636000"/>
    <x v="156"/>
    <x v="0"/>
    <x v="3"/>
    <n v="1"/>
    <x v="10"/>
    <n v="0.64226100151745069"/>
  </r>
  <r>
    <s v="ID-2026-01073"/>
    <d v="2026-01-27T00:00:00"/>
    <s v="ST-002"/>
    <x v="3"/>
    <s v="CUST-107"/>
    <x v="0"/>
    <s v="PRD-006"/>
    <x v="12"/>
    <x v="1"/>
    <n v="1"/>
    <n v="1314000"/>
    <n v="0"/>
    <n v="935000"/>
    <n v="1314000"/>
    <x v="522"/>
    <x v="0"/>
    <x v="3"/>
    <n v="1"/>
    <x v="24"/>
    <n v="0.28843226788432269"/>
  </r>
  <r>
    <s v="ID-2026-01409"/>
    <d v="2026-02-05T00:00:00"/>
    <s v="ST-002"/>
    <x v="3"/>
    <s v="CUST-015"/>
    <x v="1"/>
    <s v="PRD-006"/>
    <x v="12"/>
    <x v="1"/>
    <n v="1"/>
    <n v="1051000"/>
    <n v="0"/>
    <n v="772000"/>
    <n v="1051000"/>
    <x v="621"/>
    <x v="1"/>
    <x v="3"/>
    <n v="2"/>
    <x v="21"/>
    <n v="0.26546146527117032"/>
  </r>
  <r>
    <s v="ID-2026-00341"/>
    <d v="2026-02-13T00:00:00"/>
    <s v="ST-001"/>
    <x v="0"/>
    <s v="CUST-148"/>
    <x v="0"/>
    <s v="PRD-006"/>
    <x v="12"/>
    <x v="1"/>
    <n v="1"/>
    <n v="1212000"/>
    <n v="0"/>
    <n v="873000"/>
    <n v="1212000"/>
    <x v="692"/>
    <x v="1"/>
    <x v="3"/>
    <n v="2"/>
    <x v="23"/>
    <n v="0.27970297029702973"/>
  </r>
  <r>
    <s v="ID-2026-00964"/>
    <d v="2026-02-14T00:00:00"/>
    <s v="ST-002"/>
    <x v="3"/>
    <s v="CUST-099"/>
    <x v="1"/>
    <s v="PRD-006"/>
    <x v="12"/>
    <x v="1"/>
    <n v="2"/>
    <n v="1013000"/>
    <n v="0"/>
    <n v="733000"/>
    <n v="2026000"/>
    <x v="693"/>
    <x v="1"/>
    <x v="3"/>
    <n v="2"/>
    <x v="18"/>
    <n v="0.63820335636722603"/>
  </r>
  <r>
    <s v="ID-2026-01603"/>
    <d v="2026-03-02T00:00:00"/>
    <s v="ST-004"/>
    <x v="2"/>
    <s v="CUST-132"/>
    <x v="1"/>
    <s v="PRD-006"/>
    <x v="12"/>
    <x v="1"/>
    <n v="1"/>
    <n v="1193000"/>
    <n v="0"/>
    <n v="870000"/>
    <n v="1193000"/>
    <x v="694"/>
    <x v="2"/>
    <x v="3"/>
    <n v="3"/>
    <x v="17"/>
    <n v="0.27074601844090529"/>
  </r>
  <r>
    <s v="ID-2026-01731"/>
    <d v="2026-03-29T00:00:00"/>
    <s v="ST-003"/>
    <x v="4"/>
    <s v="CUST-073"/>
    <x v="1"/>
    <s v="PRD-006"/>
    <x v="12"/>
    <x v="1"/>
    <n v="1"/>
    <n v="1408000"/>
    <n v="0"/>
    <n v="1010000"/>
    <n v="1408000"/>
    <x v="394"/>
    <x v="2"/>
    <x v="3"/>
    <n v="3"/>
    <x v="7"/>
    <n v="0.28267045454545453"/>
  </r>
  <r>
    <s v="ID-2026-00380"/>
    <d v="2026-04-08T00:00:00"/>
    <s v="ST-003"/>
    <x v="4"/>
    <s v="CUST-063"/>
    <x v="1"/>
    <s v="PRD-006"/>
    <x v="12"/>
    <x v="1"/>
    <n v="2"/>
    <n v="959000"/>
    <n v="0"/>
    <n v="694000"/>
    <n v="1918000"/>
    <x v="695"/>
    <x v="11"/>
    <x v="3"/>
    <n v="4"/>
    <x v="27"/>
    <n v="0.63816475495307612"/>
  </r>
  <r>
    <s v="ID-2026-00389"/>
    <d v="2026-04-30T00:00:00"/>
    <s v="ST-001"/>
    <x v="0"/>
    <s v="CUST-089"/>
    <x v="1"/>
    <s v="PRD-006"/>
    <x v="12"/>
    <x v="1"/>
    <n v="1"/>
    <n v="1276000"/>
    <n v="0.05"/>
    <n v="951000"/>
    <n v="1212200"/>
    <x v="696"/>
    <x v="11"/>
    <x v="3"/>
    <n v="4"/>
    <x v="15"/>
    <n v="0.21547599406038606"/>
  </r>
  <r>
    <s v="ID-2026-01597"/>
    <d v="2026-05-01T00:00:00"/>
    <s v="ST-001"/>
    <x v="0"/>
    <s v="CUST-058"/>
    <x v="1"/>
    <s v="PRD-006"/>
    <x v="12"/>
    <x v="1"/>
    <n v="1"/>
    <n v="1364000"/>
    <n v="0"/>
    <n v="989000"/>
    <n v="1364000"/>
    <x v="697"/>
    <x v="3"/>
    <x v="3"/>
    <n v="5"/>
    <x v="0"/>
    <n v="0.27492668621700878"/>
  </r>
  <r>
    <s v="ID-2026-00207"/>
    <d v="2026-05-13T00:00:00"/>
    <s v="ST-001"/>
    <x v="0"/>
    <s v="CUST-131"/>
    <x v="0"/>
    <s v="PRD-006"/>
    <x v="12"/>
    <x v="1"/>
    <n v="1"/>
    <n v="1618000"/>
    <n v="0"/>
    <n v="1175000"/>
    <n v="1618000"/>
    <x v="698"/>
    <x v="3"/>
    <x v="3"/>
    <n v="5"/>
    <x v="23"/>
    <n v="0.27379480840543879"/>
  </r>
  <r>
    <s v="ID-2026-00060"/>
    <d v="2026-05-28T00:00:00"/>
    <s v="ST-004"/>
    <x v="2"/>
    <s v="CUST-136"/>
    <x v="1"/>
    <s v="PRD-006"/>
    <x v="12"/>
    <x v="1"/>
    <n v="1"/>
    <n v="1268000"/>
    <n v="0"/>
    <n v="929000"/>
    <n v="1268000"/>
    <x v="692"/>
    <x v="3"/>
    <x v="3"/>
    <n v="5"/>
    <x v="4"/>
    <n v="0.26735015772870663"/>
  </r>
  <r>
    <s v="ID-2023-00190"/>
    <d v="2023-01-16T00:00:00"/>
    <s v="ST-001"/>
    <x v="0"/>
    <s v="CUST-098"/>
    <x v="0"/>
    <s v="PRD-008"/>
    <x v="13"/>
    <x v="3"/>
    <n v="1"/>
    <n v="4242000"/>
    <n v="0.05"/>
    <n v="3271000"/>
    <n v="4029900"/>
    <x v="699"/>
    <x v="0"/>
    <x v="0"/>
    <n v="1"/>
    <x v="5"/>
    <n v="0.18831732797339884"/>
  </r>
  <r>
    <s v="ID-2023-00353"/>
    <d v="2023-01-28T00:00:00"/>
    <s v="ST-001"/>
    <x v="0"/>
    <s v="CUST-102"/>
    <x v="0"/>
    <s v="PRD-008"/>
    <x v="13"/>
    <x v="3"/>
    <n v="1"/>
    <n v="3535000"/>
    <n v="0"/>
    <n v="2795000"/>
    <n v="3535000"/>
    <x v="700"/>
    <x v="0"/>
    <x v="0"/>
    <n v="1"/>
    <x v="4"/>
    <n v="0.20933521923620935"/>
  </r>
  <r>
    <s v="ID-2023-01031"/>
    <d v="2023-02-01T00:00:00"/>
    <s v="ST-001"/>
    <x v="0"/>
    <s v="CUST-052"/>
    <x v="2"/>
    <s v="PRD-008"/>
    <x v="13"/>
    <x v="3"/>
    <n v="1"/>
    <n v="4510000"/>
    <n v="0"/>
    <n v="3441000"/>
    <n v="4510000"/>
    <x v="701"/>
    <x v="1"/>
    <x v="0"/>
    <n v="2"/>
    <x v="0"/>
    <n v="0.23702882483370288"/>
  </r>
  <r>
    <s v="ID-2023-00609"/>
    <d v="2023-05-06T00:00:00"/>
    <s v="ST-001"/>
    <x v="0"/>
    <s v="CUST-088"/>
    <x v="0"/>
    <s v="PRD-008"/>
    <x v="13"/>
    <x v="3"/>
    <n v="1"/>
    <n v="3967203.3898305083"/>
    <n v="0"/>
    <n v="2925000"/>
    <n v="3967203.3898305083"/>
    <x v="702"/>
    <x v="3"/>
    <x v="0"/>
    <n v="5"/>
    <x v="29"/>
    <n v="0.26270480422104969"/>
  </r>
  <r>
    <s v="ID-2023-00846"/>
    <d v="2023-05-12T00:00:00"/>
    <s v="ST-002"/>
    <x v="3"/>
    <s v="CUST-010"/>
    <x v="2"/>
    <s v="PRD-008"/>
    <x v="13"/>
    <x v="3"/>
    <n v="1"/>
    <n v="3360000"/>
    <n v="0"/>
    <n v="2650000"/>
    <n v="3360000"/>
    <x v="703"/>
    <x v="3"/>
    <x v="0"/>
    <n v="5"/>
    <x v="10"/>
    <n v="0.21130952380952381"/>
  </r>
  <r>
    <s v="ID-2023-00506"/>
    <d v="2023-05-21T00:00:00"/>
    <s v="ST-002"/>
    <x v="3"/>
    <s v="CUST-095"/>
    <x v="2"/>
    <s v="PRD-008"/>
    <x v="13"/>
    <x v="3"/>
    <n v="1"/>
    <n v="2718000"/>
    <n v="0"/>
    <n v="2074000"/>
    <n v="2718000"/>
    <x v="704"/>
    <x v="3"/>
    <x v="0"/>
    <n v="5"/>
    <x v="14"/>
    <n v="0.23693892568064753"/>
  </r>
  <r>
    <s v="ID-2023-01188"/>
    <d v="2023-06-02T00:00:00"/>
    <s v="ST-002"/>
    <x v="3"/>
    <s v="CUST-063"/>
    <x v="1"/>
    <s v="PRD-008"/>
    <x v="13"/>
    <x v="3"/>
    <n v="3"/>
    <n v="4645000"/>
    <n v="0.1"/>
    <n v="3693000"/>
    <n v="12541500"/>
    <x v="705"/>
    <x v="4"/>
    <x v="0"/>
    <n v="6"/>
    <x v="17"/>
    <n v="0.70553761511780888"/>
  </r>
  <r>
    <s v="ID-2023-01005"/>
    <d v="2023-06-16T00:00:00"/>
    <s v="ST-002"/>
    <x v="3"/>
    <s v="CUST-125"/>
    <x v="1"/>
    <s v="PRD-008"/>
    <x v="13"/>
    <x v="3"/>
    <n v="1"/>
    <n v="4767000"/>
    <n v="0"/>
    <n v="3799000"/>
    <n v="4767000"/>
    <x v="706"/>
    <x v="4"/>
    <x v="0"/>
    <n v="6"/>
    <x v="5"/>
    <n v="0.20306272288651142"/>
  </r>
  <r>
    <s v="ID-2023-01071"/>
    <d v="2023-07-08T00:00:00"/>
    <s v="ST-004"/>
    <x v="2"/>
    <s v="CUST-047"/>
    <x v="1"/>
    <s v="PRD-008"/>
    <x v="13"/>
    <x v="3"/>
    <n v="1"/>
    <n v="4062000"/>
    <n v="0"/>
    <n v="3135000"/>
    <n v="4062000"/>
    <x v="707"/>
    <x v="5"/>
    <x v="0"/>
    <n v="7"/>
    <x v="27"/>
    <n v="0.22821270310192024"/>
  </r>
  <r>
    <s v="ID-2023-00183"/>
    <d v="2023-07-20T00:00:00"/>
    <s v="ST-001"/>
    <x v="0"/>
    <s v="CUST-066"/>
    <x v="0"/>
    <s v="PRD-008"/>
    <x v="13"/>
    <x v="3"/>
    <n v="1"/>
    <n v="4976000"/>
    <n v="0"/>
    <n v="3859000"/>
    <n v="4976000"/>
    <x v="708"/>
    <x v="5"/>
    <x v="0"/>
    <n v="7"/>
    <x v="30"/>
    <n v="0.22447749196141478"/>
  </r>
  <r>
    <s v="ID-2023-00180"/>
    <d v="2023-07-26T00:00:00"/>
    <s v="ST-003"/>
    <x v="4"/>
    <s v="CUST-016"/>
    <x v="1"/>
    <s v="PRD-008"/>
    <x v="13"/>
    <x v="3"/>
    <n v="1"/>
    <n v="2631000"/>
    <n v="0"/>
    <n v="2057000"/>
    <n v="2631000"/>
    <x v="513"/>
    <x v="5"/>
    <x v="0"/>
    <n v="7"/>
    <x v="6"/>
    <n v="0.21816799695933106"/>
  </r>
  <r>
    <s v="ID-2023-00766"/>
    <d v="2023-07-30T00:00:00"/>
    <s v="ST-004"/>
    <x v="2"/>
    <s v="CUST-053"/>
    <x v="2"/>
    <s v="PRD-008"/>
    <x v="13"/>
    <x v="3"/>
    <n v="1"/>
    <n v="3216000"/>
    <n v="0.1"/>
    <n v="2468000"/>
    <n v="2894400"/>
    <x v="709"/>
    <x v="5"/>
    <x v="0"/>
    <n v="7"/>
    <x v="15"/>
    <n v="0.14731896075179657"/>
  </r>
  <r>
    <s v="ID-2023-01740"/>
    <d v="2023-08-01T00:00:00"/>
    <s v="ST-001"/>
    <x v="0"/>
    <s v="CUST-144"/>
    <x v="1"/>
    <s v="PRD-008"/>
    <x v="13"/>
    <x v="3"/>
    <n v="1"/>
    <n v="4122000"/>
    <n v="0.05"/>
    <n v="3182000"/>
    <n v="3915900"/>
    <x v="710"/>
    <x v="6"/>
    <x v="0"/>
    <n v="8"/>
    <x v="0"/>
    <n v="0.18741540897367145"/>
  </r>
  <r>
    <s v="ID-2023-01405"/>
    <d v="2023-08-25T00:00:00"/>
    <s v="ST-001"/>
    <x v="0"/>
    <s v="CUST-049"/>
    <x v="0"/>
    <s v="PRD-008"/>
    <x v="13"/>
    <x v="3"/>
    <n v="1"/>
    <n v="2994000"/>
    <n v="0.1"/>
    <n v="2291000"/>
    <n v="2694600"/>
    <x v="711"/>
    <x v="6"/>
    <x v="0"/>
    <n v="8"/>
    <x v="12"/>
    <n v="0.14978104356861871"/>
  </r>
  <r>
    <s v="ID-2023-01693"/>
    <d v="2023-09-13T00:00:00"/>
    <s v="ST-003"/>
    <x v="4"/>
    <s v="CUST-017"/>
    <x v="1"/>
    <s v="PRD-008"/>
    <x v="13"/>
    <x v="3"/>
    <n v="3"/>
    <n v="3667000"/>
    <n v="0.1"/>
    <n v="2889000"/>
    <n v="9900900"/>
    <x v="712"/>
    <x v="7"/>
    <x v="0"/>
    <n v="9"/>
    <x v="23"/>
    <n v="0.70820834469593674"/>
  </r>
  <r>
    <s v="ID-2023-01028"/>
    <d v="2023-09-18T00:00:00"/>
    <s v="ST-001"/>
    <x v="0"/>
    <s v="CUST-145"/>
    <x v="1"/>
    <s v="PRD-008"/>
    <x v="13"/>
    <x v="3"/>
    <n v="1"/>
    <n v="3668000"/>
    <n v="0"/>
    <n v="2820000"/>
    <n v="3668000"/>
    <x v="713"/>
    <x v="7"/>
    <x v="0"/>
    <n v="9"/>
    <x v="9"/>
    <n v="0.23118865866957469"/>
  </r>
  <r>
    <s v="ID-2023-00130"/>
    <d v="2023-09-26T00:00:00"/>
    <s v="ST-002"/>
    <x v="3"/>
    <s v="CUST-060"/>
    <x v="1"/>
    <s v="PRD-008"/>
    <x v="13"/>
    <x v="3"/>
    <n v="1"/>
    <n v="3299000"/>
    <n v="0.05"/>
    <n v="2581000"/>
    <n v="3134050"/>
    <x v="714"/>
    <x v="7"/>
    <x v="0"/>
    <n v="9"/>
    <x v="6"/>
    <n v="0.17646495748312885"/>
  </r>
  <r>
    <s v="ID-2023-01510"/>
    <d v="2023-10-14T00:00:00"/>
    <s v="ST-001"/>
    <x v="0"/>
    <s v="CUST-043"/>
    <x v="1"/>
    <s v="PRD-008"/>
    <x v="13"/>
    <x v="3"/>
    <n v="1"/>
    <n v="3751000"/>
    <n v="0"/>
    <n v="2893000"/>
    <n v="3751000"/>
    <x v="715"/>
    <x v="8"/>
    <x v="0"/>
    <n v="10"/>
    <x v="18"/>
    <n v="0.22873900293255131"/>
  </r>
  <r>
    <s v="ID-2023-00440"/>
    <d v="2023-10-30T00:00:00"/>
    <s v="ST-002"/>
    <x v="3"/>
    <s v="CUST-149"/>
    <x v="1"/>
    <s v="PRD-008"/>
    <x v="13"/>
    <x v="3"/>
    <n v="1"/>
    <n v="4361000"/>
    <n v="0"/>
    <n v="3355000"/>
    <n v="4361000"/>
    <x v="716"/>
    <x v="8"/>
    <x v="0"/>
    <n v="10"/>
    <x v="15"/>
    <n v="0.23068103645952764"/>
  </r>
  <r>
    <s v="ID-2023-00741"/>
    <d v="2023-11-08T00:00:00"/>
    <s v="ST-005"/>
    <x v="1"/>
    <s v="CUST-026"/>
    <x v="2"/>
    <s v="PRD-008"/>
    <x v="13"/>
    <x v="3"/>
    <n v="3"/>
    <n v="3967203.3898305083"/>
    <n v="0.1"/>
    <n v="2925000"/>
    <n v="10711449.152542373"/>
    <x v="717"/>
    <x v="9"/>
    <x v="0"/>
    <n v="11"/>
    <x v="27"/>
    <n v="0.72692770526705541"/>
  </r>
  <r>
    <s v="ID-2024-00728"/>
    <d v="2024-01-12T00:00:00"/>
    <s v="ST-002"/>
    <x v="3"/>
    <s v="CUST-080"/>
    <x v="1"/>
    <s v="PRD-008"/>
    <x v="13"/>
    <x v="3"/>
    <n v="1"/>
    <n v="2693000"/>
    <n v="0"/>
    <n v="2095000"/>
    <n v="2693000"/>
    <x v="218"/>
    <x v="0"/>
    <x v="1"/>
    <n v="1"/>
    <x v="10"/>
    <n v="0.22205718529520979"/>
  </r>
  <r>
    <s v="ID-2024-00982"/>
    <d v="2024-02-04T00:00:00"/>
    <s v="ST-001"/>
    <x v="0"/>
    <s v="CUST-013"/>
    <x v="1"/>
    <s v="PRD-008"/>
    <x v="13"/>
    <x v="3"/>
    <n v="1"/>
    <n v="4372000"/>
    <n v="0"/>
    <n v="3357000"/>
    <n v="4372000"/>
    <x v="718"/>
    <x v="1"/>
    <x v="1"/>
    <n v="2"/>
    <x v="20"/>
    <n v="0.23215919487648673"/>
  </r>
  <r>
    <s v="ID-2024-01575"/>
    <d v="2024-02-16T00:00:00"/>
    <s v="ST-002"/>
    <x v="3"/>
    <s v="CUST-037"/>
    <x v="1"/>
    <s v="PRD-008"/>
    <x v="13"/>
    <x v="3"/>
    <n v="1"/>
    <n v="2650000"/>
    <n v="0.1"/>
    <n v="2081000"/>
    <n v="2385000"/>
    <x v="719"/>
    <x v="1"/>
    <x v="1"/>
    <n v="2"/>
    <x v="5"/>
    <n v="0.12746331236897274"/>
  </r>
  <r>
    <s v="ID-2024-01616"/>
    <d v="2024-02-23T00:00:00"/>
    <s v="ST-002"/>
    <x v="3"/>
    <s v="CUST-061"/>
    <x v="1"/>
    <s v="PRD-008"/>
    <x v="13"/>
    <x v="3"/>
    <n v="5"/>
    <n v="3678000"/>
    <n v="0"/>
    <n v="2880000"/>
    <n v="18390000"/>
    <x v="720"/>
    <x v="1"/>
    <x v="1"/>
    <n v="2"/>
    <x v="11"/>
    <n v="0.84339314845024471"/>
  </r>
  <r>
    <s v="ID-2024-00196"/>
    <d v="2024-03-14T00:00:00"/>
    <s v="ST-001"/>
    <x v="0"/>
    <s v="CUST-058"/>
    <x v="1"/>
    <s v="PRD-008"/>
    <x v="13"/>
    <x v="3"/>
    <n v="1"/>
    <n v="3756000"/>
    <n v="0"/>
    <n v="2928000"/>
    <n v="3756000"/>
    <x v="69"/>
    <x v="2"/>
    <x v="1"/>
    <n v="3"/>
    <x v="18"/>
    <n v="0.22044728434504793"/>
  </r>
  <r>
    <s v="ID-2024-01148"/>
    <d v="2024-04-08T00:00:00"/>
    <s v="ST-001"/>
    <x v="0"/>
    <s v="CUST-075"/>
    <x v="2"/>
    <s v="PRD-008"/>
    <x v="13"/>
    <x v="3"/>
    <n v="1"/>
    <n v="2684000"/>
    <n v="0"/>
    <n v="2064000"/>
    <n v="2684000"/>
    <x v="721"/>
    <x v="11"/>
    <x v="1"/>
    <n v="4"/>
    <x v="27"/>
    <n v="0.23099850968703428"/>
  </r>
  <r>
    <s v="ID-2024-01136"/>
    <d v="2024-05-04T00:00:00"/>
    <s v="ST-001"/>
    <x v="0"/>
    <s v="CUST-092"/>
    <x v="2"/>
    <s v="PRD-008"/>
    <x v="13"/>
    <x v="3"/>
    <n v="3"/>
    <n v="3386000"/>
    <n v="0"/>
    <n v="2649000"/>
    <n v="10158000"/>
    <x v="722"/>
    <x v="3"/>
    <x v="1"/>
    <n v="5"/>
    <x v="20"/>
    <n v="0.73922031896042528"/>
  </r>
  <r>
    <s v="ID-2024-01728"/>
    <d v="2024-06-02T00:00:00"/>
    <s v="ST-005"/>
    <x v="1"/>
    <s v="CUST-108"/>
    <x v="2"/>
    <s v="PRD-008"/>
    <x v="13"/>
    <x v="3"/>
    <n v="2"/>
    <n v="4915000"/>
    <n v="0.05"/>
    <n v="3812000"/>
    <n v="9338500"/>
    <x v="723"/>
    <x v="4"/>
    <x v="1"/>
    <n v="6"/>
    <x v="17"/>
    <n v="0.59179739786903673"/>
  </r>
  <r>
    <s v="ID-2024-01353"/>
    <d v="2024-08-03T00:00:00"/>
    <s v="ST-002"/>
    <x v="3"/>
    <s v="CUST-024"/>
    <x v="1"/>
    <s v="PRD-008"/>
    <x v="13"/>
    <x v="3"/>
    <n v="1"/>
    <n v="4600000"/>
    <n v="0"/>
    <n v="3645000"/>
    <n v="4600000"/>
    <x v="724"/>
    <x v="6"/>
    <x v="1"/>
    <n v="8"/>
    <x v="8"/>
    <n v="0.20760869565217391"/>
  </r>
  <r>
    <s v="ID-2024-00934"/>
    <d v="2024-08-07T00:00:00"/>
    <s v="ST-001"/>
    <x v="0"/>
    <s v="CUST-046"/>
    <x v="0"/>
    <s v="PRD-008"/>
    <x v="13"/>
    <x v="3"/>
    <n v="1"/>
    <n v="4665000"/>
    <n v="0.05"/>
    <n v="3658000"/>
    <n v="4431750"/>
    <x v="725"/>
    <x v="6"/>
    <x v="1"/>
    <n v="8"/>
    <x v="3"/>
    <n v="0.17459242962712246"/>
  </r>
  <r>
    <s v="ID-2024-01123"/>
    <d v="2024-08-10T00:00:00"/>
    <s v="ST-002"/>
    <x v="3"/>
    <s v="CUST-134"/>
    <x v="1"/>
    <s v="PRD-008"/>
    <x v="13"/>
    <x v="3"/>
    <n v="1"/>
    <n v="4552000"/>
    <n v="0"/>
    <n v="3540000"/>
    <n v="4552000"/>
    <x v="261"/>
    <x v="6"/>
    <x v="1"/>
    <n v="8"/>
    <x v="13"/>
    <n v="0.22231985940246046"/>
  </r>
  <r>
    <s v="ID-2024-00491"/>
    <d v="2024-09-03T00:00:00"/>
    <s v="ST-003"/>
    <x v="4"/>
    <s v="CUST-074"/>
    <x v="1"/>
    <s v="PRD-008"/>
    <x v="13"/>
    <x v="3"/>
    <n v="1"/>
    <n v="5106000"/>
    <n v="0"/>
    <n v="3883000"/>
    <n v="5106000"/>
    <x v="726"/>
    <x v="7"/>
    <x v="1"/>
    <n v="9"/>
    <x v="8"/>
    <n v="0.23952213082647866"/>
  </r>
  <r>
    <s v="ID-2024-01214"/>
    <d v="2024-09-28T00:00:00"/>
    <s v="ST-005"/>
    <x v="1"/>
    <s v="CUST-008"/>
    <x v="1"/>
    <s v="PRD-008"/>
    <x v="13"/>
    <x v="3"/>
    <n v="1"/>
    <n v="4389000"/>
    <n v="0"/>
    <n v="3415000"/>
    <n v="4389000"/>
    <x v="727"/>
    <x v="7"/>
    <x v="1"/>
    <n v="9"/>
    <x v="4"/>
    <n v="0.22191843244474824"/>
  </r>
  <r>
    <s v="ID-2024-01650"/>
    <d v="2024-10-07T00:00:00"/>
    <s v="ST-001"/>
    <x v="0"/>
    <s v="CUST-110"/>
    <x v="1"/>
    <s v="PRD-008"/>
    <x v="13"/>
    <x v="3"/>
    <n v="1"/>
    <n v="3097000"/>
    <n v="0.1"/>
    <n v="2386000"/>
    <n v="2787300"/>
    <x v="728"/>
    <x v="8"/>
    <x v="1"/>
    <n v="10"/>
    <x v="3"/>
    <n v="0.14397445556631866"/>
  </r>
  <r>
    <s v="ID-2024-01014"/>
    <d v="2024-10-15T00:00:00"/>
    <s v="ST-001"/>
    <x v="0"/>
    <s v="CUST-147"/>
    <x v="0"/>
    <s v="PRD-008"/>
    <x v="13"/>
    <x v="3"/>
    <n v="1"/>
    <n v="3641000"/>
    <n v="0"/>
    <n v="2772000"/>
    <n v="3641000"/>
    <x v="729"/>
    <x v="8"/>
    <x v="1"/>
    <n v="10"/>
    <x v="19"/>
    <n v="0.23867069486404835"/>
  </r>
  <r>
    <s v="ID-2024-00797"/>
    <d v="2024-11-29T00:00:00"/>
    <s v="ST-002"/>
    <x v="3"/>
    <s v="CUST-108"/>
    <x v="2"/>
    <s v="PRD-008"/>
    <x v="13"/>
    <x v="3"/>
    <n v="1"/>
    <n v="3104000"/>
    <n v="0"/>
    <n v="2423000"/>
    <n v="3104000"/>
    <x v="730"/>
    <x v="9"/>
    <x v="1"/>
    <n v="11"/>
    <x v="7"/>
    <n v="0.21939432989690721"/>
  </r>
  <r>
    <s v="ID-2024-01253"/>
    <d v="2024-12-01T00:00:00"/>
    <s v="ST-004"/>
    <x v="2"/>
    <s v="CUST-080"/>
    <x v="1"/>
    <s v="PRD-008"/>
    <x v="13"/>
    <x v="3"/>
    <n v="1"/>
    <n v="3224000"/>
    <n v="0"/>
    <n v="2510000"/>
    <n v="3224000"/>
    <x v="731"/>
    <x v="10"/>
    <x v="1"/>
    <n v="12"/>
    <x v="0"/>
    <n v="0.22146401985111663"/>
  </r>
  <r>
    <s v="ID-2024-01147"/>
    <d v="2024-12-02T00:00:00"/>
    <s v="ST-003"/>
    <x v="4"/>
    <s v="CUST-056"/>
    <x v="2"/>
    <s v="PRD-008"/>
    <x v="13"/>
    <x v="3"/>
    <n v="1"/>
    <n v="4175000"/>
    <n v="0.05"/>
    <n v="3293000"/>
    <n v="3966250"/>
    <x v="732"/>
    <x v="10"/>
    <x v="1"/>
    <n v="12"/>
    <x v="17"/>
    <n v="0.16974472108414748"/>
  </r>
  <r>
    <s v="ID-2025-00327"/>
    <d v="2025-01-17T00:00:00"/>
    <s v="ST-001"/>
    <x v="0"/>
    <s v="CUST-100"/>
    <x v="1"/>
    <s v="PRD-008"/>
    <x v="13"/>
    <x v="3"/>
    <n v="1"/>
    <n v="4001000"/>
    <n v="0"/>
    <n v="3078000"/>
    <n v="4001000"/>
    <x v="733"/>
    <x v="0"/>
    <x v="2"/>
    <n v="1"/>
    <x v="2"/>
    <n v="0.23069232691827044"/>
  </r>
  <r>
    <s v="ID-2025-00764"/>
    <d v="2025-01-26T00:00:00"/>
    <s v="ST-001"/>
    <x v="0"/>
    <s v="CUST-077"/>
    <x v="2"/>
    <s v="PRD-008"/>
    <x v="13"/>
    <x v="3"/>
    <n v="1"/>
    <n v="4528000"/>
    <n v="0"/>
    <n v="3571000"/>
    <n v="4528000"/>
    <x v="734"/>
    <x v="0"/>
    <x v="2"/>
    <n v="1"/>
    <x v="6"/>
    <n v="0.21135159010600707"/>
  </r>
  <r>
    <s v="ID-2025-00014"/>
    <d v="2025-04-06T00:00:00"/>
    <s v="ST-004"/>
    <x v="2"/>
    <s v="CUST-098"/>
    <x v="0"/>
    <s v="PRD-008"/>
    <x v="13"/>
    <x v="3"/>
    <n v="1"/>
    <n v="3735000"/>
    <n v="0"/>
    <n v="2971000"/>
    <n v="3735000"/>
    <x v="735"/>
    <x v="11"/>
    <x v="2"/>
    <n v="4"/>
    <x v="29"/>
    <n v="0.20455153949129853"/>
  </r>
  <r>
    <s v="ID-2025-00603"/>
    <d v="2025-04-17T00:00:00"/>
    <s v="ST-002"/>
    <x v="3"/>
    <s v="CUST-144"/>
    <x v="1"/>
    <s v="PRD-008"/>
    <x v="13"/>
    <x v="3"/>
    <n v="1"/>
    <n v="5277000"/>
    <n v="0.1"/>
    <n v="4204000"/>
    <n v="4749300"/>
    <x v="736"/>
    <x v="11"/>
    <x v="2"/>
    <n v="4"/>
    <x v="2"/>
    <n v="0.11481692038826774"/>
  </r>
  <r>
    <s v="ID-2025-00666"/>
    <d v="2025-04-18T00:00:00"/>
    <s v="ST-003"/>
    <x v="4"/>
    <s v="CUST-040"/>
    <x v="0"/>
    <s v="PRD-008"/>
    <x v="13"/>
    <x v="3"/>
    <n v="1"/>
    <n v="4370000"/>
    <n v="0"/>
    <n v="3472000"/>
    <n v="4370000"/>
    <x v="737"/>
    <x v="11"/>
    <x v="2"/>
    <n v="4"/>
    <x v="9"/>
    <n v="0.20549199084668193"/>
  </r>
  <r>
    <s v="ID-2025-01063"/>
    <d v="2025-05-31T00:00:00"/>
    <s v="ST-001"/>
    <x v="0"/>
    <s v="CUST-122"/>
    <x v="1"/>
    <s v="PRD-008"/>
    <x v="13"/>
    <x v="3"/>
    <n v="5"/>
    <n v="3451000"/>
    <n v="0"/>
    <n v="2695000"/>
    <n v="17255000"/>
    <x v="738"/>
    <x v="3"/>
    <x v="2"/>
    <n v="5"/>
    <x v="28"/>
    <n v="0.84381338742393508"/>
  </r>
  <r>
    <s v="ID-2025-01372"/>
    <d v="2025-06-13T00:00:00"/>
    <s v="ST-003"/>
    <x v="4"/>
    <s v="CUST-140"/>
    <x v="3"/>
    <s v="PRD-008"/>
    <x v="13"/>
    <x v="3"/>
    <n v="1"/>
    <n v="3382000"/>
    <n v="0"/>
    <n v="2695000"/>
    <n v="3382000"/>
    <x v="739"/>
    <x v="4"/>
    <x v="2"/>
    <n v="6"/>
    <x v="23"/>
    <n v="0.20313424009461856"/>
  </r>
  <r>
    <s v="ID-2025-00050"/>
    <d v="2025-06-27T00:00:00"/>
    <s v="ST-001"/>
    <x v="0"/>
    <s v="CUST-056"/>
    <x v="2"/>
    <s v="PRD-008"/>
    <x v="13"/>
    <x v="3"/>
    <n v="1"/>
    <n v="5012000"/>
    <n v="0"/>
    <n v="3925000"/>
    <n v="5012000"/>
    <x v="246"/>
    <x v="4"/>
    <x v="2"/>
    <n v="6"/>
    <x v="24"/>
    <n v="0.21687948922585795"/>
  </r>
  <r>
    <s v="ID-2025-00179"/>
    <d v="2025-07-15T00:00:00"/>
    <s v="ST-003"/>
    <x v="4"/>
    <s v="CUST-048"/>
    <x v="0"/>
    <s v="PRD-008"/>
    <x v="13"/>
    <x v="3"/>
    <n v="2"/>
    <n v="3311000"/>
    <n v="0"/>
    <n v="2539000"/>
    <n v="6622000"/>
    <x v="740"/>
    <x v="5"/>
    <x v="2"/>
    <n v="7"/>
    <x v="19"/>
    <n v="0.61658109332527933"/>
  </r>
  <r>
    <s v="ID-2025-00357"/>
    <d v="2025-07-20T00:00:00"/>
    <s v="ST-002"/>
    <x v="3"/>
    <s v="CUST-103"/>
    <x v="1"/>
    <s v="PRD-008"/>
    <x v="13"/>
    <x v="3"/>
    <n v="2"/>
    <n v="5096000"/>
    <n v="0"/>
    <n v="3878000"/>
    <n v="10192000"/>
    <x v="741"/>
    <x v="5"/>
    <x v="2"/>
    <n v="7"/>
    <x v="30"/>
    <n v="0.61950549450549453"/>
  </r>
  <r>
    <s v="ID-2025-01775"/>
    <d v="2025-07-22T00:00:00"/>
    <s v="ST-003"/>
    <x v="4"/>
    <s v="CUST-093"/>
    <x v="2"/>
    <s v="PRD-008"/>
    <x v="13"/>
    <x v="3"/>
    <n v="1"/>
    <n v="5405000"/>
    <n v="0"/>
    <n v="4200000"/>
    <n v="5405000"/>
    <x v="742"/>
    <x v="5"/>
    <x v="2"/>
    <n v="7"/>
    <x v="16"/>
    <n v="0.22294172062904719"/>
  </r>
  <r>
    <s v="ID-2025-00647"/>
    <d v="2025-08-27T00:00:00"/>
    <s v="ST-003"/>
    <x v="4"/>
    <s v="CUST-067"/>
    <x v="1"/>
    <s v="PRD-008"/>
    <x v="13"/>
    <x v="3"/>
    <n v="1"/>
    <n v="5460000"/>
    <n v="0"/>
    <n v="4356000"/>
    <n v="5460000"/>
    <x v="743"/>
    <x v="6"/>
    <x v="2"/>
    <n v="8"/>
    <x v="24"/>
    <n v="0.2021978021978022"/>
  </r>
  <r>
    <s v="ID-2025-00045"/>
    <d v="2025-08-29T00:00:00"/>
    <s v="ST-003"/>
    <x v="4"/>
    <s v="CUST-064"/>
    <x v="1"/>
    <s v="PRD-008"/>
    <x v="13"/>
    <x v="3"/>
    <n v="1"/>
    <n v="2994000"/>
    <n v="0"/>
    <n v="2383000"/>
    <n v="2994000"/>
    <x v="744"/>
    <x v="6"/>
    <x v="2"/>
    <n v="8"/>
    <x v="7"/>
    <n v="0.20407481629926519"/>
  </r>
  <r>
    <s v="ID-2025-00697"/>
    <d v="2025-10-26T00:00:00"/>
    <s v="ST-001"/>
    <x v="0"/>
    <s v="CUST-040"/>
    <x v="0"/>
    <s v="PRD-008"/>
    <x v="13"/>
    <x v="3"/>
    <n v="1"/>
    <n v="3562000"/>
    <n v="0"/>
    <n v="2798000"/>
    <n v="3562000"/>
    <x v="735"/>
    <x v="8"/>
    <x v="2"/>
    <n v="10"/>
    <x v="6"/>
    <n v="0.21448624368332397"/>
  </r>
  <r>
    <s v="ID-2025-01083"/>
    <d v="2025-12-17T00:00:00"/>
    <s v="ST-001"/>
    <x v="0"/>
    <s v="CUST-104"/>
    <x v="0"/>
    <s v="PRD-008"/>
    <x v="13"/>
    <x v="3"/>
    <n v="1"/>
    <n v="5448000"/>
    <n v="0.1"/>
    <n v="4305000"/>
    <n v="4903200"/>
    <x v="745"/>
    <x v="10"/>
    <x v="2"/>
    <n v="12"/>
    <x v="2"/>
    <n v="0.12200195790504161"/>
  </r>
  <r>
    <s v="ID-2026-00039"/>
    <d v="2026-01-12T00:00:00"/>
    <s v="ST-002"/>
    <x v="3"/>
    <s v="CUST-027"/>
    <x v="1"/>
    <s v="PRD-008"/>
    <x v="13"/>
    <x v="3"/>
    <n v="1"/>
    <n v="3137000"/>
    <n v="0"/>
    <n v="2490000"/>
    <n v="3137000"/>
    <x v="746"/>
    <x v="0"/>
    <x v="3"/>
    <n v="1"/>
    <x v="10"/>
    <n v="0.20624800765062162"/>
  </r>
  <r>
    <s v="ID-2026-00243"/>
    <d v="2026-01-31T00:00:00"/>
    <s v="ST-001"/>
    <x v="0"/>
    <s v="CUST-116"/>
    <x v="1"/>
    <s v="PRD-008"/>
    <x v="13"/>
    <x v="3"/>
    <n v="1"/>
    <n v="4272000"/>
    <n v="0"/>
    <n v="3304000"/>
    <n v="4272000"/>
    <x v="706"/>
    <x v="0"/>
    <x v="3"/>
    <n v="1"/>
    <x v="28"/>
    <n v="0.22659176029962547"/>
  </r>
  <r>
    <s v="ID-2026-00361"/>
    <d v="2026-03-15T00:00:00"/>
    <s v="ST-002"/>
    <x v="3"/>
    <s v="CUST-060"/>
    <x v="1"/>
    <s v="PRD-008"/>
    <x v="13"/>
    <x v="3"/>
    <n v="1"/>
    <n v="3422000"/>
    <n v="0"/>
    <n v="2609000"/>
    <n v="3422000"/>
    <x v="546"/>
    <x v="2"/>
    <x v="3"/>
    <n v="3"/>
    <x v="19"/>
    <n v="0.23758036236119229"/>
  </r>
  <r>
    <s v="ID-2026-00611"/>
    <d v="2026-04-03T00:00:00"/>
    <s v="ST-003"/>
    <x v="4"/>
    <s v="CUST-120"/>
    <x v="0"/>
    <s v="PRD-008"/>
    <x v="13"/>
    <x v="3"/>
    <n v="1"/>
    <n v="2928000"/>
    <n v="0.1"/>
    <n v="2271000"/>
    <n v="2635200"/>
    <x v="747"/>
    <x v="11"/>
    <x v="3"/>
    <n v="4"/>
    <x v="8"/>
    <n v="0.13820582877959928"/>
  </r>
  <r>
    <s v="ID-2026-00135"/>
    <d v="2026-04-13T00:00:00"/>
    <s v="ST-004"/>
    <x v="2"/>
    <s v="CUST-144"/>
    <x v="1"/>
    <s v="PRD-008"/>
    <x v="13"/>
    <x v="3"/>
    <n v="1"/>
    <n v="5183000"/>
    <n v="0.15"/>
    <n v="4095000"/>
    <n v="4405550"/>
    <x v="748"/>
    <x v="11"/>
    <x v="3"/>
    <n v="4"/>
    <x v="23"/>
    <n v="7.0490631135726525E-2"/>
  </r>
  <r>
    <s v="ID-2026-01636"/>
    <d v="2026-04-15T00:00:00"/>
    <s v="ST-002"/>
    <x v="3"/>
    <s v="CUST-092"/>
    <x v="2"/>
    <s v="PRD-008"/>
    <x v="13"/>
    <x v="3"/>
    <n v="2"/>
    <n v="5213000"/>
    <n v="0"/>
    <n v="4121000"/>
    <n v="10426000"/>
    <x v="749"/>
    <x v="11"/>
    <x v="3"/>
    <n v="4"/>
    <x v="19"/>
    <n v="0.60473815461346636"/>
  </r>
  <r>
    <s v="ID-2026-00246"/>
    <d v="2026-04-24T00:00:00"/>
    <s v="ST-001"/>
    <x v="0"/>
    <s v="CUST-013"/>
    <x v="1"/>
    <s v="PRD-008"/>
    <x v="13"/>
    <x v="3"/>
    <n v="1"/>
    <n v="4273000"/>
    <n v="0"/>
    <n v="3332000"/>
    <n v="4273000"/>
    <x v="273"/>
    <x v="11"/>
    <x v="3"/>
    <n v="4"/>
    <x v="25"/>
    <n v="0.22021998595834308"/>
  </r>
  <r>
    <s v="ID-2026-00334"/>
    <d v="2026-05-07T00:00:00"/>
    <s v="ST-004"/>
    <x v="2"/>
    <s v="CUST-132"/>
    <x v="1"/>
    <s v="PRD-008"/>
    <x v="13"/>
    <x v="3"/>
    <n v="5"/>
    <n v="3394000"/>
    <n v="0"/>
    <n v="2611000"/>
    <n v="16970000"/>
    <x v="750"/>
    <x v="3"/>
    <x v="3"/>
    <n v="5"/>
    <x v="3"/>
    <n v="0.84614024749558048"/>
  </r>
  <r>
    <s v="ID-2023-01050"/>
    <d v="2023-01-18T00:00:00"/>
    <s v="ST-004"/>
    <x v="2"/>
    <s v="CUST-063"/>
    <x v="1"/>
    <s v="PRD-012"/>
    <x v="14"/>
    <x v="3"/>
    <n v="1"/>
    <n v="2177000"/>
    <n v="0"/>
    <n v="1626000"/>
    <n v="2177000"/>
    <x v="751"/>
    <x v="0"/>
    <x v="0"/>
    <n v="1"/>
    <x v="9"/>
    <n v="0.25310059715204408"/>
  </r>
  <r>
    <s v="ID-2023-01003"/>
    <d v="2023-02-10T00:00:00"/>
    <s v="ST-001"/>
    <x v="0"/>
    <s v="CUST-129"/>
    <x v="1"/>
    <s v="PRD-012"/>
    <x v="14"/>
    <x v="3"/>
    <n v="1"/>
    <n v="2363000"/>
    <n v="0.05"/>
    <n v="1762000"/>
    <n v="2244850"/>
    <x v="752"/>
    <x v="1"/>
    <x v="0"/>
    <n v="2"/>
    <x v="13"/>
    <n v="0.21509232242688822"/>
  </r>
  <r>
    <s v="ID-2023-00235"/>
    <d v="2023-02-22T00:00:00"/>
    <s v="ST-001"/>
    <x v="0"/>
    <s v="CUST-074"/>
    <x v="1"/>
    <s v="PRD-012"/>
    <x v="14"/>
    <x v="3"/>
    <n v="2"/>
    <n v="2468000"/>
    <n v="0"/>
    <n v="1881000"/>
    <n v="4936000"/>
    <x v="753"/>
    <x v="1"/>
    <x v="0"/>
    <n v="2"/>
    <x v="16"/>
    <n v="0.6189222042139384"/>
  </r>
  <r>
    <s v="ID-2023-00400"/>
    <d v="2023-04-28T00:00:00"/>
    <s v="ST-002"/>
    <x v="3"/>
    <s v="CUST-074"/>
    <x v="1"/>
    <s v="PRD-012"/>
    <x v="14"/>
    <x v="3"/>
    <n v="2"/>
    <n v="2711000"/>
    <n v="0.05"/>
    <n v="2025000"/>
    <n v="5150900"/>
    <x v="754"/>
    <x v="11"/>
    <x v="0"/>
    <n v="4"/>
    <x v="4"/>
    <n v="0.60686481974023954"/>
  </r>
  <r>
    <s v="ID-2023-01442"/>
    <d v="2023-05-11T00:00:00"/>
    <s v="ST-002"/>
    <x v="3"/>
    <s v="CUST-089"/>
    <x v="1"/>
    <s v="PRD-012"/>
    <x v="14"/>
    <x v="3"/>
    <n v="1"/>
    <n v="2495000"/>
    <n v="0.1"/>
    <n v="1879000"/>
    <n v="2245500"/>
    <x v="755"/>
    <x v="3"/>
    <x v="0"/>
    <n v="5"/>
    <x v="22"/>
    <n v="0.16321531952794477"/>
  </r>
  <r>
    <s v="ID-2023-01322"/>
    <d v="2023-05-18T00:00:00"/>
    <s v="ST-002"/>
    <x v="3"/>
    <s v="CUST-108"/>
    <x v="2"/>
    <s v="PRD-012"/>
    <x v="14"/>
    <x v="3"/>
    <n v="1"/>
    <n v="2793000"/>
    <n v="0"/>
    <n v="2044000"/>
    <n v="2793000"/>
    <x v="48"/>
    <x v="3"/>
    <x v="0"/>
    <n v="5"/>
    <x v="9"/>
    <n v="0.26817042606516289"/>
  </r>
  <r>
    <s v="ID-2023-00082"/>
    <d v="2023-05-19T00:00:00"/>
    <s v="ST-002"/>
    <x v="3"/>
    <s v="CUST-129"/>
    <x v="1"/>
    <s v="PRD-012"/>
    <x v="14"/>
    <x v="3"/>
    <n v="1"/>
    <n v="3198000"/>
    <n v="0"/>
    <n v="2417000"/>
    <n v="3198000"/>
    <x v="756"/>
    <x v="3"/>
    <x v="0"/>
    <n v="5"/>
    <x v="26"/>
    <n v="0.24421513445903689"/>
  </r>
  <r>
    <s v="ID-2023-00023"/>
    <d v="2023-07-17T00:00:00"/>
    <s v="ST-004"/>
    <x v="2"/>
    <s v="CUST-135"/>
    <x v="2"/>
    <s v="PRD-012"/>
    <x v="14"/>
    <x v="3"/>
    <n v="1"/>
    <n v="3005000"/>
    <n v="0"/>
    <n v="2249000"/>
    <n v="3005000"/>
    <x v="757"/>
    <x v="5"/>
    <x v="0"/>
    <n v="7"/>
    <x v="2"/>
    <n v="0.25158069883527456"/>
  </r>
  <r>
    <s v="ID-2023-01236"/>
    <d v="2023-09-01T00:00:00"/>
    <s v="ST-002"/>
    <x v="3"/>
    <s v="CUST-085"/>
    <x v="1"/>
    <s v="PRD-012"/>
    <x v="14"/>
    <x v="3"/>
    <n v="5"/>
    <n v="3977000"/>
    <n v="0"/>
    <n v="3050000"/>
    <n v="19885000"/>
    <x v="758"/>
    <x v="7"/>
    <x v="0"/>
    <n v="9"/>
    <x v="0"/>
    <n v="0.84661805380940403"/>
  </r>
  <r>
    <s v="ID-2023-00368"/>
    <d v="2023-10-16T00:00:00"/>
    <s v="ST-002"/>
    <x v="3"/>
    <s v="CUST-137"/>
    <x v="0"/>
    <s v="PRD-012"/>
    <x v="14"/>
    <x v="3"/>
    <n v="1"/>
    <n v="2853000"/>
    <n v="0"/>
    <n v="2128000"/>
    <n v="2853000"/>
    <x v="759"/>
    <x v="8"/>
    <x v="0"/>
    <n v="10"/>
    <x v="5"/>
    <n v="0.25411847178408692"/>
  </r>
  <r>
    <s v="ID-2023-00594"/>
    <d v="2023-10-20T00:00:00"/>
    <s v="ST-001"/>
    <x v="0"/>
    <s v="CUST-001"/>
    <x v="1"/>
    <s v="PRD-012"/>
    <x v="14"/>
    <x v="3"/>
    <n v="1"/>
    <n v="2322000"/>
    <n v="0"/>
    <n v="1697000"/>
    <n v="2322000"/>
    <x v="760"/>
    <x v="8"/>
    <x v="0"/>
    <n v="10"/>
    <x v="30"/>
    <n v="0.26916451335055985"/>
  </r>
  <r>
    <s v="ID-2023-00161"/>
    <d v="2023-11-14T00:00:00"/>
    <s v="ST-001"/>
    <x v="0"/>
    <s v="CUST-087"/>
    <x v="2"/>
    <s v="PRD-012"/>
    <x v="14"/>
    <x v="3"/>
    <n v="1"/>
    <n v="3718000"/>
    <n v="0.1"/>
    <n v="2814000"/>
    <n v="3346200"/>
    <x v="761"/>
    <x v="9"/>
    <x v="0"/>
    <n v="11"/>
    <x v="18"/>
    <n v="0.15904608212300519"/>
  </r>
  <r>
    <s v="ID-2023-00936"/>
    <d v="2023-12-04T00:00:00"/>
    <s v="ST-002"/>
    <x v="3"/>
    <s v="CUST-110"/>
    <x v="1"/>
    <s v="PRD-012"/>
    <x v="14"/>
    <x v="3"/>
    <n v="1"/>
    <n v="2620000"/>
    <n v="0"/>
    <n v="1985000"/>
    <n v="2620000"/>
    <x v="415"/>
    <x v="10"/>
    <x v="0"/>
    <n v="12"/>
    <x v="20"/>
    <n v="0.24236641221374045"/>
  </r>
  <r>
    <s v="ID-2023-01774"/>
    <d v="2023-12-07T00:00:00"/>
    <s v="ST-001"/>
    <x v="0"/>
    <s v="CUST-073"/>
    <x v="1"/>
    <s v="PRD-012"/>
    <x v="14"/>
    <x v="3"/>
    <n v="3"/>
    <n v="2497000"/>
    <n v="0"/>
    <n v="1874000"/>
    <n v="7491000"/>
    <x v="762"/>
    <x v="10"/>
    <x v="0"/>
    <n v="12"/>
    <x v="3"/>
    <n v="0.749833133093045"/>
  </r>
  <r>
    <s v="ID-2024-01217"/>
    <d v="2024-01-06T00:00:00"/>
    <s v="ST-002"/>
    <x v="3"/>
    <s v="CUST-087"/>
    <x v="2"/>
    <s v="PRD-012"/>
    <x v="14"/>
    <x v="3"/>
    <n v="1"/>
    <n v="3606000"/>
    <n v="0"/>
    <n v="2718000"/>
    <n v="3606000"/>
    <x v="763"/>
    <x v="0"/>
    <x v="1"/>
    <n v="1"/>
    <x v="29"/>
    <n v="0.24625623960066556"/>
  </r>
  <r>
    <s v="ID-2024-01222"/>
    <d v="2024-01-09T00:00:00"/>
    <s v="ST-004"/>
    <x v="2"/>
    <s v="CUST-076"/>
    <x v="2"/>
    <s v="PRD-012"/>
    <x v="14"/>
    <x v="3"/>
    <n v="1"/>
    <n v="2706000"/>
    <n v="0"/>
    <n v="2048000"/>
    <n v="2706000"/>
    <x v="85"/>
    <x v="0"/>
    <x v="1"/>
    <n v="1"/>
    <x v="1"/>
    <n v="0.24316334072431633"/>
  </r>
  <r>
    <s v="ID-2024-01347"/>
    <d v="2024-01-12T00:00:00"/>
    <s v="ST-001"/>
    <x v="0"/>
    <s v="CUST-135"/>
    <x v="2"/>
    <s v="PRD-012"/>
    <x v="14"/>
    <x v="3"/>
    <n v="1"/>
    <n v="3687000"/>
    <n v="0"/>
    <n v="2790000"/>
    <n v="3687000"/>
    <x v="764"/>
    <x v="0"/>
    <x v="1"/>
    <n v="1"/>
    <x v="10"/>
    <n v="0.24328722538649308"/>
  </r>
  <r>
    <s v="ID-2024-00597"/>
    <d v="2024-01-12T00:00:00"/>
    <s v="ST-001"/>
    <x v="0"/>
    <s v="CUST-073"/>
    <x v="1"/>
    <s v="PRD-012"/>
    <x v="14"/>
    <x v="3"/>
    <n v="1"/>
    <n v="3935000"/>
    <n v="0"/>
    <n v="2951000"/>
    <n v="3935000"/>
    <x v="765"/>
    <x v="0"/>
    <x v="1"/>
    <n v="1"/>
    <x v="10"/>
    <n v="0.25006353240152479"/>
  </r>
  <r>
    <s v="ID-2024-01446"/>
    <d v="2024-01-23T00:00:00"/>
    <s v="ST-005"/>
    <x v="1"/>
    <s v="CUST-139"/>
    <x v="1"/>
    <s v="PRD-012"/>
    <x v="14"/>
    <x v="3"/>
    <n v="1"/>
    <n v="3445000"/>
    <n v="0"/>
    <n v="2554000"/>
    <n v="3445000"/>
    <x v="766"/>
    <x v="0"/>
    <x v="1"/>
    <n v="1"/>
    <x v="11"/>
    <n v="0.25863570391872276"/>
  </r>
  <r>
    <s v="ID-2024-01106"/>
    <d v="2024-02-18T00:00:00"/>
    <s v="ST-001"/>
    <x v="0"/>
    <s v="CUST-059"/>
    <x v="1"/>
    <s v="PRD-012"/>
    <x v="14"/>
    <x v="3"/>
    <n v="1"/>
    <n v="3548000"/>
    <n v="0"/>
    <n v="2593000"/>
    <n v="3548000"/>
    <x v="724"/>
    <x v="1"/>
    <x v="1"/>
    <n v="2"/>
    <x v="9"/>
    <n v="0.26916572717023673"/>
  </r>
  <r>
    <s v="ID-2024-01052"/>
    <d v="2024-03-06T00:00:00"/>
    <s v="ST-001"/>
    <x v="0"/>
    <s v="CUST-145"/>
    <x v="1"/>
    <s v="PRD-012"/>
    <x v="14"/>
    <x v="3"/>
    <n v="1"/>
    <n v="3273000"/>
    <n v="0"/>
    <n v="2447000"/>
    <n v="3273000"/>
    <x v="767"/>
    <x v="2"/>
    <x v="1"/>
    <n v="3"/>
    <x v="29"/>
    <n v="0.25236785823403607"/>
  </r>
  <r>
    <s v="ID-2024-01397"/>
    <d v="2024-05-02T00:00:00"/>
    <s v="ST-002"/>
    <x v="3"/>
    <s v="CUST-147"/>
    <x v="0"/>
    <s v="PRD-012"/>
    <x v="14"/>
    <x v="3"/>
    <n v="2"/>
    <n v="3813000"/>
    <n v="0"/>
    <n v="2860000"/>
    <n v="7626000"/>
    <x v="768"/>
    <x v="3"/>
    <x v="1"/>
    <n v="5"/>
    <x v="17"/>
    <n v="0.62496721741410965"/>
  </r>
  <r>
    <s v="ID-2024-00916"/>
    <d v="2024-05-03T00:00:00"/>
    <s v="ST-002"/>
    <x v="3"/>
    <s v="CUST-078"/>
    <x v="1"/>
    <s v="PRD-012"/>
    <x v="14"/>
    <x v="3"/>
    <n v="2"/>
    <n v="2836000"/>
    <n v="0"/>
    <n v="2136000"/>
    <n v="5672000"/>
    <x v="769"/>
    <x v="3"/>
    <x v="1"/>
    <n v="5"/>
    <x v="8"/>
    <n v="0.62341325811001413"/>
  </r>
  <r>
    <s v="ID-2024-00208"/>
    <d v="2024-06-11T00:00:00"/>
    <s v="ST-002"/>
    <x v="3"/>
    <s v="CUST-029"/>
    <x v="0"/>
    <s v="PRD-012"/>
    <x v="14"/>
    <x v="3"/>
    <n v="1"/>
    <n v="2801000"/>
    <n v="0"/>
    <n v="2145000"/>
    <n v="2801000"/>
    <x v="770"/>
    <x v="4"/>
    <x v="1"/>
    <n v="6"/>
    <x v="22"/>
    <n v="0.23420207068903962"/>
  </r>
  <r>
    <s v="ID-2024-00056"/>
    <d v="2024-06-20T00:00:00"/>
    <s v="ST-001"/>
    <x v="0"/>
    <s v="CUST-012"/>
    <x v="3"/>
    <s v="PRD-012"/>
    <x v="14"/>
    <x v="3"/>
    <n v="1"/>
    <n v="3962000"/>
    <n v="0"/>
    <n v="2979000"/>
    <n v="3962000"/>
    <x v="771"/>
    <x v="4"/>
    <x v="1"/>
    <n v="6"/>
    <x v="30"/>
    <n v="0.24810701665825341"/>
  </r>
  <r>
    <s v="ID-2024-00873"/>
    <d v="2024-08-24T00:00:00"/>
    <s v="ST-001"/>
    <x v="0"/>
    <s v="CUST-002"/>
    <x v="3"/>
    <s v="PRD-012"/>
    <x v="14"/>
    <x v="3"/>
    <n v="2"/>
    <n v="3367000"/>
    <n v="0"/>
    <n v="2505000"/>
    <n v="6734000"/>
    <x v="772"/>
    <x v="6"/>
    <x v="1"/>
    <n v="8"/>
    <x v="25"/>
    <n v="0.62800712800712799"/>
  </r>
  <r>
    <s v="ID-2024-00625"/>
    <d v="2024-09-02T00:00:00"/>
    <s v="ST-001"/>
    <x v="0"/>
    <s v="CUST-083"/>
    <x v="1"/>
    <s v="PRD-012"/>
    <x v="14"/>
    <x v="3"/>
    <n v="3"/>
    <n v="2410000"/>
    <n v="0"/>
    <n v="1784000"/>
    <n v="7230000"/>
    <x v="773"/>
    <x v="7"/>
    <x v="1"/>
    <n v="9"/>
    <x v="17"/>
    <n v="0.7532503457814661"/>
  </r>
  <r>
    <s v="ID-2024-00538"/>
    <d v="2024-09-08T00:00:00"/>
    <s v="ST-001"/>
    <x v="0"/>
    <s v="CUST-084"/>
    <x v="1"/>
    <s v="PRD-012"/>
    <x v="14"/>
    <x v="3"/>
    <n v="3"/>
    <n v="2422000"/>
    <n v="0"/>
    <n v="1769000"/>
    <n v="7266000"/>
    <x v="774"/>
    <x v="7"/>
    <x v="1"/>
    <n v="9"/>
    <x v="27"/>
    <n v="0.75653729699972472"/>
  </r>
  <r>
    <s v="ID-2024-00705"/>
    <d v="2024-09-23T00:00:00"/>
    <s v="ST-003"/>
    <x v="4"/>
    <s v="CUST-093"/>
    <x v="2"/>
    <s v="PRD-012"/>
    <x v="14"/>
    <x v="3"/>
    <n v="2"/>
    <n v="2439000"/>
    <n v="0.1"/>
    <n v="1816000"/>
    <n v="4390200"/>
    <x v="775"/>
    <x v="7"/>
    <x v="1"/>
    <n v="9"/>
    <x v="11"/>
    <n v="0.5863514190697463"/>
  </r>
  <r>
    <s v="ID-2024-00515"/>
    <d v="2024-09-23T00:00:00"/>
    <s v="ST-004"/>
    <x v="2"/>
    <s v="CUST-027"/>
    <x v="1"/>
    <s v="PRD-012"/>
    <x v="14"/>
    <x v="3"/>
    <n v="1"/>
    <n v="2281000"/>
    <n v="0.05"/>
    <n v="1751000"/>
    <n v="2166950"/>
    <x v="776"/>
    <x v="7"/>
    <x v="1"/>
    <n v="9"/>
    <x v="11"/>
    <n v="0.19195182168485658"/>
  </r>
  <r>
    <s v="ID-2024-00689"/>
    <d v="2024-10-23T00:00:00"/>
    <s v="ST-004"/>
    <x v="2"/>
    <s v="CUST-101"/>
    <x v="1"/>
    <s v="PRD-012"/>
    <x v="14"/>
    <x v="3"/>
    <n v="1"/>
    <n v="2555000"/>
    <n v="0.05"/>
    <n v="1955000"/>
    <n v="2427250"/>
    <x v="777"/>
    <x v="8"/>
    <x v="1"/>
    <n v="10"/>
    <x v="11"/>
    <n v="0.1945617468328355"/>
  </r>
  <r>
    <s v="ID-2024-00523"/>
    <d v="2024-10-25T00:00:00"/>
    <s v="ST-002"/>
    <x v="3"/>
    <s v="CUST-050"/>
    <x v="1"/>
    <s v="PRD-012"/>
    <x v="14"/>
    <x v="3"/>
    <n v="1"/>
    <n v="3429000"/>
    <n v="0.05"/>
    <n v="2505000"/>
    <n v="3257550"/>
    <x v="778"/>
    <x v="8"/>
    <x v="1"/>
    <n v="10"/>
    <x v="12"/>
    <n v="0.23101717548464337"/>
  </r>
  <r>
    <s v="ID-2024-01712"/>
    <d v="2024-11-24T00:00:00"/>
    <s v="ST-001"/>
    <x v="0"/>
    <s v="CUST-096"/>
    <x v="0"/>
    <s v="PRD-012"/>
    <x v="14"/>
    <x v="3"/>
    <n v="3"/>
    <n v="3729000"/>
    <n v="0"/>
    <n v="2747000"/>
    <n v="11187000"/>
    <x v="779"/>
    <x v="9"/>
    <x v="1"/>
    <n v="11"/>
    <x v="25"/>
    <n v="0.75444712612854203"/>
  </r>
  <r>
    <s v="ID-2025-01516"/>
    <d v="2025-01-07T00:00:00"/>
    <s v="ST-002"/>
    <x v="3"/>
    <s v="CUST-072"/>
    <x v="1"/>
    <s v="PRD-012"/>
    <x v="14"/>
    <x v="3"/>
    <n v="1"/>
    <n v="4256000"/>
    <n v="0"/>
    <n v="3150000"/>
    <n v="4256000"/>
    <x v="780"/>
    <x v="0"/>
    <x v="2"/>
    <n v="1"/>
    <x v="3"/>
    <n v="0.25986842105263158"/>
  </r>
  <r>
    <s v="ID-2025-00548"/>
    <d v="2025-01-16T00:00:00"/>
    <s v="ST-002"/>
    <x v="3"/>
    <s v="CUST-094"/>
    <x v="0"/>
    <s v="PRD-012"/>
    <x v="14"/>
    <x v="3"/>
    <n v="1"/>
    <n v="2744000"/>
    <n v="0"/>
    <n v="2008000"/>
    <n v="2744000"/>
    <x v="781"/>
    <x v="0"/>
    <x v="2"/>
    <n v="1"/>
    <x v="5"/>
    <n v="0.26822157434402333"/>
  </r>
  <r>
    <s v="ID-2025-00173"/>
    <d v="2025-01-25T00:00:00"/>
    <s v="ST-003"/>
    <x v="4"/>
    <s v="CUST-048"/>
    <x v="0"/>
    <s v="PRD-012"/>
    <x v="14"/>
    <x v="3"/>
    <n v="1"/>
    <n v="4147000"/>
    <n v="0"/>
    <n v="3155000"/>
    <n v="4147000"/>
    <x v="782"/>
    <x v="0"/>
    <x v="2"/>
    <n v="1"/>
    <x v="12"/>
    <n v="0.23920906679527368"/>
  </r>
  <r>
    <s v="ID-2025-00853"/>
    <d v="2025-02-13T00:00:00"/>
    <s v="ST-001"/>
    <x v="0"/>
    <s v="CUST-011"/>
    <x v="1"/>
    <s v="PRD-012"/>
    <x v="14"/>
    <x v="3"/>
    <n v="1"/>
    <n v="3043000"/>
    <n v="0"/>
    <n v="2293000"/>
    <n v="3043000"/>
    <x v="86"/>
    <x v="1"/>
    <x v="2"/>
    <n v="2"/>
    <x v="23"/>
    <n v="0.24646730200460074"/>
  </r>
  <r>
    <s v="ID-2025-00847"/>
    <d v="2025-02-28T00:00:00"/>
    <s v="ST-004"/>
    <x v="2"/>
    <s v="CUST-012"/>
    <x v="3"/>
    <s v="PRD-012"/>
    <x v="14"/>
    <x v="3"/>
    <n v="1"/>
    <n v="3599000"/>
    <n v="0"/>
    <n v="2649000"/>
    <n v="3599000"/>
    <x v="58"/>
    <x v="1"/>
    <x v="2"/>
    <n v="2"/>
    <x v="4"/>
    <n v="0.26396221172547929"/>
  </r>
  <r>
    <s v="ID-2025-01097"/>
    <d v="2025-03-14T00:00:00"/>
    <s v="ST-002"/>
    <x v="3"/>
    <s v="CUST-122"/>
    <x v="1"/>
    <s v="PRD-012"/>
    <x v="14"/>
    <x v="3"/>
    <n v="1"/>
    <n v="4297000"/>
    <n v="0"/>
    <n v="3259000"/>
    <n v="4297000"/>
    <x v="783"/>
    <x v="2"/>
    <x v="2"/>
    <n v="3"/>
    <x v="18"/>
    <n v="0.24156388177798463"/>
  </r>
  <r>
    <s v="ID-2025-01521"/>
    <d v="2025-03-14T00:00:00"/>
    <s v="ST-002"/>
    <x v="3"/>
    <s v="CUST-103"/>
    <x v="1"/>
    <s v="PRD-012"/>
    <x v="14"/>
    <x v="3"/>
    <n v="1"/>
    <n v="2922000"/>
    <n v="0"/>
    <n v="2177000"/>
    <n v="2922000"/>
    <x v="784"/>
    <x v="2"/>
    <x v="2"/>
    <n v="3"/>
    <x v="18"/>
    <n v="0.25496235455167693"/>
  </r>
  <r>
    <s v="ID-2025-01026"/>
    <d v="2025-04-25T00:00:00"/>
    <s v="ST-004"/>
    <x v="2"/>
    <s v="CUST-009"/>
    <x v="0"/>
    <s v="PRD-012"/>
    <x v="14"/>
    <x v="3"/>
    <n v="1"/>
    <n v="2219000"/>
    <n v="0.1"/>
    <n v="1673000"/>
    <n v="1997100"/>
    <x v="785"/>
    <x v="11"/>
    <x v="2"/>
    <n v="4"/>
    <x v="12"/>
    <n v="0.16228531370487206"/>
  </r>
  <r>
    <s v="ID-2025-01128"/>
    <d v="2025-05-05T00:00:00"/>
    <s v="ST-001"/>
    <x v="0"/>
    <s v="CUST-130"/>
    <x v="0"/>
    <s v="PRD-012"/>
    <x v="14"/>
    <x v="3"/>
    <n v="1"/>
    <n v="3531000"/>
    <n v="0"/>
    <n v="2633000"/>
    <n v="3531000"/>
    <x v="737"/>
    <x v="3"/>
    <x v="2"/>
    <n v="5"/>
    <x v="21"/>
    <n v="0.25431888983290851"/>
  </r>
  <r>
    <s v="ID-2025-01138"/>
    <d v="2025-05-17T00:00:00"/>
    <s v="ST-001"/>
    <x v="0"/>
    <s v="CUST-038"/>
    <x v="1"/>
    <s v="PRD-012"/>
    <x v="14"/>
    <x v="3"/>
    <n v="3"/>
    <n v="2599000"/>
    <n v="0"/>
    <n v="1900000"/>
    <n v="7797000"/>
    <x v="786"/>
    <x v="3"/>
    <x v="2"/>
    <n v="5"/>
    <x v="2"/>
    <n v="0.75631653199948701"/>
  </r>
  <r>
    <s v="ID-2025-00543"/>
    <d v="2025-05-20T00:00:00"/>
    <s v="ST-001"/>
    <x v="0"/>
    <s v="CUST-123"/>
    <x v="1"/>
    <s v="PRD-012"/>
    <x v="14"/>
    <x v="3"/>
    <n v="1"/>
    <n v="3278000"/>
    <n v="0"/>
    <n v="2505000"/>
    <n v="3278000"/>
    <x v="787"/>
    <x v="3"/>
    <x v="2"/>
    <n v="5"/>
    <x v="30"/>
    <n v="0.23581452104942038"/>
  </r>
  <r>
    <s v="ID-2025-01268"/>
    <d v="2025-06-04T00:00:00"/>
    <s v="ST-004"/>
    <x v="2"/>
    <s v="CUST-071"/>
    <x v="2"/>
    <s v="PRD-012"/>
    <x v="14"/>
    <x v="3"/>
    <n v="1"/>
    <n v="4374000"/>
    <n v="0.05"/>
    <n v="3350000"/>
    <n v="4155300"/>
    <x v="788"/>
    <x v="4"/>
    <x v="2"/>
    <n v="6"/>
    <x v="20"/>
    <n v="0.19380068827762134"/>
  </r>
  <r>
    <s v="ID-2025-01117"/>
    <d v="2025-06-10T00:00:00"/>
    <s v="ST-002"/>
    <x v="3"/>
    <s v="CUST-016"/>
    <x v="1"/>
    <s v="PRD-012"/>
    <x v="14"/>
    <x v="3"/>
    <n v="1"/>
    <n v="2548000"/>
    <n v="0.1"/>
    <n v="1937000"/>
    <n v="2293200"/>
    <x v="789"/>
    <x v="4"/>
    <x v="2"/>
    <n v="6"/>
    <x v="13"/>
    <n v="0.15532879818594103"/>
  </r>
  <r>
    <s v="ID-2025-00639"/>
    <d v="2025-07-09T00:00:00"/>
    <s v="ST-004"/>
    <x v="2"/>
    <s v="CUST-031"/>
    <x v="0"/>
    <s v="PRD-012"/>
    <x v="14"/>
    <x v="3"/>
    <n v="2"/>
    <n v="4096000"/>
    <n v="0.1"/>
    <n v="3053000"/>
    <n v="7372800"/>
    <x v="790"/>
    <x v="5"/>
    <x v="2"/>
    <n v="7"/>
    <x v="1"/>
    <n v="0.58591037326388884"/>
  </r>
  <r>
    <s v="ID-2025-00234"/>
    <d v="2025-09-18T00:00:00"/>
    <s v="ST-002"/>
    <x v="3"/>
    <s v="CUST-123"/>
    <x v="1"/>
    <s v="PRD-012"/>
    <x v="14"/>
    <x v="3"/>
    <n v="3"/>
    <n v="3895000"/>
    <n v="0"/>
    <n v="2883000"/>
    <n v="11685000"/>
    <x v="791"/>
    <x v="7"/>
    <x v="2"/>
    <n v="9"/>
    <x v="9"/>
    <n v="0.75327342747111681"/>
  </r>
  <r>
    <s v="ID-2025-01494"/>
    <d v="2025-09-21T00:00:00"/>
    <s v="ST-002"/>
    <x v="3"/>
    <s v="CUST-144"/>
    <x v="1"/>
    <s v="PRD-012"/>
    <x v="14"/>
    <x v="3"/>
    <n v="1"/>
    <n v="3644000"/>
    <n v="0"/>
    <n v="2703000"/>
    <n v="3644000"/>
    <x v="273"/>
    <x v="7"/>
    <x v="2"/>
    <n v="9"/>
    <x v="14"/>
    <n v="0.25823271130625686"/>
  </r>
  <r>
    <s v="ID-2025-00718"/>
    <d v="2025-10-11T00:00:00"/>
    <s v="ST-001"/>
    <x v="0"/>
    <s v="CUST-063"/>
    <x v="1"/>
    <s v="PRD-012"/>
    <x v="14"/>
    <x v="3"/>
    <n v="1"/>
    <n v="3936000"/>
    <n v="0"/>
    <n v="3019000"/>
    <n v="3936000"/>
    <x v="792"/>
    <x v="8"/>
    <x v="2"/>
    <n v="10"/>
    <x v="22"/>
    <n v="0.23297764227642276"/>
  </r>
  <r>
    <s v="ID-2025-00025"/>
    <d v="2025-10-21T00:00:00"/>
    <s v="ST-004"/>
    <x v="2"/>
    <s v="CUST-055"/>
    <x v="0"/>
    <s v="PRD-012"/>
    <x v="14"/>
    <x v="3"/>
    <n v="1"/>
    <n v="2684000"/>
    <n v="0"/>
    <n v="2044000"/>
    <n v="2684000"/>
    <x v="793"/>
    <x v="8"/>
    <x v="2"/>
    <n v="10"/>
    <x v="14"/>
    <n v="0.23845007451564829"/>
  </r>
  <r>
    <s v="ID-2025-00262"/>
    <d v="2025-11-12T00:00:00"/>
    <s v="ST-004"/>
    <x v="2"/>
    <s v="CUST-054"/>
    <x v="1"/>
    <s v="PRD-012"/>
    <x v="14"/>
    <x v="3"/>
    <n v="1"/>
    <n v="2269000"/>
    <n v="0.05"/>
    <n v="1681000"/>
    <n v="2155550"/>
    <x v="794"/>
    <x v="9"/>
    <x v="2"/>
    <n v="11"/>
    <x v="10"/>
    <n v="0.22015262925935375"/>
  </r>
  <r>
    <s v="ID-2025-00258"/>
    <d v="2025-12-01T00:00:00"/>
    <s v="ST-001"/>
    <x v="0"/>
    <s v="CUST-073"/>
    <x v="1"/>
    <s v="PRD-012"/>
    <x v="14"/>
    <x v="3"/>
    <n v="2"/>
    <n v="4028000"/>
    <n v="0.05"/>
    <n v="3054000"/>
    <n v="7653200"/>
    <x v="795"/>
    <x v="10"/>
    <x v="2"/>
    <n v="12"/>
    <x v="0"/>
    <n v="0.60095123608425238"/>
  </r>
  <r>
    <s v="ID-2025-01379"/>
    <d v="2025-12-15T00:00:00"/>
    <s v="ST-001"/>
    <x v="0"/>
    <s v="CUST-039"/>
    <x v="0"/>
    <s v="PRD-012"/>
    <x v="14"/>
    <x v="3"/>
    <n v="1"/>
    <n v="3191131.1475409837"/>
    <n v="0"/>
    <n v="2250000"/>
    <n v="3191131.1475409837"/>
    <x v="796"/>
    <x v="10"/>
    <x v="2"/>
    <n v="12"/>
    <x v="19"/>
    <n v="0.29492086160927572"/>
  </r>
  <r>
    <s v="ID-2025-00454"/>
    <d v="2025-12-24T00:00:00"/>
    <s v="ST-004"/>
    <x v="2"/>
    <s v="CUST-015"/>
    <x v="1"/>
    <s v="PRD-012"/>
    <x v="14"/>
    <x v="3"/>
    <n v="1"/>
    <n v="4269000"/>
    <n v="0"/>
    <n v="3157000"/>
    <n v="4269000"/>
    <x v="306"/>
    <x v="10"/>
    <x v="2"/>
    <n v="12"/>
    <x v="25"/>
    <n v="0.26048254860623099"/>
  </r>
  <r>
    <s v="ID-2026-00372"/>
    <d v="2026-02-14T00:00:00"/>
    <s v="ST-005"/>
    <x v="1"/>
    <s v="CUST-127"/>
    <x v="1"/>
    <s v="PRD-012"/>
    <x v="14"/>
    <x v="3"/>
    <n v="3"/>
    <n v="2423000"/>
    <n v="0"/>
    <n v="1817000"/>
    <n v="7269000"/>
    <x v="797"/>
    <x v="1"/>
    <x v="3"/>
    <n v="2"/>
    <x v="18"/>
    <n v="0.75003439262622096"/>
  </r>
  <r>
    <s v="ID-2026-01207"/>
    <d v="2026-02-17T00:00:00"/>
    <s v="ST-003"/>
    <x v="4"/>
    <s v="CUST-083"/>
    <x v="1"/>
    <s v="PRD-012"/>
    <x v="14"/>
    <x v="3"/>
    <n v="1"/>
    <n v="3646000"/>
    <n v="0"/>
    <n v="2760000"/>
    <n v="3646000"/>
    <x v="798"/>
    <x v="1"/>
    <x v="3"/>
    <n v="2"/>
    <x v="2"/>
    <n v="0.24300603400987383"/>
  </r>
  <r>
    <s v="ID-2026-00144"/>
    <d v="2026-04-02T00:00:00"/>
    <s v="ST-001"/>
    <x v="0"/>
    <s v="CUST-035"/>
    <x v="3"/>
    <s v="PRD-012"/>
    <x v="14"/>
    <x v="3"/>
    <n v="1"/>
    <n v="3508000"/>
    <n v="0.05"/>
    <n v="2686000"/>
    <n v="3332600"/>
    <x v="799"/>
    <x v="11"/>
    <x v="3"/>
    <n v="4"/>
    <x v="17"/>
    <n v="0.19402268499069794"/>
  </r>
  <r>
    <s v="ID-2026-01204"/>
    <d v="2026-04-22T00:00:00"/>
    <s v="ST-001"/>
    <x v="0"/>
    <s v="CUST-033"/>
    <x v="1"/>
    <s v="PRD-012"/>
    <x v="14"/>
    <x v="3"/>
    <n v="1"/>
    <n v="2856000"/>
    <n v="0"/>
    <n v="2100000"/>
    <n v="2856000"/>
    <x v="757"/>
    <x v="11"/>
    <x v="3"/>
    <n v="4"/>
    <x v="16"/>
    <n v="0.26470588235294118"/>
  </r>
  <r>
    <s v="ID-2026-01038"/>
    <d v="2026-05-11T00:00:00"/>
    <s v="ST-001"/>
    <x v="0"/>
    <s v="CUST-059"/>
    <x v="1"/>
    <s v="PRD-012"/>
    <x v="14"/>
    <x v="3"/>
    <n v="1"/>
    <n v="4183000"/>
    <n v="0"/>
    <n v="3179000"/>
    <n v="4183000"/>
    <x v="800"/>
    <x v="3"/>
    <x v="3"/>
    <n v="5"/>
    <x v="22"/>
    <n v="0.24001912502988285"/>
  </r>
  <r>
    <s v="ID-2026-01749"/>
    <d v="2026-06-08T00:00:00"/>
    <s v="ST-001"/>
    <x v="0"/>
    <s v="CUST-022"/>
    <x v="1"/>
    <s v="PRD-012"/>
    <x v="14"/>
    <x v="3"/>
    <n v="1"/>
    <n v="3636000"/>
    <n v="0"/>
    <n v="2705000"/>
    <n v="3636000"/>
    <x v="801"/>
    <x v="4"/>
    <x v="3"/>
    <n v="6"/>
    <x v="27"/>
    <n v="0.25605060506050603"/>
  </r>
  <r>
    <s v="ID-2026-01426"/>
    <d v="2026-06-12T00:00:00"/>
    <s v="ST-001"/>
    <x v="0"/>
    <s v="CUST-018"/>
    <x v="0"/>
    <s v="PRD-012"/>
    <x v="14"/>
    <x v="3"/>
    <n v="1"/>
    <n v="2588000"/>
    <n v="0.1"/>
    <n v="1916000"/>
    <n v="2329200"/>
    <x v="802"/>
    <x v="4"/>
    <x v="3"/>
    <n v="6"/>
    <x v="10"/>
    <n v="0.17739996565344324"/>
  </r>
  <r>
    <s v="ID-2026-00215"/>
    <d v="2026-06-17T00:00:00"/>
    <s v="ST-001"/>
    <x v="0"/>
    <s v="CUST-104"/>
    <x v="0"/>
    <s v="PRD-012"/>
    <x v="14"/>
    <x v="3"/>
    <n v="1"/>
    <n v="3191131.1475409837"/>
    <n v="0"/>
    <n v="2250000"/>
    <n v="3191131.1475409837"/>
    <x v="796"/>
    <x v="4"/>
    <x v="3"/>
    <n v="6"/>
    <x v="2"/>
    <n v="0.29492086160927572"/>
  </r>
  <r>
    <s v="ID-2023-00048"/>
    <d v="2023-01-19T00:00:00"/>
    <s v="ST-003"/>
    <x v="4"/>
    <s v="CUST-082"/>
    <x v="0"/>
    <s v="PRD-025"/>
    <x v="15"/>
    <x v="2"/>
    <n v="1"/>
    <n v="389000"/>
    <n v="0.05"/>
    <n v="274000"/>
    <n v="369550"/>
    <x v="803"/>
    <x v="0"/>
    <x v="0"/>
    <n v="1"/>
    <x v="26"/>
    <n v="0.25855770531727779"/>
  </r>
  <r>
    <s v="ID-2023-00809"/>
    <d v="2023-02-13T00:00:00"/>
    <s v="ST-002"/>
    <x v="3"/>
    <s v="CUST-013"/>
    <x v="1"/>
    <s v="PRD-025"/>
    <x v="15"/>
    <x v="2"/>
    <n v="1"/>
    <n v="368000"/>
    <n v="0"/>
    <n v="254000"/>
    <n v="368000"/>
    <x v="208"/>
    <x v="1"/>
    <x v="0"/>
    <n v="2"/>
    <x v="23"/>
    <n v="0.30978260869565216"/>
  </r>
  <r>
    <s v="ID-2023-01051"/>
    <d v="2023-02-17T00:00:00"/>
    <s v="ST-001"/>
    <x v="0"/>
    <s v="CUST-139"/>
    <x v="1"/>
    <s v="PRD-025"/>
    <x v="15"/>
    <x v="2"/>
    <n v="1"/>
    <n v="533000"/>
    <n v="0.1"/>
    <n v="377000"/>
    <n v="479700"/>
    <x v="804"/>
    <x v="1"/>
    <x v="0"/>
    <n v="2"/>
    <x v="2"/>
    <n v="0.21409214092140921"/>
  </r>
  <r>
    <s v="ID-2023-01797"/>
    <d v="2023-03-08T00:00:00"/>
    <s v="ST-001"/>
    <x v="0"/>
    <s v="CUST-105"/>
    <x v="2"/>
    <s v="PRD-025"/>
    <x v="15"/>
    <x v="2"/>
    <n v="5"/>
    <n v="306000"/>
    <n v="0"/>
    <n v="220000"/>
    <n v="1530000"/>
    <x v="805"/>
    <x v="2"/>
    <x v="0"/>
    <n v="3"/>
    <x v="27"/>
    <n v="0.85620915032679734"/>
  </r>
  <r>
    <s v="ID-2023-00706"/>
    <d v="2023-03-19T00:00:00"/>
    <s v="ST-003"/>
    <x v="4"/>
    <s v="CUST-006"/>
    <x v="1"/>
    <s v="PRD-025"/>
    <x v="15"/>
    <x v="2"/>
    <n v="1"/>
    <n v="401000"/>
    <n v="0"/>
    <n v="277000"/>
    <n v="401000"/>
    <x v="36"/>
    <x v="2"/>
    <x v="0"/>
    <n v="3"/>
    <x v="26"/>
    <n v="0.30922693266832918"/>
  </r>
  <r>
    <s v="ID-2023-01175"/>
    <d v="2023-04-04T00:00:00"/>
    <s v="ST-001"/>
    <x v="0"/>
    <s v="CUST-034"/>
    <x v="2"/>
    <s v="PRD-025"/>
    <x v="15"/>
    <x v="2"/>
    <n v="2"/>
    <n v="360000"/>
    <n v="0"/>
    <n v="257000"/>
    <n v="720000"/>
    <x v="4"/>
    <x v="11"/>
    <x v="0"/>
    <n v="4"/>
    <x v="20"/>
    <n v="0.6430555555555556"/>
  </r>
  <r>
    <s v="ID-2023-01172"/>
    <d v="2023-04-09T00:00:00"/>
    <s v="ST-004"/>
    <x v="2"/>
    <s v="CUST-147"/>
    <x v="0"/>
    <s v="PRD-025"/>
    <x v="15"/>
    <x v="2"/>
    <n v="1"/>
    <n v="317000"/>
    <n v="0"/>
    <n v="223000"/>
    <n v="317000"/>
    <x v="41"/>
    <x v="11"/>
    <x v="0"/>
    <n v="4"/>
    <x v="1"/>
    <n v="0.29652996845425866"/>
  </r>
  <r>
    <s v="ID-2023-01765"/>
    <d v="2023-05-14T00:00:00"/>
    <s v="ST-001"/>
    <x v="0"/>
    <s v="CUST-099"/>
    <x v="1"/>
    <s v="PRD-025"/>
    <x v="15"/>
    <x v="2"/>
    <n v="1"/>
    <n v="295000"/>
    <n v="0.1"/>
    <n v="202000"/>
    <n v="265500"/>
    <x v="806"/>
    <x v="3"/>
    <x v="0"/>
    <n v="5"/>
    <x v="18"/>
    <n v="0.2391713747645951"/>
  </r>
  <r>
    <s v="ID-2023-01439"/>
    <d v="2023-06-20T00:00:00"/>
    <s v="ST-002"/>
    <x v="3"/>
    <s v="CUST-063"/>
    <x v="1"/>
    <s v="PRD-025"/>
    <x v="15"/>
    <x v="2"/>
    <n v="1"/>
    <n v="258000"/>
    <n v="0"/>
    <n v="184000"/>
    <n v="258000"/>
    <x v="807"/>
    <x v="4"/>
    <x v="0"/>
    <n v="6"/>
    <x v="30"/>
    <n v="0.2868217054263566"/>
  </r>
  <r>
    <s v="ID-2023-01340"/>
    <d v="2023-06-22T00:00:00"/>
    <s v="ST-005"/>
    <x v="1"/>
    <s v="CUST-047"/>
    <x v="1"/>
    <s v="PRD-025"/>
    <x v="15"/>
    <x v="2"/>
    <n v="1"/>
    <n v="254000"/>
    <n v="0"/>
    <n v="173000"/>
    <n v="254000"/>
    <x v="40"/>
    <x v="4"/>
    <x v="0"/>
    <n v="6"/>
    <x v="16"/>
    <n v="0.31889763779527558"/>
  </r>
  <r>
    <s v="ID-2023-01416"/>
    <d v="2023-06-25T00:00:00"/>
    <s v="ST-001"/>
    <x v="0"/>
    <s v="CUST-136"/>
    <x v="1"/>
    <s v="PRD-025"/>
    <x v="15"/>
    <x v="2"/>
    <n v="2"/>
    <n v="455000"/>
    <n v="0"/>
    <n v="326000"/>
    <n v="910000"/>
    <x v="808"/>
    <x v="4"/>
    <x v="0"/>
    <n v="6"/>
    <x v="12"/>
    <n v="0.64175824175824181"/>
  </r>
  <r>
    <s v="ID-2023-01060"/>
    <d v="2023-07-06T00:00:00"/>
    <s v="ST-001"/>
    <x v="0"/>
    <s v="CUST-110"/>
    <x v="1"/>
    <s v="PRD-025"/>
    <x v="15"/>
    <x v="2"/>
    <n v="1"/>
    <n v="267000"/>
    <n v="0.05"/>
    <n v="191000"/>
    <n v="253650"/>
    <x v="809"/>
    <x v="5"/>
    <x v="0"/>
    <n v="7"/>
    <x v="29"/>
    <n v="0.2469938892174256"/>
  </r>
  <r>
    <s v="ID-2023-00292"/>
    <d v="2023-07-16T00:00:00"/>
    <s v="ST-001"/>
    <x v="0"/>
    <s v="CUST-080"/>
    <x v="1"/>
    <s v="PRD-025"/>
    <x v="15"/>
    <x v="2"/>
    <n v="2"/>
    <n v="411000"/>
    <n v="0"/>
    <n v="291000"/>
    <n v="822000"/>
    <x v="810"/>
    <x v="5"/>
    <x v="0"/>
    <n v="7"/>
    <x v="5"/>
    <n v="0.64598540145985406"/>
  </r>
  <r>
    <s v="ID-2023-00770"/>
    <d v="2023-07-23T00:00:00"/>
    <s v="ST-001"/>
    <x v="0"/>
    <s v="CUST-103"/>
    <x v="1"/>
    <s v="PRD-025"/>
    <x v="15"/>
    <x v="2"/>
    <n v="2"/>
    <n v="354000"/>
    <n v="0"/>
    <n v="244000"/>
    <n v="708000"/>
    <x v="681"/>
    <x v="5"/>
    <x v="0"/>
    <n v="7"/>
    <x v="11"/>
    <n v="0.65536723163841804"/>
  </r>
  <r>
    <s v="ID-2023-00868"/>
    <d v="2023-11-08T00:00:00"/>
    <s v="ST-005"/>
    <x v="1"/>
    <s v="CUST-103"/>
    <x v="1"/>
    <s v="PRD-025"/>
    <x v="15"/>
    <x v="2"/>
    <n v="2"/>
    <n v="322000"/>
    <n v="0.05"/>
    <n v="220000"/>
    <n v="611800"/>
    <x v="811"/>
    <x v="9"/>
    <x v="0"/>
    <n v="11"/>
    <x v="27"/>
    <n v="0.64040536122915981"/>
  </r>
  <r>
    <s v="ID-2023-00522"/>
    <d v="2023-11-29T00:00:00"/>
    <s v="ST-002"/>
    <x v="3"/>
    <s v="CUST-111"/>
    <x v="1"/>
    <s v="PRD-025"/>
    <x v="15"/>
    <x v="2"/>
    <n v="2"/>
    <n v="304000"/>
    <n v="0"/>
    <n v="209000"/>
    <n v="608000"/>
    <x v="812"/>
    <x v="9"/>
    <x v="0"/>
    <n v="11"/>
    <x v="7"/>
    <n v="0.65625"/>
  </r>
  <r>
    <s v="ID-2023-00495"/>
    <d v="2023-11-29T00:00:00"/>
    <s v="ST-002"/>
    <x v="3"/>
    <s v="CUST-090"/>
    <x v="0"/>
    <s v="PRD-025"/>
    <x v="15"/>
    <x v="2"/>
    <n v="2"/>
    <n v="355000"/>
    <n v="0.05"/>
    <n v="250000"/>
    <n v="674500"/>
    <x v="455"/>
    <x v="9"/>
    <x v="0"/>
    <n v="11"/>
    <x v="7"/>
    <n v="0.62935507783543365"/>
  </r>
  <r>
    <s v="ID-2023-01215"/>
    <d v="2023-12-11T00:00:00"/>
    <s v="ST-001"/>
    <x v="0"/>
    <s v="CUST-116"/>
    <x v="1"/>
    <s v="PRD-025"/>
    <x v="15"/>
    <x v="2"/>
    <n v="1"/>
    <n v="384000"/>
    <n v="0"/>
    <n v="275000"/>
    <n v="384000"/>
    <x v="25"/>
    <x v="10"/>
    <x v="0"/>
    <n v="12"/>
    <x v="22"/>
    <n v="0.28385416666666669"/>
  </r>
  <r>
    <s v="ID-2023-01032"/>
    <d v="2023-12-16T00:00:00"/>
    <s v="ST-002"/>
    <x v="3"/>
    <s v="CUST-124"/>
    <x v="1"/>
    <s v="PRD-025"/>
    <x v="15"/>
    <x v="2"/>
    <n v="1"/>
    <n v="257000"/>
    <n v="0"/>
    <n v="181000"/>
    <n v="257000"/>
    <x v="813"/>
    <x v="10"/>
    <x v="0"/>
    <n v="12"/>
    <x v="5"/>
    <n v="0.29571984435797666"/>
  </r>
  <r>
    <s v="ID-2024-00803"/>
    <d v="2024-02-03T00:00:00"/>
    <s v="ST-003"/>
    <x v="4"/>
    <s v="CUST-119"/>
    <x v="1"/>
    <s v="PRD-025"/>
    <x v="15"/>
    <x v="2"/>
    <n v="1"/>
    <n v="543000"/>
    <n v="0"/>
    <n v="372000"/>
    <n v="543000"/>
    <x v="558"/>
    <x v="1"/>
    <x v="1"/>
    <n v="2"/>
    <x v="8"/>
    <n v="0.31491712707182318"/>
  </r>
  <r>
    <s v="ID-2024-01313"/>
    <d v="2024-02-03T00:00:00"/>
    <s v="ST-001"/>
    <x v="0"/>
    <s v="CUST-112"/>
    <x v="1"/>
    <s v="PRD-025"/>
    <x v="15"/>
    <x v="2"/>
    <n v="1"/>
    <n v="340000"/>
    <n v="0.15"/>
    <n v="241000"/>
    <n v="289000"/>
    <x v="814"/>
    <x v="1"/>
    <x v="1"/>
    <n v="2"/>
    <x v="8"/>
    <n v="0.16608996539792387"/>
  </r>
  <r>
    <s v="ID-2024-01744"/>
    <d v="2024-02-26T00:00:00"/>
    <s v="ST-002"/>
    <x v="3"/>
    <s v="CUST-050"/>
    <x v="1"/>
    <s v="PRD-025"/>
    <x v="15"/>
    <x v="2"/>
    <n v="1"/>
    <n v="299000"/>
    <n v="0.1"/>
    <n v="214000"/>
    <n v="269100"/>
    <x v="815"/>
    <x v="1"/>
    <x v="1"/>
    <n v="2"/>
    <x v="6"/>
    <n v="0.20475659606094387"/>
  </r>
  <r>
    <s v="ID-2024-00399"/>
    <d v="2024-03-01T00:00:00"/>
    <s v="ST-001"/>
    <x v="0"/>
    <s v="CUST-099"/>
    <x v="1"/>
    <s v="PRD-025"/>
    <x v="15"/>
    <x v="2"/>
    <n v="1"/>
    <n v="414000"/>
    <n v="0.15"/>
    <n v="291000"/>
    <n v="351900"/>
    <x v="1"/>
    <x v="2"/>
    <x v="1"/>
    <n v="3"/>
    <x v="0"/>
    <n v="0.17306052855924978"/>
  </r>
  <r>
    <s v="ID-2024-00648"/>
    <d v="2024-03-22T00:00:00"/>
    <s v="ST-002"/>
    <x v="3"/>
    <s v="CUST-020"/>
    <x v="1"/>
    <s v="PRD-025"/>
    <x v="15"/>
    <x v="2"/>
    <n v="1"/>
    <n v="487000"/>
    <n v="0"/>
    <n v="345000"/>
    <n v="487000"/>
    <x v="138"/>
    <x v="2"/>
    <x v="1"/>
    <n v="3"/>
    <x v="16"/>
    <n v="0.29158110882956878"/>
  </r>
  <r>
    <s v="ID-2024-00421"/>
    <d v="2024-05-30T00:00:00"/>
    <s v="ST-004"/>
    <x v="2"/>
    <s v="CUST-056"/>
    <x v="2"/>
    <s v="PRD-025"/>
    <x v="15"/>
    <x v="2"/>
    <n v="1"/>
    <n v="512000"/>
    <n v="0"/>
    <n v="355000"/>
    <n v="512000"/>
    <x v="816"/>
    <x v="3"/>
    <x v="1"/>
    <n v="5"/>
    <x v="15"/>
    <n v="0.306640625"/>
  </r>
  <r>
    <s v="ID-2024-00057"/>
    <d v="2024-06-02T00:00:00"/>
    <s v="ST-002"/>
    <x v="3"/>
    <s v="CUST-014"/>
    <x v="1"/>
    <s v="PRD-025"/>
    <x v="15"/>
    <x v="2"/>
    <n v="1"/>
    <n v="346000"/>
    <n v="0"/>
    <n v="247000"/>
    <n v="346000"/>
    <x v="32"/>
    <x v="4"/>
    <x v="1"/>
    <n v="6"/>
    <x v="17"/>
    <n v="0.2861271676300578"/>
  </r>
  <r>
    <s v="ID-2024-01229"/>
    <d v="2024-06-07T00:00:00"/>
    <s v="ST-001"/>
    <x v="0"/>
    <s v="CUST-088"/>
    <x v="0"/>
    <s v="PRD-025"/>
    <x v="15"/>
    <x v="2"/>
    <n v="1"/>
    <n v="442000"/>
    <n v="0"/>
    <n v="316000"/>
    <n v="442000"/>
    <x v="51"/>
    <x v="4"/>
    <x v="1"/>
    <n v="6"/>
    <x v="3"/>
    <n v="0.28506787330316741"/>
  </r>
  <r>
    <s v="ID-2024-01649"/>
    <d v="2024-06-26T00:00:00"/>
    <s v="ST-002"/>
    <x v="3"/>
    <s v="CUST-123"/>
    <x v="1"/>
    <s v="PRD-025"/>
    <x v="15"/>
    <x v="2"/>
    <n v="1"/>
    <n v="494000"/>
    <n v="0"/>
    <n v="350000"/>
    <n v="494000"/>
    <x v="164"/>
    <x v="4"/>
    <x v="1"/>
    <n v="6"/>
    <x v="6"/>
    <n v="0.291497975708502"/>
  </r>
  <r>
    <s v="ID-2024-01481"/>
    <d v="2024-06-28T00:00:00"/>
    <s v="ST-004"/>
    <x v="2"/>
    <s v="CUST-121"/>
    <x v="1"/>
    <s v="PRD-025"/>
    <x v="15"/>
    <x v="2"/>
    <n v="1"/>
    <n v="535000"/>
    <n v="0"/>
    <n v="378000"/>
    <n v="535000"/>
    <x v="816"/>
    <x v="4"/>
    <x v="1"/>
    <n v="6"/>
    <x v="4"/>
    <n v="0.29345794392523367"/>
  </r>
  <r>
    <s v="ID-2024-00700"/>
    <d v="2024-07-01T00:00:00"/>
    <s v="ST-001"/>
    <x v="0"/>
    <s v="CUST-001"/>
    <x v="1"/>
    <s v="PRD-025"/>
    <x v="15"/>
    <x v="2"/>
    <n v="1"/>
    <n v="571000"/>
    <n v="0"/>
    <n v="408000"/>
    <n v="571000"/>
    <x v="202"/>
    <x v="5"/>
    <x v="1"/>
    <n v="7"/>
    <x v="0"/>
    <n v="0.28546409807355516"/>
  </r>
  <r>
    <s v="ID-2024-00253"/>
    <d v="2024-07-19T00:00:00"/>
    <s v="ST-001"/>
    <x v="0"/>
    <s v="CUST-082"/>
    <x v="0"/>
    <s v="PRD-025"/>
    <x v="15"/>
    <x v="2"/>
    <n v="1"/>
    <n v="367000"/>
    <n v="0"/>
    <n v="263000"/>
    <n v="367000"/>
    <x v="545"/>
    <x v="5"/>
    <x v="1"/>
    <n v="7"/>
    <x v="26"/>
    <n v="0.28337874659400547"/>
  </r>
  <r>
    <s v="ID-2024-00132"/>
    <d v="2024-07-25T00:00:00"/>
    <s v="ST-001"/>
    <x v="0"/>
    <s v="CUST-126"/>
    <x v="0"/>
    <s v="PRD-025"/>
    <x v="15"/>
    <x v="2"/>
    <n v="1"/>
    <n v="533000"/>
    <n v="0"/>
    <n v="366000"/>
    <n v="533000"/>
    <x v="220"/>
    <x v="5"/>
    <x v="1"/>
    <n v="7"/>
    <x v="12"/>
    <n v="0.31332082551594748"/>
  </r>
  <r>
    <s v="ID-2024-00926"/>
    <d v="2024-09-15T00:00:00"/>
    <s v="ST-005"/>
    <x v="1"/>
    <s v="CUST-080"/>
    <x v="1"/>
    <s v="PRD-025"/>
    <x v="15"/>
    <x v="2"/>
    <n v="1"/>
    <n v="541000"/>
    <n v="0"/>
    <n v="371000"/>
    <n v="541000"/>
    <x v="817"/>
    <x v="7"/>
    <x v="1"/>
    <n v="9"/>
    <x v="19"/>
    <n v="0.3142329020332717"/>
  </r>
  <r>
    <s v="ID-2024-00096"/>
    <d v="2024-10-12T00:00:00"/>
    <s v="ST-002"/>
    <x v="3"/>
    <s v="CUST-149"/>
    <x v="1"/>
    <s v="PRD-025"/>
    <x v="15"/>
    <x v="2"/>
    <n v="3"/>
    <n v="422000"/>
    <n v="0.05"/>
    <n v="297000"/>
    <n v="1202700"/>
    <x v="818"/>
    <x v="8"/>
    <x v="1"/>
    <n v="10"/>
    <x v="10"/>
    <n v="0.75305562484410082"/>
  </r>
  <r>
    <s v="ID-2024-00725"/>
    <d v="2024-10-18T00:00:00"/>
    <s v="ST-005"/>
    <x v="1"/>
    <s v="CUST-098"/>
    <x v="0"/>
    <s v="PRD-025"/>
    <x v="15"/>
    <x v="2"/>
    <n v="1"/>
    <n v="440000"/>
    <n v="0"/>
    <n v="316000"/>
    <n v="440000"/>
    <x v="36"/>
    <x v="8"/>
    <x v="1"/>
    <n v="10"/>
    <x v="9"/>
    <n v="0.2818181818181818"/>
  </r>
  <r>
    <s v="ID-2024-01588"/>
    <d v="2024-11-07T00:00:00"/>
    <s v="ST-003"/>
    <x v="4"/>
    <s v="CUST-098"/>
    <x v="0"/>
    <s v="PRD-025"/>
    <x v="15"/>
    <x v="2"/>
    <n v="1"/>
    <n v="516000"/>
    <n v="0"/>
    <n v="361000"/>
    <n v="516000"/>
    <x v="179"/>
    <x v="9"/>
    <x v="1"/>
    <n v="11"/>
    <x v="3"/>
    <n v="0.30038759689922478"/>
  </r>
  <r>
    <s v="ID-2024-01707"/>
    <d v="2024-11-19T00:00:00"/>
    <s v="ST-004"/>
    <x v="2"/>
    <s v="CUST-065"/>
    <x v="1"/>
    <s v="PRD-025"/>
    <x v="15"/>
    <x v="2"/>
    <n v="1"/>
    <n v="512000"/>
    <n v="0"/>
    <n v="351000"/>
    <n v="512000"/>
    <x v="196"/>
    <x v="9"/>
    <x v="1"/>
    <n v="11"/>
    <x v="26"/>
    <n v="0.314453125"/>
  </r>
  <r>
    <s v="ID-2025-01482"/>
    <d v="2025-01-26T00:00:00"/>
    <s v="ST-001"/>
    <x v="0"/>
    <s v="CUST-138"/>
    <x v="2"/>
    <s v="PRD-025"/>
    <x v="15"/>
    <x v="2"/>
    <n v="1"/>
    <n v="578000"/>
    <n v="0"/>
    <n v="408000"/>
    <n v="578000"/>
    <x v="817"/>
    <x v="0"/>
    <x v="2"/>
    <n v="1"/>
    <x v="6"/>
    <n v="0.29411764705882354"/>
  </r>
  <r>
    <s v="ID-2025-01425"/>
    <d v="2025-01-27T00:00:00"/>
    <s v="ST-005"/>
    <x v="1"/>
    <s v="CUST-073"/>
    <x v="1"/>
    <s v="PRD-025"/>
    <x v="15"/>
    <x v="2"/>
    <n v="1"/>
    <n v="388000"/>
    <n v="0"/>
    <n v="269000"/>
    <n v="388000"/>
    <x v="819"/>
    <x v="0"/>
    <x v="2"/>
    <n v="1"/>
    <x v="24"/>
    <n v="0.30670103092783507"/>
  </r>
  <r>
    <s v="ID-2025-00264"/>
    <d v="2025-02-20T00:00:00"/>
    <s v="ST-003"/>
    <x v="4"/>
    <s v="CUST-083"/>
    <x v="1"/>
    <s v="PRD-025"/>
    <x v="15"/>
    <x v="2"/>
    <n v="2"/>
    <n v="428000"/>
    <n v="0"/>
    <n v="294000"/>
    <n v="856000"/>
    <x v="820"/>
    <x v="1"/>
    <x v="2"/>
    <n v="2"/>
    <x v="30"/>
    <n v="0.65654205607476634"/>
  </r>
  <r>
    <s v="ID-2025-00521"/>
    <d v="2025-03-07T00:00:00"/>
    <s v="ST-002"/>
    <x v="3"/>
    <s v="CUST-105"/>
    <x v="2"/>
    <s v="PRD-025"/>
    <x v="15"/>
    <x v="2"/>
    <n v="1"/>
    <n v="604000"/>
    <n v="0.1"/>
    <n v="411000"/>
    <n v="543600"/>
    <x v="821"/>
    <x v="2"/>
    <x v="2"/>
    <n v="3"/>
    <x v="3"/>
    <n v="0.24392935982339956"/>
  </r>
  <r>
    <s v="ID-2025-00763"/>
    <d v="2025-03-13T00:00:00"/>
    <s v="ST-003"/>
    <x v="4"/>
    <s v="CUST-084"/>
    <x v="1"/>
    <s v="PRD-025"/>
    <x v="15"/>
    <x v="2"/>
    <n v="1"/>
    <n v="594000"/>
    <n v="0"/>
    <n v="413000"/>
    <n v="594000"/>
    <x v="217"/>
    <x v="2"/>
    <x v="2"/>
    <n v="3"/>
    <x v="23"/>
    <n v="0.30471380471380471"/>
  </r>
  <r>
    <s v="ID-2025-00205"/>
    <d v="2025-03-16T00:00:00"/>
    <s v="ST-003"/>
    <x v="4"/>
    <s v="CUST-065"/>
    <x v="1"/>
    <s v="PRD-025"/>
    <x v="15"/>
    <x v="2"/>
    <n v="1"/>
    <n v="429388.88888888888"/>
    <n v="0"/>
    <n v="0"/>
    <n v="429388.88888888888"/>
    <x v="822"/>
    <x v="2"/>
    <x v="2"/>
    <n v="3"/>
    <x v="5"/>
    <n v="1"/>
  </r>
  <r>
    <s v="ID-2025-00508"/>
    <d v="2025-03-31T00:00:00"/>
    <s v="ST-001"/>
    <x v="0"/>
    <s v="CUST-062"/>
    <x v="1"/>
    <s v="PRD-025"/>
    <x v="15"/>
    <x v="2"/>
    <n v="3"/>
    <n v="379000"/>
    <n v="0"/>
    <n v="270000"/>
    <n v="1137000"/>
    <x v="95"/>
    <x v="2"/>
    <x v="2"/>
    <n v="3"/>
    <x v="28"/>
    <n v="0.76253298153034299"/>
  </r>
  <r>
    <s v="ID-2025-00335"/>
    <d v="2025-04-04T00:00:00"/>
    <s v="ST-001"/>
    <x v="0"/>
    <s v="CUST-120"/>
    <x v="0"/>
    <s v="PRD-025"/>
    <x v="15"/>
    <x v="2"/>
    <n v="1"/>
    <n v="412000"/>
    <n v="0"/>
    <n v="281000"/>
    <n v="412000"/>
    <x v="823"/>
    <x v="11"/>
    <x v="2"/>
    <n v="4"/>
    <x v="20"/>
    <n v="0.31796116504854371"/>
  </r>
  <r>
    <s v="ID-2025-00352"/>
    <d v="2025-04-18T00:00:00"/>
    <s v="ST-002"/>
    <x v="3"/>
    <s v="CUST-045"/>
    <x v="1"/>
    <s v="PRD-025"/>
    <x v="15"/>
    <x v="2"/>
    <n v="1"/>
    <n v="435000"/>
    <n v="0.05"/>
    <n v="296000"/>
    <n v="413250"/>
    <x v="824"/>
    <x v="11"/>
    <x v="2"/>
    <n v="4"/>
    <x v="9"/>
    <n v="0.28372655777374473"/>
  </r>
  <r>
    <s v="ID-2025-01107"/>
    <d v="2025-04-19T00:00:00"/>
    <s v="ST-005"/>
    <x v="1"/>
    <s v="CUST-126"/>
    <x v="0"/>
    <s v="PRD-025"/>
    <x v="15"/>
    <x v="2"/>
    <n v="1"/>
    <n v="527000"/>
    <n v="0"/>
    <n v="364000"/>
    <n v="527000"/>
    <x v="202"/>
    <x v="11"/>
    <x v="2"/>
    <n v="4"/>
    <x v="26"/>
    <n v="0.30929791271347251"/>
  </r>
  <r>
    <s v="ID-2025-00021"/>
    <d v="2025-04-24T00:00:00"/>
    <s v="ST-002"/>
    <x v="3"/>
    <s v="CUST-134"/>
    <x v="1"/>
    <s v="PRD-025"/>
    <x v="15"/>
    <x v="2"/>
    <n v="5"/>
    <n v="343000"/>
    <n v="0.1"/>
    <n v="242000"/>
    <n v="1543500"/>
    <x v="825"/>
    <x v="11"/>
    <x v="2"/>
    <n v="4"/>
    <x v="25"/>
    <n v="0.84321347586653705"/>
  </r>
  <r>
    <s v="ID-2025-00087"/>
    <d v="2025-04-29T00:00:00"/>
    <s v="ST-003"/>
    <x v="4"/>
    <s v="CUST-127"/>
    <x v="1"/>
    <s v="PRD-025"/>
    <x v="15"/>
    <x v="2"/>
    <n v="1"/>
    <n v="400000"/>
    <n v="0"/>
    <n v="273000"/>
    <n v="400000"/>
    <x v="502"/>
    <x v="11"/>
    <x v="2"/>
    <n v="4"/>
    <x v="7"/>
    <n v="0.3175"/>
  </r>
  <r>
    <s v="ID-2025-00944"/>
    <d v="2025-05-14T00:00:00"/>
    <s v="ST-004"/>
    <x v="2"/>
    <s v="CUST-058"/>
    <x v="1"/>
    <s v="PRD-025"/>
    <x v="15"/>
    <x v="2"/>
    <n v="1"/>
    <n v="480000"/>
    <n v="0.05"/>
    <n v="338000"/>
    <n v="456000"/>
    <x v="7"/>
    <x v="3"/>
    <x v="2"/>
    <n v="5"/>
    <x v="18"/>
    <n v="0.25877192982456143"/>
  </r>
  <r>
    <s v="ID-2025-01794"/>
    <d v="2025-05-24T00:00:00"/>
    <s v="ST-001"/>
    <x v="0"/>
    <s v="CUST-025"/>
    <x v="0"/>
    <s v="PRD-025"/>
    <x v="15"/>
    <x v="2"/>
    <n v="1"/>
    <n v="459000"/>
    <n v="0"/>
    <n v="330000"/>
    <n v="459000"/>
    <x v="33"/>
    <x v="3"/>
    <x v="2"/>
    <n v="5"/>
    <x v="25"/>
    <n v="0.28104575163398693"/>
  </r>
  <r>
    <s v="ID-2025-01158"/>
    <d v="2025-05-28T00:00:00"/>
    <s v="ST-002"/>
    <x v="3"/>
    <s v="CUST-130"/>
    <x v="0"/>
    <s v="PRD-025"/>
    <x v="15"/>
    <x v="2"/>
    <n v="2"/>
    <n v="341000"/>
    <n v="0"/>
    <n v="237000"/>
    <n v="682000"/>
    <x v="826"/>
    <x v="3"/>
    <x v="2"/>
    <n v="5"/>
    <x v="4"/>
    <n v="0.65249266862170086"/>
  </r>
  <r>
    <s v="ID-2025-00101"/>
    <d v="2025-06-01T00:00:00"/>
    <s v="ST-002"/>
    <x v="3"/>
    <s v="CUST-072"/>
    <x v="1"/>
    <s v="PRD-025"/>
    <x v="15"/>
    <x v="2"/>
    <n v="1"/>
    <n v="303000"/>
    <n v="0"/>
    <n v="214000"/>
    <n v="303000"/>
    <x v="142"/>
    <x v="4"/>
    <x v="2"/>
    <n v="6"/>
    <x v="0"/>
    <n v="0.29372937293729373"/>
  </r>
  <r>
    <s v="ID-2025-01142"/>
    <d v="2025-06-02T00:00:00"/>
    <s v="ST-003"/>
    <x v="4"/>
    <s v="CUST-124"/>
    <x v="1"/>
    <s v="PRD-025"/>
    <x v="15"/>
    <x v="2"/>
    <n v="1"/>
    <n v="373000"/>
    <n v="0"/>
    <n v="261000"/>
    <n v="373000"/>
    <x v="160"/>
    <x v="4"/>
    <x v="2"/>
    <n v="6"/>
    <x v="17"/>
    <n v="0.30026809651474529"/>
  </r>
  <r>
    <s v="ID-2025-00795"/>
    <d v="2025-06-04T00:00:00"/>
    <s v="ST-001"/>
    <x v="0"/>
    <s v="CUST-047"/>
    <x v="1"/>
    <s v="PRD-025"/>
    <x v="15"/>
    <x v="2"/>
    <n v="1"/>
    <n v="279000"/>
    <n v="0"/>
    <n v="197000"/>
    <n v="279000"/>
    <x v="27"/>
    <x v="4"/>
    <x v="2"/>
    <n v="6"/>
    <x v="20"/>
    <n v="0.29390681003584229"/>
  </r>
  <r>
    <s v="ID-2025-00967"/>
    <d v="2025-06-13T00:00:00"/>
    <s v="ST-004"/>
    <x v="2"/>
    <s v="CUST-129"/>
    <x v="1"/>
    <s v="PRD-025"/>
    <x v="15"/>
    <x v="2"/>
    <n v="1"/>
    <n v="452000"/>
    <n v="0"/>
    <n v="323000"/>
    <n v="452000"/>
    <x v="33"/>
    <x v="4"/>
    <x v="2"/>
    <n v="6"/>
    <x v="23"/>
    <n v="0.28539823008849557"/>
  </r>
  <r>
    <s v="ID-2025-00789"/>
    <d v="2025-06-25T00:00:00"/>
    <s v="ST-002"/>
    <x v="3"/>
    <s v="CUST-064"/>
    <x v="1"/>
    <s v="PRD-025"/>
    <x v="15"/>
    <x v="2"/>
    <n v="2"/>
    <n v="326000"/>
    <n v="0"/>
    <n v="230000"/>
    <n v="652000"/>
    <x v="436"/>
    <x v="4"/>
    <x v="2"/>
    <n v="6"/>
    <x v="12"/>
    <n v="0.64723926380368102"/>
  </r>
  <r>
    <s v="ID-2025-00813"/>
    <d v="2025-07-24T00:00:00"/>
    <s v="ST-001"/>
    <x v="0"/>
    <s v="CUST-102"/>
    <x v="0"/>
    <s v="PRD-025"/>
    <x v="15"/>
    <x v="2"/>
    <n v="1"/>
    <n v="546000"/>
    <n v="0"/>
    <n v="386000"/>
    <n v="546000"/>
    <x v="187"/>
    <x v="5"/>
    <x v="2"/>
    <n v="7"/>
    <x v="25"/>
    <n v="0.29304029304029305"/>
  </r>
  <r>
    <s v="ID-2025-00481"/>
    <d v="2025-07-26T00:00:00"/>
    <s v="ST-001"/>
    <x v="0"/>
    <s v="CUST-123"/>
    <x v="1"/>
    <s v="PRD-025"/>
    <x v="15"/>
    <x v="2"/>
    <n v="3"/>
    <n v="593000"/>
    <n v="0"/>
    <n v="419000"/>
    <n v="1779000"/>
    <x v="827"/>
    <x v="5"/>
    <x v="2"/>
    <n v="7"/>
    <x v="6"/>
    <n v="0.76447442383361441"/>
  </r>
  <r>
    <s v="ID-2025-00782"/>
    <d v="2025-08-30T00:00:00"/>
    <s v="ST-002"/>
    <x v="3"/>
    <s v="CUST-023"/>
    <x v="1"/>
    <s v="PRD-025"/>
    <x v="15"/>
    <x v="2"/>
    <n v="1"/>
    <n v="301000"/>
    <n v="0"/>
    <n v="208000"/>
    <n v="301000"/>
    <x v="148"/>
    <x v="6"/>
    <x v="2"/>
    <n v="8"/>
    <x v="15"/>
    <n v="0.30897009966777411"/>
  </r>
  <r>
    <s v="ID-2025-00941"/>
    <d v="2025-09-29T00:00:00"/>
    <s v="ST-005"/>
    <x v="1"/>
    <s v="CUST-071"/>
    <x v="2"/>
    <s v="PRD-025"/>
    <x v="15"/>
    <x v="2"/>
    <n v="2"/>
    <n v="455000"/>
    <n v="0"/>
    <n v="317000"/>
    <n v="910000"/>
    <x v="828"/>
    <x v="7"/>
    <x v="2"/>
    <n v="9"/>
    <x v="7"/>
    <n v="0.65164835164835166"/>
  </r>
  <r>
    <s v="ID-2025-00671"/>
    <d v="2025-12-22T00:00:00"/>
    <s v="ST-001"/>
    <x v="0"/>
    <s v="CUST-032"/>
    <x v="1"/>
    <s v="PRD-025"/>
    <x v="15"/>
    <x v="2"/>
    <n v="2"/>
    <n v="485000"/>
    <n v="0"/>
    <n v="330000"/>
    <n v="970000"/>
    <x v="793"/>
    <x v="10"/>
    <x v="2"/>
    <n v="12"/>
    <x v="16"/>
    <n v="0.65979381443298968"/>
  </r>
  <r>
    <s v="ID-2026-01469"/>
    <d v="2026-01-25T00:00:00"/>
    <s v="ST-001"/>
    <x v="0"/>
    <s v="CUST-116"/>
    <x v="1"/>
    <s v="PRD-025"/>
    <x v="15"/>
    <x v="2"/>
    <n v="1"/>
    <n v="368000"/>
    <n v="0"/>
    <n v="252000"/>
    <n v="368000"/>
    <x v="3"/>
    <x v="0"/>
    <x v="3"/>
    <n v="1"/>
    <x v="12"/>
    <n v="0.31521739130434784"/>
  </r>
  <r>
    <s v="ID-2026-00268"/>
    <d v="2026-02-11T00:00:00"/>
    <s v="ST-003"/>
    <x v="4"/>
    <s v="CUST-001"/>
    <x v="1"/>
    <s v="PRD-025"/>
    <x v="15"/>
    <x v="2"/>
    <n v="1"/>
    <n v="516000"/>
    <n v="0"/>
    <n v="353000"/>
    <n v="516000"/>
    <x v="202"/>
    <x v="1"/>
    <x v="3"/>
    <n v="2"/>
    <x v="22"/>
    <n v="0.31589147286821706"/>
  </r>
  <r>
    <s v="ID-2026-00633"/>
    <d v="2026-02-15T00:00:00"/>
    <s v="ST-002"/>
    <x v="3"/>
    <s v="CUST-084"/>
    <x v="1"/>
    <s v="PRD-025"/>
    <x v="15"/>
    <x v="2"/>
    <n v="1"/>
    <n v="532000"/>
    <n v="0.1"/>
    <n v="377000"/>
    <n v="478800"/>
    <x v="556"/>
    <x v="1"/>
    <x v="3"/>
    <n v="2"/>
    <x v="19"/>
    <n v="0.21261487050960734"/>
  </r>
  <r>
    <s v="ID-2026-00992"/>
    <d v="2026-02-22T00:00:00"/>
    <s v="ST-002"/>
    <x v="3"/>
    <s v="CUST-004"/>
    <x v="0"/>
    <s v="PRD-025"/>
    <x v="15"/>
    <x v="2"/>
    <n v="2"/>
    <n v="417000"/>
    <n v="0"/>
    <n v="294000"/>
    <n v="834000"/>
    <x v="829"/>
    <x v="1"/>
    <x v="3"/>
    <n v="2"/>
    <x v="16"/>
    <n v="0.64748201438848918"/>
  </r>
  <r>
    <s v="ID-2026-00612"/>
    <d v="2026-03-17T00:00:00"/>
    <s v="ST-001"/>
    <x v="0"/>
    <s v="CUST-009"/>
    <x v="0"/>
    <s v="PRD-025"/>
    <x v="15"/>
    <x v="2"/>
    <n v="1"/>
    <n v="552000"/>
    <n v="0"/>
    <n v="382000"/>
    <n v="552000"/>
    <x v="817"/>
    <x v="2"/>
    <x v="3"/>
    <n v="3"/>
    <x v="2"/>
    <n v="0.3079710144927536"/>
  </r>
  <r>
    <s v="ID-2026-00702"/>
    <d v="2026-04-10T00:00:00"/>
    <s v="ST-003"/>
    <x v="4"/>
    <s v="CUST-073"/>
    <x v="1"/>
    <s v="PRD-025"/>
    <x v="15"/>
    <x v="2"/>
    <n v="2"/>
    <n v="570000"/>
    <n v="0.15"/>
    <n v="408000"/>
    <n v="969000"/>
    <x v="44"/>
    <x v="11"/>
    <x v="3"/>
    <n v="4"/>
    <x v="13"/>
    <n v="0.57894736842105265"/>
  </r>
  <r>
    <s v="ID-2026-01688"/>
    <d v="2026-05-20T00:00:00"/>
    <s v="ST-001"/>
    <x v="0"/>
    <s v="CUST-021"/>
    <x v="0"/>
    <s v="PRD-025"/>
    <x v="15"/>
    <x v="2"/>
    <n v="1"/>
    <n v="582000"/>
    <n v="0"/>
    <n v="397000"/>
    <n v="582000"/>
    <x v="830"/>
    <x v="3"/>
    <x v="3"/>
    <n v="5"/>
    <x v="30"/>
    <n v="0.31786941580756012"/>
  </r>
  <r>
    <s v="ID-2026-01653"/>
    <d v="2026-05-25T00:00:00"/>
    <s v="ST-002"/>
    <x v="3"/>
    <s v="CUST-030"/>
    <x v="1"/>
    <s v="PRD-025"/>
    <x v="15"/>
    <x v="2"/>
    <n v="1"/>
    <n v="448000"/>
    <n v="0.05"/>
    <n v="305000"/>
    <n v="425600"/>
    <x v="831"/>
    <x v="3"/>
    <x v="3"/>
    <n v="5"/>
    <x v="12"/>
    <n v="0.28336466165413532"/>
  </r>
  <r>
    <s v="ID-2026-00857"/>
    <d v="2026-06-29T00:00:00"/>
    <s v="ST-001"/>
    <x v="0"/>
    <s v="CUST-013"/>
    <x v="1"/>
    <s v="PRD-025"/>
    <x v="15"/>
    <x v="2"/>
    <n v="1"/>
    <n v="599000"/>
    <n v="0.05"/>
    <n v="416000"/>
    <n v="569050"/>
    <x v="832"/>
    <x v="4"/>
    <x v="3"/>
    <n v="6"/>
    <x v="7"/>
    <n v="0.26895703365257884"/>
  </r>
  <r>
    <s v="ID-2026-00237"/>
    <d v="2026-06-30T00:00:00"/>
    <s v="ST-002"/>
    <x v="3"/>
    <s v="CUST-029"/>
    <x v="0"/>
    <s v="PRD-025"/>
    <x v="15"/>
    <x v="2"/>
    <n v="1"/>
    <n v="430000"/>
    <n v="0"/>
    <n v="294000"/>
    <n v="430000"/>
    <x v="199"/>
    <x v="4"/>
    <x v="3"/>
    <n v="6"/>
    <x v="15"/>
    <n v="0.31627906976744186"/>
  </r>
  <r>
    <s v="ID-2026-01682"/>
    <d v="2026-06-30T00:00:00"/>
    <s v="ST-002"/>
    <x v="3"/>
    <s v="CUST-001"/>
    <x v="1"/>
    <s v="PRD-025"/>
    <x v="15"/>
    <x v="2"/>
    <n v="1"/>
    <n v="517000"/>
    <n v="0"/>
    <n v="358000"/>
    <n v="517000"/>
    <x v="231"/>
    <x v="4"/>
    <x v="3"/>
    <n v="6"/>
    <x v="15"/>
    <n v="0.30754352030947774"/>
  </r>
  <r>
    <s v="ID-2023-00429"/>
    <d v="2023-01-20T00:00:00"/>
    <s v="ST-001"/>
    <x v="0"/>
    <s v="CUST-097"/>
    <x v="0"/>
    <s v="PRD-010"/>
    <x v="16"/>
    <x v="3"/>
    <n v="1"/>
    <n v="1357000"/>
    <n v="0"/>
    <n v="1037000"/>
    <n v="1357000"/>
    <x v="833"/>
    <x v="0"/>
    <x v="0"/>
    <n v="1"/>
    <x v="30"/>
    <n v="0.23581429624170966"/>
  </r>
  <r>
    <s v="ID-2023-01013"/>
    <d v="2023-02-16T00:00:00"/>
    <s v="ST-004"/>
    <x v="2"/>
    <s v="CUST-042"/>
    <x v="0"/>
    <s v="PRD-010"/>
    <x v="16"/>
    <x v="3"/>
    <n v="1"/>
    <n v="975000"/>
    <n v="0"/>
    <n v="724000"/>
    <n v="975000"/>
    <x v="834"/>
    <x v="1"/>
    <x v="0"/>
    <n v="2"/>
    <x v="5"/>
    <n v="0.25743589743589745"/>
  </r>
  <r>
    <s v="ID-2023-00381"/>
    <d v="2023-02-22T00:00:00"/>
    <s v="ST-001"/>
    <x v="0"/>
    <s v="CUST-102"/>
    <x v="0"/>
    <s v="PRD-010"/>
    <x v="16"/>
    <x v="3"/>
    <n v="2"/>
    <n v="1282000"/>
    <n v="0"/>
    <n v="962000"/>
    <n v="2564000"/>
    <x v="835"/>
    <x v="1"/>
    <x v="0"/>
    <n v="2"/>
    <x v="16"/>
    <n v="0.62480499219968799"/>
  </r>
  <r>
    <s v="ID-2023-01145"/>
    <d v="2023-03-18T00:00:00"/>
    <s v="ST-003"/>
    <x v="4"/>
    <s v="CUST-012"/>
    <x v="3"/>
    <s v="PRD-010"/>
    <x v="16"/>
    <x v="3"/>
    <n v="2"/>
    <n v="1179000"/>
    <n v="0"/>
    <n v="909000"/>
    <n v="2358000"/>
    <x v="624"/>
    <x v="2"/>
    <x v="0"/>
    <n v="3"/>
    <x v="9"/>
    <n v="0.6145038167938931"/>
  </r>
  <r>
    <s v="ID-2023-01319"/>
    <d v="2023-03-22T00:00:00"/>
    <s v="ST-002"/>
    <x v="3"/>
    <s v="CUST-086"/>
    <x v="1"/>
    <s v="PRD-010"/>
    <x v="16"/>
    <x v="3"/>
    <n v="2"/>
    <n v="1274000"/>
    <n v="0"/>
    <n v="991000"/>
    <n v="2548000"/>
    <x v="836"/>
    <x v="2"/>
    <x v="0"/>
    <n v="3"/>
    <x v="16"/>
    <n v="0.61106750392464682"/>
  </r>
  <r>
    <s v="ID-2023-01043"/>
    <d v="2023-04-13T00:00:00"/>
    <s v="ST-001"/>
    <x v="0"/>
    <s v="CUST-117"/>
    <x v="1"/>
    <s v="PRD-010"/>
    <x v="16"/>
    <x v="3"/>
    <n v="2"/>
    <n v="1207000"/>
    <n v="0"/>
    <n v="895000"/>
    <n v="2414000"/>
    <x v="837"/>
    <x v="11"/>
    <x v="0"/>
    <n v="4"/>
    <x v="23"/>
    <n v="0.62924606462303234"/>
  </r>
  <r>
    <s v="ID-2023-00549"/>
    <d v="2023-04-22T00:00:00"/>
    <s v="ST-001"/>
    <x v="0"/>
    <s v="CUST-048"/>
    <x v="0"/>
    <s v="PRD-010"/>
    <x v="16"/>
    <x v="3"/>
    <n v="1"/>
    <n v="1308000"/>
    <n v="0"/>
    <n v="1019000"/>
    <n v="1308000"/>
    <x v="838"/>
    <x v="11"/>
    <x v="0"/>
    <n v="4"/>
    <x v="16"/>
    <n v="0.22094801223241589"/>
  </r>
  <r>
    <s v="ID-2023-01045"/>
    <d v="2023-04-23T00:00:00"/>
    <s v="ST-001"/>
    <x v="0"/>
    <s v="CUST-001"/>
    <x v="1"/>
    <s v="PRD-010"/>
    <x v="16"/>
    <x v="3"/>
    <n v="1"/>
    <n v="886000"/>
    <n v="0"/>
    <n v="685000"/>
    <n v="886000"/>
    <x v="839"/>
    <x v="11"/>
    <x v="0"/>
    <n v="4"/>
    <x v="11"/>
    <n v="0.22686230248306999"/>
  </r>
  <r>
    <s v="ID-2023-00430"/>
    <d v="2023-05-10T00:00:00"/>
    <s v="ST-001"/>
    <x v="0"/>
    <s v="CUST-144"/>
    <x v="1"/>
    <s v="PRD-010"/>
    <x v="16"/>
    <x v="3"/>
    <n v="1"/>
    <n v="1062000"/>
    <n v="0"/>
    <n v="817000"/>
    <n v="1062000"/>
    <x v="840"/>
    <x v="3"/>
    <x v="0"/>
    <n v="5"/>
    <x v="13"/>
    <n v="0.23069679849340866"/>
  </r>
  <r>
    <s v="ID-2023-01457"/>
    <d v="2023-05-27T00:00:00"/>
    <s v="ST-001"/>
    <x v="0"/>
    <s v="CUST-080"/>
    <x v="1"/>
    <s v="PRD-010"/>
    <x v="16"/>
    <x v="3"/>
    <n v="1"/>
    <n v="1379000"/>
    <n v="0.1"/>
    <n v="1072000"/>
    <n v="1241100"/>
    <x v="841"/>
    <x v="3"/>
    <x v="0"/>
    <n v="5"/>
    <x v="24"/>
    <n v="0.1362501007171058"/>
  </r>
  <r>
    <s v="ID-2023-00779"/>
    <d v="2023-05-29T00:00:00"/>
    <s v="ST-004"/>
    <x v="2"/>
    <s v="CUST-132"/>
    <x v="1"/>
    <s v="PRD-010"/>
    <x v="16"/>
    <x v="3"/>
    <n v="1"/>
    <n v="1280000"/>
    <n v="0"/>
    <n v="952000"/>
    <n v="1280000"/>
    <x v="599"/>
    <x v="3"/>
    <x v="0"/>
    <n v="5"/>
    <x v="7"/>
    <n v="0.25624999999999998"/>
  </r>
  <r>
    <s v="ID-2023-00447"/>
    <d v="2023-06-26T00:00:00"/>
    <s v="ST-002"/>
    <x v="3"/>
    <s v="CUST-022"/>
    <x v="1"/>
    <s v="PRD-010"/>
    <x v="16"/>
    <x v="3"/>
    <n v="1"/>
    <n v="1458000"/>
    <n v="0.05"/>
    <n v="1097000"/>
    <n v="1385100"/>
    <x v="842"/>
    <x v="4"/>
    <x v="0"/>
    <n v="6"/>
    <x v="6"/>
    <n v="0.20799942242437369"/>
  </r>
  <r>
    <s v="ID-2023-01502"/>
    <d v="2023-06-28T00:00:00"/>
    <s v="ST-004"/>
    <x v="2"/>
    <s v="CUST-004"/>
    <x v="0"/>
    <s v="PRD-010"/>
    <x v="16"/>
    <x v="3"/>
    <n v="1"/>
    <n v="1373000"/>
    <n v="0"/>
    <n v="1043000"/>
    <n v="1373000"/>
    <x v="843"/>
    <x v="4"/>
    <x v="0"/>
    <n v="6"/>
    <x v="4"/>
    <n v="0.2403495994173343"/>
  </r>
  <r>
    <s v="ID-2023-00072"/>
    <d v="2023-09-05T00:00:00"/>
    <s v="ST-001"/>
    <x v="0"/>
    <s v="CUST-148"/>
    <x v="0"/>
    <s v="PRD-010"/>
    <x v="16"/>
    <x v="3"/>
    <n v="1"/>
    <n v="959000"/>
    <n v="0"/>
    <n v="733000"/>
    <n v="959000"/>
    <x v="844"/>
    <x v="7"/>
    <x v="0"/>
    <n v="9"/>
    <x v="21"/>
    <n v="0.23566214807090718"/>
  </r>
  <r>
    <s v="ID-2023-01101"/>
    <d v="2023-09-22T00:00:00"/>
    <s v="ST-001"/>
    <x v="0"/>
    <s v="CUST-135"/>
    <x v="2"/>
    <s v="PRD-010"/>
    <x v="16"/>
    <x v="3"/>
    <n v="1"/>
    <n v="1033000"/>
    <n v="0"/>
    <n v="801000"/>
    <n v="1033000"/>
    <x v="845"/>
    <x v="7"/>
    <x v="0"/>
    <n v="9"/>
    <x v="16"/>
    <n v="0.22458857696030979"/>
  </r>
  <r>
    <s v="ID-2023-01793"/>
    <d v="2023-11-19T00:00:00"/>
    <s v="ST-001"/>
    <x v="0"/>
    <s v="CUST-047"/>
    <x v="1"/>
    <s v="PRD-010"/>
    <x v="16"/>
    <x v="3"/>
    <n v="1"/>
    <n v="1465000"/>
    <n v="0.05"/>
    <n v="1090000"/>
    <n v="1391750"/>
    <x v="846"/>
    <x v="9"/>
    <x v="0"/>
    <n v="11"/>
    <x v="26"/>
    <n v="0.21681336446919347"/>
  </r>
  <r>
    <s v="ID-2023-00344"/>
    <d v="2023-11-24T00:00:00"/>
    <s v="ST-001"/>
    <x v="0"/>
    <s v="CUST-144"/>
    <x v="1"/>
    <s v="PRD-010"/>
    <x v="16"/>
    <x v="3"/>
    <n v="2"/>
    <n v="1440000"/>
    <n v="0"/>
    <n v="1092000"/>
    <n v="2880000"/>
    <x v="847"/>
    <x v="9"/>
    <x v="0"/>
    <n v="11"/>
    <x v="25"/>
    <n v="0.62083333333333335"/>
  </r>
  <r>
    <s v="ID-2023-00839"/>
    <d v="2023-12-01T00:00:00"/>
    <s v="ST-001"/>
    <x v="0"/>
    <s v="CUST-002"/>
    <x v="3"/>
    <s v="PRD-010"/>
    <x v="16"/>
    <x v="3"/>
    <n v="3"/>
    <n v="1217000"/>
    <n v="0"/>
    <n v="926000"/>
    <n v="3651000"/>
    <x v="848"/>
    <x v="10"/>
    <x v="0"/>
    <n v="12"/>
    <x v="0"/>
    <n v="0.74637085729937003"/>
  </r>
  <r>
    <s v="ID-2023-00499"/>
    <d v="2023-12-07T00:00:00"/>
    <s v="ST-005"/>
    <x v="1"/>
    <s v="CUST-048"/>
    <x v="0"/>
    <s v="PRD-010"/>
    <x v="16"/>
    <x v="3"/>
    <n v="2"/>
    <n v="980000"/>
    <n v="0"/>
    <n v="748000"/>
    <n v="1960000"/>
    <x v="849"/>
    <x v="10"/>
    <x v="0"/>
    <n v="12"/>
    <x v="3"/>
    <n v="0.61836734693877549"/>
  </r>
  <r>
    <s v="ID-2023-01628"/>
    <d v="2023-12-19T00:00:00"/>
    <s v="ST-001"/>
    <x v="0"/>
    <s v="CUST-102"/>
    <x v="0"/>
    <s v="PRD-010"/>
    <x v="16"/>
    <x v="3"/>
    <n v="1"/>
    <n v="1464000"/>
    <n v="0.05"/>
    <n v="1086000"/>
    <n v="1390800"/>
    <x v="850"/>
    <x v="10"/>
    <x v="0"/>
    <n v="12"/>
    <x v="26"/>
    <n v="0.2191544434857636"/>
  </r>
  <r>
    <s v="ID-2024-00408"/>
    <d v="2024-01-03T00:00:00"/>
    <s v="ST-002"/>
    <x v="3"/>
    <s v="CUST-045"/>
    <x v="1"/>
    <s v="PRD-010"/>
    <x v="16"/>
    <x v="3"/>
    <n v="1"/>
    <n v="1447000"/>
    <n v="0.05"/>
    <n v="1074000"/>
    <n v="1374650"/>
    <x v="851"/>
    <x v="0"/>
    <x v="1"/>
    <n v="1"/>
    <x v="8"/>
    <n v="0.21871021714618266"/>
  </r>
  <r>
    <s v="ID-2024-00211"/>
    <d v="2024-02-19T00:00:00"/>
    <s v="ST-002"/>
    <x v="3"/>
    <s v="CUST-029"/>
    <x v="0"/>
    <s v="PRD-010"/>
    <x v="16"/>
    <x v="3"/>
    <n v="1"/>
    <n v="877000"/>
    <n v="0"/>
    <n v="682000"/>
    <n v="877000"/>
    <x v="852"/>
    <x v="1"/>
    <x v="1"/>
    <n v="2"/>
    <x v="26"/>
    <n v="0.22234891676168758"/>
  </r>
  <r>
    <s v="ID-2024-01422"/>
    <d v="2024-02-20T00:00:00"/>
    <s v="ST-005"/>
    <x v="1"/>
    <s v="CUST-146"/>
    <x v="1"/>
    <s v="PRD-010"/>
    <x v="16"/>
    <x v="3"/>
    <n v="3"/>
    <n v="857000"/>
    <n v="0.1"/>
    <n v="656000"/>
    <n v="2313900"/>
    <x v="853"/>
    <x v="1"/>
    <x v="1"/>
    <n v="2"/>
    <x v="30"/>
    <n v="0.71649595920307707"/>
  </r>
  <r>
    <s v="ID-2024-00140"/>
    <d v="2024-03-15T00:00:00"/>
    <s v="ST-003"/>
    <x v="4"/>
    <s v="CUST-148"/>
    <x v="0"/>
    <s v="PRD-010"/>
    <x v="16"/>
    <x v="3"/>
    <n v="3"/>
    <n v="1256000"/>
    <n v="0"/>
    <n v="954000"/>
    <n v="3768000"/>
    <x v="854"/>
    <x v="2"/>
    <x v="1"/>
    <n v="3"/>
    <x v="19"/>
    <n v="0.74681528662420382"/>
  </r>
  <r>
    <s v="ID-2024-00975"/>
    <d v="2024-03-16T00:00:00"/>
    <s v="ST-001"/>
    <x v="0"/>
    <s v="CUST-076"/>
    <x v="2"/>
    <s v="PRD-010"/>
    <x v="16"/>
    <x v="3"/>
    <n v="1"/>
    <n v="1485000"/>
    <n v="0"/>
    <n v="1144000"/>
    <n v="1485000"/>
    <x v="527"/>
    <x v="2"/>
    <x v="1"/>
    <n v="3"/>
    <x v="5"/>
    <n v="0.22962962962962963"/>
  </r>
  <r>
    <s v="ID-2024-00004"/>
    <d v="2024-03-28T00:00:00"/>
    <s v="ST-001"/>
    <x v="0"/>
    <s v="CUST-048"/>
    <x v="0"/>
    <s v="PRD-010"/>
    <x v="16"/>
    <x v="3"/>
    <n v="1"/>
    <n v="911000"/>
    <n v="0.15"/>
    <n v="688000"/>
    <n v="774350"/>
    <x v="855"/>
    <x v="2"/>
    <x v="1"/>
    <n v="3"/>
    <x v="4"/>
    <n v="0.11151288177180861"/>
  </r>
  <r>
    <s v="ID-2024-00461"/>
    <d v="2024-03-28T00:00:00"/>
    <s v="ST-003"/>
    <x v="4"/>
    <s v="CUST-053"/>
    <x v="2"/>
    <s v="PRD-010"/>
    <x v="16"/>
    <x v="3"/>
    <n v="1"/>
    <n v="1223000"/>
    <n v="0.1"/>
    <n v="935000"/>
    <n v="1100700"/>
    <x v="856"/>
    <x v="2"/>
    <x v="1"/>
    <n v="3"/>
    <x v="4"/>
    <n v="0.15054056509493957"/>
  </r>
  <r>
    <s v="ID-2024-01255"/>
    <d v="2024-04-08T00:00:00"/>
    <s v="ST-005"/>
    <x v="1"/>
    <s v="CUST-082"/>
    <x v="0"/>
    <s v="PRD-010"/>
    <x v="16"/>
    <x v="3"/>
    <n v="1"/>
    <n v="844000"/>
    <n v="0"/>
    <n v="631000"/>
    <n v="844000"/>
    <x v="857"/>
    <x v="11"/>
    <x v="1"/>
    <n v="4"/>
    <x v="27"/>
    <n v="0.25236966824644552"/>
  </r>
  <r>
    <s v="ID-2024-00369"/>
    <d v="2024-04-08T00:00:00"/>
    <s v="ST-001"/>
    <x v="0"/>
    <s v="CUST-030"/>
    <x v="1"/>
    <s v="PRD-010"/>
    <x v="16"/>
    <x v="3"/>
    <n v="1"/>
    <n v="997000"/>
    <n v="0"/>
    <n v="777000"/>
    <n v="997000"/>
    <x v="858"/>
    <x v="11"/>
    <x v="1"/>
    <n v="4"/>
    <x v="27"/>
    <n v="0.22066198595787362"/>
  </r>
  <r>
    <s v="ID-2024-00310"/>
    <d v="2024-04-20T00:00:00"/>
    <s v="ST-003"/>
    <x v="4"/>
    <s v="CUST-104"/>
    <x v="0"/>
    <s v="PRD-010"/>
    <x v="16"/>
    <x v="3"/>
    <n v="2"/>
    <n v="870000"/>
    <n v="0"/>
    <n v="665000"/>
    <n v="1740000"/>
    <x v="859"/>
    <x v="11"/>
    <x v="1"/>
    <n v="4"/>
    <x v="30"/>
    <n v="0.61781609195402298"/>
  </r>
  <r>
    <s v="ID-2024-01629"/>
    <d v="2024-04-28T00:00:00"/>
    <s v="ST-001"/>
    <x v="0"/>
    <s v="CUST-136"/>
    <x v="1"/>
    <s v="PRD-010"/>
    <x v="16"/>
    <x v="3"/>
    <n v="1"/>
    <n v="1384000"/>
    <n v="0"/>
    <n v="1044000"/>
    <n v="1384000"/>
    <x v="603"/>
    <x v="11"/>
    <x v="1"/>
    <n v="4"/>
    <x v="4"/>
    <n v="0.24566473988439305"/>
  </r>
  <r>
    <s v="ID-2024-01498"/>
    <d v="2024-06-14T00:00:00"/>
    <s v="ST-001"/>
    <x v="0"/>
    <s v="CUST-053"/>
    <x v="2"/>
    <s v="PRD-010"/>
    <x v="16"/>
    <x v="3"/>
    <n v="1"/>
    <n v="1540000"/>
    <n v="0"/>
    <n v="1164000"/>
    <n v="1540000"/>
    <x v="860"/>
    <x v="4"/>
    <x v="1"/>
    <n v="6"/>
    <x v="18"/>
    <n v="0.24415584415584415"/>
  </r>
  <r>
    <s v="ID-2024-01445"/>
    <d v="2024-06-24T00:00:00"/>
    <s v="ST-001"/>
    <x v="0"/>
    <s v="CUST-087"/>
    <x v="2"/>
    <s v="PRD-010"/>
    <x v="16"/>
    <x v="3"/>
    <n v="1"/>
    <n v="1125000"/>
    <n v="0"/>
    <n v="874000"/>
    <n v="1125000"/>
    <x v="834"/>
    <x v="4"/>
    <x v="1"/>
    <n v="6"/>
    <x v="25"/>
    <n v="0.22311111111111112"/>
  </r>
  <r>
    <s v="ID-2024-00541"/>
    <d v="2024-07-04T00:00:00"/>
    <s v="ST-001"/>
    <x v="0"/>
    <s v="CUST-132"/>
    <x v="1"/>
    <s v="PRD-010"/>
    <x v="16"/>
    <x v="3"/>
    <n v="1"/>
    <n v="1135000"/>
    <n v="0"/>
    <n v="879000"/>
    <n v="1135000"/>
    <x v="861"/>
    <x v="5"/>
    <x v="1"/>
    <n v="7"/>
    <x v="20"/>
    <n v="0.22555066079295155"/>
  </r>
  <r>
    <s v="ID-2024-00487"/>
    <d v="2024-08-02T00:00:00"/>
    <s v="ST-001"/>
    <x v="0"/>
    <s v="CUST-125"/>
    <x v="1"/>
    <s v="PRD-010"/>
    <x v="16"/>
    <x v="3"/>
    <n v="1"/>
    <n v="1221000"/>
    <n v="0"/>
    <n v="952000"/>
    <n v="1221000"/>
    <x v="862"/>
    <x v="6"/>
    <x v="1"/>
    <n v="8"/>
    <x v="17"/>
    <n v="0.2203112203112203"/>
  </r>
  <r>
    <s v="ID-2024-01486"/>
    <d v="2024-09-13T00:00:00"/>
    <s v="ST-001"/>
    <x v="0"/>
    <s v="CUST-108"/>
    <x v="2"/>
    <s v="PRD-010"/>
    <x v="16"/>
    <x v="3"/>
    <n v="1"/>
    <n v="1191000"/>
    <n v="0"/>
    <n v="917000"/>
    <n v="1191000"/>
    <x v="863"/>
    <x v="7"/>
    <x v="1"/>
    <n v="9"/>
    <x v="23"/>
    <n v="0.23005877413937867"/>
  </r>
  <r>
    <s v="ID-2024-01605"/>
    <d v="2024-11-13T00:00:00"/>
    <s v="ST-001"/>
    <x v="0"/>
    <s v="CUST-062"/>
    <x v="1"/>
    <s v="PRD-010"/>
    <x v="16"/>
    <x v="3"/>
    <n v="1"/>
    <n v="1398000"/>
    <n v="0"/>
    <n v="1053000"/>
    <n v="1398000"/>
    <x v="864"/>
    <x v="9"/>
    <x v="1"/>
    <n v="11"/>
    <x v="23"/>
    <n v="0.24678111587982832"/>
  </r>
  <r>
    <s v="ID-2024-00279"/>
    <d v="2024-11-21T00:00:00"/>
    <s v="ST-001"/>
    <x v="0"/>
    <s v="CUST-074"/>
    <x v="1"/>
    <s v="PRD-010"/>
    <x v="16"/>
    <x v="3"/>
    <n v="5"/>
    <n v="986000"/>
    <n v="0"/>
    <n v="764000"/>
    <n v="4930000"/>
    <x v="865"/>
    <x v="9"/>
    <x v="1"/>
    <n v="11"/>
    <x v="14"/>
    <n v="0.84503042596348887"/>
  </r>
  <r>
    <s v="ID-2024-00792"/>
    <d v="2024-11-24T00:00:00"/>
    <s v="ST-004"/>
    <x v="2"/>
    <s v="CUST-046"/>
    <x v="0"/>
    <s v="PRD-010"/>
    <x v="16"/>
    <x v="3"/>
    <n v="1"/>
    <n v="1040000"/>
    <n v="0"/>
    <n v="802000"/>
    <n v="1040000"/>
    <x v="866"/>
    <x v="9"/>
    <x v="1"/>
    <n v="11"/>
    <x v="25"/>
    <n v="0.22884615384615384"/>
  </r>
  <r>
    <s v="ID-2024-00754"/>
    <d v="2024-12-20T00:00:00"/>
    <s v="ST-003"/>
    <x v="4"/>
    <s v="CUST-001"/>
    <x v="1"/>
    <s v="PRD-010"/>
    <x v="16"/>
    <x v="3"/>
    <n v="2"/>
    <n v="1111000"/>
    <n v="0"/>
    <n v="837000"/>
    <n v="2222000"/>
    <x v="867"/>
    <x v="10"/>
    <x v="1"/>
    <n v="12"/>
    <x v="30"/>
    <n v="0.62331233123312335"/>
  </r>
  <r>
    <s v="ID-2024-00619"/>
    <d v="2024-12-23T00:00:00"/>
    <s v="ST-004"/>
    <x v="2"/>
    <s v="CUST-062"/>
    <x v="1"/>
    <s v="PRD-010"/>
    <x v="16"/>
    <x v="3"/>
    <n v="1"/>
    <n v="871000"/>
    <n v="0.1"/>
    <n v="677000"/>
    <n v="783900"/>
    <x v="868"/>
    <x v="10"/>
    <x v="1"/>
    <n v="12"/>
    <x v="11"/>
    <n v="0.13636943487689757"/>
  </r>
  <r>
    <s v="ID-2024-01674"/>
    <d v="2024-12-27T00:00:00"/>
    <s v="ST-002"/>
    <x v="3"/>
    <s v="CUST-068"/>
    <x v="1"/>
    <s v="PRD-010"/>
    <x v="16"/>
    <x v="3"/>
    <n v="3"/>
    <n v="1351000"/>
    <n v="0"/>
    <n v="1036000"/>
    <n v="4053000"/>
    <x v="869"/>
    <x v="10"/>
    <x v="1"/>
    <n v="12"/>
    <x v="24"/>
    <n v="0.74438687392055269"/>
  </r>
  <r>
    <s v="ID-2025-00583"/>
    <d v="2025-01-02T00:00:00"/>
    <s v="ST-002"/>
    <x v="3"/>
    <s v="CUST-069"/>
    <x v="1"/>
    <s v="PRD-010"/>
    <x v="16"/>
    <x v="3"/>
    <n v="1"/>
    <n v="1334000"/>
    <n v="0"/>
    <n v="1017000"/>
    <n v="1334000"/>
    <x v="870"/>
    <x v="0"/>
    <x v="2"/>
    <n v="1"/>
    <x v="17"/>
    <n v="0.2376311844077961"/>
  </r>
  <r>
    <s v="ID-2025-00098"/>
    <d v="2025-01-20T00:00:00"/>
    <s v="ST-001"/>
    <x v="0"/>
    <s v="CUST-141"/>
    <x v="3"/>
    <s v="PRD-010"/>
    <x v="16"/>
    <x v="3"/>
    <n v="3"/>
    <n v="913000"/>
    <n v="0"/>
    <n v="702000"/>
    <n v="2739000"/>
    <x v="871"/>
    <x v="0"/>
    <x v="2"/>
    <n v="1"/>
    <x v="30"/>
    <n v="0.74370208105147861"/>
  </r>
  <r>
    <s v="ID-2025-01202"/>
    <d v="2025-01-28T00:00:00"/>
    <s v="ST-002"/>
    <x v="3"/>
    <s v="CUST-042"/>
    <x v="0"/>
    <s v="PRD-010"/>
    <x v="16"/>
    <x v="3"/>
    <n v="1"/>
    <n v="1404000"/>
    <n v="0"/>
    <n v="1065000"/>
    <n v="1404000"/>
    <x v="692"/>
    <x v="0"/>
    <x v="2"/>
    <n v="1"/>
    <x v="4"/>
    <n v="0.24145299145299146"/>
  </r>
  <r>
    <s v="ID-2025-01292"/>
    <d v="2025-02-04T00:00:00"/>
    <s v="ST-002"/>
    <x v="3"/>
    <s v="CUST-061"/>
    <x v="1"/>
    <s v="PRD-010"/>
    <x v="16"/>
    <x v="3"/>
    <n v="2"/>
    <n v="1101000"/>
    <n v="0"/>
    <n v="819000"/>
    <n v="2202000"/>
    <x v="872"/>
    <x v="1"/>
    <x v="2"/>
    <n v="2"/>
    <x v="20"/>
    <n v="0.62806539509536785"/>
  </r>
  <r>
    <s v="ID-2025-00061"/>
    <d v="2025-02-28T00:00:00"/>
    <s v="ST-001"/>
    <x v="0"/>
    <s v="CUST-032"/>
    <x v="1"/>
    <s v="PRD-010"/>
    <x v="16"/>
    <x v="3"/>
    <n v="1"/>
    <n v="951000"/>
    <n v="0"/>
    <n v="705000"/>
    <n v="951000"/>
    <x v="873"/>
    <x v="1"/>
    <x v="2"/>
    <n v="2"/>
    <x v="4"/>
    <n v="0.25867507886435331"/>
  </r>
  <r>
    <s v="ID-2025-01686"/>
    <d v="2025-04-01T00:00:00"/>
    <s v="ST-004"/>
    <x v="2"/>
    <s v="CUST-081"/>
    <x v="1"/>
    <s v="PRD-010"/>
    <x v="16"/>
    <x v="3"/>
    <n v="3"/>
    <n v="1220060.606060606"/>
    <n v="0"/>
    <n v="0"/>
    <n v="3660181.8181818179"/>
    <x v="874"/>
    <x v="11"/>
    <x v="2"/>
    <n v="4"/>
    <x v="0"/>
    <n v="1"/>
  </r>
  <r>
    <s v="ID-2025-00954"/>
    <d v="2025-04-08T00:00:00"/>
    <s v="ST-004"/>
    <x v="2"/>
    <s v="CUST-114"/>
    <x v="1"/>
    <s v="PRD-010"/>
    <x v="16"/>
    <x v="3"/>
    <n v="1"/>
    <n v="1280000"/>
    <n v="0.15"/>
    <n v="980000"/>
    <n v="1088000"/>
    <x v="49"/>
    <x v="11"/>
    <x v="2"/>
    <n v="4"/>
    <x v="27"/>
    <n v="9.9264705882352935E-2"/>
  </r>
  <r>
    <s v="ID-2025-00673"/>
    <d v="2025-06-12T00:00:00"/>
    <s v="ST-001"/>
    <x v="0"/>
    <s v="CUST-026"/>
    <x v="2"/>
    <s v="PRD-010"/>
    <x v="16"/>
    <x v="3"/>
    <n v="2"/>
    <n v="1406000"/>
    <n v="0.1"/>
    <n v="1069000"/>
    <n v="2530800"/>
    <x v="875"/>
    <x v="4"/>
    <x v="2"/>
    <n v="6"/>
    <x v="10"/>
    <n v="0.5776039197091829"/>
  </r>
  <r>
    <s v="ID-2025-01582"/>
    <d v="2025-07-19T00:00:00"/>
    <s v="ST-001"/>
    <x v="0"/>
    <s v="CUST-055"/>
    <x v="0"/>
    <s v="PRD-010"/>
    <x v="16"/>
    <x v="3"/>
    <n v="1"/>
    <n v="1061000"/>
    <n v="0.1"/>
    <n v="819000"/>
    <n v="954900"/>
    <x v="876"/>
    <x v="5"/>
    <x v="2"/>
    <n v="7"/>
    <x v="26"/>
    <n v="0.14231856738925541"/>
  </r>
  <r>
    <s v="ID-2025-00516"/>
    <d v="2025-07-26T00:00:00"/>
    <s v="ST-002"/>
    <x v="3"/>
    <s v="CUST-086"/>
    <x v="1"/>
    <s v="PRD-010"/>
    <x v="16"/>
    <x v="3"/>
    <n v="2"/>
    <n v="1460000"/>
    <n v="0"/>
    <n v="1098000"/>
    <n v="2920000"/>
    <x v="877"/>
    <x v="5"/>
    <x v="2"/>
    <n v="7"/>
    <x v="6"/>
    <n v="0.62397260273972599"/>
  </r>
  <r>
    <s v="ID-2025-00727"/>
    <d v="2025-10-14T00:00:00"/>
    <s v="ST-001"/>
    <x v="0"/>
    <s v="CUST-115"/>
    <x v="0"/>
    <s v="PRD-010"/>
    <x v="16"/>
    <x v="3"/>
    <n v="1"/>
    <n v="1561000"/>
    <n v="0"/>
    <n v="1196000"/>
    <n v="1561000"/>
    <x v="878"/>
    <x v="8"/>
    <x v="2"/>
    <n v="10"/>
    <x v="18"/>
    <n v="0.23382447149263294"/>
  </r>
  <r>
    <s v="ID-2025-00630"/>
    <d v="2025-10-25T00:00:00"/>
    <s v="ST-003"/>
    <x v="4"/>
    <s v="CUST-038"/>
    <x v="1"/>
    <s v="PRD-010"/>
    <x v="16"/>
    <x v="3"/>
    <n v="5"/>
    <n v="1066000"/>
    <n v="0"/>
    <n v="801000"/>
    <n v="5330000"/>
    <x v="879"/>
    <x v="8"/>
    <x v="2"/>
    <n v="10"/>
    <x v="12"/>
    <n v="0.84971857410881801"/>
  </r>
  <r>
    <s v="ID-2025-01428"/>
    <d v="2025-10-25T00:00:00"/>
    <s v="ST-001"/>
    <x v="0"/>
    <s v="CUST-069"/>
    <x v="1"/>
    <s v="PRD-010"/>
    <x v="16"/>
    <x v="3"/>
    <n v="1"/>
    <n v="1414000"/>
    <n v="0"/>
    <n v="1092000"/>
    <n v="1414000"/>
    <x v="597"/>
    <x v="8"/>
    <x v="2"/>
    <n v="10"/>
    <x v="12"/>
    <n v="0.22772277227722773"/>
  </r>
  <r>
    <s v="ID-2025-00528"/>
    <d v="2025-10-26T00:00:00"/>
    <s v="ST-002"/>
    <x v="3"/>
    <s v="CUST-050"/>
    <x v="1"/>
    <s v="PRD-010"/>
    <x v="16"/>
    <x v="3"/>
    <n v="1"/>
    <n v="1420000"/>
    <n v="0.05"/>
    <n v="1106000"/>
    <n v="1349000"/>
    <x v="880"/>
    <x v="8"/>
    <x v="2"/>
    <n v="10"/>
    <x v="6"/>
    <n v="0.18013343217197925"/>
  </r>
  <r>
    <s v="ID-2025-00271"/>
    <d v="2025-11-27T00:00:00"/>
    <s v="ST-003"/>
    <x v="4"/>
    <s v="CUST-015"/>
    <x v="1"/>
    <s v="PRD-010"/>
    <x v="16"/>
    <x v="3"/>
    <n v="2"/>
    <n v="1339000"/>
    <n v="0"/>
    <n v="1026000"/>
    <n v="2678000"/>
    <x v="881"/>
    <x v="9"/>
    <x v="2"/>
    <n v="11"/>
    <x v="24"/>
    <n v="0.61687826736370421"/>
  </r>
  <r>
    <s v="ID-2025-01283"/>
    <d v="2025-12-01T00:00:00"/>
    <s v="ST-002"/>
    <x v="3"/>
    <s v="CUST-097"/>
    <x v="0"/>
    <s v="PRD-010"/>
    <x v="16"/>
    <x v="3"/>
    <n v="1"/>
    <n v="1004000"/>
    <n v="0"/>
    <n v="773000"/>
    <n v="1004000"/>
    <x v="574"/>
    <x v="10"/>
    <x v="2"/>
    <n v="12"/>
    <x v="0"/>
    <n v="0.23007968127490039"/>
  </r>
  <r>
    <s v="ID-2025-00509"/>
    <d v="2025-12-07T00:00:00"/>
    <s v="ST-003"/>
    <x v="4"/>
    <s v="CUST-064"/>
    <x v="1"/>
    <s v="PRD-010"/>
    <x v="16"/>
    <x v="3"/>
    <n v="1"/>
    <n v="1513000"/>
    <n v="0"/>
    <n v="1155000"/>
    <n v="1513000"/>
    <x v="882"/>
    <x v="10"/>
    <x v="2"/>
    <n v="12"/>
    <x v="3"/>
    <n v="0.23661599471249173"/>
  </r>
  <r>
    <s v="ID-2026-00453"/>
    <d v="2026-02-03T00:00:00"/>
    <s v="ST-003"/>
    <x v="4"/>
    <s v="CUST-119"/>
    <x v="1"/>
    <s v="PRD-010"/>
    <x v="16"/>
    <x v="3"/>
    <n v="2"/>
    <n v="1213000"/>
    <n v="0"/>
    <n v="943000"/>
    <n v="2426000"/>
    <x v="883"/>
    <x v="1"/>
    <x v="3"/>
    <n v="2"/>
    <x v="8"/>
    <n v="0.61129431162407255"/>
  </r>
  <r>
    <s v="ID-2026-00739"/>
    <d v="2026-03-26T00:00:00"/>
    <s v="ST-002"/>
    <x v="3"/>
    <s v="CUST-144"/>
    <x v="1"/>
    <s v="PRD-010"/>
    <x v="16"/>
    <x v="3"/>
    <n v="1"/>
    <n v="1350000"/>
    <n v="0"/>
    <n v="1015000"/>
    <n v="1350000"/>
    <x v="884"/>
    <x v="2"/>
    <x v="3"/>
    <n v="3"/>
    <x v="6"/>
    <n v="0.24814814814814815"/>
  </r>
  <r>
    <s v="ID-2026-00316"/>
    <d v="2026-04-14T00:00:00"/>
    <s v="ST-001"/>
    <x v="0"/>
    <s v="CUST-107"/>
    <x v="0"/>
    <s v="PRD-010"/>
    <x v="16"/>
    <x v="3"/>
    <n v="1"/>
    <n v="1328000"/>
    <n v="0"/>
    <n v="999000"/>
    <n v="1328000"/>
    <x v="486"/>
    <x v="11"/>
    <x v="3"/>
    <n v="4"/>
    <x v="18"/>
    <n v="0.24774096385542169"/>
  </r>
  <r>
    <s v="ID-2026-00544"/>
    <d v="2026-04-14T00:00:00"/>
    <s v="ST-001"/>
    <x v="0"/>
    <s v="CUST-065"/>
    <x v="1"/>
    <s v="PRD-010"/>
    <x v="16"/>
    <x v="3"/>
    <n v="1"/>
    <n v="1628000"/>
    <n v="0.05"/>
    <n v="1260000"/>
    <n v="1546600"/>
    <x v="885"/>
    <x v="11"/>
    <x v="3"/>
    <n v="4"/>
    <x v="18"/>
    <n v="0.18530971162550111"/>
  </r>
  <r>
    <s v="ID-2026-01509"/>
    <d v="2026-04-16T00:00:00"/>
    <s v="ST-001"/>
    <x v="0"/>
    <s v="CUST-045"/>
    <x v="1"/>
    <s v="PRD-010"/>
    <x v="16"/>
    <x v="3"/>
    <n v="1"/>
    <n v="1183000"/>
    <n v="0"/>
    <n v="880000"/>
    <n v="1183000"/>
    <x v="619"/>
    <x v="11"/>
    <x v="3"/>
    <n v="4"/>
    <x v="5"/>
    <n v="0.25612848689771767"/>
  </r>
  <r>
    <s v="ID-2026-01531"/>
    <d v="2026-05-09T00:00:00"/>
    <s v="ST-002"/>
    <x v="3"/>
    <s v="CUST-105"/>
    <x v="2"/>
    <s v="PRD-010"/>
    <x v="16"/>
    <x v="3"/>
    <n v="1"/>
    <n v="1181000"/>
    <n v="0"/>
    <n v="912000"/>
    <n v="1181000"/>
    <x v="862"/>
    <x v="3"/>
    <x v="3"/>
    <n v="5"/>
    <x v="1"/>
    <n v="0.22777307366638441"/>
  </r>
  <r>
    <s v="ID-2026-00601"/>
    <d v="2026-05-10T00:00:00"/>
    <s v="ST-003"/>
    <x v="4"/>
    <s v="CUST-010"/>
    <x v="2"/>
    <s v="PRD-010"/>
    <x v="16"/>
    <x v="3"/>
    <n v="1"/>
    <n v="1212000"/>
    <n v="0.05"/>
    <n v="906000"/>
    <n v="1151400"/>
    <x v="886"/>
    <x v="3"/>
    <x v="3"/>
    <n v="5"/>
    <x v="13"/>
    <n v="0.21313183949973943"/>
  </r>
  <r>
    <s v="ID-2026-01119"/>
    <d v="2026-06-24T00:00:00"/>
    <s v="ST-004"/>
    <x v="2"/>
    <s v="CUST-061"/>
    <x v="1"/>
    <s v="PRD-010"/>
    <x v="16"/>
    <x v="3"/>
    <n v="1"/>
    <n v="1504000"/>
    <n v="0"/>
    <n v="1123000"/>
    <n v="1504000"/>
    <x v="472"/>
    <x v="4"/>
    <x v="3"/>
    <n v="6"/>
    <x v="25"/>
    <n v="0.25332446808510639"/>
  </r>
  <r>
    <s v="ID-2023-00230"/>
    <d v="2023-01-24T00:00:00"/>
    <s v="ST-003"/>
    <x v="4"/>
    <s v="CUST-055"/>
    <x v="0"/>
    <s v="PRD-020"/>
    <x v="17"/>
    <x v="4"/>
    <n v="2"/>
    <n v="66000"/>
    <n v="0"/>
    <n v="40000"/>
    <n v="132000"/>
    <x v="28"/>
    <x v="0"/>
    <x v="0"/>
    <n v="1"/>
    <x v="25"/>
    <n v="0.69696969696969702"/>
  </r>
  <r>
    <s v="ID-2023-01747"/>
    <d v="2023-02-19T00:00:00"/>
    <s v="ST-001"/>
    <x v="0"/>
    <s v="CUST-063"/>
    <x v="1"/>
    <s v="PRD-020"/>
    <x v="17"/>
    <x v="4"/>
    <n v="1"/>
    <n v="63000"/>
    <n v="0"/>
    <n v="37000"/>
    <n v="63000"/>
    <x v="887"/>
    <x v="1"/>
    <x v="0"/>
    <n v="2"/>
    <x v="26"/>
    <n v="0.41269841269841268"/>
  </r>
  <r>
    <s v="ID-2023-00359"/>
    <d v="2023-03-10T00:00:00"/>
    <s v="ST-001"/>
    <x v="0"/>
    <s v="CUST-107"/>
    <x v="0"/>
    <s v="PRD-020"/>
    <x v="17"/>
    <x v="4"/>
    <n v="1"/>
    <n v="83000"/>
    <n v="0.05"/>
    <n v="49000"/>
    <n v="78850"/>
    <x v="888"/>
    <x v="2"/>
    <x v="0"/>
    <n v="3"/>
    <x v="13"/>
    <n v="0.37856689917564995"/>
  </r>
  <r>
    <s v="ID-2023-00396"/>
    <d v="2023-04-23T00:00:00"/>
    <s v="ST-001"/>
    <x v="0"/>
    <s v="CUST-045"/>
    <x v="1"/>
    <s v="PRD-020"/>
    <x v="17"/>
    <x v="4"/>
    <n v="1"/>
    <n v="60000"/>
    <n v="0"/>
    <n v="36000"/>
    <n v="60000"/>
    <x v="889"/>
    <x v="11"/>
    <x v="0"/>
    <n v="4"/>
    <x v="11"/>
    <n v="0.4"/>
  </r>
  <r>
    <s v="ID-2023-00588"/>
    <d v="2023-05-14T00:00:00"/>
    <s v="ST-004"/>
    <x v="2"/>
    <s v="CUST-136"/>
    <x v="1"/>
    <s v="PRD-020"/>
    <x v="17"/>
    <x v="4"/>
    <n v="1"/>
    <n v="89000"/>
    <n v="0"/>
    <n v="54000"/>
    <n v="89000"/>
    <x v="890"/>
    <x v="3"/>
    <x v="0"/>
    <n v="5"/>
    <x v="18"/>
    <n v="0.39325842696629215"/>
  </r>
  <r>
    <s v="ID-2023-00534"/>
    <d v="2023-05-21T00:00:00"/>
    <s v="ST-001"/>
    <x v="0"/>
    <s v="CUST-114"/>
    <x v="1"/>
    <s v="PRD-020"/>
    <x v="17"/>
    <x v="4"/>
    <n v="1"/>
    <n v="61000"/>
    <n v="0.05"/>
    <n v="36000"/>
    <n v="57950"/>
    <x v="891"/>
    <x v="3"/>
    <x v="0"/>
    <n v="5"/>
    <x v="14"/>
    <n v="0.37877480586712681"/>
  </r>
  <r>
    <s v="ID-2023-00462"/>
    <d v="2023-05-23T00:00:00"/>
    <s v="ST-003"/>
    <x v="4"/>
    <s v="CUST-044"/>
    <x v="2"/>
    <s v="PRD-020"/>
    <x v="17"/>
    <x v="4"/>
    <n v="1"/>
    <n v="95000"/>
    <n v="0"/>
    <n v="57000"/>
    <n v="95000"/>
    <x v="570"/>
    <x v="3"/>
    <x v="0"/>
    <n v="5"/>
    <x v="11"/>
    <n v="0.4"/>
  </r>
  <r>
    <s v="ID-2023-00384"/>
    <d v="2023-06-21T00:00:00"/>
    <s v="ST-001"/>
    <x v="0"/>
    <s v="CUST-019"/>
    <x v="0"/>
    <s v="PRD-020"/>
    <x v="17"/>
    <x v="4"/>
    <n v="1"/>
    <n v="61000"/>
    <n v="0"/>
    <n v="37000"/>
    <n v="61000"/>
    <x v="889"/>
    <x v="4"/>
    <x v="0"/>
    <n v="6"/>
    <x v="14"/>
    <n v="0.39344262295081966"/>
  </r>
  <r>
    <s v="ID-2023-01506"/>
    <d v="2023-06-25T00:00:00"/>
    <s v="ST-004"/>
    <x v="2"/>
    <s v="CUST-039"/>
    <x v="0"/>
    <s v="PRD-020"/>
    <x v="17"/>
    <x v="4"/>
    <n v="1"/>
    <n v="65000"/>
    <n v="0"/>
    <n v="39000"/>
    <n v="65000"/>
    <x v="887"/>
    <x v="4"/>
    <x v="0"/>
    <n v="6"/>
    <x v="12"/>
    <n v="0.4"/>
  </r>
  <r>
    <s v="ID-2023-00174"/>
    <d v="2023-06-26T00:00:00"/>
    <s v="ST-005"/>
    <x v="1"/>
    <s v="CUST-013"/>
    <x v="1"/>
    <s v="PRD-020"/>
    <x v="17"/>
    <x v="4"/>
    <n v="1"/>
    <n v="72384.61538461539"/>
    <n v="0"/>
    <n v="0"/>
    <n v="72384.61538461539"/>
    <x v="892"/>
    <x v="4"/>
    <x v="0"/>
    <n v="6"/>
    <x v="6"/>
    <n v="1"/>
  </r>
  <r>
    <s v="ID-2023-01298"/>
    <d v="2023-06-30T00:00:00"/>
    <s v="ST-005"/>
    <x v="1"/>
    <s v="CUST-144"/>
    <x v="1"/>
    <s v="PRD-020"/>
    <x v="17"/>
    <x v="4"/>
    <n v="1"/>
    <n v="78000"/>
    <n v="0"/>
    <n v="47000"/>
    <n v="78000"/>
    <x v="562"/>
    <x v="4"/>
    <x v="0"/>
    <n v="6"/>
    <x v="15"/>
    <n v="0.39743589743589741"/>
  </r>
  <r>
    <s v="ID-2023-00091"/>
    <d v="2023-07-14T00:00:00"/>
    <s v="ST-003"/>
    <x v="4"/>
    <s v="CUST-098"/>
    <x v="0"/>
    <s v="PRD-020"/>
    <x v="17"/>
    <x v="4"/>
    <n v="2"/>
    <n v="92000"/>
    <n v="0"/>
    <n v="56000"/>
    <n v="184000"/>
    <x v="31"/>
    <x v="5"/>
    <x v="0"/>
    <n v="7"/>
    <x v="18"/>
    <n v="0.69565217391304346"/>
  </r>
  <r>
    <s v="ID-2023-01480"/>
    <d v="2023-07-27T00:00:00"/>
    <s v="ST-001"/>
    <x v="0"/>
    <s v="CUST-083"/>
    <x v="1"/>
    <s v="PRD-020"/>
    <x v="17"/>
    <x v="4"/>
    <n v="1"/>
    <n v="81000"/>
    <n v="0"/>
    <n v="49000"/>
    <n v="81000"/>
    <x v="893"/>
    <x v="5"/>
    <x v="0"/>
    <n v="7"/>
    <x v="24"/>
    <n v="0.39506172839506171"/>
  </r>
  <r>
    <s v="ID-2023-00041"/>
    <d v="2023-08-13T00:00:00"/>
    <s v="ST-001"/>
    <x v="0"/>
    <s v="CUST-077"/>
    <x v="2"/>
    <s v="PRD-020"/>
    <x v="17"/>
    <x v="4"/>
    <n v="1"/>
    <n v="86000"/>
    <n v="0.05"/>
    <n v="53000"/>
    <n v="81700"/>
    <x v="894"/>
    <x v="6"/>
    <x v="0"/>
    <n v="8"/>
    <x v="23"/>
    <n v="0.35128518971848227"/>
  </r>
  <r>
    <s v="ID-2023-01173"/>
    <d v="2023-09-08T00:00:00"/>
    <s v="ST-001"/>
    <x v="0"/>
    <s v="CUST-084"/>
    <x v="1"/>
    <s v="PRD-020"/>
    <x v="17"/>
    <x v="4"/>
    <n v="1"/>
    <n v="70000"/>
    <n v="0.15"/>
    <n v="43000"/>
    <n v="59500"/>
    <x v="895"/>
    <x v="7"/>
    <x v="0"/>
    <n v="9"/>
    <x v="27"/>
    <n v="0.27731092436974791"/>
  </r>
  <r>
    <s v="ID-2023-01369"/>
    <d v="2023-09-29T00:00:00"/>
    <s v="ST-002"/>
    <x v="3"/>
    <s v="CUST-124"/>
    <x v="1"/>
    <s v="PRD-020"/>
    <x v="17"/>
    <x v="4"/>
    <n v="1"/>
    <n v="92000"/>
    <n v="0.1"/>
    <n v="53000"/>
    <n v="82800"/>
    <x v="896"/>
    <x v="7"/>
    <x v="0"/>
    <n v="9"/>
    <x v="7"/>
    <n v="0.35990338164251207"/>
  </r>
  <r>
    <s v="ID-2023-01536"/>
    <d v="2023-11-06T00:00:00"/>
    <s v="ST-001"/>
    <x v="0"/>
    <s v="CUST-016"/>
    <x v="1"/>
    <s v="PRD-020"/>
    <x v="17"/>
    <x v="4"/>
    <n v="1"/>
    <n v="49000"/>
    <n v="0"/>
    <n v="29000"/>
    <n v="49000"/>
    <x v="897"/>
    <x v="9"/>
    <x v="0"/>
    <n v="11"/>
    <x v="29"/>
    <n v="0.40816326530612246"/>
  </r>
  <r>
    <s v="ID-2023-00776"/>
    <d v="2023-11-10T00:00:00"/>
    <s v="ST-005"/>
    <x v="1"/>
    <s v="CUST-138"/>
    <x v="2"/>
    <s v="PRD-020"/>
    <x v="17"/>
    <x v="4"/>
    <n v="3"/>
    <n v="94000"/>
    <n v="0"/>
    <n v="58000"/>
    <n v="282000"/>
    <x v="595"/>
    <x v="9"/>
    <x v="0"/>
    <n v="11"/>
    <x v="13"/>
    <n v="0.79432624113475181"/>
  </r>
  <r>
    <s v="ID-2023-00985"/>
    <d v="2023-11-15T00:00:00"/>
    <s v="ST-001"/>
    <x v="0"/>
    <s v="CUST-127"/>
    <x v="1"/>
    <s v="PRD-020"/>
    <x v="17"/>
    <x v="4"/>
    <n v="3"/>
    <n v="66000"/>
    <n v="0"/>
    <n v="39000"/>
    <n v="198000"/>
    <x v="231"/>
    <x v="9"/>
    <x v="0"/>
    <n v="11"/>
    <x v="19"/>
    <n v="0.80303030303030298"/>
  </r>
  <r>
    <s v="ID-2023-01723"/>
    <d v="2023-12-11T00:00:00"/>
    <s v="ST-001"/>
    <x v="0"/>
    <s v="CUST-109"/>
    <x v="1"/>
    <s v="PRD-020"/>
    <x v="17"/>
    <x v="4"/>
    <n v="1"/>
    <n v="48000"/>
    <n v="0"/>
    <n v="29000"/>
    <n v="48000"/>
    <x v="898"/>
    <x v="10"/>
    <x v="0"/>
    <n v="12"/>
    <x v="22"/>
    <n v="0.39583333333333331"/>
  </r>
  <r>
    <s v="ID-2023-00053"/>
    <d v="2023-12-20T00:00:00"/>
    <s v="ST-001"/>
    <x v="0"/>
    <s v="CUST-116"/>
    <x v="1"/>
    <s v="PRD-020"/>
    <x v="17"/>
    <x v="4"/>
    <n v="1"/>
    <n v="49000"/>
    <n v="0"/>
    <n v="29000"/>
    <n v="49000"/>
    <x v="897"/>
    <x v="10"/>
    <x v="0"/>
    <n v="12"/>
    <x v="30"/>
    <n v="0.40816326530612246"/>
  </r>
  <r>
    <s v="ID-2023-00913"/>
    <d v="2023-12-24T00:00:00"/>
    <s v="ST-005"/>
    <x v="1"/>
    <s v="CUST-099"/>
    <x v="1"/>
    <s v="PRD-020"/>
    <x v="17"/>
    <x v="4"/>
    <n v="1"/>
    <n v="50000"/>
    <n v="0"/>
    <n v="31000"/>
    <n v="50000"/>
    <x v="898"/>
    <x v="10"/>
    <x v="0"/>
    <n v="12"/>
    <x v="25"/>
    <n v="0.38"/>
  </r>
  <r>
    <s v="ID-2023-00514"/>
    <d v="2023-12-26T00:00:00"/>
    <s v="ST-002"/>
    <x v="3"/>
    <s v="CUST-097"/>
    <x v="0"/>
    <s v="PRD-020"/>
    <x v="17"/>
    <x v="4"/>
    <n v="1"/>
    <n v="72384.61538461539"/>
    <n v="0"/>
    <n v="42000"/>
    <n v="72384.61538461539"/>
    <x v="899"/>
    <x v="10"/>
    <x v="0"/>
    <n v="12"/>
    <x v="6"/>
    <n v="0.41976620616365573"/>
  </r>
  <r>
    <s v="ID-2023-01619"/>
    <d v="2023-12-30T00:00:00"/>
    <s v="ST-003"/>
    <x v="4"/>
    <s v="CUST-104"/>
    <x v="0"/>
    <s v="PRD-020"/>
    <x v="17"/>
    <x v="4"/>
    <n v="1"/>
    <n v="89000"/>
    <n v="0"/>
    <n v="52000"/>
    <n v="89000"/>
    <x v="900"/>
    <x v="10"/>
    <x v="0"/>
    <n v="12"/>
    <x v="15"/>
    <n v="0.4157303370786517"/>
  </r>
  <r>
    <s v="ID-2024-00065"/>
    <d v="2024-02-05T00:00:00"/>
    <s v="ST-002"/>
    <x v="3"/>
    <s v="CUST-148"/>
    <x v="0"/>
    <s v="PRD-020"/>
    <x v="17"/>
    <x v="4"/>
    <n v="1"/>
    <n v="54000"/>
    <n v="0"/>
    <n v="33000"/>
    <n v="54000"/>
    <x v="901"/>
    <x v="1"/>
    <x v="1"/>
    <n v="2"/>
    <x v="21"/>
    <n v="0.3888888888888889"/>
  </r>
  <r>
    <s v="ID-2024-00037"/>
    <d v="2024-03-01T00:00:00"/>
    <s v="ST-001"/>
    <x v="0"/>
    <s v="CUST-107"/>
    <x v="0"/>
    <s v="PRD-020"/>
    <x v="17"/>
    <x v="4"/>
    <n v="1"/>
    <n v="87000"/>
    <n v="0"/>
    <n v="51000"/>
    <n v="87000"/>
    <x v="902"/>
    <x v="2"/>
    <x v="1"/>
    <n v="3"/>
    <x v="0"/>
    <n v="0.41379310344827586"/>
  </r>
  <r>
    <s v="ID-2024-00596"/>
    <d v="2024-03-22T00:00:00"/>
    <s v="ST-004"/>
    <x v="2"/>
    <s v="CUST-107"/>
    <x v="0"/>
    <s v="PRD-020"/>
    <x v="17"/>
    <x v="4"/>
    <n v="1"/>
    <n v="51000"/>
    <n v="0"/>
    <n v="31000"/>
    <n v="51000"/>
    <x v="897"/>
    <x v="2"/>
    <x v="1"/>
    <n v="3"/>
    <x v="16"/>
    <n v="0.39215686274509803"/>
  </r>
  <r>
    <s v="ID-2024-01363"/>
    <d v="2024-04-10T00:00:00"/>
    <s v="ST-002"/>
    <x v="3"/>
    <s v="CUST-082"/>
    <x v="0"/>
    <s v="PRD-020"/>
    <x v="17"/>
    <x v="4"/>
    <n v="1"/>
    <n v="52000"/>
    <n v="0"/>
    <n v="32000"/>
    <n v="52000"/>
    <x v="897"/>
    <x v="11"/>
    <x v="1"/>
    <n v="4"/>
    <x v="13"/>
    <n v="0.38461538461538464"/>
  </r>
  <r>
    <s v="ID-2024-00223"/>
    <d v="2024-05-03T00:00:00"/>
    <s v="ST-003"/>
    <x v="4"/>
    <s v="CUST-034"/>
    <x v="2"/>
    <s v="PRD-020"/>
    <x v="17"/>
    <x v="4"/>
    <n v="5"/>
    <n v="91000"/>
    <n v="0"/>
    <n v="56000"/>
    <n v="455000"/>
    <x v="812"/>
    <x v="3"/>
    <x v="1"/>
    <n v="5"/>
    <x v="8"/>
    <n v="0.87692307692307692"/>
  </r>
  <r>
    <s v="ID-2024-00852"/>
    <d v="2024-06-21T00:00:00"/>
    <s v="ST-001"/>
    <x v="0"/>
    <s v="CUST-006"/>
    <x v="1"/>
    <s v="PRD-020"/>
    <x v="17"/>
    <x v="4"/>
    <n v="1"/>
    <n v="92000"/>
    <n v="0"/>
    <n v="55000"/>
    <n v="92000"/>
    <x v="900"/>
    <x v="4"/>
    <x v="1"/>
    <n v="6"/>
    <x v="14"/>
    <n v="0.40217391304347827"/>
  </r>
  <r>
    <s v="ID-2024-01519"/>
    <d v="2024-08-24T00:00:00"/>
    <s v="ST-002"/>
    <x v="3"/>
    <s v="CUST-103"/>
    <x v="1"/>
    <s v="PRD-020"/>
    <x v="17"/>
    <x v="4"/>
    <n v="2"/>
    <n v="50000"/>
    <n v="0"/>
    <n v="29000"/>
    <n v="100000"/>
    <x v="903"/>
    <x v="6"/>
    <x v="1"/>
    <n v="8"/>
    <x v="25"/>
    <n v="0.71"/>
  </r>
  <r>
    <s v="ID-2024-00815"/>
    <d v="2024-08-24T00:00:00"/>
    <s v="ST-002"/>
    <x v="3"/>
    <s v="CUST-068"/>
    <x v="1"/>
    <s v="PRD-020"/>
    <x v="17"/>
    <x v="4"/>
    <n v="1"/>
    <n v="55000"/>
    <n v="0.15"/>
    <n v="33000"/>
    <n v="46750"/>
    <x v="904"/>
    <x v="6"/>
    <x v="1"/>
    <n v="8"/>
    <x v="25"/>
    <n v="0.29411764705882354"/>
  </r>
  <r>
    <s v="ID-2024-00977"/>
    <d v="2024-09-03T00:00:00"/>
    <s v="ST-001"/>
    <x v="0"/>
    <s v="CUST-063"/>
    <x v="1"/>
    <s v="PRD-020"/>
    <x v="17"/>
    <x v="4"/>
    <n v="1"/>
    <n v="52000"/>
    <n v="0"/>
    <n v="31000"/>
    <n v="52000"/>
    <x v="901"/>
    <x v="7"/>
    <x v="1"/>
    <n v="9"/>
    <x v="8"/>
    <n v="0.40384615384615385"/>
  </r>
  <r>
    <s v="ID-2024-00574"/>
    <d v="2024-09-04T00:00:00"/>
    <s v="ST-005"/>
    <x v="1"/>
    <s v="CUST-109"/>
    <x v="1"/>
    <s v="PRD-020"/>
    <x v="17"/>
    <x v="4"/>
    <n v="1"/>
    <n v="95000"/>
    <n v="0"/>
    <n v="57000"/>
    <n v="95000"/>
    <x v="570"/>
    <x v="7"/>
    <x v="1"/>
    <n v="9"/>
    <x v="20"/>
    <n v="0.4"/>
  </r>
  <r>
    <s v="ID-2024-00293"/>
    <d v="2024-09-05T00:00:00"/>
    <s v="ST-001"/>
    <x v="0"/>
    <s v="CUST-045"/>
    <x v="1"/>
    <s v="PRD-020"/>
    <x v="17"/>
    <x v="4"/>
    <n v="1"/>
    <n v="92000"/>
    <n v="0.15"/>
    <n v="55000"/>
    <n v="78200"/>
    <x v="905"/>
    <x v="7"/>
    <x v="1"/>
    <n v="9"/>
    <x v="21"/>
    <n v="0.29667519181585678"/>
  </r>
  <r>
    <s v="ID-2024-00608"/>
    <d v="2024-09-07T00:00:00"/>
    <s v="ST-004"/>
    <x v="2"/>
    <s v="CUST-043"/>
    <x v="1"/>
    <s v="PRD-020"/>
    <x v="17"/>
    <x v="4"/>
    <n v="1"/>
    <n v="56000"/>
    <n v="0.05"/>
    <n v="33000"/>
    <n v="53200"/>
    <x v="906"/>
    <x v="7"/>
    <x v="1"/>
    <n v="9"/>
    <x v="3"/>
    <n v="0.37969924812030076"/>
  </r>
  <r>
    <s v="ID-2024-00078"/>
    <d v="2024-10-16T00:00:00"/>
    <s v="ST-003"/>
    <x v="4"/>
    <s v="CUST-002"/>
    <x v="3"/>
    <s v="PRD-020"/>
    <x v="17"/>
    <x v="4"/>
    <n v="1"/>
    <n v="78000"/>
    <n v="0"/>
    <n v="48000"/>
    <n v="78000"/>
    <x v="589"/>
    <x v="8"/>
    <x v="1"/>
    <n v="10"/>
    <x v="5"/>
    <n v="0.38461538461538464"/>
  </r>
  <r>
    <s v="ID-2024-00753"/>
    <d v="2024-12-05T00:00:00"/>
    <s v="ST-001"/>
    <x v="0"/>
    <s v="CUST-060"/>
    <x v="1"/>
    <s v="PRD-020"/>
    <x v="17"/>
    <x v="4"/>
    <n v="3"/>
    <n v="77000"/>
    <n v="0.15"/>
    <n v="45000"/>
    <n v="196350"/>
    <x v="907"/>
    <x v="10"/>
    <x v="1"/>
    <n v="12"/>
    <x v="21"/>
    <n v="0.77081741787624136"/>
  </r>
  <r>
    <s v="ID-2025-00830"/>
    <d v="2025-01-17T00:00:00"/>
    <s v="ST-001"/>
    <x v="0"/>
    <s v="CUST-033"/>
    <x v="1"/>
    <s v="PRD-020"/>
    <x v="17"/>
    <x v="4"/>
    <n v="1"/>
    <n v="68000"/>
    <n v="0"/>
    <n v="41000"/>
    <n v="68000"/>
    <x v="908"/>
    <x v="0"/>
    <x v="2"/>
    <n v="1"/>
    <x v="2"/>
    <n v="0.39705882352941174"/>
  </r>
  <r>
    <s v="ID-2025-01230"/>
    <d v="2025-02-14T00:00:00"/>
    <s v="ST-005"/>
    <x v="1"/>
    <s v="CUST-119"/>
    <x v="1"/>
    <s v="PRD-020"/>
    <x v="17"/>
    <x v="4"/>
    <n v="1"/>
    <n v="50000"/>
    <n v="0"/>
    <n v="31000"/>
    <n v="50000"/>
    <x v="898"/>
    <x v="1"/>
    <x v="2"/>
    <n v="2"/>
    <x v="18"/>
    <n v="0.38"/>
  </r>
  <r>
    <s v="ID-2025-01393"/>
    <d v="2025-04-06T00:00:00"/>
    <s v="ST-003"/>
    <x v="4"/>
    <s v="CUST-039"/>
    <x v="0"/>
    <s v="PRD-020"/>
    <x v="17"/>
    <x v="4"/>
    <n v="1"/>
    <n v="100000"/>
    <n v="0"/>
    <n v="59000"/>
    <n v="100000"/>
    <x v="588"/>
    <x v="11"/>
    <x v="2"/>
    <n v="4"/>
    <x v="29"/>
    <n v="0.41"/>
  </r>
  <r>
    <s v="ID-2025-00686"/>
    <d v="2025-04-11T00:00:00"/>
    <s v="ST-003"/>
    <x v="4"/>
    <s v="CUST-081"/>
    <x v="1"/>
    <s v="PRD-020"/>
    <x v="17"/>
    <x v="4"/>
    <n v="2"/>
    <n v="67000"/>
    <n v="0"/>
    <n v="41000"/>
    <n v="134000"/>
    <x v="148"/>
    <x v="11"/>
    <x v="2"/>
    <n v="4"/>
    <x v="22"/>
    <n v="0.69402985074626866"/>
  </r>
  <r>
    <s v="ID-2025-00825"/>
    <d v="2025-04-16T00:00:00"/>
    <s v="ST-002"/>
    <x v="3"/>
    <s v="CUST-072"/>
    <x v="1"/>
    <s v="PRD-020"/>
    <x v="17"/>
    <x v="4"/>
    <n v="1"/>
    <n v="55000"/>
    <n v="0"/>
    <n v="33000"/>
    <n v="55000"/>
    <x v="909"/>
    <x v="11"/>
    <x v="2"/>
    <n v="4"/>
    <x v="5"/>
    <n v="0.4"/>
  </r>
  <r>
    <s v="ID-2025-00195"/>
    <d v="2025-04-24T00:00:00"/>
    <s v="ST-001"/>
    <x v="0"/>
    <s v="CUST-035"/>
    <x v="3"/>
    <s v="PRD-020"/>
    <x v="17"/>
    <x v="4"/>
    <n v="1"/>
    <n v="86000"/>
    <n v="0"/>
    <n v="50000"/>
    <n v="86000"/>
    <x v="902"/>
    <x v="11"/>
    <x v="2"/>
    <n v="4"/>
    <x v="25"/>
    <n v="0.41860465116279072"/>
  </r>
  <r>
    <s v="ID-2025-01545"/>
    <d v="2025-05-01T00:00:00"/>
    <s v="ST-001"/>
    <x v="0"/>
    <s v="CUST-029"/>
    <x v="0"/>
    <s v="PRD-020"/>
    <x v="17"/>
    <x v="4"/>
    <n v="1"/>
    <n v="68000"/>
    <n v="0.1"/>
    <n v="40000"/>
    <n v="61200"/>
    <x v="910"/>
    <x v="3"/>
    <x v="2"/>
    <n v="5"/>
    <x v="0"/>
    <n v="0.34640522875816993"/>
  </r>
  <r>
    <s v="ID-2025-00044"/>
    <d v="2025-05-16T00:00:00"/>
    <s v="ST-003"/>
    <x v="4"/>
    <s v="CUST-100"/>
    <x v="1"/>
    <s v="PRD-020"/>
    <x v="17"/>
    <x v="4"/>
    <n v="1"/>
    <n v="86000"/>
    <n v="0"/>
    <n v="53000"/>
    <n v="86000"/>
    <x v="555"/>
    <x v="3"/>
    <x v="2"/>
    <n v="5"/>
    <x v="5"/>
    <n v="0.38372093023255816"/>
  </r>
  <r>
    <s v="ID-2025-01345"/>
    <d v="2025-05-24T00:00:00"/>
    <s v="ST-002"/>
    <x v="3"/>
    <s v="CUST-129"/>
    <x v="1"/>
    <s v="PRD-020"/>
    <x v="17"/>
    <x v="4"/>
    <n v="3"/>
    <n v="54000"/>
    <n v="0"/>
    <n v="33000"/>
    <n v="162000"/>
    <x v="33"/>
    <x v="3"/>
    <x v="2"/>
    <n v="5"/>
    <x v="25"/>
    <n v="0.79629629629629628"/>
  </r>
  <r>
    <s v="ID-2025-01359"/>
    <d v="2025-05-27T00:00:00"/>
    <s v="ST-001"/>
    <x v="0"/>
    <s v="CUST-096"/>
    <x v="0"/>
    <s v="PRD-020"/>
    <x v="17"/>
    <x v="4"/>
    <n v="1"/>
    <n v="64000"/>
    <n v="0"/>
    <n v="40000"/>
    <n v="64000"/>
    <x v="889"/>
    <x v="3"/>
    <x v="2"/>
    <n v="5"/>
    <x v="24"/>
    <n v="0.375"/>
  </r>
  <r>
    <s v="ID-2025-00148"/>
    <d v="2025-06-08T00:00:00"/>
    <s v="ST-001"/>
    <x v="0"/>
    <s v="CUST-123"/>
    <x v="1"/>
    <s v="PRD-020"/>
    <x v="17"/>
    <x v="4"/>
    <n v="1"/>
    <n v="100000"/>
    <n v="0.05"/>
    <n v="59000"/>
    <n v="95000"/>
    <x v="902"/>
    <x v="4"/>
    <x v="2"/>
    <n v="6"/>
    <x v="27"/>
    <n v="0.37894736842105264"/>
  </r>
  <r>
    <s v="ID-2025-01336"/>
    <d v="2025-06-18T00:00:00"/>
    <s v="ST-003"/>
    <x v="4"/>
    <s v="CUST-038"/>
    <x v="1"/>
    <s v="PRD-020"/>
    <x v="17"/>
    <x v="4"/>
    <n v="1"/>
    <n v="83000"/>
    <n v="0"/>
    <n v="50000"/>
    <n v="83000"/>
    <x v="555"/>
    <x v="4"/>
    <x v="2"/>
    <n v="6"/>
    <x v="9"/>
    <n v="0.39759036144578314"/>
  </r>
  <r>
    <s v="ID-2025-00022"/>
    <d v="2025-07-06T00:00:00"/>
    <s v="ST-001"/>
    <x v="0"/>
    <s v="CUST-093"/>
    <x v="2"/>
    <s v="PRD-020"/>
    <x v="17"/>
    <x v="4"/>
    <n v="1"/>
    <n v="53000"/>
    <n v="0"/>
    <n v="32000"/>
    <n v="53000"/>
    <x v="901"/>
    <x v="5"/>
    <x v="2"/>
    <n v="7"/>
    <x v="29"/>
    <n v="0.39622641509433965"/>
  </r>
  <r>
    <s v="ID-2025-00937"/>
    <d v="2025-07-08T00:00:00"/>
    <s v="ST-001"/>
    <x v="0"/>
    <s v="CUST-010"/>
    <x v="2"/>
    <s v="PRD-020"/>
    <x v="17"/>
    <x v="4"/>
    <n v="1"/>
    <n v="101000"/>
    <n v="0"/>
    <n v="60000"/>
    <n v="101000"/>
    <x v="588"/>
    <x v="5"/>
    <x v="2"/>
    <n v="7"/>
    <x v="27"/>
    <n v="0.40594059405940597"/>
  </r>
  <r>
    <s v="ID-2025-00505"/>
    <d v="2025-07-18T00:00:00"/>
    <s v="ST-002"/>
    <x v="3"/>
    <s v="CUST-114"/>
    <x v="1"/>
    <s v="PRD-020"/>
    <x v="17"/>
    <x v="4"/>
    <n v="1"/>
    <n v="72000"/>
    <n v="0"/>
    <n v="42000"/>
    <n v="72000"/>
    <x v="589"/>
    <x v="5"/>
    <x v="2"/>
    <n v="7"/>
    <x v="9"/>
    <n v="0.41666666666666669"/>
  </r>
  <r>
    <s v="ID-2025-01758"/>
    <d v="2025-08-01T00:00:00"/>
    <s v="ST-001"/>
    <x v="0"/>
    <s v="CUST-096"/>
    <x v="0"/>
    <s v="PRD-020"/>
    <x v="17"/>
    <x v="4"/>
    <n v="1"/>
    <n v="93000"/>
    <n v="0.1"/>
    <n v="56000"/>
    <n v="83700"/>
    <x v="911"/>
    <x v="6"/>
    <x v="2"/>
    <n v="8"/>
    <x v="0"/>
    <n v="0.33094384707287933"/>
  </r>
  <r>
    <s v="ID-2025-01614"/>
    <d v="2025-08-15T00:00:00"/>
    <s v="ST-004"/>
    <x v="2"/>
    <s v="CUST-031"/>
    <x v="0"/>
    <s v="PRD-020"/>
    <x v="17"/>
    <x v="4"/>
    <n v="3"/>
    <n v="91000"/>
    <n v="0"/>
    <n v="56000"/>
    <n v="273000"/>
    <x v="912"/>
    <x v="6"/>
    <x v="2"/>
    <n v="8"/>
    <x v="19"/>
    <n v="0.79487179487179482"/>
  </r>
  <r>
    <s v="ID-2025-01638"/>
    <d v="2025-08-29T00:00:00"/>
    <s v="ST-001"/>
    <x v="0"/>
    <s v="CUST-001"/>
    <x v="1"/>
    <s v="PRD-020"/>
    <x v="17"/>
    <x v="4"/>
    <n v="3"/>
    <n v="55000"/>
    <n v="0"/>
    <n v="33000"/>
    <n v="165000"/>
    <x v="149"/>
    <x v="6"/>
    <x v="2"/>
    <n v="8"/>
    <x v="7"/>
    <n v="0.8"/>
  </r>
  <r>
    <s v="ID-2025-01732"/>
    <d v="2025-08-29T00:00:00"/>
    <s v="ST-001"/>
    <x v="0"/>
    <s v="CUST-066"/>
    <x v="0"/>
    <s v="PRD-020"/>
    <x v="17"/>
    <x v="4"/>
    <n v="1"/>
    <n v="70000"/>
    <n v="0"/>
    <n v="42000"/>
    <n v="70000"/>
    <x v="557"/>
    <x v="6"/>
    <x v="2"/>
    <n v="8"/>
    <x v="7"/>
    <n v="0.4"/>
  </r>
  <r>
    <s v="ID-2025-01424"/>
    <d v="2025-09-05T00:00:00"/>
    <s v="ST-002"/>
    <x v="3"/>
    <s v="CUST-109"/>
    <x v="1"/>
    <s v="PRD-020"/>
    <x v="17"/>
    <x v="4"/>
    <n v="2"/>
    <n v="96000"/>
    <n v="0"/>
    <n v="59000"/>
    <n v="192000"/>
    <x v="183"/>
    <x v="7"/>
    <x v="2"/>
    <n v="9"/>
    <x v="21"/>
    <n v="0.69270833333333337"/>
  </r>
  <r>
    <s v="ID-2025-00942"/>
    <d v="2025-09-21T00:00:00"/>
    <s v="ST-001"/>
    <x v="0"/>
    <s v="CUST-127"/>
    <x v="1"/>
    <s v="PRD-020"/>
    <x v="17"/>
    <x v="4"/>
    <n v="1"/>
    <n v="74000"/>
    <n v="0.05"/>
    <n v="45000"/>
    <n v="70300"/>
    <x v="913"/>
    <x v="7"/>
    <x v="2"/>
    <n v="9"/>
    <x v="14"/>
    <n v="0.35988620199146515"/>
  </r>
  <r>
    <s v="ID-2025-01552"/>
    <d v="2025-10-28T00:00:00"/>
    <s v="ST-005"/>
    <x v="1"/>
    <s v="CUST-110"/>
    <x v="1"/>
    <s v="PRD-020"/>
    <x v="17"/>
    <x v="4"/>
    <n v="1"/>
    <n v="76000"/>
    <n v="0"/>
    <n v="45000"/>
    <n v="76000"/>
    <x v="562"/>
    <x v="8"/>
    <x v="2"/>
    <n v="10"/>
    <x v="4"/>
    <n v="0.40789473684210525"/>
  </r>
  <r>
    <s v="ID-2025-01694"/>
    <d v="2025-10-28T00:00:00"/>
    <s v="ST-001"/>
    <x v="0"/>
    <s v="CUST-018"/>
    <x v="0"/>
    <s v="PRD-020"/>
    <x v="17"/>
    <x v="4"/>
    <n v="1"/>
    <n v="57000"/>
    <n v="0"/>
    <n v="34000"/>
    <n v="57000"/>
    <x v="914"/>
    <x v="8"/>
    <x v="2"/>
    <n v="10"/>
    <x v="4"/>
    <n v="0.40350877192982454"/>
  </r>
  <r>
    <s v="ID-2025-00798"/>
    <d v="2025-12-29T00:00:00"/>
    <s v="ST-001"/>
    <x v="0"/>
    <s v="CUST-057"/>
    <x v="1"/>
    <s v="PRD-020"/>
    <x v="17"/>
    <x v="4"/>
    <n v="1"/>
    <n v="72384.61538461539"/>
    <n v="0"/>
    <n v="42000"/>
    <n v="72384.61538461539"/>
    <x v="899"/>
    <x v="10"/>
    <x v="2"/>
    <n v="12"/>
    <x v="7"/>
    <n v="0.41976620616365573"/>
  </r>
  <r>
    <s v="ID-2026-00177"/>
    <d v="2026-02-02T00:00:00"/>
    <s v="ST-003"/>
    <x v="4"/>
    <s v="CUST-051"/>
    <x v="3"/>
    <s v="PRD-020"/>
    <x v="17"/>
    <x v="4"/>
    <n v="1"/>
    <n v="68000"/>
    <n v="0"/>
    <n v="41000"/>
    <n v="68000"/>
    <x v="908"/>
    <x v="1"/>
    <x v="3"/>
    <n v="2"/>
    <x v="17"/>
    <n v="0.39705882352941174"/>
  </r>
  <r>
    <s v="ID-2026-00902"/>
    <d v="2026-02-04T00:00:00"/>
    <s v="ST-001"/>
    <x v="0"/>
    <s v="CUST-127"/>
    <x v="1"/>
    <s v="PRD-020"/>
    <x v="17"/>
    <x v="4"/>
    <n v="1"/>
    <n v="54000"/>
    <n v="0"/>
    <n v="32000"/>
    <n v="54000"/>
    <x v="909"/>
    <x v="1"/>
    <x v="3"/>
    <n v="2"/>
    <x v="20"/>
    <n v="0.40740740740740738"/>
  </r>
  <r>
    <s v="ID-2026-00079"/>
    <d v="2026-02-04T00:00:00"/>
    <s v="ST-001"/>
    <x v="0"/>
    <s v="CUST-099"/>
    <x v="1"/>
    <s v="PRD-020"/>
    <x v="17"/>
    <x v="4"/>
    <n v="3"/>
    <n v="71000"/>
    <n v="0"/>
    <n v="43000"/>
    <n v="213000"/>
    <x v="817"/>
    <x v="1"/>
    <x v="3"/>
    <n v="2"/>
    <x v="20"/>
    <n v="0.7981220657276995"/>
  </r>
  <r>
    <s v="ID-2026-00265"/>
    <d v="2026-03-06T00:00:00"/>
    <s v="ST-003"/>
    <x v="4"/>
    <s v="CUST-080"/>
    <x v="1"/>
    <s v="PRD-020"/>
    <x v="17"/>
    <x v="4"/>
    <n v="1"/>
    <n v="90000"/>
    <n v="0"/>
    <n v="52000"/>
    <n v="90000"/>
    <x v="570"/>
    <x v="2"/>
    <x v="3"/>
    <n v="3"/>
    <x v="29"/>
    <n v="0.42222222222222222"/>
  </r>
  <r>
    <s v="ID-2026-01782"/>
    <d v="2026-03-25T00:00:00"/>
    <s v="ST-001"/>
    <x v="0"/>
    <s v="CUST-082"/>
    <x v="0"/>
    <s v="PRD-020"/>
    <x v="17"/>
    <x v="4"/>
    <n v="1"/>
    <n v="77000"/>
    <n v="0.15"/>
    <n v="46000"/>
    <n v="65450"/>
    <x v="915"/>
    <x v="2"/>
    <x v="3"/>
    <n v="3"/>
    <x v="12"/>
    <n v="0.29717341482047366"/>
  </r>
  <r>
    <s v="ID-2026-01273"/>
    <d v="2026-04-12T00:00:00"/>
    <s v="ST-001"/>
    <x v="0"/>
    <s v="CUST-137"/>
    <x v="0"/>
    <s v="PRD-020"/>
    <x v="17"/>
    <x v="4"/>
    <n v="1"/>
    <n v="72384.61538461539"/>
    <n v="0"/>
    <n v="0"/>
    <n v="72384.61538461539"/>
    <x v="892"/>
    <x v="11"/>
    <x v="3"/>
    <n v="4"/>
    <x v="10"/>
    <n v="1"/>
  </r>
  <r>
    <s v="ID-2026-00793"/>
    <d v="2026-05-10T00:00:00"/>
    <s v="ST-001"/>
    <x v="0"/>
    <s v="CUST-053"/>
    <x v="2"/>
    <s v="PRD-020"/>
    <x v="17"/>
    <x v="4"/>
    <n v="1"/>
    <n v="57000"/>
    <n v="0"/>
    <n v="35000"/>
    <n v="57000"/>
    <x v="909"/>
    <x v="3"/>
    <x v="3"/>
    <n v="5"/>
    <x v="13"/>
    <n v="0.38596491228070173"/>
  </r>
  <r>
    <s v="ID-2023-00774"/>
    <d v="2023-01-25T00:00:00"/>
    <s v="ST-002"/>
    <x v="3"/>
    <s v="CUST-019"/>
    <x v="0"/>
    <s v="PRD-019"/>
    <x v="18"/>
    <x v="4"/>
    <n v="1"/>
    <n v="95000"/>
    <n v="0"/>
    <n v="62000"/>
    <n v="95000"/>
    <x v="555"/>
    <x v="0"/>
    <x v="0"/>
    <n v="1"/>
    <x v="12"/>
    <n v="0.3473684210526316"/>
  </r>
  <r>
    <s v="ID-2023-00343"/>
    <d v="2023-02-11T00:00:00"/>
    <s v="ST-002"/>
    <x v="3"/>
    <s v="CUST-124"/>
    <x v="1"/>
    <s v="PRD-019"/>
    <x v="18"/>
    <x v="4"/>
    <n v="1"/>
    <n v="112000"/>
    <n v="0"/>
    <n v="73000"/>
    <n v="112000"/>
    <x v="565"/>
    <x v="1"/>
    <x v="0"/>
    <n v="2"/>
    <x v="22"/>
    <n v="0.3482142857142857"/>
  </r>
  <r>
    <s v="ID-2023-00537"/>
    <d v="2023-02-23T00:00:00"/>
    <s v="ST-002"/>
    <x v="3"/>
    <s v="CUST-021"/>
    <x v="0"/>
    <s v="PRD-019"/>
    <x v="18"/>
    <x v="4"/>
    <n v="2"/>
    <n v="73000"/>
    <n v="0"/>
    <n v="46000"/>
    <n v="146000"/>
    <x v="13"/>
    <x v="1"/>
    <x v="0"/>
    <n v="2"/>
    <x v="11"/>
    <n v="0.68493150684931503"/>
  </r>
  <r>
    <s v="ID-2023-01715"/>
    <d v="2023-04-04T00:00:00"/>
    <s v="ST-005"/>
    <x v="1"/>
    <s v="CUST-068"/>
    <x v="1"/>
    <s v="PRD-019"/>
    <x v="18"/>
    <x v="4"/>
    <n v="1"/>
    <n v="118000"/>
    <n v="0"/>
    <n v="79000"/>
    <n v="118000"/>
    <x v="565"/>
    <x v="11"/>
    <x v="0"/>
    <n v="4"/>
    <x v="20"/>
    <n v="0.33050847457627119"/>
  </r>
  <r>
    <s v="ID-2023-00563"/>
    <d v="2023-04-13T00:00:00"/>
    <s v="ST-004"/>
    <x v="2"/>
    <s v="CUST-116"/>
    <x v="1"/>
    <s v="PRD-019"/>
    <x v="18"/>
    <x v="4"/>
    <n v="2"/>
    <n v="67000"/>
    <n v="0"/>
    <n v="43000"/>
    <n v="134000"/>
    <x v="45"/>
    <x v="11"/>
    <x v="0"/>
    <n v="4"/>
    <x v="23"/>
    <n v="0.67910447761194026"/>
  </r>
  <r>
    <s v="ID-2023-00452"/>
    <d v="2023-04-17T00:00:00"/>
    <s v="ST-001"/>
    <x v="0"/>
    <s v="CUST-103"/>
    <x v="1"/>
    <s v="PRD-019"/>
    <x v="18"/>
    <x v="4"/>
    <n v="1"/>
    <n v="104000"/>
    <n v="0"/>
    <n v="66000"/>
    <n v="104000"/>
    <x v="570"/>
    <x v="11"/>
    <x v="0"/>
    <n v="4"/>
    <x v="2"/>
    <n v="0.36538461538461536"/>
  </r>
  <r>
    <s v="ID-2023-00129"/>
    <d v="2023-04-18T00:00:00"/>
    <s v="ST-001"/>
    <x v="0"/>
    <s v="CUST-090"/>
    <x v="0"/>
    <s v="PRD-019"/>
    <x v="18"/>
    <x v="4"/>
    <n v="1"/>
    <n v="66000"/>
    <n v="0"/>
    <n v="42000"/>
    <n v="66000"/>
    <x v="889"/>
    <x v="11"/>
    <x v="0"/>
    <n v="4"/>
    <x v="9"/>
    <n v="0.36363636363636365"/>
  </r>
  <r>
    <s v="ID-2023-01735"/>
    <d v="2023-04-23T00:00:00"/>
    <s v="ST-004"/>
    <x v="2"/>
    <s v="CUST-104"/>
    <x v="0"/>
    <s v="PRD-019"/>
    <x v="18"/>
    <x v="4"/>
    <n v="2"/>
    <n v="51000"/>
    <n v="0"/>
    <n v="34000"/>
    <n v="102000"/>
    <x v="525"/>
    <x v="11"/>
    <x v="0"/>
    <n v="4"/>
    <x v="11"/>
    <n v="0.66666666666666663"/>
  </r>
  <r>
    <s v="ID-2023-01461"/>
    <d v="2023-04-26T00:00:00"/>
    <s v="ST-004"/>
    <x v="2"/>
    <s v="CUST-085"/>
    <x v="1"/>
    <s v="PRD-019"/>
    <x v="18"/>
    <x v="4"/>
    <n v="2"/>
    <n v="102000"/>
    <n v="0"/>
    <n v="68000"/>
    <n v="204000"/>
    <x v="199"/>
    <x v="11"/>
    <x v="0"/>
    <n v="4"/>
    <x v="6"/>
    <n v="0.66666666666666663"/>
  </r>
  <r>
    <s v="ID-2023-01349"/>
    <d v="2023-06-23T00:00:00"/>
    <s v="ST-003"/>
    <x v="4"/>
    <s v="CUST-141"/>
    <x v="3"/>
    <s v="PRD-019"/>
    <x v="18"/>
    <x v="4"/>
    <n v="3"/>
    <n v="107000"/>
    <n v="0"/>
    <n v="70000"/>
    <n v="321000"/>
    <x v="834"/>
    <x v="4"/>
    <x v="0"/>
    <n v="6"/>
    <x v="11"/>
    <n v="0.7819314641744548"/>
  </r>
  <r>
    <s v="ID-2023-01698"/>
    <d v="2023-07-02T00:00:00"/>
    <s v="ST-003"/>
    <x v="4"/>
    <s v="CUST-083"/>
    <x v="1"/>
    <s v="PRD-019"/>
    <x v="18"/>
    <x v="4"/>
    <n v="1"/>
    <n v="147000"/>
    <n v="0.05"/>
    <n v="93000"/>
    <n v="139650"/>
    <x v="916"/>
    <x v="5"/>
    <x v="0"/>
    <n v="7"/>
    <x v="17"/>
    <n v="0.33404940923737914"/>
  </r>
  <r>
    <s v="ID-2023-01708"/>
    <d v="2023-07-02T00:00:00"/>
    <s v="ST-003"/>
    <x v="4"/>
    <s v="CUST-079"/>
    <x v="1"/>
    <s v="PRD-019"/>
    <x v="18"/>
    <x v="4"/>
    <n v="1"/>
    <n v="146000"/>
    <n v="0"/>
    <n v="93000"/>
    <n v="146000"/>
    <x v="554"/>
    <x v="5"/>
    <x v="0"/>
    <n v="7"/>
    <x v="17"/>
    <n v="0.36301369863013699"/>
  </r>
  <r>
    <s v="ID-2023-00892"/>
    <d v="2023-07-19T00:00:00"/>
    <s v="ST-005"/>
    <x v="1"/>
    <s v="CUST-111"/>
    <x v="1"/>
    <s v="PRD-019"/>
    <x v="18"/>
    <x v="4"/>
    <n v="3"/>
    <n v="134000"/>
    <n v="0.05"/>
    <n v="87000"/>
    <n v="381900"/>
    <x v="917"/>
    <x v="5"/>
    <x v="0"/>
    <n v="7"/>
    <x v="26"/>
    <n v="0.77219167321288296"/>
  </r>
  <r>
    <s v="ID-2023-01269"/>
    <d v="2023-07-21T00:00:00"/>
    <s v="ST-001"/>
    <x v="0"/>
    <s v="CUST-024"/>
    <x v="1"/>
    <s v="PRD-019"/>
    <x v="18"/>
    <x v="4"/>
    <n v="1"/>
    <n v="126000"/>
    <n v="0"/>
    <n v="82000"/>
    <n v="126000"/>
    <x v="918"/>
    <x v="5"/>
    <x v="0"/>
    <n v="7"/>
    <x v="14"/>
    <n v="0.34920634920634919"/>
  </r>
  <r>
    <s v="ID-2023-00738"/>
    <d v="2023-08-12T00:00:00"/>
    <s v="ST-004"/>
    <x v="2"/>
    <s v="CUST-132"/>
    <x v="1"/>
    <s v="PRD-019"/>
    <x v="18"/>
    <x v="4"/>
    <n v="1"/>
    <n v="80000"/>
    <n v="0"/>
    <n v="51000"/>
    <n v="80000"/>
    <x v="919"/>
    <x v="6"/>
    <x v="0"/>
    <n v="8"/>
    <x v="10"/>
    <n v="0.36249999999999999"/>
  </r>
  <r>
    <s v="ID-2023-01557"/>
    <d v="2023-08-28T00:00:00"/>
    <s v="ST-001"/>
    <x v="0"/>
    <s v="CUST-091"/>
    <x v="1"/>
    <s v="PRD-019"/>
    <x v="18"/>
    <x v="4"/>
    <n v="1"/>
    <n v="57000"/>
    <n v="0.05"/>
    <n v="36000"/>
    <n v="54150"/>
    <x v="920"/>
    <x v="6"/>
    <x v="0"/>
    <n v="8"/>
    <x v="4"/>
    <n v="0.33518005540166207"/>
  </r>
  <r>
    <s v="ID-2023-00244"/>
    <d v="2023-09-10T00:00:00"/>
    <s v="ST-001"/>
    <x v="0"/>
    <s v="CUST-037"/>
    <x v="1"/>
    <s v="PRD-019"/>
    <x v="18"/>
    <x v="4"/>
    <n v="2"/>
    <n v="102788.73239436619"/>
    <n v="0"/>
    <n v="65000"/>
    <n v="205577.46478873238"/>
    <x v="921"/>
    <x v="7"/>
    <x v="0"/>
    <n v="9"/>
    <x v="13"/>
    <n v="0.68381748424225808"/>
  </r>
  <r>
    <s v="ID-2023-00624"/>
    <d v="2023-09-21T00:00:00"/>
    <s v="ST-002"/>
    <x v="3"/>
    <s v="CUST-043"/>
    <x v="1"/>
    <s v="PRD-019"/>
    <x v="18"/>
    <x v="4"/>
    <n v="1"/>
    <n v="91000"/>
    <n v="0"/>
    <n v="59000"/>
    <n v="91000"/>
    <x v="893"/>
    <x v="7"/>
    <x v="0"/>
    <n v="9"/>
    <x v="14"/>
    <n v="0.35164835164835168"/>
  </r>
  <r>
    <s v="ID-2023-00423"/>
    <d v="2023-09-30T00:00:00"/>
    <s v="ST-002"/>
    <x v="3"/>
    <s v="CUST-115"/>
    <x v="0"/>
    <s v="PRD-019"/>
    <x v="18"/>
    <x v="4"/>
    <n v="1"/>
    <n v="51000"/>
    <n v="0"/>
    <n v="32000"/>
    <n v="51000"/>
    <x v="898"/>
    <x v="7"/>
    <x v="0"/>
    <n v="9"/>
    <x v="15"/>
    <n v="0.37254901960784315"/>
  </r>
  <r>
    <s v="ID-2023-00333"/>
    <d v="2023-10-12T00:00:00"/>
    <s v="ST-002"/>
    <x v="3"/>
    <s v="CUST-005"/>
    <x v="1"/>
    <s v="PRD-019"/>
    <x v="18"/>
    <x v="4"/>
    <n v="1"/>
    <n v="85000"/>
    <n v="0"/>
    <n v="55000"/>
    <n v="85000"/>
    <x v="589"/>
    <x v="8"/>
    <x v="0"/>
    <n v="10"/>
    <x v="10"/>
    <n v="0.35294117647058826"/>
  </r>
  <r>
    <s v="ID-2023-00979"/>
    <d v="2023-11-01T00:00:00"/>
    <s v="ST-001"/>
    <x v="0"/>
    <s v="CUST-030"/>
    <x v="1"/>
    <s v="PRD-019"/>
    <x v="18"/>
    <x v="4"/>
    <n v="1"/>
    <n v="67000"/>
    <n v="0"/>
    <n v="45000"/>
    <n v="67000"/>
    <x v="909"/>
    <x v="9"/>
    <x v="0"/>
    <n v="11"/>
    <x v="0"/>
    <n v="0.32835820895522388"/>
  </r>
  <r>
    <s v="ID-2024-01002"/>
    <d v="2024-02-13T00:00:00"/>
    <s v="ST-001"/>
    <x v="0"/>
    <s v="CUST-052"/>
    <x v="2"/>
    <s v="PRD-019"/>
    <x v="18"/>
    <x v="4"/>
    <n v="2"/>
    <n v="120000"/>
    <n v="0.05"/>
    <n v="76000"/>
    <n v="228000"/>
    <x v="219"/>
    <x v="1"/>
    <x v="1"/>
    <n v="2"/>
    <x v="23"/>
    <n v="0.66666666666666663"/>
  </r>
  <r>
    <s v="ID-2024-00478"/>
    <d v="2024-02-21T00:00:00"/>
    <s v="ST-004"/>
    <x v="2"/>
    <s v="CUST-019"/>
    <x v="0"/>
    <s v="PRD-019"/>
    <x v="18"/>
    <x v="4"/>
    <n v="1"/>
    <n v="116000"/>
    <n v="0"/>
    <n v="78000"/>
    <n v="116000"/>
    <x v="570"/>
    <x v="1"/>
    <x v="1"/>
    <n v="2"/>
    <x v="14"/>
    <n v="0.32758620689655171"/>
  </r>
  <r>
    <s v="ID-2024-01241"/>
    <d v="2024-03-25T00:00:00"/>
    <s v="ST-005"/>
    <x v="1"/>
    <s v="CUST-036"/>
    <x v="1"/>
    <s v="PRD-019"/>
    <x v="18"/>
    <x v="4"/>
    <n v="1"/>
    <n v="58000"/>
    <n v="0"/>
    <n v="37000"/>
    <n v="58000"/>
    <x v="901"/>
    <x v="2"/>
    <x v="1"/>
    <n v="3"/>
    <x v="12"/>
    <n v="0.36206896551724138"/>
  </r>
  <r>
    <s v="ID-2024-00869"/>
    <d v="2024-04-02T00:00:00"/>
    <s v="ST-001"/>
    <x v="0"/>
    <s v="CUST-117"/>
    <x v="1"/>
    <s v="PRD-019"/>
    <x v="18"/>
    <x v="4"/>
    <n v="1"/>
    <n v="79000"/>
    <n v="0.05"/>
    <n v="53000"/>
    <n v="75050"/>
    <x v="922"/>
    <x v="11"/>
    <x v="1"/>
    <n v="4"/>
    <x v="17"/>
    <n v="0.29380413057961358"/>
  </r>
  <r>
    <s v="ID-2024-01317"/>
    <d v="2024-04-04T00:00:00"/>
    <s v="ST-001"/>
    <x v="0"/>
    <s v="CUST-122"/>
    <x v="1"/>
    <s v="PRD-019"/>
    <x v="18"/>
    <x v="4"/>
    <n v="1"/>
    <n v="102788.73239436619"/>
    <n v="0"/>
    <n v="65000"/>
    <n v="102788.73239436619"/>
    <x v="923"/>
    <x v="11"/>
    <x v="1"/>
    <n v="4"/>
    <x v="20"/>
    <n v="0.36763496848451627"/>
  </r>
  <r>
    <s v="ID-2024-01677"/>
    <d v="2024-05-05T00:00:00"/>
    <s v="ST-005"/>
    <x v="1"/>
    <s v="CUST-095"/>
    <x v="2"/>
    <s v="PRD-019"/>
    <x v="18"/>
    <x v="4"/>
    <n v="1"/>
    <n v="132000"/>
    <n v="0"/>
    <n v="87000"/>
    <n v="132000"/>
    <x v="553"/>
    <x v="3"/>
    <x v="1"/>
    <n v="5"/>
    <x v="21"/>
    <n v="0.34090909090909088"/>
  </r>
  <r>
    <s v="ID-2024-00156"/>
    <d v="2024-05-07T00:00:00"/>
    <s v="ST-002"/>
    <x v="3"/>
    <s v="CUST-013"/>
    <x v="1"/>
    <s v="PRD-019"/>
    <x v="18"/>
    <x v="4"/>
    <n v="3"/>
    <n v="81000"/>
    <n v="0"/>
    <n v="52000"/>
    <n v="243000"/>
    <x v="924"/>
    <x v="3"/>
    <x v="1"/>
    <n v="5"/>
    <x v="3"/>
    <n v="0.78600823045267487"/>
  </r>
  <r>
    <s v="ID-2024-01288"/>
    <d v="2024-07-09T00:00:00"/>
    <s v="ST-002"/>
    <x v="3"/>
    <s v="CUST-112"/>
    <x v="1"/>
    <s v="PRD-019"/>
    <x v="18"/>
    <x v="4"/>
    <n v="2"/>
    <n v="144000"/>
    <n v="0"/>
    <n v="93000"/>
    <n v="288000"/>
    <x v="852"/>
    <x v="5"/>
    <x v="1"/>
    <n v="7"/>
    <x v="1"/>
    <n v="0.67708333333333337"/>
  </r>
  <r>
    <s v="ID-2024-00006"/>
    <d v="2024-07-28T00:00:00"/>
    <s v="ST-005"/>
    <x v="1"/>
    <s v="CUST-150"/>
    <x v="1"/>
    <s v="PRD-019"/>
    <x v="18"/>
    <x v="4"/>
    <n v="1"/>
    <n v="98000"/>
    <n v="0"/>
    <n v="63000"/>
    <n v="98000"/>
    <x v="890"/>
    <x v="5"/>
    <x v="1"/>
    <n v="7"/>
    <x v="4"/>
    <n v="0.35714285714285715"/>
  </r>
  <r>
    <s v="ID-2024-01785"/>
    <d v="2024-08-19T00:00:00"/>
    <s v="ST-002"/>
    <x v="3"/>
    <s v="CUST-093"/>
    <x v="2"/>
    <s v="PRD-019"/>
    <x v="18"/>
    <x v="4"/>
    <n v="2"/>
    <n v="156000"/>
    <n v="0"/>
    <n v="104000"/>
    <n v="312000"/>
    <x v="925"/>
    <x v="6"/>
    <x v="1"/>
    <n v="8"/>
    <x v="26"/>
    <n v="0.66666666666666663"/>
  </r>
  <r>
    <s v="ID-2024-01713"/>
    <d v="2024-08-23T00:00:00"/>
    <s v="ST-004"/>
    <x v="2"/>
    <s v="CUST-113"/>
    <x v="2"/>
    <s v="PRD-019"/>
    <x v="18"/>
    <x v="4"/>
    <n v="1"/>
    <n v="115000"/>
    <n v="0"/>
    <n v="75000"/>
    <n v="115000"/>
    <x v="584"/>
    <x v="6"/>
    <x v="1"/>
    <n v="8"/>
    <x v="11"/>
    <n v="0.34782608695652173"/>
  </r>
  <r>
    <s v="ID-2024-00640"/>
    <d v="2024-09-03T00:00:00"/>
    <s v="ST-004"/>
    <x v="2"/>
    <s v="CUST-118"/>
    <x v="1"/>
    <s v="PRD-019"/>
    <x v="18"/>
    <x v="4"/>
    <n v="2"/>
    <n v="66000"/>
    <n v="0"/>
    <n v="42000"/>
    <n v="132000"/>
    <x v="8"/>
    <x v="7"/>
    <x v="1"/>
    <n v="9"/>
    <x v="8"/>
    <n v="0.68181818181818177"/>
  </r>
  <r>
    <s v="ID-2024-01643"/>
    <d v="2024-09-09T00:00:00"/>
    <s v="ST-004"/>
    <x v="2"/>
    <s v="CUST-017"/>
    <x v="1"/>
    <s v="PRD-019"/>
    <x v="18"/>
    <x v="4"/>
    <n v="1"/>
    <n v="60000"/>
    <n v="0.1"/>
    <n v="38000"/>
    <n v="54000"/>
    <x v="926"/>
    <x v="7"/>
    <x v="1"/>
    <n v="9"/>
    <x v="1"/>
    <n v="0.29629629629629628"/>
  </r>
  <r>
    <s v="ID-2024-01556"/>
    <d v="2024-09-11T00:00:00"/>
    <s v="ST-001"/>
    <x v="0"/>
    <s v="CUST-018"/>
    <x v="0"/>
    <s v="PRD-019"/>
    <x v="18"/>
    <x v="4"/>
    <n v="2"/>
    <n v="89000"/>
    <n v="0.05"/>
    <n v="59000"/>
    <n v="169100"/>
    <x v="927"/>
    <x v="7"/>
    <x v="1"/>
    <n v="9"/>
    <x v="22"/>
    <n v="0.6510940272028386"/>
  </r>
  <r>
    <s v="ID-2024-00757"/>
    <d v="2024-10-17T00:00:00"/>
    <s v="ST-001"/>
    <x v="0"/>
    <s v="CUST-043"/>
    <x v="1"/>
    <s v="PRD-019"/>
    <x v="18"/>
    <x v="4"/>
    <n v="2"/>
    <n v="133000"/>
    <n v="0"/>
    <n v="89000"/>
    <n v="266000"/>
    <x v="519"/>
    <x v="8"/>
    <x v="1"/>
    <n v="10"/>
    <x v="2"/>
    <n v="0.66541353383458646"/>
  </r>
  <r>
    <s v="ID-2024-00511"/>
    <d v="2024-12-08T00:00:00"/>
    <s v="ST-001"/>
    <x v="0"/>
    <s v="CUST-110"/>
    <x v="1"/>
    <s v="PRD-019"/>
    <x v="18"/>
    <x v="4"/>
    <n v="1"/>
    <n v="109000"/>
    <n v="0.1"/>
    <n v="70000"/>
    <n v="98100"/>
    <x v="928"/>
    <x v="10"/>
    <x v="1"/>
    <n v="12"/>
    <x v="27"/>
    <n v="0.28644240570846075"/>
  </r>
  <r>
    <s v="ID-2024-01631"/>
    <d v="2024-12-16T00:00:00"/>
    <s v="ST-003"/>
    <x v="4"/>
    <s v="CUST-124"/>
    <x v="1"/>
    <s v="PRD-019"/>
    <x v="18"/>
    <x v="4"/>
    <n v="3"/>
    <n v="94000"/>
    <n v="0"/>
    <n v="61000"/>
    <n v="282000"/>
    <x v="929"/>
    <x v="10"/>
    <x v="1"/>
    <n v="12"/>
    <x v="5"/>
    <n v="0.78368794326241131"/>
  </r>
  <r>
    <s v="ID-2024-00958"/>
    <d v="2024-12-18T00:00:00"/>
    <s v="ST-002"/>
    <x v="3"/>
    <s v="CUST-032"/>
    <x v="1"/>
    <s v="PRD-019"/>
    <x v="18"/>
    <x v="4"/>
    <n v="1"/>
    <n v="152000"/>
    <n v="0"/>
    <n v="98000"/>
    <n v="152000"/>
    <x v="564"/>
    <x v="10"/>
    <x v="1"/>
    <n v="12"/>
    <x v="9"/>
    <n v="0.35526315789473684"/>
  </r>
  <r>
    <s v="ID-2025-00932"/>
    <d v="2025-01-31T00:00:00"/>
    <s v="ST-001"/>
    <x v="0"/>
    <s v="CUST-046"/>
    <x v="0"/>
    <s v="PRD-019"/>
    <x v="18"/>
    <x v="4"/>
    <n v="2"/>
    <n v="58000"/>
    <n v="0"/>
    <n v="37000"/>
    <n v="116000"/>
    <x v="930"/>
    <x v="0"/>
    <x v="2"/>
    <n v="1"/>
    <x v="28"/>
    <n v="0.68103448275862066"/>
  </r>
  <r>
    <s v="ID-2025-00277"/>
    <d v="2025-02-09T00:00:00"/>
    <s v="ST-001"/>
    <x v="0"/>
    <s v="CUST-125"/>
    <x v="1"/>
    <s v="PRD-019"/>
    <x v="18"/>
    <x v="4"/>
    <n v="1"/>
    <n v="113000"/>
    <n v="0"/>
    <n v="74000"/>
    <n v="113000"/>
    <x v="565"/>
    <x v="1"/>
    <x v="2"/>
    <n v="2"/>
    <x v="1"/>
    <n v="0.34513274336283184"/>
  </r>
  <r>
    <s v="ID-2025-01388"/>
    <d v="2025-03-24T00:00:00"/>
    <s v="ST-005"/>
    <x v="1"/>
    <s v="CUST-033"/>
    <x v="1"/>
    <s v="PRD-019"/>
    <x v="18"/>
    <x v="4"/>
    <n v="1"/>
    <n v="120000"/>
    <n v="0"/>
    <n v="77000"/>
    <n v="120000"/>
    <x v="931"/>
    <x v="2"/>
    <x v="2"/>
    <n v="3"/>
    <x v="25"/>
    <n v="0.35833333333333334"/>
  </r>
  <r>
    <s v="ID-2025-01280"/>
    <d v="2025-05-11T00:00:00"/>
    <s v="ST-001"/>
    <x v="0"/>
    <s v="CUST-052"/>
    <x v="2"/>
    <s v="PRD-019"/>
    <x v="18"/>
    <x v="4"/>
    <n v="3"/>
    <n v="75000"/>
    <n v="0"/>
    <n v="48000"/>
    <n v="225000"/>
    <x v="519"/>
    <x v="3"/>
    <x v="2"/>
    <n v="5"/>
    <x v="22"/>
    <n v="0.78666666666666663"/>
  </r>
  <r>
    <s v="ID-2025-00256"/>
    <d v="2025-05-19T00:00:00"/>
    <s v="ST-003"/>
    <x v="4"/>
    <s v="CUST-029"/>
    <x v="0"/>
    <s v="PRD-019"/>
    <x v="18"/>
    <x v="4"/>
    <n v="2"/>
    <n v="67000"/>
    <n v="0"/>
    <n v="44000"/>
    <n v="134000"/>
    <x v="8"/>
    <x v="3"/>
    <x v="2"/>
    <n v="5"/>
    <x v="26"/>
    <n v="0.67164179104477617"/>
  </r>
  <r>
    <s v="ID-2025-00219"/>
    <d v="2025-05-23T00:00:00"/>
    <s v="ST-001"/>
    <x v="0"/>
    <s v="CUST-090"/>
    <x v="0"/>
    <s v="PRD-019"/>
    <x v="18"/>
    <x v="4"/>
    <n v="3"/>
    <n v="61000"/>
    <n v="0"/>
    <n v="41000"/>
    <n v="183000"/>
    <x v="138"/>
    <x v="3"/>
    <x v="2"/>
    <n v="5"/>
    <x v="11"/>
    <n v="0.77595628415300544"/>
  </r>
  <r>
    <s v="ID-2025-01666"/>
    <d v="2025-06-18T00:00:00"/>
    <s v="ST-001"/>
    <x v="0"/>
    <s v="CUST-062"/>
    <x v="1"/>
    <s v="PRD-019"/>
    <x v="18"/>
    <x v="4"/>
    <n v="1"/>
    <n v="105000"/>
    <n v="0"/>
    <n v="66000"/>
    <n v="105000"/>
    <x v="565"/>
    <x v="4"/>
    <x v="2"/>
    <n v="6"/>
    <x v="9"/>
    <n v="0.37142857142857144"/>
  </r>
  <r>
    <s v="ID-2025-00871"/>
    <d v="2025-07-01T00:00:00"/>
    <s v="ST-001"/>
    <x v="0"/>
    <s v="CUST-011"/>
    <x v="1"/>
    <s v="PRD-019"/>
    <x v="18"/>
    <x v="4"/>
    <n v="1"/>
    <n v="86000"/>
    <n v="0"/>
    <n v="56000"/>
    <n v="86000"/>
    <x v="589"/>
    <x v="5"/>
    <x v="2"/>
    <n v="7"/>
    <x v="0"/>
    <n v="0.34883720930232559"/>
  </r>
  <r>
    <s v="ID-2025-01118"/>
    <d v="2025-07-12T00:00:00"/>
    <s v="ST-004"/>
    <x v="2"/>
    <s v="CUST-141"/>
    <x v="3"/>
    <s v="PRD-019"/>
    <x v="18"/>
    <x v="4"/>
    <n v="1"/>
    <n v="107000"/>
    <n v="0"/>
    <n v="69000"/>
    <n v="107000"/>
    <x v="570"/>
    <x v="5"/>
    <x v="2"/>
    <n v="7"/>
    <x v="10"/>
    <n v="0.35514018691588783"/>
  </r>
  <r>
    <s v="ID-2025-00119"/>
    <d v="2025-07-13T00:00:00"/>
    <s v="ST-001"/>
    <x v="0"/>
    <s v="CUST-011"/>
    <x v="1"/>
    <s v="PRD-019"/>
    <x v="18"/>
    <x v="4"/>
    <n v="1"/>
    <n v="88000"/>
    <n v="0"/>
    <n v="56000"/>
    <n v="88000"/>
    <x v="893"/>
    <x v="5"/>
    <x v="2"/>
    <n v="7"/>
    <x v="23"/>
    <n v="0.36363636363636365"/>
  </r>
  <r>
    <s v="ID-2025-01012"/>
    <d v="2025-07-20T00:00:00"/>
    <s v="ST-002"/>
    <x v="3"/>
    <s v="CUST-007"/>
    <x v="1"/>
    <s v="PRD-019"/>
    <x v="18"/>
    <x v="4"/>
    <n v="1"/>
    <n v="126000"/>
    <n v="0"/>
    <n v="82000"/>
    <n v="126000"/>
    <x v="918"/>
    <x v="5"/>
    <x v="2"/>
    <n v="7"/>
    <x v="30"/>
    <n v="0.34920634920634919"/>
  </r>
  <r>
    <s v="ID-2025-00426"/>
    <d v="2025-08-01T00:00:00"/>
    <s v="ST-004"/>
    <x v="2"/>
    <s v="CUST-116"/>
    <x v="1"/>
    <s v="PRD-019"/>
    <x v="18"/>
    <x v="4"/>
    <n v="1"/>
    <n v="114000"/>
    <n v="0"/>
    <n v="73000"/>
    <n v="114000"/>
    <x v="588"/>
    <x v="6"/>
    <x v="2"/>
    <n v="8"/>
    <x v="0"/>
    <n v="0.35964912280701755"/>
  </r>
  <r>
    <s v="ID-2025-01085"/>
    <d v="2025-09-14T00:00:00"/>
    <s v="ST-001"/>
    <x v="0"/>
    <s v="CUST-049"/>
    <x v="0"/>
    <s v="PRD-019"/>
    <x v="18"/>
    <x v="4"/>
    <n v="1"/>
    <n v="153000"/>
    <n v="0"/>
    <n v="102000"/>
    <n v="153000"/>
    <x v="559"/>
    <x v="7"/>
    <x v="2"/>
    <n v="9"/>
    <x v="18"/>
    <n v="0.33333333333333331"/>
  </r>
  <r>
    <s v="ID-2025-00513"/>
    <d v="2025-09-14T00:00:00"/>
    <s v="ST-002"/>
    <x v="3"/>
    <s v="CUST-006"/>
    <x v="1"/>
    <s v="PRD-019"/>
    <x v="18"/>
    <x v="4"/>
    <n v="2"/>
    <n v="140000"/>
    <n v="0.05"/>
    <n v="90000"/>
    <n v="266000"/>
    <x v="489"/>
    <x v="7"/>
    <x v="2"/>
    <n v="9"/>
    <x v="18"/>
    <n v="0.66165413533834583"/>
  </r>
  <r>
    <s v="ID-2025-00301"/>
    <d v="2025-10-09T00:00:00"/>
    <s v="ST-003"/>
    <x v="4"/>
    <s v="CUST-007"/>
    <x v="1"/>
    <s v="PRD-019"/>
    <x v="18"/>
    <x v="4"/>
    <n v="1"/>
    <n v="143000"/>
    <n v="0"/>
    <n v="91000"/>
    <n v="143000"/>
    <x v="576"/>
    <x v="8"/>
    <x v="2"/>
    <n v="10"/>
    <x v="1"/>
    <n v="0.36363636363636365"/>
  </r>
  <r>
    <s v="ID-2025-01240"/>
    <d v="2025-11-13T00:00:00"/>
    <s v="ST-001"/>
    <x v="0"/>
    <s v="CUST-069"/>
    <x v="1"/>
    <s v="PRD-019"/>
    <x v="18"/>
    <x v="4"/>
    <n v="1"/>
    <n v="97000"/>
    <n v="0.1"/>
    <n v="64000"/>
    <n v="87300"/>
    <x v="932"/>
    <x v="9"/>
    <x v="2"/>
    <n v="11"/>
    <x v="23"/>
    <n v="0.26689576174112256"/>
  </r>
  <r>
    <s v="ID-2025-01427"/>
    <d v="2025-11-29T00:00:00"/>
    <s v="ST-001"/>
    <x v="0"/>
    <s v="CUST-128"/>
    <x v="1"/>
    <s v="PRD-019"/>
    <x v="18"/>
    <x v="4"/>
    <n v="1"/>
    <n v="81000"/>
    <n v="0"/>
    <n v="52000"/>
    <n v="81000"/>
    <x v="919"/>
    <x v="9"/>
    <x v="2"/>
    <n v="11"/>
    <x v="7"/>
    <n v="0.35802469135802467"/>
  </r>
  <r>
    <s v="ID-2025-01737"/>
    <d v="2025-12-16T00:00:00"/>
    <s v="ST-003"/>
    <x v="4"/>
    <s v="CUST-020"/>
    <x v="1"/>
    <s v="PRD-019"/>
    <x v="18"/>
    <x v="4"/>
    <n v="5"/>
    <n v="62000"/>
    <n v="0"/>
    <n v="40000"/>
    <n v="310000"/>
    <x v="933"/>
    <x v="10"/>
    <x v="2"/>
    <n v="12"/>
    <x v="5"/>
    <n v="0.87096774193548387"/>
  </r>
  <r>
    <s v="ID-2026-00309"/>
    <d v="2026-01-09T00:00:00"/>
    <s v="ST-003"/>
    <x v="4"/>
    <s v="CUST-140"/>
    <x v="3"/>
    <s v="PRD-019"/>
    <x v="18"/>
    <x v="4"/>
    <n v="1"/>
    <n v="164000"/>
    <n v="0"/>
    <n v="104000"/>
    <n v="164000"/>
    <x v="531"/>
    <x v="0"/>
    <x v="3"/>
    <n v="1"/>
    <x v="1"/>
    <n v="0.36585365853658536"/>
  </r>
  <r>
    <s v="ID-2026-01573"/>
    <d v="2026-01-19T00:00:00"/>
    <s v="ST-003"/>
    <x v="4"/>
    <s v="CUST-060"/>
    <x v="1"/>
    <s v="PRD-019"/>
    <x v="18"/>
    <x v="4"/>
    <n v="2"/>
    <n v="105000"/>
    <n v="0"/>
    <n v="67000"/>
    <n v="210000"/>
    <x v="139"/>
    <x v="0"/>
    <x v="3"/>
    <n v="1"/>
    <x v="26"/>
    <n v="0.68095238095238098"/>
  </r>
  <r>
    <s v="ID-2026-01094"/>
    <d v="2026-01-20T00:00:00"/>
    <s v="ST-001"/>
    <x v="0"/>
    <s v="CUST-119"/>
    <x v="1"/>
    <s v="PRD-019"/>
    <x v="18"/>
    <x v="4"/>
    <n v="1"/>
    <n v="142000"/>
    <n v="0"/>
    <n v="94000"/>
    <n v="142000"/>
    <x v="814"/>
    <x v="0"/>
    <x v="3"/>
    <n v="1"/>
    <x v="30"/>
    <n v="0.3380281690140845"/>
  </r>
  <r>
    <s v="ID-2026-01375"/>
    <d v="2026-01-26T00:00:00"/>
    <s v="ST-003"/>
    <x v="4"/>
    <s v="CUST-080"/>
    <x v="1"/>
    <s v="PRD-019"/>
    <x v="18"/>
    <x v="4"/>
    <n v="5"/>
    <n v="92000"/>
    <n v="0"/>
    <n v="59000"/>
    <n v="460000"/>
    <x v="934"/>
    <x v="0"/>
    <x v="3"/>
    <n v="1"/>
    <x v="6"/>
    <n v="0.87173913043478257"/>
  </r>
  <r>
    <s v="ID-2026-00845"/>
    <d v="2026-02-15T00:00:00"/>
    <s v="ST-002"/>
    <x v="3"/>
    <s v="CUST-149"/>
    <x v="1"/>
    <s v="PRD-019"/>
    <x v="18"/>
    <x v="4"/>
    <n v="2"/>
    <n v="71000"/>
    <n v="0"/>
    <n v="46000"/>
    <n v="142000"/>
    <x v="167"/>
    <x v="1"/>
    <x v="3"/>
    <n v="2"/>
    <x v="19"/>
    <n v="0.676056338028169"/>
  </r>
  <r>
    <s v="ID-2026-01260"/>
    <d v="2026-02-26T00:00:00"/>
    <s v="ST-001"/>
    <x v="0"/>
    <s v="CUST-047"/>
    <x v="1"/>
    <s v="PRD-019"/>
    <x v="18"/>
    <x v="4"/>
    <n v="1"/>
    <n v="132000"/>
    <n v="0"/>
    <n v="88000"/>
    <n v="132000"/>
    <x v="918"/>
    <x v="1"/>
    <x v="3"/>
    <n v="2"/>
    <x v="6"/>
    <n v="0.33333333333333331"/>
  </r>
  <r>
    <s v="ID-2026-00480"/>
    <d v="2026-03-15T00:00:00"/>
    <s v="ST-003"/>
    <x v="4"/>
    <s v="CUST-111"/>
    <x v="1"/>
    <s v="PRD-019"/>
    <x v="18"/>
    <x v="4"/>
    <n v="1"/>
    <n v="105000"/>
    <n v="0"/>
    <n v="68000"/>
    <n v="105000"/>
    <x v="900"/>
    <x v="2"/>
    <x v="3"/>
    <n v="3"/>
    <x v="19"/>
    <n v="0.35238095238095241"/>
  </r>
  <r>
    <s v="ID-2026-01553"/>
    <d v="2026-04-06T00:00:00"/>
    <s v="ST-002"/>
    <x v="3"/>
    <s v="CUST-037"/>
    <x v="1"/>
    <s v="PRD-019"/>
    <x v="18"/>
    <x v="4"/>
    <n v="1"/>
    <n v="152000"/>
    <n v="0"/>
    <n v="100000"/>
    <n v="152000"/>
    <x v="576"/>
    <x v="11"/>
    <x v="3"/>
    <n v="4"/>
    <x v="29"/>
    <n v="0.34210526315789475"/>
  </r>
  <r>
    <s v="ID-2026-01176"/>
    <d v="2026-04-19T00:00:00"/>
    <s v="ST-002"/>
    <x v="3"/>
    <s v="CUST-039"/>
    <x v="0"/>
    <s v="PRD-019"/>
    <x v="18"/>
    <x v="4"/>
    <n v="5"/>
    <n v="100000"/>
    <n v="0"/>
    <n v="63000"/>
    <n v="500000"/>
    <x v="935"/>
    <x v="11"/>
    <x v="3"/>
    <n v="4"/>
    <x v="26"/>
    <n v="0.874"/>
  </r>
  <r>
    <s v="ID-2026-01087"/>
    <d v="2026-05-03T00:00:00"/>
    <s v="ST-002"/>
    <x v="3"/>
    <s v="CUST-134"/>
    <x v="1"/>
    <s v="PRD-019"/>
    <x v="18"/>
    <x v="4"/>
    <n v="1"/>
    <n v="100000"/>
    <n v="0"/>
    <n v="66000"/>
    <n v="100000"/>
    <x v="571"/>
    <x v="3"/>
    <x v="3"/>
    <n v="5"/>
    <x v="8"/>
    <n v="0.34"/>
  </r>
  <r>
    <s v="ID-2026-00229"/>
    <d v="2026-05-11T00:00:00"/>
    <s v="ST-001"/>
    <x v="0"/>
    <s v="CUST-116"/>
    <x v="1"/>
    <s v="PRD-019"/>
    <x v="18"/>
    <x v="4"/>
    <n v="1"/>
    <n v="97000"/>
    <n v="0"/>
    <n v="62000"/>
    <n v="97000"/>
    <x v="890"/>
    <x v="3"/>
    <x v="3"/>
    <n v="5"/>
    <x v="22"/>
    <n v="0.36082474226804123"/>
  </r>
  <r>
    <s v="ID-2026-01362"/>
    <d v="2026-05-25T00:00:00"/>
    <s v="ST-004"/>
    <x v="2"/>
    <s v="CUST-021"/>
    <x v="0"/>
    <s v="PRD-019"/>
    <x v="18"/>
    <x v="4"/>
    <n v="1"/>
    <n v="127000"/>
    <n v="0"/>
    <n v="84000"/>
    <n v="127000"/>
    <x v="931"/>
    <x v="3"/>
    <x v="3"/>
    <n v="5"/>
    <x v="12"/>
    <n v="0.33858267716535434"/>
  </r>
  <r>
    <s v="ID-2026-01027"/>
    <d v="2026-05-30T00:00:00"/>
    <s v="ST-001"/>
    <x v="0"/>
    <s v="CUST-137"/>
    <x v="0"/>
    <s v="PRD-019"/>
    <x v="18"/>
    <x v="4"/>
    <n v="1"/>
    <n v="137000"/>
    <n v="0"/>
    <n v="91000"/>
    <n v="137000"/>
    <x v="561"/>
    <x v="3"/>
    <x v="3"/>
    <n v="5"/>
    <x v="15"/>
    <n v="0.33576642335766421"/>
  </r>
  <r>
    <s v="ID-2026-00001"/>
    <d v="2026-06-02T00:00:00"/>
    <s v="ST-002"/>
    <x v="3"/>
    <s v="CUST-126"/>
    <x v="0"/>
    <s v="PRD-019"/>
    <x v="18"/>
    <x v="4"/>
    <n v="1"/>
    <n v="69000"/>
    <n v="0"/>
    <n v="44000"/>
    <n v="69000"/>
    <x v="936"/>
    <x v="4"/>
    <x v="3"/>
    <n v="6"/>
    <x v="17"/>
    <n v="0.36231884057971014"/>
  </r>
  <r>
    <s v="ID-2026-01091"/>
    <d v="2026-06-11T00:00:00"/>
    <s v="ST-001"/>
    <x v="0"/>
    <s v="CUST-036"/>
    <x v="1"/>
    <s v="PRD-019"/>
    <x v="18"/>
    <x v="4"/>
    <n v="1"/>
    <n v="102788.73239436619"/>
    <n v="0"/>
    <n v="0"/>
    <n v="102788.73239436619"/>
    <x v="937"/>
    <x v="4"/>
    <x v="3"/>
    <n v="6"/>
    <x v="22"/>
    <n v="1"/>
  </r>
  <r>
    <s v="ID-2026-01385"/>
    <d v="2026-06-14T00:00:00"/>
    <s v="ST-004"/>
    <x v="2"/>
    <s v="CUST-039"/>
    <x v="0"/>
    <s v="PRD-019"/>
    <x v="18"/>
    <x v="4"/>
    <n v="1"/>
    <n v="74000"/>
    <n v="0"/>
    <n v="48000"/>
    <n v="74000"/>
    <x v="887"/>
    <x v="4"/>
    <x v="3"/>
    <n v="6"/>
    <x v="18"/>
    <n v="0.35135135135135137"/>
  </r>
  <r>
    <s v="ID-2026-00679"/>
    <d v="2026-06-28T00:00:00"/>
    <s v="ST-001"/>
    <x v="0"/>
    <s v="CUST-123"/>
    <x v="1"/>
    <s v="PRD-019"/>
    <x v="18"/>
    <x v="4"/>
    <n v="1"/>
    <n v="154000"/>
    <n v="0"/>
    <n v="97000"/>
    <n v="154000"/>
    <x v="938"/>
    <x v="4"/>
    <x v="3"/>
    <n v="6"/>
    <x v="4"/>
    <n v="0.37012987012987014"/>
  </r>
  <r>
    <s v="ID-2023-01367"/>
    <d v="2023-01-27T00:00:00"/>
    <s v="ST-002"/>
    <x v="3"/>
    <s v="CUST-072"/>
    <x v="1"/>
    <s v="PRD-011"/>
    <x v="19"/>
    <x v="3"/>
    <n v="1"/>
    <n v="1159000"/>
    <n v="0.05"/>
    <n v="882000"/>
    <n v="1101050"/>
    <x v="939"/>
    <x v="0"/>
    <x v="0"/>
    <n v="1"/>
    <x v="24"/>
    <n v="0.19894646019708459"/>
  </r>
  <r>
    <s v="ID-2023-01658"/>
    <d v="2023-02-04T00:00:00"/>
    <s v="ST-005"/>
    <x v="1"/>
    <s v="CUST-083"/>
    <x v="1"/>
    <s v="PRD-011"/>
    <x v="19"/>
    <x v="3"/>
    <n v="1"/>
    <n v="1098000"/>
    <n v="0.05"/>
    <n v="867000"/>
    <n v="1043100"/>
    <x v="940"/>
    <x v="1"/>
    <x v="0"/>
    <n v="2"/>
    <x v="20"/>
    <n v="0.16882369859073915"/>
  </r>
  <r>
    <s v="ID-2023-00502"/>
    <d v="2023-03-01T00:00:00"/>
    <s v="ST-002"/>
    <x v="3"/>
    <s v="CUST-077"/>
    <x v="2"/>
    <s v="PRD-011"/>
    <x v="19"/>
    <x v="3"/>
    <n v="1"/>
    <n v="516000"/>
    <n v="0"/>
    <n v="397000"/>
    <n v="516000"/>
    <x v="819"/>
    <x v="2"/>
    <x v="0"/>
    <n v="3"/>
    <x v="0"/>
    <n v="0.23062015503875968"/>
  </r>
  <r>
    <s v="ID-2023-01444"/>
    <d v="2023-03-08T00:00:00"/>
    <s v="ST-005"/>
    <x v="1"/>
    <s v="CUST-132"/>
    <x v="1"/>
    <s v="PRD-011"/>
    <x v="19"/>
    <x v="3"/>
    <n v="3"/>
    <n v="808000"/>
    <n v="0.05"/>
    <n v="612000"/>
    <n v="2302800"/>
    <x v="941"/>
    <x v="2"/>
    <x v="0"/>
    <n v="3"/>
    <x v="27"/>
    <n v="0.73423658155289218"/>
  </r>
  <r>
    <s v="ID-2023-01373"/>
    <d v="2023-03-12T00:00:00"/>
    <s v="ST-001"/>
    <x v="0"/>
    <s v="CUST-034"/>
    <x v="2"/>
    <s v="PRD-011"/>
    <x v="19"/>
    <x v="3"/>
    <n v="3"/>
    <n v="978000"/>
    <n v="0.05"/>
    <n v="739000"/>
    <n v="2787300"/>
    <x v="942"/>
    <x v="2"/>
    <x v="0"/>
    <n v="3"/>
    <x v="10"/>
    <n v="0.7348688695153015"/>
  </r>
  <r>
    <s v="ID-2023-00828"/>
    <d v="2023-03-17T00:00:00"/>
    <s v="ST-005"/>
    <x v="1"/>
    <s v="CUST-107"/>
    <x v="0"/>
    <s v="PRD-011"/>
    <x v="19"/>
    <x v="3"/>
    <n v="1"/>
    <n v="543000"/>
    <n v="0"/>
    <n v="426000"/>
    <n v="543000"/>
    <x v="943"/>
    <x v="2"/>
    <x v="0"/>
    <n v="3"/>
    <x v="2"/>
    <n v="0.21546961325966851"/>
  </r>
  <r>
    <s v="ID-2023-00010"/>
    <d v="2023-04-06T00:00:00"/>
    <s v="ST-001"/>
    <x v="0"/>
    <s v="CUST-037"/>
    <x v="1"/>
    <s v="PRD-011"/>
    <x v="19"/>
    <x v="3"/>
    <n v="2"/>
    <n v="1054000"/>
    <n v="0"/>
    <n v="799000"/>
    <n v="2108000"/>
    <x v="944"/>
    <x v="11"/>
    <x v="0"/>
    <n v="4"/>
    <x v="29"/>
    <n v="0.62096774193548387"/>
  </r>
  <r>
    <s v="ID-2023-01655"/>
    <d v="2023-04-07T00:00:00"/>
    <s v="ST-002"/>
    <x v="3"/>
    <s v="CUST-117"/>
    <x v="1"/>
    <s v="PRD-011"/>
    <x v="19"/>
    <x v="3"/>
    <n v="1"/>
    <n v="1035000"/>
    <n v="0"/>
    <n v="810000"/>
    <n v="1035000"/>
    <x v="945"/>
    <x v="11"/>
    <x v="0"/>
    <n v="4"/>
    <x v="3"/>
    <n v="0.21739130434782608"/>
  </r>
  <r>
    <s v="ID-2023-00081"/>
    <d v="2023-05-02T00:00:00"/>
    <s v="ST-001"/>
    <x v="0"/>
    <s v="CUST-124"/>
    <x v="1"/>
    <s v="PRD-011"/>
    <x v="19"/>
    <x v="3"/>
    <n v="1"/>
    <n v="855000"/>
    <n v="0"/>
    <n v="652000"/>
    <n v="855000"/>
    <x v="946"/>
    <x v="3"/>
    <x v="0"/>
    <n v="5"/>
    <x v="17"/>
    <n v="0.23742690058479532"/>
  </r>
  <r>
    <s v="ID-2023-00345"/>
    <d v="2023-07-02T00:00:00"/>
    <s v="ST-002"/>
    <x v="3"/>
    <s v="CUST-072"/>
    <x v="1"/>
    <s v="PRD-011"/>
    <x v="19"/>
    <x v="3"/>
    <n v="1"/>
    <n v="983081.96721311472"/>
    <n v="0"/>
    <n v="0"/>
    <n v="983081.96721311472"/>
    <x v="947"/>
    <x v="5"/>
    <x v="0"/>
    <n v="7"/>
    <x v="17"/>
    <n v="1"/>
  </r>
  <r>
    <s v="ID-2023-00786"/>
    <d v="2023-07-21T00:00:00"/>
    <s v="ST-004"/>
    <x v="2"/>
    <s v="CUST-141"/>
    <x v="3"/>
    <s v="PRD-011"/>
    <x v="19"/>
    <x v="3"/>
    <n v="1"/>
    <n v="1049000"/>
    <n v="0"/>
    <n v="811000"/>
    <n v="1049000"/>
    <x v="866"/>
    <x v="5"/>
    <x v="0"/>
    <n v="7"/>
    <x v="14"/>
    <n v="0.22688274547187798"/>
  </r>
  <r>
    <s v="ID-2023-00307"/>
    <d v="2023-08-05T00:00:00"/>
    <s v="ST-003"/>
    <x v="4"/>
    <s v="CUST-074"/>
    <x v="1"/>
    <s v="PRD-011"/>
    <x v="19"/>
    <x v="3"/>
    <n v="1"/>
    <n v="711000"/>
    <n v="0"/>
    <n v="545000"/>
    <n v="711000"/>
    <x v="948"/>
    <x v="6"/>
    <x v="0"/>
    <n v="8"/>
    <x v="21"/>
    <n v="0.23347398030942335"/>
  </r>
  <r>
    <s v="ID-2023-00363"/>
    <d v="2023-09-19T00:00:00"/>
    <s v="ST-002"/>
    <x v="3"/>
    <s v="CUST-101"/>
    <x v="1"/>
    <s v="PRD-011"/>
    <x v="19"/>
    <x v="3"/>
    <n v="1"/>
    <n v="1150000"/>
    <n v="0"/>
    <n v="868000"/>
    <n v="1150000"/>
    <x v="949"/>
    <x v="7"/>
    <x v="0"/>
    <n v="9"/>
    <x v="26"/>
    <n v="0.24521739130434783"/>
  </r>
  <r>
    <s v="ID-2023-01696"/>
    <d v="2023-09-26T00:00:00"/>
    <s v="ST-001"/>
    <x v="0"/>
    <s v="CUST-025"/>
    <x v="0"/>
    <s v="PRD-011"/>
    <x v="19"/>
    <x v="3"/>
    <n v="1"/>
    <n v="985000"/>
    <n v="0"/>
    <n v="770000"/>
    <n v="985000"/>
    <x v="950"/>
    <x v="7"/>
    <x v="0"/>
    <n v="9"/>
    <x v="6"/>
    <n v="0.21827411167512689"/>
  </r>
  <r>
    <s v="ID-2023-00281"/>
    <d v="2023-09-28T00:00:00"/>
    <s v="ST-001"/>
    <x v="0"/>
    <s v="CUST-025"/>
    <x v="0"/>
    <s v="PRD-011"/>
    <x v="19"/>
    <x v="3"/>
    <n v="3"/>
    <n v="1185000"/>
    <n v="0"/>
    <n v="936000"/>
    <n v="3555000"/>
    <x v="951"/>
    <x v="7"/>
    <x v="0"/>
    <n v="9"/>
    <x v="4"/>
    <n v="0.73670886075949371"/>
  </r>
  <r>
    <s v="ID-2023-00266"/>
    <d v="2023-10-30T00:00:00"/>
    <s v="ST-001"/>
    <x v="0"/>
    <s v="CUST-029"/>
    <x v="0"/>
    <s v="PRD-011"/>
    <x v="19"/>
    <x v="3"/>
    <n v="2"/>
    <n v="818000"/>
    <n v="0"/>
    <n v="624000"/>
    <n v="1636000"/>
    <x v="261"/>
    <x v="8"/>
    <x v="0"/>
    <n v="10"/>
    <x v="15"/>
    <n v="0.61858190709046457"/>
  </r>
  <r>
    <s v="ID-2023-01064"/>
    <d v="2023-11-20T00:00:00"/>
    <s v="ST-001"/>
    <x v="0"/>
    <s v="CUST-119"/>
    <x v="1"/>
    <s v="PRD-011"/>
    <x v="19"/>
    <x v="3"/>
    <n v="3"/>
    <n v="903000"/>
    <n v="0"/>
    <n v="708000"/>
    <n v="2709000"/>
    <x v="952"/>
    <x v="9"/>
    <x v="0"/>
    <n v="11"/>
    <x v="30"/>
    <n v="0.73864894795127356"/>
  </r>
  <r>
    <s v="ID-2024-00138"/>
    <d v="2024-02-14T00:00:00"/>
    <s v="ST-001"/>
    <x v="0"/>
    <s v="CUST-050"/>
    <x v="1"/>
    <s v="PRD-011"/>
    <x v="19"/>
    <x v="3"/>
    <n v="1"/>
    <n v="1208000"/>
    <n v="0"/>
    <n v="938000"/>
    <n v="1208000"/>
    <x v="933"/>
    <x v="1"/>
    <x v="1"/>
    <n v="2"/>
    <x v="18"/>
    <n v="0.22350993377483444"/>
  </r>
  <r>
    <s v="ID-2024-00649"/>
    <d v="2024-02-16T00:00:00"/>
    <s v="ST-002"/>
    <x v="3"/>
    <s v="CUST-002"/>
    <x v="3"/>
    <s v="PRD-011"/>
    <x v="19"/>
    <x v="3"/>
    <n v="2"/>
    <n v="640000"/>
    <n v="0"/>
    <n v="483000"/>
    <n v="1280000"/>
    <x v="953"/>
    <x v="1"/>
    <x v="1"/>
    <n v="2"/>
    <x v="5"/>
    <n v="0.62265625000000002"/>
  </r>
  <r>
    <s v="ID-2024-01581"/>
    <d v="2024-02-27T00:00:00"/>
    <s v="ST-003"/>
    <x v="4"/>
    <s v="CUST-015"/>
    <x v="1"/>
    <s v="PRD-011"/>
    <x v="19"/>
    <x v="3"/>
    <n v="1"/>
    <n v="717000"/>
    <n v="0.15"/>
    <n v="556000"/>
    <n v="609450"/>
    <x v="954"/>
    <x v="1"/>
    <x v="1"/>
    <n v="2"/>
    <x v="24"/>
    <n v="8.7702026417261464E-2"/>
  </r>
  <r>
    <s v="ID-2024-01289"/>
    <d v="2024-03-23T00:00:00"/>
    <s v="ST-001"/>
    <x v="0"/>
    <s v="CUST-105"/>
    <x v="2"/>
    <s v="PRD-011"/>
    <x v="19"/>
    <x v="3"/>
    <n v="3"/>
    <n v="1115000"/>
    <n v="0"/>
    <n v="853000"/>
    <n v="3345000"/>
    <x v="955"/>
    <x v="2"/>
    <x v="1"/>
    <n v="3"/>
    <x v="11"/>
    <n v="0.74499252615844547"/>
  </r>
  <r>
    <s v="ID-2024-01478"/>
    <d v="2024-04-03T00:00:00"/>
    <s v="ST-003"/>
    <x v="4"/>
    <s v="CUST-054"/>
    <x v="1"/>
    <s v="PRD-011"/>
    <x v="19"/>
    <x v="3"/>
    <n v="1"/>
    <n v="1192000"/>
    <n v="0"/>
    <n v="920000"/>
    <n v="1192000"/>
    <x v="956"/>
    <x v="11"/>
    <x v="1"/>
    <n v="4"/>
    <x v="8"/>
    <n v="0.22818791946308725"/>
  </r>
  <r>
    <s v="ID-2024-00765"/>
    <d v="2024-04-20T00:00:00"/>
    <s v="ST-001"/>
    <x v="0"/>
    <s v="CUST-057"/>
    <x v="1"/>
    <s v="PRD-011"/>
    <x v="19"/>
    <x v="3"/>
    <n v="1"/>
    <n v="793000"/>
    <n v="0"/>
    <n v="605000"/>
    <n v="793000"/>
    <x v="503"/>
    <x v="11"/>
    <x v="1"/>
    <n v="4"/>
    <x v="30"/>
    <n v="0.23707440100882723"/>
  </r>
  <r>
    <s v="ID-2024-01504"/>
    <d v="2024-05-03T00:00:00"/>
    <s v="ST-001"/>
    <x v="0"/>
    <s v="CUST-038"/>
    <x v="1"/>
    <s v="PRD-011"/>
    <x v="19"/>
    <x v="3"/>
    <n v="3"/>
    <n v="1061000"/>
    <n v="0"/>
    <n v="820000"/>
    <n v="3183000"/>
    <x v="957"/>
    <x v="3"/>
    <x v="1"/>
    <n v="5"/>
    <x v="8"/>
    <n v="0.74238140119384233"/>
  </r>
  <r>
    <s v="ID-2024-00012"/>
    <d v="2024-05-14T00:00:00"/>
    <s v="ST-001"/>
    <x v="0"/>
    <s v="CUST-071"/>
    <x v="2"/>
    <s v="PRD-011"/>
    <x v="19"/>
    <x v="3"/>
    <n v="1"/>
    <n v="1036000"/>
    <n v="0"/>
    <n v="800000"/>
    <n v="1036000"/>
    <x v="530"/>
    <x v="3"/>
    <x v="1"/>
    <n v="5"/>
    <x v="18"/>
    <n v="0.22779922779922779"/>
  </r>
  <r>
    <s v="ID-2024-00171"/>
    <d v="2024-06-05T00:00:00"/>
    <s v="ST-003"/>
    <x v="4"/>
    <s v="CUST-145"/>
    <x v="1"/>
    <s v="PRD-011"/>
    <x v="19"/>
    <x v="3"/>
    <n v="1"/>
    <n v="846000"/>
    <n v="0"/>
    <n v="646000"/>
    <n v="846000"/>
    <x v="958"/>
    <x v="4"/>
    <x v="1"/>
    <n v="6"/>
    <x v="21"/>
    <n v="0.2364066193853428"/>
  </r>
  <r>
    <s v="ID-2024-01520"/>
    <d v="2024-06-13T00:00:00"/>
    <s v="ST-001"/>
    <x v="0"/>
    <s v="CUST-097"/>
    <x v="0"/>
    <s v="PRD-011"/>
    <x v="19"/>
    <x v="3"/>
    <n v="1"/>
    <n v="738000"/>
    <n v="0.05"/>
    <n v="566000"/>
    <n v="701100"/>
    <x v="959"/>
    <x v="4"/>
    <x v="1"/>
    <n v="6"/>
    <x v="23"/>
    <n v="0.19269719012979603"/>
  </r>
  <r>
    <s v="ID-2024-00768"/>
    <d v="2024-06-17T00:00:00"/>
    <s v="ST-002"/>
    <x v="3"/>
    <s v="CUST-106"/>
    <x v="1"/>
    <s v="PRD-011"/>
    <x v="19"/>
    <x v="3"/>
    <n v="1"/>
    <n v="1179000"/>
    <n v="0"/>
    <n v="891000"/>
    <n v="1179000"/>
    <x v="645"/>
    <x v="4"/>
    <x v="1"/>
    <n v="6"/>
    <x v="2"/>
    <n v="0.24427480916030533"/>
  </r>
  <r>
    <s v="ID-2024-00620"/>
    <d v="2024-06-30T00:00:00"/>
    <s v="ST-001"/>
    <x v="0"/>
    <s v="CUST-136"/>
    <x v="1"/>
    <s v="PRD-011"/>
    <x v="19"/>
    <x v="3"/>
    <n v="2"/>
    <n v="1070000"/>
    <n v="0"/>
    <n v="844000"/>
    <n v="2140000"/>
    <x v="960"/>
    <x v="4"/>
    <x v="1"/>
    <n v="6"/>
    <x v="15"/>
    <n v="0.60560747663551406"/>
  </r>
  <r>
    <s v="ID-2024-01525"/>
    <d v="2024-07-16T00:00:00"/>
    <s v="ST-001"/>
    <x v="0"/>
    <s v="CUST-026"/>
    <x v="2"/>
    <s v="PRD-011"/>
    <x v="19"/>
    <x v="3"/>
    <n v="2"/>
    <n v="973000"/>
    <n v="0.15"/>
    <n v="740000"/>
    <n v="1654100"/>
    <x v="961"/>
    <x v="5"/>
    <x v="1"/>
    <n v="7"/>
    <x v="5"/>
    <n v="0.55262680611813075"/>
  </r>
  <r>
    <s v="ID-2024-00994"/>
    <d v="2024-07-21T00:00:00"/>
    <s v="ST-001"/>
    <x v="0"/>
    <s v="CUST-106"/>
    <x v="1"/>
    <s v="PRD-011"/>
    <x v="19"/>
    <x v="3"/>
    <n v="1"/>
    <n v="916000"/>
    <n v="0"/>
    <n v="688000"/>
    <n v="916000"/>
    <x v="962"/>
    <x v="5"/>
    <x v="1"/>
    <n v="7"/>
    <x v="14"/>
    <n v="0.24890829694323144"/>
  </r>
  <r>
    <s v="ID-2024-00783"/>
    <d v="2024-08-06T00:00:00"/>
    <s v="ST-003"/>
    <x v="4"/>
    <s v="CUST-074"/>
    <x v="1"/>
    <s v="PRD-011"/>
    <x v="19"/>
    <x v="3"/>
    <n v="5"/>
    <n v="1214000"/>
    <n v="0"/>
    <n v="938000"/>
    <n v="6070000"/>
    <x v="963"/>
    <x v="6"/>
    <x v="1"/>
    <n v="8"/>
    <x v="29"/>
    <n v="0.84546952224052718"/>
  </r>
  <r>
    <s v="ID-2024-00889"/>
    <d v="2024-08-25T00:00:00"/>
    <s v="ST-005"/>
    <x v="1"/>
    <s v="CUST-098"/>
    <x v="0"/>
    <s v="PRD-011"/>
    <x v="19"/>
    <x v="3"/>
    <n v="3"/>
    <n v="1198000"/>
    <n v="0"/>
    <n v="922000"/>
    <n v="3594000"/>
    <x v="964"/>
    <x v="6"/>
    <x v="1"/>
    <n v="8"/>
    <x v="12"/>
    <n v="0.74346132442960489"/>
  </r>
  <r>
    <s v="ID-2024-00940"/>
    <d v="2024-10-28T00:00:00"/>
    <s v="ST-003"/>
    <x v="4"/>
    <s v="CUST-139"/>
    <x v="1"/>
    <s v="PRD-011"/>
    <x v="19"/>
    <x v="3"/>
    <n v="1"/>
    <n v="649000"/>
    <n v="0"/>
    <n v="492000"/>
    <n v="649000"/>
    <x v="816"/>
    <x v="8"/>
    <x v="1"/>
    <n v="10"/>
    <x v="4"/>
    <n v="0.24191063174114022"/>
  </r>
  <r>
    <s v="ID-2024-00349"/>
    <d v="2024-11-20T00:00:00"/>
    <s v="ST-003"/>
    <x v="4"/>
    <s v="CUST-075"/>
    <x v="2"/>
    <s v="PRD-011"/>
    <x v="19"/>
    <x v="3"/>
    <n v="5"/>
    <n v="1015000"/>
    <n v="0"/>
    <n v="792000"/>
    <n v="5075000"/>
    <x v="965"/>
    <x v="9"/>
    <x v="1"/>
    <n v="11"/>
    <x v="30"/>
    <n v="0.8439408866995074"/>
  </r>
  <r>
    <s v="ID-2024-00222"/>
    <d v="2024-11-20T00:00:00"/>
    <s v="ST-005"/>
    <x v="1"/>
    <s v="CUST-118"/>
    <x v="1"/>
    <s v="PRD-011"/>
    <x v="19"/>
    <x v="3"/>
    <n v="2"/>
    <n v="1009000"/>
    <n v="0"/>
    <n v="764000"/>
    <n v="2018000"/>
    <x v="966"/>
    <x v="9"/>
    <x v="1"/>
    <n v="11"/>
    <x v="30"/>
    <n v="0.62140733399405357"/>
  </r>
  <r>
    <s v="ID-2024-01781"/>
    <d v="2024-11-30T00:00:00"/>
    <s v="ST-003"/>
    <x v="4"/>
    <s v="CUST-044"/>
    <x v="2"/>
    <s v="PRD-011"/>
    <x v="19"/>
    <x v="3"/>
    <n v="2"/>
    <n v="830000"/>
    <n v="0"/>
    <n v="632000"/>
    <n v="1660000"/>
    <x v="967"/>
    <x v="9"/>
    <x v="1"/>
    <n v="11"/>
    <x v="15"/>
    <n v="0.61927710843373496"/>
  </r>
  <r>
    <s v="ID-2024-00730"/>
    <d v="2024-12-18T00:00:00"/>
    <s v="ST-004"/>
    <x v="2"/>
    <s v="CUST-074"/>
    <x v="1"/>
    <s v="PRD-011"/>
    <x v="19"/>
    <x v="3"/>
    <n v="1"/>
    <n v="1012000"/>
    <n v="0"/>
    <n v="779000"/>
    <n v="1012000"/>
    <x v="669"/>
    <x v="10"/>
    <x v="1"/>
    <n v="12"/>
    <x v="9"/>
    <n v="0.23023715415019763"/>
  </r>
  <r>
    <s v="ID-2024-00236"/>
    <d v="2024-12-29T00:00:00"/>
    <s v="ST-001"/>
    <x v="0"/>
    <s v="CUST-144"/>
    <x v="1"/>
    <s v="PRD-011"/>
    <x v="19"/>
    <x v="3"/>
    <n v="1"/>
    <n v="788000"/>
    <n v="0"/>
    <n v="618000"/>
    <n v="788000"/>
    <x v="817"/>
    <x v="10"/>
    <x v="1"/>
    <n v="12"/>
    <x v="7"/>
    <n v="0.21573604060913706"/>
  </r>
  <r>
    <s v="ID-2025-01135"/>
    <d v="2025-01-14T00:00:00"/>
    <s v="ST-002"/>
    <x v="3"/>
    <s v="CUST-118"/>
    <x v="1"/>
    <s v="PRD-011"/>
    <x v="19"/>
    <x v="3"/>
    <n v="3"/>
    <n v="1026000"/>
    <n v="0"/>
    <n v="797000"/>
    <n v="3078000"/>
    <x v="968"/>
    <x v="0"/>
    <x v="2"/>
    <n v="1"/>
    <x v="18"/>
    <n v="0.74106562703053935"/>
  </r>
  <r>
    <s v="ID-2025-00956"/>
    <d v="2025-01-23T00:00:00"/>
    <s v="ST-001"/>
    <x v="0"/>
    <s v="CUST-003"/>
    <x v="2"/>
    <s v="PRD-011"/>
    <x v="19"/>
    <x v="3"/>
    <n v="3"/>
    <n v="770000"/>
    <n v="0"/>
    <n v="594000"/>
    <n v="2310000"/>
    <x v="969"/>
    <x v="0"/>
    <x v="2"/>
    <n v="1"/>
    <x v="11"/>
    <n v="0.74285714285714288"/>
  </r>
  <r>
    <s v="ID-2025-01332"/>
    <d v="2025-02-23T00:00:00"/>
    <s v="ST-002"/>
    <x v="3"/>
    <s v="CUST-018"/>
    <x v="0"/>
    <s v="PRD-011"/>
    <x v="19"/>
    <x v="3"/>
    <n v="1"/>
    <n v="1282000"/>
    <n v="0.15"/>
    <n v="963000"/>
    <n v="1089700"/>
    <x v="970"/>
    <x v="1"/>
    <x v="2"/>
    <n v="2"/>
    <x v="11"/>
    <n v="0.11627053317426815"/>
  </r>
  <r>
    <s v="ID-2025-00355"/>
    <d v="2025-03-04T00:00:00"/>
    <s v="ST-003"/>
    <x v="4"/>
    <s v="CUST-007"/>
    <x v="1"/>
    <s v="PRD-011"/>
    <x v="19"/>
    <x v="3"/>
    <n v="1"/>
    <n v="1214000"/>
    <n v="0"/>
    <n v="916000"/>
    <n v="1214000"/>
    <x v="971"/>
    <x v="2"/>
    <x v="2"/>
    <n v="3"/>
    <x v="20"/>
    <n v="0.24546952224052718"/>
  </r>
  <r>
    <s v="ID-2025-01577"/>
    <d v="2025-03-12T00:00:00"/>
    <s v="ST-002"/>
    <x v="3"/>
    <s v="CUST-050"/>
    <x v="1"/>
    <s v="PRD-011"/>
    <x v="19"/>
    <x v="3"/>
    <n v="1"/>
    <n v="1208000"/>
    <n v="0"/>
    <n v="921000"/>
    <n v="1208000"/>
    <x v="972"/>
    <x v="2"/>
    <x v="2"/>
    <n v="3"/>
    <x v="10"/>
    <n v="0.23758278145695363"/>
  </r>
  <r>
    <s v="ID-2025-01435"/>
    <d v="2025-07-20T00:00:00"/>
    <s v="ST-001"/>
    <x v="0"/>
    <s v="CUST-072"/>
    <x v="1"/>
    <s v="PRD-011"/>
    <x v="19"/>
    <x v="3"/>
    <n v="5"/>
    <n v="1242000"/>
    <n v="0"/>
    <n v="943000"/>
    <n v="6210000"/>
    <x v="973"/>
    <x v="5"/>
    <x v="2"/>
    <n v="7"/>
    <x v="30"/>
    <n v="0.8481481481481481"/>
  </r>
  <r>
    <s v="ID-2025-01576"/>
    <d v="2025-10-04T00:00:00"/>
    <s v="ST-003"/>
    <x v="4"/>
    <s v="CUST-130"/>
    <x v="0"/>
    <s v="PRD-011"/>
    <x v="19"/>
    <x v="3"/>
    <n v="1"/>
    <n v="570000"/>
    <n v="0"/>
    <n v="448000"/>
    <n v="570000"/>
    <x v="541"/>
    <x v="8"/>
    <x v="2"/>
    <n v="10"/>
    <x v="20"/>
    <n v="0.21403508771929824"/>
  </r>
  <r>
    <s v="ID-2025-00339"/>
    <d v="2025-11-20T00:00:00"/>
    <s v="ST-003"/>
    <x v="4"/>
    <s v="CUST-063"/>
    <x v="1"/>
    <s v="PRD-011"/>
    <x v="19"/>
    <x v="3"/>
    <n v="1"/>
    <n v="835000"/>
    <n v="0"/>
    <n v="659000"/>
    <n v="835000"/>
    <x v="489"/>
    <x v="9"/>
    <x v="2"/>
    <n v="11"/>
    <x v="30"/>
    <n v="0.21077844311377245"/>
  </r>
  <r>
    <s v="ID-2025-01644"/>
    <d v="2025-11-25T00:00:00"/>
    <s v="ST-001"/>
    <x v="0"/>
    <s v="CUST-003"/>
    <x v="2"/>
    <s v="PRD-011"/>
    <x v="19"/>
    <x v="3"/>
    <n v="5"/>
    <n v="1219000"/>
    <n v="0"/>
    <n v="918000"/>
    <n v="6095000"/>
    <x v="974"/>
    <x v="9"/>
    <x v="2"/>
    <n v="11"/>
    <x v="12"/>
    <n v="0.84938474159146837"/>
  </r>
  <r>
    <s v="ID-2025-00131"/>
    <d v="2025-12-09T00:00:00"/>
    <s v="ST-001"/>
    <x v="0"/>
    <s v="CUST-032"/>
    <x v="1"/>
    <s v="PRD-011"/>
    <x v="19"/>
    <x v="3"/>
    <n v="2"/>
    <n v="959000"/>
    <n v="0"/>
    <n v="732000"/>
    <n v="1918000"/>
    <x v="975"/>
    <x v="10"/>
    <x v="2"/>
    <n v="12"/>
    <x v="1"/>
    <n v="0.61835245046923881"/>
  </r>
  <r>
    <s v="ID-2025-00457"/>
    <d v="2025-12-10T00:00:00"/>
    <s v="ST-001"/>
    <x v="0"/>
    <s v="CUST-128"/>
    <x v="1"/>
    <s v="PRD-011"/>
    <x v="19"/>
    <x v="3"/>
    <n v="1"/>
    <n v="1069000"/>
    <n v="0"/>
    <n v="805000"/>
    <n v="1069000"/>
    <x v="976"/>
    <x v="10"/>
    <x v="2"/>
    <n v="12"/>
    <x v="13"/>
    <n v="0.2469597754911132"/>
  </r>
  <r>
    <s v="ID-2025-00533"/>
    <d v="2025-12-20T00:00:00"/>
    <s v="ST-003"/>
    <x v="4"/>
    <s v="CUST-111"/>
    <x v="1"/>
    <s v="PRD-011"/>
    <x v="19"/>
    <x v="3"/>
    <n v="1"/>
    <n v="813000"/>
    <n v="0"/>
    <n v="611000"/>
    <n v="813000"/>
    <x v="977"/>
    <x v="10"/>
    <x v="2"/>
    <n v="12"/>
    <x v="30"/>
    <n v="0.24846248462484624"/>
  </r>
  <r>
    <s v="ID-2025-00945"/>
    <d v="2025-12-31T00:00:00"/>
    <s v="ST-001"/>
    <x v="0"/>
    <s v="CUST-121"/>
    <x v="1"/>
    <s v="PRD-011"/>
    <x v="19"/>
    <x v="3"/>
    <n v="1"/>
    <n v="1040000"/>
    <n v="0"/>
    <n v="791000"/>
    <n v="1040000"/>
    <x v="978"/>
    <x v="10"/>
    <x v="2"/>
    <n v="12"/>
    <x v="28"/>
    <n v="0.23942307692307693"/>
  </r>
  <r>
    <s v="ID-2026-00799"/>
    <d v="2026-02-24T00:00:00"/>
    <s v="ST-004"/>
    <x v="2"/>
    <s v="CUST-111"/>
    <x v="1"/>
    <s v="PRD-011"/>
    <x v="19"/>
    <x v="3"/>
    <n v="3"/>
    <n v="1269000"/>
    <n v="0"/>
    <n v="995000"/>
    <n v="3807000"/>
    <x v="979"/>
    <x v="1"/>
    <x v="3"/>
    <n v="2"/>
    <x v="25"/>
    <n v="0.73863934856842661"/>
  </r>
  <r>
    <s v="ID-2026-00047"/>
    <d v="2026-03-14T00:00:00"/>
    <s v="ST-003"/>
    <x v="4"/>
    <s v="CUST-047"/>
    <x v="1"/>
    <s v="PRD-011"/>
    <x v="19"/>
    <x v="3"/>
    <n v="1"/>
    <n v="1099000"/>
    <n v="0.1"/>
    <n v="835000"/>
    <n v="989100"/>
    <x v="980"/>
    <x v="2"/>
    <x v="3"/>
    <n v="3"/>
    <x v="18"/>
    <n v="0.15579820038418765"/>
  </r>
  <r>
    <s v="ID-2026-01717"/>
    <d v="2026-03-15T00:00:00"/>
    <s v="ST-004"/>
    <x v="2"/>
    <s v="CUST-002"/>
    <x v="3"/>
    <s v="PRD-011"/>
    <x v="19"/>
    <x v="3"/>
    <n v="1"/>
    <n v="1153000"/>
    <n v="0"/>
    <n v="879000"/>
    <n v="1153000"/>
    <x v="863"/>
    <x v="2"/>
    <x v="3"/>
    <n v="3"/>
    <x v="19"/>
    <n v="0.23764093668690373"/>
  </r>
  <r>
    <s v="ID-2026-00854"/>
    <d v="2026-03-19T00:00:00"/>
    <s v="ST-001"/>
    <x v="0"/>
    <s v="CUST-120"/>
    <x v="0"/>
    <s v="PRD-011"/>
    <x v="19"/>
    <x v="3"/>
    <n v="1"/>
    <n v="1353000"/>
    <n v="0"/>
    <n v="1042000"/>
    <n v="1353000"/>
    <x v="655"/>
    <x v="2"/>
    <x v="3"/>
    <n v="3"/>
    <x v="26"/>
    <n v="0.22985957132298596"/>
  </r>
  <r>
    <s v="ID-2026-00572"/>
    <d v="2026-03-21T00:00:00"/>
    <s v="ST-002"/>
    <x v="3"/>
    <s v="CUST-064"/>
    <x v="1"/>
    <s v="PRD-011"/>
    <x v="19"/>
    <x v="3"/>
    <n v="1"/>
    <n v="930000"/>
    <n v="0"/>
    <n v="723000"/>
    <n v="930000"/>
    <x v="981"/>
    <x v="2"/>
    <x v="3"/>
    <n v="3"/>
    <x v="14"/>
    <n v="0.22258064516129034"/>
  </r>
  <r>
    <s v="ID-2026-00503"/>
    <d v="2026-04-10T00:00:00"/>
    <s v="ST-004"/>
    <x v="2"/>
    <s v="CUST-065"/>
    <x v="1"/>
    <s v="PRD-011"/>
    <x v="19"/>
    <x v="3"/>
    <n v="1"/>
    <n v="804000"/>
    <n v="0.1"/>
    <n v="631000"/>
    <n v="723600"/>
    <x v="982"/>
    <x v="11"/>
    <x v="3"/>
    <n v="4"/>
    <x v="13"/>
    <n v="0.12797125483692648"/>
  </r>
  <r>
    <s v="ID-2026-01668"/>
    <d v="2026-04-24T00:00:00"/>
    <s v="ST-001"/>
    <x v="0"/>
    <s v="CUST-080"/>
    <x v="1"/>
    <s v="PRD-011"/>
    <x v="19"/>
    <x v="3"/>
    <n v="3"/>
    <n v="1269000"/>
    <n v="0"/>
    <n v="977000"/>
    <n v="3807000"/>
    <x v="983"/>
    <x v="11"/>
    <x v="3"/>
    <n v="4"/>
    <x v="25"/>
    <n v="0.74336748095613348"/>
  </r>
  <r>
    <s v="ID-2026-01499"/>
    <d v="2026-05-20T00:00:00"/>
    <s v="ST-002"/>
    <x v="3"/>
    <s v="CUST-035"/>
    <x v="3"/>
    <s v="PRD-011"/>
    <x v="19"/>
    <x v="3"/>
    <n v="1"/>
    <n v="943000"/>
    <n v="0"/>
    <n v="728000"/>
    <n v="943000"/>
    <x v="950"/>
    <x v="3"/>
    <x v="3"/>
    <n v="5"/>
    <x v="30"/>
    <n v="0.22799575821845175"/>
  </r>
  <r>
    <s v="ID-2026-01463"/>
    <d v="2026-05-22T00:00:00"/>
    <s v="ST-001"/>
    <x v="0"/>
    <s v="CUST-053"/>
    <x v="2"/>
    <s v="PRD-011"/>
    <x v="19"/>
    <x v="3"/>
    <n v="1"/>
    <n v="809000"/>
    <n v="0"/>
    <n v="628000"/>
    <n v="809000"/>
    <x v="217"/>
    <x v="3"/>
    <x v="3"/>
    <n v="5"/>
    <x v="16"/>
    <n v="0.22373300370828184"/>
  </r>
  <r>
    <s v="ID-2026-00496"/>
    <d v="2026-06-09T00:00:00"/>
    <s v="ST-005"/>
    <x v="1"/>
    <s v="CUST-019"/>
    <x v="0"/>
    <s v="PRD-011"/>
    <x v="19"/>
    <x v="3"/>
    <n v="3"/>
    <n v="1046000"/>
    <n v="0.05"/>
    <n v="817000"/>
    <n v="2981100"/>
    <x v="984"/>
    <x v="4"/>
    <x v="3"/>
    <n v="6"/>
    <x v="1"/>
    <n v="0.72594008922880815"/>
  </r>
  <r>
    <s v="ID-2023-00983"/>
    <d v="2023-01-28T00:00:00"/>
    <s v="ST-002"/>
    <x v="3"/>
    <s v="CUST-108"/>
    <x v="2"/>
    <s v="PRD-001"/>
    <x v="20"/>
    <x v="1"/>
    <n v="1"/>
    <n v="3724000"/>
    <n v="0.1"/>
    <n v="2748000"/>
    <n v="3351600"/>
    <x v="985"/>
    <x v="0"/>
    <x v="0"/>
    <n v="1"/>
    <x v="4"/>
    <n v="0.18009308986752595"/>
  </r>
  <r>
    <s v="ID-2023-00097"/>
    <d v="2023-02-09T00:00:00"/>
    <s v="ST-001"/>
    <x v="0"/>
    <s v="CUST-024"/>
    <x v="1"/>
    <s v="PRD-001"/>
    <x v="20"/>
    <x v="1"/>
    <n v="1"/>
    <n v="3492303.0303030303"/>
    <n v="0"/>
    <n v="0"/>
    <n v="3492303.0303030303"/>
    <x v="986"/>
    <x v="1"/>
    <x v="0"/>
    <n v="2"/>
    <x v="1"/>
    <n v="1"/>
  </r>
  <r>
    <s v="ID-2023-00295"/>
    <d v="2023-02-13T00:00:00"/>
    <s v="ST-001"/>
    <x v="0"/>
    <s v="CUST-108"/>
    <x v="2"/>
    <s v="PRD-001"/>
    <x v="20"/>
    <x v="1"/>
    <n v="1"/>
    <n v="2086000"/>
    <n v="0"/>
    <n v="1571000"/>
    <n v="2086000"/>
    <x v="987"/>
    <x v="1"/>
    <x v="0"/>
    <n v="2"/>
    <x v="23"/>
    <n v="0.24688398849472676"/>
  </r>
  <r>
    <s v="ID-2023-01096"/>
    <d v="2023-02-28T00:00:00"/>
    <s v="ST-003"/>
    <x v="4"/>
    <s v="CUST-039"/>
    <x v="0"/>
    <s v="PRD-001"/>
    <x v="20"/>
    <x v="1"/>
    <n v="1"/>
    <n v="4042000"/>
    <n v="0.1"/>
    <n v="2990000"/>
    <n v="3637800"/>
    <x v="988"/>
    <x v="1"/>
    <x v="0"/>
    <n v="2"/>
    <x v="4"/>
    <n v="0.1780746605090989"/>
  </r>
  <r>
    <s v="ID-2023-00820"/>
    <d v="2023-03-05T00:00:00"/>
    <s v="ST-001"/>
    <x v="0"/>
    <s v="CUST-011"/>
    <x v="1"/>
    <s v="PRD-001"/>
    <x v="20"/>
    <x v="1"/>
    <n v="5"/>
    <n v="3078000"/>
    <n v="0"/>
    <n v="2264000"/>
    <n v="15390000"/>
    <x v="989"/>
    <x v="2"/>
    <x v="0"/>
    <n v="3"/>
    <x v="21"/>
    <n v="0.85289148797920733"/>
  </r>
  <r>
    <s v="ID-2023-01162"/>
    <d v="2023-04-08T00:00:00"/>
    <s v="ST-002"/>
    <x v="3"/>
    <s v="CUST-012"/>
    <x v="3"/>
    <s v="PRD-001"/>
    <x v="20"/>
    <x v="1"/>
    <n v="2"/>
    <n v="3492303.0303030303"/>
    <n v="0.1"/>
    <n v="2405000"/>
    <n v="6286145.4545454551"/>
    <x v="990"/>
    <x v="11"/>
    <x v="0"/>
    <n v="4"/>
    <x v="27"/>
    <n v="0.61741260723437985"/>
  </r>
  <r>
    <s v="ID-2023-01271"/>
    <d v="2023-04-25T00:00:00"/>
    <s v="ST-002"/>
    <x v="3"/>
    <s v="CUST-058"/>
    <x v="1"/>
    <s v="PRD-001"/>
    <x v="20"/>
    <x v="1"/>
    <n v="1"/>
    <n v="2755000"/>
    <n v="0.1"/>
    <n v="2025000"/>
    <n v="2479500"/>
    <x v="991"/>
    <x v="11"/>
    <x v="0"/>
    <n v="4"/>
    <x v="12"/>
    <n v="0.18330308529945555"/>
  </r>
  <r>
    <s v="ID-2023-00465"/>
    <d v="2023-06-09T00:00:00"/>
    <s v="ST-002"/>
    <x v="3"/>
    <s v="CUST-120"/>
    <x v="0"/>
    <s v="PRD-001"/>
    <x v="20"/>
    <x v="1"/>
    <n v="3"/>
    <n v="3680000"/>
    <n v="0"/>
    <n v="2774000"/>
    <n v="11040000"/>
    <x v="992"/>
    <x v="4"/>
    <x v="0"/>
    <n v="6"/>
    <x v="1"/>
    <n v="0.74873188405797098"/>
  </r>
  <r>
    <s v="ID-2023-00553"/>
    <d v="2023-06-11T00:00:00"/>
    <s v="ST-005"/>
    <x v="1"/>
    <s v="CUST-147"/>
    <x v="0"/>
    <s v="PRD-001"/>
    <x v="20"/>
    <x v="1"/>
    <n v="1"/>
    <n v="3633000"/>
    <n v="0.1"/>
    <n v="2637000"/>
    <n v="3269700"/>
    <x v="993"/>
    <x v="4"/>
    <x v="0"/>
    <n v="6"/>
    <x v="22"/>
    <n v="0.19350399119185246"/>
  </r>
  <r>
    <s v="ID-2023-00778"/>
    <d v="2023-06-16T00:00:00"/>
    <s v="ST-003"/>
    <x v="4"/>
    <s v="CUST-032"/>
    <x v="1"/>
    <s v="PRD-001"/>
    <x v="20"/>
    <x v="1"/>
    <n v="1"/>
    <n v="3117000"/>
    <n v="0"/>
    <n v="2274000"/>
    <n v="3117000"/>
    <x v="994"/>
    <x v="4"/>
    <x v="0"/>
    <n v="6"/>
    <x v="5"/>
    <n v="0.27045235803657364"/>
  </r>
  <r>
    <s v="ID-2023-01303"/>
    <d v="2023-06-17T00:00:00"/>
    <s v="ST-003"/>
    <x v="4"/>
    <s v="CUST-055"/>
    <x v="0"/>
    <s v="PRD-001"/>
    <x v="20"/>
    <x v="1"/>
    <n v="1"/>
    <n v="4484000"/>
    <n v="0"/>
    <n v="3265000"/>
    <n v="4484000"/>
    <x v="995"/>
    <x v="4"/>
    <x v="0"/>
    <n v="6"/>
    <x v="2"/>
    <n v="0.27185548617305977"/>
  </r>
  <r>
    <s v="ID-2023-01676"/>
    <d v="2023-06-21T00:00:00"/>
    <s v="ST-002"/>
    <x v="3"/>
    <s v="CUST-075"/>
    <x v="2"/>
    <s v="PRD-001"/>
    <x v="20"/>
    <x v="1"/>
    <n v="1"/>
    <n v="3580000"/>
    <n v="0"/>
    <n v="2616000"/>
    <n v="3580000"/>
    <x v="996"/>
    <x v="4"/>
    <x v="0"/>
    <n v="6"/>
    <x v="14"/>
    <n v="0.26927374301675977"/>
  </r>
  <r>
    <s v="ID-2023-01436"/>
    <d v="2023-06-23T00:00:00"/>
    <s v="ST-001"/>
    <x v="0"/>
    <s v="CUST-006"/>
    <x v="1"/>
    <s v="PRD-001"/>
    <x v="20"/>
    <x v="1"/>
    <n v="2"/>
    <n v="2924000"/>
    <n v="0"/>
    <n v="2159000"/>
    <n v="5848000"/>
    <x v="997"/>
    <x v="4"/>
    <x v="0"/>
    <n v="6"/>
    <x v="11"/>
    <n v="0.6308139534883721"/>
  </r>
  <r>
    <s v="ID-2023-00642"/>
    <d v="2023-07-19T00:00:00"/>
    <s v="ST-004"/>
    <x v="2"/>
    <s v="CUST-035"/>
    <x v="3"/>
    <s v="PRD-001"/>
    <x v="20"/>
    <x v="1"/>
    <n v="1"/>
    <n v="3221000"/>
    <n v="0.05"/>
    <n v="2374000"/>
    <n v="3059950"/>
    <x v="998"/>
    <x v="5"/>
    <x v="0"/>
    <n v="7"/>
    <x v="26"/>
    <n v="0.22417032958054869"/>
  </r>
  <r>
    <s v="ID-2023-00116"/>
    <d v="2023-07-26T00:00:00"/>
    <s v="ST-002"/>
    <x v="3"/>
    <s v="CUST-099"/>
    <x v="1"/>
    <s v="PRD-001"/>
    <x v="20"/>
    <x v="1"/>
    <n v="2"/>
    <n v="2275000"/>
    <n v="0"/>
    <n v="1645000"/>
    <n v="4550000"/>
    <x v="999"/>
    <x v="5"/>
    <x v="0"/>
    <n v="7"/>
    <x v="6"/>
    <n v="0.63846153846153841"/>
  </r>
  <r>
    <s v="ID-2023-01440"/>
    <d v="2023-08-21T00:00:00"/>
    <s v="ST-001"/>
    <x v="0"/>
    <s v="CUST-124"/>
    <x v="1"/>
    <s v="PRD-001"/>
    <x v="20"/>
    <x v="1"/>
    <n v="1"/>
    <n v="3966000"/>
    <n v="0"/>
    <n v="2931000"/>
    <n v="3966000"/>
    <x v="1000"/>
    <x v="6"/>
    <x v="0"/>
    <n v="8"/>
    <x v="14"/>
    <n v="0.26096822995461422"/>
  </r>
  <r>
    <s v="ID-2023-01392"/>
    <d v="2023-08-25T00:00:00"/>
    <s v="ST-005"/>
    <x v="1"/>
    <s v="CUST-096"/>
    <x v="0"/>
    <s v="PRD-001"/>
    <x v="20"/>
    <x v="1"/>
    <n v="2"/>
    <n v="4159000"/>
    <n v="0"/>
    <n v="3148000"/>
    <n v="8318000"/>
    <x v="1001"/>
    <x v="6"/>
    <x v="0"/>
    <n v="8"/>
    <x v="12"/>
    <n v="0.62154364029814857"/>
  </r>
  <r>
    <s v="ID-2023-01772"/>
    <d v="2023-08-27T00:00:00"/>
    <s v="ST-001"/>
    <x v="0"/>
    <s v="CUST-070"/>
    <x v="3"/>
    <s v="PRD-001"/>
    <x v="20"/>
    <x v="1"/>
    <n v="1"/>
    <n v="2743000"/>
    <n v="0.05"/>
    <n v="2049000"/>
    <n v="2605850"/>
    <x v="1002"/>
    <x v="6"/>
    <x v="0"/>
    <n v="8"/>
    <x v="24"/>
    <n v="0.21369226931711341"/>
  </r>
  <r>
    <s v="ID-2023-01467"/>
    <d v="2023-08-27T00:00:00"/>
    <s v="ST-001"/>
    <x v="0"/>
    <s v="CUST-147"/>
    <x v="0"/>
    <s v="PRD-001"/>
    <x v="20"/>
    <x v="1"/>
    <n v="1"/>
    <n v="2474000"/>
    <n v="0"/>
    <n v="1869000"/>
    <n v="2474000"/>
    <x v="154"/>
    <x v="6"/>
    <x v="0"/>
    <n v="8"/>
    <x v="24"/>
    <n v="0.24454324979789815"/>
  </r>
  <r>
    <s v="ID-2023-01701"/>
    <d v="2023-10-01T00:00:00"/>
    <s v="ST-003"/>
    <x v="4"/>
    <s v="CUST-025"/>
    <x v="0"/>
    <s v="PRD-001"/>
    <x v="20"/>
    <x v="1"/>
    <n v="1"/>
    <n v="3328000"/>
    <n v="0"/>
    <n v="2511000"/>
    <n v="3328000"/>
    <x v="1003"/>
    <x v="8"/>
    <x v="0"/>
    <n v="10"/>
    <x v="0"/>
    <n v="0.24549278846153846"/>
  </r>
  <r>
    <s v="ID-2024-01348"/>
    <d v="2024-01-29T00:00:00"/>
    <s v="ST-001"/>
    <x v="0"/>
    <s v="CUST-026"/>
    <x v="2"/>
    <s v="PRD-001"/>
    <x v="20"/>
    <x v="1"/>
    <n v="3"/>
    <n v="2717000"/>
    <n v="0"/>
    <n v="2015000"/>
    <n v="8151000"/>
    <x v="1004"/>
    <x v="0"/>
    <x v="1"/>
    <n v="1"/>
    <x v="7"/>
    <n v="0.75279106858054223"/>
  </r>
  <r>
    <s v="ID-2024-00200"/>
    <d v="2024-02-01T00:00:00"/>
    <s v="ST-001"/>
    <x v="0"/>
    <s v="CUST-057"/>
    <x v="1"/>
    <s v="PRD-001"/>
    <x v="20"/>
    <x v="1"/>
    <n v="1"/>
    <n v="4101000"/>
    <n v="0"/>
    <n v="3093000"/>
    <n v="4101000"/>
    <x v="1005"/>
    <x v="1"/>
    <x v="1"/>
    <n v="2"/>
    <x v="0"/>
    <n v="0.24579370885149962"/>
  </r>
  <r>
    <s v="ID-2024-01234"/>
    <d v="2024-03-16T00:00:00"/>
    <s v="ST-004"/>
    <x v="2"/>
    <s v="CUST-029"/>
    <x v="0"/>
    <s v="PRD-001"/>
    <x v="20"/>
    <x v="1"/>
    <n v="1"/>
    <n v="2680000"/>
    <n v="0"/>
    <n v="1977000"/>
    <n v="2680000"/>
    <x v="1006"/>
    <x v="2"/>
    <x v="1"/>
    <n v="3"/>
    <x v="5"/>
    <n v="0.26231343283582087"/>
  </r>
  <r>
    <s v="ID-2024-00320"/>
    <d v="2024-03-17T00:00:00"/>
    <s v="ST-002"/>
    <x v="3"/>
    <s v="CUST-108"/>
    <x v="2"/>
    <s v="PRD-001"/>
    <x v="20"/>
    <x v="1"/>
    <n v="1"/>
    <n v="2177000"/>
    <n v="0.15"/>
    <n v="1639000"/>
    <n v="1850450"/>
    <x v="1007"/>
    <x v="2"/>
    <x v="1"/>
    <n v="3"/>
    <x v="2"/>
    <n v="0.11426950201302385"/>
  </r>
  <r>
    <s v="ID-2024-00595"/>
    <d v="2024-04-15T00:00:00"/>
    <s v="ST-001"/>
    <x v="0"/>
    <s v="CUST-098"/>
    <x v="0"/>
    <s v="PRD-001"/>
    <x v="20"/>
    <x v="1"/>
    <n v="2"/>
    <n v="4018000"/>
    <n v="0"/>
    <n v="3003000"/>
    <n v="8036000"/>
    <x v="1008"/>
    <x v="11"/>
    <x v="1"/>
    <n v="4"/>
    <x v="19"/>
    <n v="0.62630662020905925"/>
  </r>
  <r>
    <s v="ID-2024-00302"/>
    <d v="2024-04-22T00:00:00"/>
    <s v="ST-001"/>
    <x v="0"/>
    <s v="CUST-128"/>
    <x v="1"/>
    <s v="PRD-001"/>
    <x v="20"/>
    <x v="1"/>
    <n v="2"/>
    <n v="4286000"/>
    <n v="0"/>
    <n v="3223000"/>
    <n v="8572000"/>
    <x v="1009"/>
    <x v="11"/>
    <x v="1"/>
    <n v="4"/>
    <x v="16"/>
    <n v="0.62400839944003728"/>
  </r>
  <r>
    <s v="ID-2024-00555"/>
    <d v="2024-04-25T00:00:00"/>
    <s v="ST-003"/>
    <x v="4"/>
    <s v="CUST-075"/>
    <x v="2"/>
    <s v="PRD-001"/>
    <x v="20"/>
    <x v="1"/>
    <n v="1"/>
    <n v="3721000"/>
    <n v="0"/>
    <n v="2742000"/>
    <n v="3721000"/>
    <x v="241"/>
    <x v="11"/>
    <x v="1"/>
    <n v="4"/>
    <x v="12"/>
    <n v="0.26310131685030907"/>
  </r>
  <r>
    <s v="ID-2024-01450"/>
    <d v="2024-05-07T00:00:00"/>
    <s v="ST-003"/>
    <x v="4"/>
    <s v="CUST-147"/>
    <x v="0"/>
    <s v="PRD-001"/>
    <x v="20"/>
    <x v="1"/>
    <n v="1"/>
    <n v="3699000"/>
    <n v="0"/>
    <n v="2721000"/>
    <n v="3699000"/>
    <x v="1010"/>
    <x v="3"/>
    <x v="1"/>
    <n v="5"/>
    <x v="3"/>
    <n v="0.2643957826439578"/>
  </r>
  <r>
    <s v="ID-2024-01591"/>
    <d v="2024-08-27T00:00:00"/>
    <s v="ST-001"/>
    <x v="0"/>
    <s v="CUST-136"/>
    <x v="1"/>
    <s v="PRD-001"/>
    <x v="20"/>
    <x v="1"/>
    <n v="1"/>
    <n v="4419000"/>
    <n v="0"/>
    <n v="3316000"/>
    <n v="4419000"/>
    <x v="1011"/>
    <x v="6"/>
    <x v="1"/>
    <n v="8"/>
    <x v="24"/>
    <n v="0.24960398280153881"/>
  </r>
  <r>
    <s v="ID-2024-01656"/>
    <d v="2024-09-09T00:00:00"/>
    <s v="ST-002"/>
    <x v="3"/>
    <s v="CUST-018"/>
    <x v="0"/>
    <s v="PRD-001"/>
    <x v="20"/>
    <x v="1"/>
    <n v="1"/>
    <n v="3798000"/>
    <n v="0"/>
    <n v="2831000"/>
    <n v="3798000"/>
    <x v="1012"/>
    <x v="7"/>
    <x v="1"/>
    <n v="9"/>
    <x v="1"/>
    <n v="0.25460768825697738"/>
  </r>
  <r>
    <s v="ID-2024-00377"/>
    <d v="2024-09-30T00:00:00"/>
    <s v="ST-004"/>
    <x v="2"/>
    <s v="CUST-032"/>
    <x v="1"/>
    <s v="PRD-001"/>
    <x v="20"/>
    <x v="1"/>
    <n v="1"/>
    <n v="3600000"/>
    <n v="0.05"/>
    <n v="2699000"/>
    <n v="3420000"/>
    <x v="1013"/>
    <x v="7"/>
    <x v="1"/>
    <n v="9"/>
    <x v="15"/>
    <n v="0.21081871345029241"/>
  </r>
  <r>
    <s v="ID-2024-01404"/>
    <d v="2024-10-05T00:00:00"/>
    <s v="ST-001"/>
    <x v="0"/>
    <s v="CUST-089"/>
    <x v="1"/>
    <s v="PRD-001"/>
    <x v="20"/>
    <x v="1"/>
    <n v="1"/>
    <n v="4299000"/>
    <n v="0"/>
    <n v="3258000"/>
    <n v="4299000"/>
    <x v="1014"/>
    <x v="8"/>
    <x v="1"/>
    <n v="10"/>
    <x v="21"/>
    <n v="0.24214933705512909"/>
  </r>
  <r>
    <s v="ID-2024-00134"/>
    <d v="2024-11-15T00:00:00"/>
    <s v="ST-001"/>
    <x v="0"/>
    <s v="CUST-126"/>
    <x v="0"/>
    <s v="PRD-001"/>
    <x v="20"/>
    <x v="1"/>
    <n v="1"/>
    <n v="2529000"/>
    <n v="0"/>
    <n v="1900000"/>
    <n v="2529000"/>
    <x v="1015"/>
    <x v="9"/>
    <x v="1"/>
    <n v="11"/>
    <x v="19"/>
    <n v="0.2487149070778964"/>
  </r>
  <r>
    <s v="ID-2024-00158"/>
    <d v="2024-11-20T00:00:00"/>
    <s v="ST-001"/>
    <x v="0"/>
    <s v="CUST-127"/>
    <x v="1"/>
    <s v="PRD-001"/>
    <x v="20"/>
    <x v="1"/>
    <n v="1"/>
    <n v="3753000"/>
    <n v="0"/>
    <n v="2723000"/>
    <n v="3753000"/>
    <x v="1016"/>
    <x v="9"/>
    <x v="1"/>
    <n v="11"/>
    <x v="30"/>
    <n v="0.2744471089794831"/>
  </r>
  <r>
    <s v="ID-2024-01152"/>
    <d v="2024-12-13T00:00:00"/>
    <s v="ST-003"/>
    <x v="4"/>
    <s v="CUST-123"/>
    <x v="1"/>
    <s v="PRD-001"/>
    <x v="20"/>
    <x v="1"/>
    <n v="1"/>
    <n v="4075000"/>
    <n v="0.15"/>
    <n v="2955000"/>
    <n v="3463750"/>
    <x v="1017"/>
    <x v="10"/>
    <x v="1"/>
    <n v="12"/>
    <x v="23"/>
    <n v="0.14687838325514255"/>
  </r>
  <r>
    <s v="ID-2025-01108"/>
    <d v="2025-02-04T00:00:00"/>
    <s v="ST-001"/>
    <x v="0"/>
    <s v="CUST-130"/>
    <x v="0"/>
    <s v="PRD-001"/>
    <x v="20"/>
    <x v="1"/>
    <n v="1"/>
    <n v="3558000"/>
    <n v="0"/>
    <n v="2621000"/>
    <n v="3558000"/>
    <x v="1018"/>
    <x v="1"/>
    <x v="2"/>
    <n v="2"/>
    <x v="20"/>
    <n v="0.26335019673974142"/>
  </r>
  <r>
    <s v="ID-2025-00290"/>
    <d v="2025-02-23T00:00:00"/>
    <s v="ST-002"/>
    <x v="3"/>
    <s v="CUST-150"/>
    <x v="1"/>
    <s v="PRD-001"/>
    <x v="20"/>
    <x v="1"/>
    <n v="1"/>
    <n v="3657000"/>
    <n v="0"/>
    <n v="2722000"/>
    <n v="3657000"/>
    <x v="1019"/>
    <x v="1"/>
    <x v="2"/>
    <n v="2"/>
    <x v="11"/>
    <n v="0.25567404976756902"/>
  </r>
  <r>
    <s v="ID-2025-01197"/>
    <d v="2025-02-24T00:00:00"/>
    <s v="ST-004"/>
    <x v="2"/>
    <s v="CUST-144"/>
    <x v="1"/>
    <s v="PRD-001"/>
    <x v="20"/>
    <x v="1"/>
    <n v="2"/>
    <n v="2695000"/>
    <n v="0"/>
    <n v="1998000"/>
    <n v="5390000"/>
    <x v="1020"/>
    <x v="1"/>
    <x v="2"/>
    <n v="2"/>
    <x v="25"/>
    <n v="0.62931354359925784"/>
  </r>
  <r>
    <s v="ID-2025-00997"/>
    <d v="2025-03-09T00:00:00"/>
    <s v="ST-001"/>
    <x v="0"/>
    <s v="CUST-055"/>
    <x v="0"/>
    <s v="PRD-001"/>
    <x v="20"/>
    <x v="1"/>
    <n v="1"/>
    <n v="4645000"/>
    <n v="0"/>
    <n v="3419000"/>
    <n v="4645000"/>
    <x v="1021"/>
    <x v="2"/>
    <x v="2"/>
    <n v="3"/>
    <x v="1"/>
    <n v="0.26393972012917116"/>
  </r>
  <r>
    <s v="ID-2025-01673"/>
    <d v="2025-04-21T00:00:00"/>
    <s v="ST-001"/>
    <x v="0"/>
    <s v="CUST-130"/>
    <x v="0"/>
    <s v="PRD-001"/>
    <x v="20"/>
    <x v="1"/>
    <n v="1"/>
    <n v="3529000"/>
    <n v="0"/>
    <n v="2633000"/>
    <n v="3529000"/>
    <x v="1022"/>
    <x v="11"/>
    <x v="2"/>
    <n v="4"/>
    <x v="14"/>
    <n v="0.25389628790025504"/>
  </r>
  <r>
    <s v="ID-2025-01798"/>
    <d v="2025-04-25T00:00:00"/>
    <s v="ST-001"/>
    <x v="0"/>
    <s v="CUST-119"/>
    <x v="1"/>
    <s v="PRD-001"/>
    <x v="20"/>
    <x v="1"/>
    <n v="1"/>
    <n v="4127000"/>
    <n v="0.15"/>
    <n v="3019000"/>
    <n v="3507950"/>
    <x v="1023"/>
    <x v="11"/>
    <x v="2"/>
    <n v="4"/>
    <x v="12"/>
    <n v="0.13938340056158155"/>
  </r>
  <r>
    <s v="ID-2025-00564"/>
    <d v="2025-05-18T00:00:00"/>
    <s v="ST-002"/>
    <x v="3"/>
    <s v="CUST-015"/>
    <x v="1"/>
    <s v="PRD-001"/>
    <x v="20"/>
    <x v="1"/>
    <n v="1"/>
    <n v="3898000"/>
    <n v="0"/>
    <n v="2814000"/>
    <n v="3898000"/>
    <x v="1024"/>
    <x v="3"/>
    <x v="2"/>
    <n v="5"/>
    <x v="9"/>
    <n v="0.27809132888660854"/>
  </r>
  <r>
    <s v="ID-2025-00412"/>
    <d v="2025-05-25T00:00:00"/>
    <s v="ST-001"/>
    <x v="0"/>
    <s v="CUST-069"/>
    <x v="1"/>
    <s v="PRD-001"/>
    <x v="20"/>
    <x v="1"/>
    <n v="1"/>
    <n v="4687000"/>
    <n v="0"/>
    <n v="3464000"/>
    <n v="4687000"/>
    <x v="726"/>
    <x v="3"/>
    <x v="2"/>
    <n v="5"/>
    <x v="12"/>
    <n v="0.26093449967996585"/>
  </r>
  <r>
    <s v="ID-2025-00692"/>
    <d v="2025-06-17T00:00:00"/>
    <s v="ST-002"/>
    <x v="3"/>
    <s v="CUST-120"/>
    <x v="0"/>
    <s v="PRD-001"/>
    <x v="20"/>
    <x v="1"/>
    <n v="1"/>
    <n v="3366000"/>
    <n v="0"/>
    <n v="2527000"/>
    <n v="3366000"/>
    <x v="1025"/>
    <x v="4"/>
    <x v="2"/>
    <n v="6"/>
    <x v="2"/>
    <n v="0.24925727866904338"/>
  </r>
  <r>
    <s v="ID-2025-00199"/>
    <d v="2025-07-15T00:00:00"/>
    <s v="ST-001"/>
    <x v="0"/>
    <s v="CUST-032"/>
    <x v="1"/>
    <s v="PRD-001"/>
    <x v="20"/>
    <x v="1"/>
    <n v="1"/>
    <n v="2394000"/>
    <n v="0"/>
    <n v="1785000"/>
    <n v="2394000"/>
    <x v="1026"/>
    <x v="5"/>
    <x v="2"/>
    <n v="7"/>
    <x v="19"/>
    <n v="0.25438596491228072"/>
  </r>
  <r>
    <s v="ID-2025-01211"/>
    <d v="2025-08-10T00:00:00"/>
    <s v="ST-001"/>
    <x v="0"/>
    <s v="CUST-112"/>
    <x v="1"/>
    <s v="PRD-001"/>
    <x v="20"/>
    <x v="1"/>
    <n v="1"/>
    <n v="2737000"/>
    <n v="0"/>
    <n v="1982000"/>
    <n v="2737000"/>
    <x v="1027"/>
    <x v="6"/>
    <x v="2"/>
    <n v="8"/>
    <x v="13"/>
    <n v="0.27584947022287176"/>
  </r>
  <r>
    <s v="ID-2025-01487"/>
    <d v="2025-08-18T00:00:00"/>
    <s v="ST-005"/>
    <x v="1"/>
    <s v="CUST-027"/>
    <x v="1"/>
    <s v="PRD-001"/>
    <x v="20"/>
    <x v="1"/>
    <n v="1"/>
    <n v="3946000"/>
    <n v="0"/>
    <n v="2944000"/>
    <n v="3946000"/>
    <x v="269"/>
    <x v="6"/>
    <x v="2"/>
    <n v="8"/>
    <x v="9"/>
    <n v="0.25392802838317285"/>
  </r>
  <r>
    <s v="ID-2025-01190"/>
    <d v="2025-09-15T00:00:00"/>
    <s v="ST-002"/>
    <x v="3"/>
    <s v="CUST-015"/>
    <x v="1"/>
    <s v="PRD-001"/>
    <x v="20"/>
    <x v="1"/>
    <n v="1"/>
    <n v="3133000"/>
    <n v="0"/>
    <n v="2322000"/>
    <n v="3133000"/>
    <x v="1028"/>
    <x v="7"/>
    <x v="2"/>
    <n v="9"/>
    <x v="19"/>
    <n v="0.25885732524736677"/>
  </r>
  <r>
    <s v="ID-2025-01455"/>
    <d v="2025-09-25T00:00:00"/>
    <s v="ST-004"/>
    <x v="2"/>
    <s v="CUST-051"/>
    <x v="3"/>
    <s v="PRD-001"/>
    <x v="20"/>
    <x v="1"/>
    <n v="1"/>
    <n v="2765000"/>
    <n v="0"/>
    <n v="2000000"/>
    <n v="2765000"/>
    <x v="1029"/>
    <x v="7"/>
    <x v="2"/>
    <n v="9"/>
    <x v="12"/>
    <n v="0.27667269439421338"/>
  </r>
  <r>
    <s v="ID-2025-00579"/>
    <d v="2025-10-03T00:00:00"/>
    <s v="ST-002"/>
    <x v="3"/>
    <s v="CUST-087"/>
    <x v="2"/>
    <s v="PRD-001"/>
    <x v="20"/>
    <x v="1"/>
    <n v="3"/>
    <n v="3488000"/>
    <n v="0"/>
    <n v="2526000"/>
    <n v="10464000"/>
    <x v="1030"/>
    <x v="8"/>
    <x v="2"/>
    <n v="10"/>
    <x v="8"/>
    <n v="0.75860091743119262"/>
  </r>
  <r>
    <s v="ID-2025-01726"/>
    <d v="2025-10-08T00:00:00"/>
    <s v="ST-001"/>
    <x v="0"/>
    <s v="CUST-097"/>
    <x v="0"/>
    <s v="PRD-001"/>
    <x v="20"/>
    <x v="1"/>
    <n v="2"/>
    <n v="3320000"/>
    <n v="0"/>
    <n v="2514000"/>
    <n v="6640000"/>
    <x v="1031"/>
    <x v="8"/>
    <x v="2"/>
    <n v="10"/>
    <x v="27"/>
    <n v="0.6213855421686747"/>
  </r>
  <r>
    <s v="ID-2025-00959"/>
    <d v="2025-10-09T00:00:00"/>
    <s v="ST-002"/>
    <x v="3"/>
    <s v="CUST-049"/>
    <x v="0"/>
    <s v="PRD-001"/>
    <x v="20"/>
    <x v="1"/>
    <n v="1"/>
    <n v="3636000"/>
    <n v="0"/>
    <n v="2630000"/>
    <n v="3636000"/>
    <x v="716"/>
    <x v="8"/>
    <x v="2"/>
    <n v="10"/>
    <x v="1"/>
    <n v="0.27667766776677666"/>
  </r>
  <r>
    <s v="ID-2025-01789"/>
    <d v="2025-10-20T00:00:00"/>
    <s v="ST-002"/>
    <x v="3"/>
    <s v="CUST-080"/>
    <x v="1"/>
    <s v="PRD-001"/>
    <x v="20"/>
    <x v="1"/>
    <n v="1"/>
    <n v="2396000"/>
    <n v="0"/>
    <n v="1754000"/>
    <n v="2396000"/>
    <x v="77"/>
    <x v="8"/>
    <x v="2"/>
    <n v="10"/>
    <x v="30"/>
    <n v="0.26794657762938229"/>
  </r>
  <r>
    <s v="ID-2025-01371"/>
    <d v="2025-10-23T00:00:00"/>
    <s v="ST-001"/>
    <x v="0"/>
    <s v="CUST-070"/>
    <x v="3"/>
    <s v="PRD-001"/>
    <x v="20"/>
    <x v="1"/>
    <n v="2"/>
    <n v="2540000"/>
    <n v="0.1"/>
    <n v="1865000"/>
    <n v="4572000"/>
    <x v="1032"/>
    <x v="8"/>
    <x v="2"/>
    <n v="10"/>
    <x v="11"/>
    <n v="0.59208223972003504"/>
  </r>
  <r>
    <s v="ID-2025-01067"/>
    <d v="2025-11-16T00:00:00"/>
    <s v="ST-003"/>
    <x v="4"/>
    <s v="CUST-124"/>
    <x v="1"/>
    <s v="PRD-001"/>
    <x v="20"/>
    <x v="1"/>
    <n v="1"/>
    <n v="3492303.0303030303"/>
    <n v="0"/>
    <n v="2405000"/>
    <n v="3492303.0303030303"/>
    <x v="1033"/>
    <x v="9"/>
    <x v="2"/>
    <n v="11"/>
    <x v="5"/>
    <n v="0.31134269302188361"/>
  </r>
  <r>
    <s v="ID-2025-01020"/>
    <d v="2025-12-03T00:00:00"/>
    <s v="ST-002"/>
    <x v="3"/>
    <s v="CUST-109"/>
    <x v="1"/>
    <s v="PRD-001"/>
    <x v="20"/>
    <x v="1"/>
    <n v="1"/>
    <n v="4292000"/>
    <n v="0"/>
    <n v="3171000"/>
    <n v="4292000"/>
    <x v="1034"/>
    <x v="10"/>
    <x v="2"/>
    <n v="12"/>
    <x v="8"/>
    <n v="0.26118359739049396"/>
  </r>
  <r>
    <s v="ID-2025-00388"/>
    <d v="2025-12-04T00:00:00"/>
    <s v="ST-001"/>
    <x v="0"/>
    <s v="CUST-035"/>
    <x v="3"/>
    <s v="PRD-001"/>
    <x v="20"/>
    <x v="1"/>
    <n v="1"/>
    <n v="2744000"/>
    <n v="0"/>
    <n v="2025000"/>
    <n v="2744000"/>
    <x v="1035"/>
    <x v="10"/>
    <x v="2"/>
    <n v="12"/>
    <x v="20"/>
    <n v="0.26202623906705541"/>
  </r>
  <r>
    <s v="ID-2025-01585"/>
    <d v="2025-12-26T00:00:00"/>
    <s v="ST-001"/>
    <x v="0"/>
    <s v="CUST-036"/>
    <x v="1"/>
    <s v="PRD-001"/>
    <x v="20"/>
    <x v="1"/>
    <n v="1"/>
    <n v="4178000"/>
    <n v="0"/>
    <n v="3152000"/>
    <n v="4178000"/>
    <x v="1036"/>
    <x v="10"/>
    <x v="2"/>
    <n v="12"/>
    <x v="6"/>
    <n v="0.24557204404021063"/>
  </r>
  <r>
    <s v="ID-2026-01437"/>
    <d v="2026-01-14T00:00:00"/>
    <s v="ST-001"/>
    <x v="0"/>
    <s v="CUST-149"/>
    <x v="1"/>
    <s v="PRD-001"/>
    <x v="20"/>
    <x v="1"/>
    <n v="2"/>
    <n v="4319000"/>
    <n v="0"/>
    <n v="3268000"/>
    <n v="8638000"/>
    <x v="1037"/>
    <x v="0"/>
    <x v="3"/>
    <n v="1"/>
    <x v="18"/>
    <n v="0.62167168326001387"/>
  </r>
  <r>
    <s v="ID-2026-00142"/>
    <d v="2026-01-30T00:00:00"/>
    <s v="ST-001"/>
    <x v="0"/>
    <s v="CUST-141"/>
    <x v="3"/>
    <s v="PRD-001"/>
    <x v="20"/>
    <x v="1"/>
    <n v="1"/>
    <n v="3185000"/>
    <n v="0.05"/>
    <n v="2342000"/>
    <n v="3025750"/>
    <x v="1038"/>
    <x v="0"/>
    <x v="3"/>
    <n v="1"/>
    <x v="15"/>
    <n v="0.22597703048830869"/>
  </r>
  <r>
    <s v="ID-2026-01047"/>
    <d v="2026-02-16T00:00:00"/>
    <s v="ST-001"/>
    <x v="0"/>
    <s v="CUST-095"/>
    <x v="2"/>
    <s v="PRD-001"/>
    <x v="20"/>
    <x v="1"/>
    <n v="1"/>
    <n v="3492303.0303030303"/>
    <n v="0"/>
    <n v="0"/>
    <n v="3492303.0303030303"/>
    <x v="986"/>
    <x v="1"/>
    <x v="3"/>
    <n v="2"/>
    <x v="5"/>
    <n v="1"/>
  </r>
  <r>
    <s v="ID-2026-01245"/>
    <d v="2026-03-12T00:00:00"/>
    <s v="ST-001"/>
    <x v="0"/>
    <s v="CUST-141"/>
    <x v="3"/>
    <s v="PRD-001"/>
    <x v="20"/>
    <x v="1"/>
    <n v="2"/>
    <n v="3710000"/>
    <n v="0"/>
    <n v="2784000"/>
    <n v="7420000"/>
    <x v="1039"/>
    <x v="2"/>
    <x v="3"/>
    <n v="3"/>
    <x v="10"/>
    <n v="0.62479784366576818"/>
  </r>
  <r>
    <s v="ID-2026-00459"/>
    <d v="2026-03-27T00:00:00"/>
    <s v="ST-001"/>
    <x v="0"/>
    <s v="CUST-091"/>
    <x v="1"/>
    <s v="PRD-001"/>
    <x v="20"/>
    <x v="1"/>
    <n v="3"/>
    <n v="3265000"/>
    <n v="0"/>
    <n v="2412000"/>
    <n v="9795000"/>
    <x v="1040"/>
    <x v="2"/>
    <x v="3"/>
    <n v="3"/>
    <x v="24"/>
    <n v="0.7537519142419602"/>
  </r>
  <r>
    <s v="ID-2026-01141"/>
    <d v="2026-04-13T00:00:00"/>
    <s v="ST-003"/>
    <x v="4"/>
    <s v="CUST-109"/>
    <x v="1"/>
    <s v="PRD-001"/>
    <x v="20"/>
    <x v="1"/>
    <n v="1"/>
    <n v="2428000"/>
    <n v="0"/>
    <n v="1768000"/>
    <n v="2428000"/>
    <x v="1041"/>
    <x v="11"/>
    <x v="3"/>
    <n v="4"/>
    <x v="23"/>
    <n v="0.27182866556836904"/>
  </r>
  <r>
    <s v="ID-2026-00707"/>
    <d v="2026-04-26T00:00:00"/>
    <s v="ST-005"/>
    <x v="1"/>
    <s v="CUST-092"/>
    <x v="2"/>
    <s v="PRD-001"/>
    <x v="20"/>
    <x v="1"/>
    <n v="1"/>
    <n v="5104000"/>
    <n v="0"/>
    <n v="3759000"/>
    <n v="5104000"/>
    <x v="258"/>
    <x v="11"/>
    <x v="3"/>
    <n v="4"/>
    <x v="6"/>
    <n v="0.26351880877742945"/>
  </r>
  <r>
    <s v="ID-2026-00812"/>
    <d v="2026-04-27T00:00:00"/>
    <s v="ST-001"/>
    <x v="0"/>
    <s v="CUST-005"/>
    <x v="1"/>
    <s v="PRD-001"/>
    <x v="20"/>
    <x v="1"/>
    <n v="1"/>
    <n v="2939000"/>
    <n v="0"/>
    <n v="2146000"/>
    <n v="2939000"/>
    <x v="1042"/>
    <x v="11"/>
    <x v="3"/>
    <n v="4"/>
    <x v="24"/>
    <n v="0.2698196665532494"/>
  </r>
  <r>
    <s v="ID-2026-01523"/>
    <d v="2026-05-02T00:00:00"/>
    <s v="ST-002"/>
    <x v="3"/>
    <s v="CUST-073"/>
    <x v="1"/>
    <s v="PRD-001"/>
    <x v="20"/>
    <x v="1"/>
    <n v="1"/>
    <n v="4746000"/>
    <n v="0"/>
    <n v="3498000"/>
    <n v="4746000"/>
    <x v="1043"/>
    <x v="3"/>
    <x v="3"/>
    <n v="5"/>
    <x v="17"/>
    <n v="0.26295828065739568"/>
  </r>
  <r>
    <s v="ID-2026-00542"/>
    <d v="2026-05-09T00:00:00"/>
    <s v="ST-002"/>
    <x v="3"/>
    <s v="CUST-044"/>
    <x v="2"/>
    <s v="PRD-001"/>
    <x v="20"/>
    <x v="1"/>
    <n v="1"/>
    <n v="2328000"/>
    <n v="0"/>
    <n v="1762000"/>
    <n v="2328000"/>
    <x v="1044"/>
    <x v="3"/>
    <x v="3"/>
    <n v="5"/>
    <x v="1"/>
    <n v="0.24312714776632302"/>
  </r>
  <r>
    <s v="ID-2026-01391"/>
    <d v="2026-05-17T00:00:00"/>
    <s v="ST-003"/>
    <x v="4"/>
    <s v="CUST-091"/>
    <x v="1"/>
    <s v="PRD-001"/>
    <x v="20"/>
    <x v="1"/>
    <n v="1"/>
    <n v="4479000"/>
    <n v="0"/>
    <n v="3225000"/>
    <n v="4479000"/>
    <x v="966"/>
    <x v="3"/>
    <x v="3"/>
    <n v="5"/>
    <x v="2"/>
    <n v="0.27997320830542533"/>
  </r>
  <r>
    <s v="ID-2026-00274"/>
    <d v="2026-06-18T00:00:00"/>
    <s v="ST-002"/>
    <x v="3"/>
    <s v="CUST-128"/>
    <x v="1"/>
    <s v="PRD-001"/>
    <x v="20"/>
    <x v="1"/>
    <n v="5"/>
    <n v="5117000"/>
    <n v="0"/>
    <n v="3834000"/>
    <n v="25585000"/>
    <x v="1045"/>
    <x v="4"/>
    <x v="3"/>
    <n v="6"/>
    <x v="9"/>
    <n v="0.85014657025600937"/>
  </r>
  <r>
    <s v="ID-2023-01796"/>
    <d v="2023-01-28T00:00:00"/>
    <s v="ST-003"/>
    <x v="4"/>
    <s v="CUST-116"/>
    <x v="1"/>
    <s v="PRD-023"/>
    <x v="21"/>
    <x v="2"/>
    <n v="1"/>
    <n v="2663000"/>
    <n v="0.1"/>
    <n v="2022000"/>
    <n v="2396700"/>
    <x v="1046"/>
    <x v="0"/>
    <x v="0"/>
    <n v="1"/>
    <x v="4"/>
    <n v="0.15633996745525097"/>
  </r>
  <r>
    <s v="ID-2023-00573"/>
    <d v="2023-03-04T00:00:00"/>
    <s v="ST-002"/>
    <x v="3"/>
    <s v="CUST-093"/>
    <x v="2"/>
    <s v="PRD-023"/>
    <x v="21"/>
    <x v="2"/>
    <n v="2"/>
    <n v="3530000"/>
    <n v="0"/>
    <n v="2691000"/>
    <n v="7060000"/>
    <x v="1047"/>
    <x v="2"/>
    <x v="0"/>
    <n v="3"/>
    <x v="20"/>
    <n v="0.61883852691218133"/>
  </r>
  <r>
    <s v="ID-2023-00908"/>
    <d v="2023-04-05T00:00:00"/>
    <s v="ST-001"/>
    <x v="0"/>
    <s v="CUST-096"/>
    <x v="0"/>
    <s v="PRD-023"/>
    <x v="21"/>
    <x v="2"/>
    <n v="2"/>
    <n v="3836000"/>
    <n v="0"/>
    <n v="2950000"/>
    <n v="7672000"/>
    <x v="1048"/>
    <x v="11"/>
    <x v="0"/>
    <n v="4"/>
    <x v="21"/>
    <n v="0.61548488008342028"/>
  </r>
  <r>
    <s v="ID-2023-01249"/>
    <d v="2023-04-26T00:00:00"/>
    <s v="ST-002"/>
    <x v="3"/>
    <s v="CUST-123"/>
    <x v="1"/>
    <s v="PRD-023"/>
    <x v="21"/>
    <x v="2"/>
    <n v="1"/>
    <n v="2617000"/>
    <n v="0"/>
    <n v="1997000"/>
    <n v="2617000"/>
    <x v="721"/>
    <x v="11"/>
    <x v="0"/>
    <n v="4"/>
    <x v="6"/>
    <n v="0.23691249522353841"/>
  </r>
  <r>
    <s v="ID-2023-01736"/>
    <d v="2023-04-28T00:00:00"/>
    <s v="ST-004"/>
    <x v="2"/>
    <s v="CUST-009"/>
    <x v="0"/>
    <s v="PRD-023"/>
    <x v="21"/>
    <x v="2"/>
    <n v="3"/>
    <n v="3475000"/>
    <n v="0.05"/>
    <n v="2630000"/>
    <n v="9903750"/>
    <x v="1049"/>
    <x v="11"/>
    <x v="0"/>
    <n v="4"/>
    <x v="4"/>
    <n v="0.73444402372838569"/>
  </r>
  <r>
    <s v="ID-2023-00167"/>
    <d v="2023-05-12T00:00:00"/>
    <s v="ST-005"/>
    <x v="1"/>
    <s v="CUST-148"/>
    <x v="0"/>
    <s v="PRD-023"/>
    <x v="21"/>
    <x v="2"/>
    <n v="2"/>
    <n v="2908000"/>
    <n v="0.1"/>
    <n v="2147000"/>
    <n v="5234400"/>
    <x v="1050"/>
    <x v="3"/>
    <x v="0"/>
    <n v="5"/>
    <x v="10"/>
    <n v="0.58982882469815068"/>
  </r>
  <r>
    <s v="ID-2023-01195"/>
    <d v="2023-05-24T00:00:00"/>
    <s v="ST-002"/>
    <x v="3"/>
    <s v="CUST-095"/>
    <x v="2"/>
    <s v="PRD-023"/>
    <x v="21"/>
    <x v="2"/>
    <n v="3"/>
    <n v="3503000"/>
    <n v="0"/>
    <n v="2676000"/>
    <n v="10509000"/>
    <x v="1051"/>
    <x v="3"/>
    <x v="0"/>
    <n v="5"/>
    <x v="25"/>
    <n v="0.74536111904082214"/>
  </r>
  <r>
    <s v="ID-2023-01105"/>
    <d v="2023-06-03T00:00:00"/>
    <s v="ST-002"/>
    <x v="3"/>
    <s v="CUST-073"/>
    <x v="1"/>
    <s v="PRD-023"/>
    <x v="21"/>
    <x v="2"/>
    <n v="1"/>
    <n v="2175000"/>
    <n v="0"/>
    <n v="1627000"/>
    <n v="2175000"/>
    <x v="55"/>
    <x v="4"/>
    <x v="0"/>
    <n v="6"/>
    <x v="8"/>
    <n v="0.25195402298850572"/>
  </r>
  <r>
    <s v="ID-2023-01652"/>
    <d v="2023-06-04T00:00:00"/>
    <s v="ST-001"/>
    <x v="0"/>
    <s v="CUST-078"/>
    <x v="1"/>
    <s v="PRD-023"/>
    <x v="21"/>
    <x v="2"/>
    <n v="2"/>
    <n v="2414000"/>
    <n v="0"/>
    <n v="1807000"/>
    <n v="4828000"/>
    <x v="1052"/>
    <x v="4"/>
    <x v="0"/>
    <n v="6"/>
    <x v="20"/>
    <n v="0.62572493786246897"/>
  </r>
  <r>
    <s v="ID-2023-00303"/>
    <d v="2023-06-06T00:00:00"/>
    <s v="ST-001"/>
    <x v="0"/>
    <s v="CUST-077"/>
    <x v="2"/>
    <s v="PRD-023"/>
    <x v="21"/>
    <x v="2"/>
    <n v="2"/>
    <n v="2745000"/>
    <n v="0"/>
    <n v="2048000"/>
    <n v="5490000"/>
    <x v="1053"/>
    <x v="4"/>
    <x v="0"/>
    <n v="6"/>
    <x v="29"/>
    <n v="0.62695810564663024"/>
  </r>
  <r>
    <s v="ID-2023-01640"/>
    <d v="2023-06-08T00:00:00"/>
    <s v="ST-004"/>
    <x v="2"/>
    <s v="CUST-021"/>
    <x v="0"/>
    <s v="PRD-023"/>
    <x v="21"/>
    <x v="2"/>
    <n v="3"/>
    <n v="3668000"/>
    <n v="0.1"/>
    <n v="2778000"/>
    <n v="9903600"/>
    <x v="1054"/>
    <x v="4"/>
    <x v="0"/>
    <n v="6"/>
    <x v="27"/>
    <n v="0.71949594086998669"/>
  </r>
  <r>
    <s v="ID-2023-01113"/>
    <d v="2023-07-01T00:00:00"/>
    <s v="ST-001"/>
    <x v="0"/>
    <s v="CUST-127"/>
    <x v="1"/>
    <s v="PRD-023"/>
    <x v="21"/>
    <x v="2"/>
    <n v="1"/>
    <n v="2238000"/>
    <n v="0"/>
    <n v="1668000"/>
    <n v="2238000"/>
    <x v="171"/>
    <x v="5"/>
    <x v="0"/>
    <n v="7"/>
    <x v="0"/>
    <n v="0.2546916890080429"/>
  </r>
  <r>
    <s v="ID-2023-01779"/>
    <d v="2023-07-12T00:00:00"/>
    <s v="ST-003"/>
    <x v="4"/>
    <s v="CUST-036"/>
    <x v="1"/>
    <s v="PRD-023"/>
    <x v="21"/>
    <x v="2"/>
    <n v="1"/>
    <n v="2476000"/>
    <n v="0"/>
    <n v="1839000"/>
    <n v="2476000"/>
    <x v="76"/>
    <x v="5"/>
    <x v="0"/>
    <n v="7"/>
    <x v="10"/>
    <n v="0.25726978998384492"/>
  </r>
  <r>
    <s v="ID-2023-01277"/>
    <d v="2023-07-16T00:00:00"/>
    <s v="ST-001"/>
    <x v="0"/>
    <s v="CUST-054"/>
    <x v="1"/>
    <s v="PRD-023"/>
    <x v="21"/>
    <x v="2"/>
    <n v="2"/>
    <n v="3739000"/>
    <n v="0"/>
    <n v="2861000"/>
    <n v="7478000"/>
    <x v="1055"/>
    <x v="5"/>
    <x v="0"/>
    <n v="7"/>
    <x v="5"/>
    <n v="0.61741107247927252"/>
  </r>
  <r>
    <s v="ID-2023-01729"/>
    <d v="2023-07-24T00:00:00"/>
    <s v="ST-005"/>
    <x v="1"/>
    <s v="CUST-126"/>
    <x v="0"/>
    <s v="PRD-023"/>
    <x v="21"/>
    <x v="2"/>
    <n v="2"/>
    <n v="2842000"/>
    <n v="0.1"/>
    <n v="2187000"/>
    <n v="5115600"/>
    <x v="1056"/>
    <x v="5"/>
    <x v="0"/>
    <n v="7"/>
    <x v="25"/>
    <n v="0.57248416608022523"/>
  </r>
  <r>
    <s v="ID-2023-00870"/>
    <d v="2023-09-09T00:00:00"/>
    <s v="ST-002"/>
    <x v="3"/>
    <s v="CUST-097"/>
    <x v="0"/>
    <s v="PRD-023"/>
    <x v="21"/>
    <x v="2"/>
    <n v="1"/>
    <n v="4200000"/>
    <n v="0"/>
    <n v="3162000"/>
    <n v="4200000"/>
    <x v="783"/>
    <x v="7"/>
    <x v="0"/>
    <n v="9"/>
    <x v="1"/>
    <n v="0.24714285714285714"/>
  </r>
  <r>
    <s v="ID-2023-00147"/>
    <d v="2023-10-01T00:00:00"/>
    <s v="ST-002"/>
    <x v="3"/>
    <s v="CUST-108"/>
    <x v="2"/>
    <s v="PRD-023"/>
    <x v="21"/>
    <x v="2"/>
    <n v="2"/>
    <n v="2708000"/>
    <n v="0"/>
    <n v="1994000"/>
    <n v="5416000"/>
    <x v="1057"/>
    <x v="8"/>
    <x v="0"/>
    <n v="10"/>
    <x v="0"/>
    <n v="0.6318316100443131"/>
  </r>
  <r>
    <s v="ID-2023-00606"/>
    <d v="2023-10-16T00:00:00"/>
    <s v="ST-002"/>
    <x v="3"/>
    <s v="CUST-045"/>
    <x v="1"/>
    <s v="PRD-023"/>
    <x v="21"/>
    <x v="2"/>
    <n v="1"/>
    <n v="3209000"/>
    <n v="0"/>
    <n v="2419000"/>
    <n v="3209000"/>
    <x v="92"/>
    <x v="8"/>
    <x v="0"/>
    <n v="10"/>
    <x v="5"/>
    <n v="0.24618261140542225"/>
  </r>
  <r>
    <s v="ID-2023-00790"/>
    <d v="2023-11-12T00:00:00"/>
    <s v="ST-003"/>
    <x v="4"/>
    <s v="CUST-048"/>
    <x v="0"/>
    <s v="PRD-023"/>
    <x v="21"/>
    <x v="2"/>
    <n v="2"/>
    <n v="2632000"/>
    <n v="0"/>
    <n v="2013000"/>
    <n v="5264000"/>
    <x v="1058"/>
    <x v="9"/>
    <x v="0"/>
    <n v="11"/>
    <x v="10"/>
    <n v="0.61759118541033431"/>
  </r>
  <r>
    <s v="ID-2023-00987"/>
    <d v="2023-12-13T00:00:00"/>
    <s v="ST-004"/>
    <x v="2"/>
    <s v="CUST-029"/>
    <x v="0"/>
    <s v="PRD-023"/>
    <x v="21"/>
    <x v="2"/>
    <n v="1"/>
    <n v="2552000"/>
    <n v="0"/>
    <n v="1887000"/>
    <n v="2552000"/>
    <x v="161"/>
    <x v="10"/>
    <x v="0"/>
    <n v="12"/>
    <x v="23"/>
    <n v="0.26057993730407525"/>
  </r>
  <r>
    <s v="ID-2023-00615"/>
    <d v="2023-12-15T00:00:00"/>
    <s v="ST-003"/>
    <x v="4"/>
    <s v="CUST-111"/>
    <x v="1"/>
    <s v="PRD-023"/>
    <x v="21"/>
    <x v="2"/>
    <n v="1"/>
    <n v="4217000"/>
    <n v="0"/>
    <n v="3171000"/>
    <n v="4217000"/>
    <x v="1059"/>
    <x v="10"/>
    <x v="0"/>
    <n v="12"/>
    <x v="19"/>
    <n v="0.24804363291439413"/>
  </r>
  <r>
    <s v="ID-2024-01537"/>
    <d v="2024-01-10T00:00:00"/>
    <s v="ST-001"/>
    <x v="0"/>
    <s v="CUST-145"/>
    <x v="1"/>
    <s v="PRD-023"/>
    <x v="21"/>
    <x v="2"/>
    <n v="1"/>
    <n v="2391000"/>
    <n v="0"/>
    <n v="1795000"/>
    <n v="2391000"/>
    <x v="1060"/>
    <x v="0"/>
    <x v="1"/>
    <n v="1"/>
    <x v="13"/>
    <n v="0.2492680886658302"/>
  </r>
  <r>
    <s v="ID-2024-00329"/>
    <d v="2024-02-26T00:00:00"/>
    <s v="ST-001"/>
    <x v="0"/>
    <s v="CUST-024"/>
    <x v="1"/>
    <s v="PRD-023"/>
    <x v="21"/>
    <x v="2"/>
    <n v="3"/>
    <n v="3683000"/>
    <n v="0"/>
    <n v="2718000"/>
    <n v="11049000"/>
    <x v="1061"/>
    <x v="1"/>
    <x v="1"/>
    <n v="2"/>
    <x v="6"/>
    <n v="0.7540048873201195"/>
  </r>
  <r>
    <s v="ID-2024-01008"/>
    <d v="2024-03-01T00:00:00"/>
    <s v="ST-001"/>
    <x v="0"/>
    <s v="CUST-018"/>
    <x v="0"/>
    <s v="PRD-023"/>
    <x v="21"/>
    <x v="2"/>
    <n v="3"/>
    <n v="2716000"/>
    <n v="0"/>
    <n v="2033000"/>
    <n v="8148000"/>
    <x v="1062"/>
    <x v="2"/>
    <x v="1"/>
    <n v="3"/>
    <x v="0"/>
    <n v="0.75049091801669121"/>
  </r>
  <r>
    <s v="ID-2024-00411"/>
    <d v="2024-04-14T00:00:00"/>
    <s v="ST-005"/>
    <x v="1"/>
    <s v="CUST-093"/>
    <x v="2"/>
    <s v="PRD-023"/>
    <x v="21"/>
    <x v="2"/>
    <n v="1"/>
    <n v="3116000"/>
    <n v="0"/>
    <n v="2322000"/>
    <n v="3116000"/>
    <x v="1063"/>
    <x v="11"/>
    <x v="1"/>
    <n v="4"/>
    <x v="18"/>
    <n v="0.25481386392811295"/>
  </r>
  <r>
    <s v="ID-2024-00445"/>
    <d v="2024-05-10T00:00:00"/>
    <s v="ST-001"/>
    <x v="0"/>
    <s v="CUST-062"/>
    <x v="1"/>
    <s v="PRD-023"/>
    <x v="21"/>
    <x v="2"/>
    <n v="1"/>
    <n v="3732000"/>
    <n v="0"/>
    <n v="2864000"/>
    <n v="3732000"/>
    <x v="1064"/>
    <x v="3"/>
    <x v="1"/>
    <n v="5"/>
    <x v="13"/>
    <n v="0.23258306538049303"/>
  </r>
  <r>
    <s v="ID-2024-01068"/>
    <d v="2024-06-08T00:00:00"/>
    <s v="ST-001"/>
    <x v="0"/>
    <s v="CUST-146"/>
    <x v="1"/>
    <s v="PRD-023"/>
    <x v="21"/>
    <x v="2"/>
    <n v="1"/>
    <n v="3919000"/>
    <n v="0"/>
    <n v="2902000"/>
    <n v="3919000"/>
    <x v="1065"/>
    <x v="4"/>
    <x v="1"/>
    <n v="6"/>
    <x v="27"/>
    <n v="0.25950497575912224"/>
  </r>
  <r>
    <s v="ID-2024-00058"/>
    <d v="2024-06-29T00:00:00"/>
    <s v="ST-001"/>
    <x v="0"/>
    <s v="CUST-082"/>
    <x v="0"/>
    <s v="PRD-023"/>
    <x v="21"/>
    <x v="2"/>
    <n v="1"/>
    <n v="2275000"/>
    <n v="0"/>
    <n v="1705000"/>
    <n v="2275000"/>
    <x v="171"/>
    <x v="4"/>
    <x v="1"/>
    <n v="6"/>
    <x v="7"/>
    <n v="0.25054945054945055"/>
  </r>
  <r>
    <s v="ID-2024-01210"/>
    <d v="2024-07-14T00:00:00"/>
    <s v="ST-003"/>
    <x v="4"/>
    <s v="CUST-149"/>
    <x v="1"/>
    <s v="PRD-023"/>
    <x v="21"/>
    <x v="2"/>
    <n v="1"/>
    <n v="4565000"/>
    <n v="0"/>
    <n v="3497000"/>
    <n v="4565000"/>
    <x v="1066"/>
    <x v="5"/>
    <x v="1"/>
    <n v="7"/>
    <x v="18"/>
    <n v="0.2339539978094195"/>
  </r>
  <r>
    <s v="ID-2024-00826"/>
    <d v="2024-08-04T00:00:00"/>
    <s v="ST-003"/>
    <x v="4"/>
    <s v="CUST-026"/>
    <x v="2"/>
    <s v="PRD-023"/>
    <x v="21"/>
    <x v="2"/>
    <n v="1"/>
    <n v="3768000"/>
    <n v="0"/>
    <n v="2761000"/>
    <n v="3768000"/>
    <x v="1067"/>
    <x v="6"/>
    <x v="1"/>
    <n v="8"/>
    <x v="20"/>
    <n v="0.26725053078556266"/>
  </r>
  <r>
    <s v="ID-2024-01274"/>
    <d v="2024-09-09T00:00:00"/>
    <s v="ST-003"/>
    <x v="4"/>
    <s v="CUST-089"/>
    <x v="1"/>
    <s v="PRD-023"/>
    <x v="21"/>
    <x v="2"/>
    <n v="1"/>
    <n v="2920000"/>
    <n v="0.05"/>
    <n v="2135000"/>
    <n v="2774000"/>
    <x v="200"/>
    <x v="7"/>
    <x v="1"/>
    <n v="9"/>
    <x v="1"/>
    <n v="0.23035328046142753"/>
  </r>
  <r>
    <s v="ID-2024-01635"/>
    <d v="2024-09-15T00:00:00"/>
    <s v="ST-001"/>
    <x v="0"/>
    <s v="CUST-011"/>
    <x v="1"/>
    <s v="PRD-023"/>
    <x v="21"/>
    <x v="2"/>
    <n v="2"/>
    <n v="4435000"/>
    <n v="0.05"/>
    <n v="3297000"/>
    <n v="8426500"/>
    <x v="1068"/>
    <x v="7"/>
    <x v="1"/>
    <n v="9"/>
    <x v="19"/>
    <n v="0.60873434996736486"/>
  </r>
  <r>
    <s v="ID-2024-01191"/>
    <d v="2024-10-13T00:00:00"/>
    <s v="ST-003"/>
    <x v="4"/>
    <s v="CUST-080"/>
    <x v="1"/>
    <s v="PRD-023"/>
    <x v="21"/>
    <x v="2"/>
    <n v="2"/>
    <n v="3118000"/>
    <n v="0"/>
    <n v="2288000"/>
    <n v="6236000"/>
    <x v="1069"/>
    <x v="8"/>
    <x v="1"/>
    <n v="10"/>
    <x v="23"/>
    <n v="0.63309813983322638"/>
  </r>
  <r>
    <s v="ID-2024-00106"/>
    <d v="2024-11-21T00:00:00"/>
    <s v="ST-003"/>
    <x v="4"/>
    <s v="CUST-073"/>
    <x v="1"/>
    <s v="PRD-023"/>
    <x v="21"/>
    <x v="2"/>
    <n v="1"/>
    <n v="2890000"/>
    <n v="0"/>
    <n v="2167000"/>
    <n v="2890000"/>
    <x v="1070"/>
    <x v="9"/>
    <x v="1"/>
    <n v="11"/>
    <x v="14"/>
    <n v="0.25017301038062284"/>
  </r>
  <r>
    <s v="ID-2025-01662"/>
    <d v="2025-01-14T00:00:00"/>
    <s v="ST-002"/>
    <x v="3"/>
    <s v="CUST-114"/>
    <x v="1"/>
    <s v="PRD-023"/>
    <x v="21"/>
    <x v="2"/>
    <n v="3"/>
    <n v="2839000"/>
    <n v="0.15"/>
    <n v="2176000"/>
    <n v="7239450"/>
    <x v="1071"/>
    <x v="0"/>
    <x v="2"/>
    <n v="1"/>
    <x v="18"/>
    <n v="0.69942468005166136"/>
  </r>
  <r>
    <s v="ID-2025-00539"/>
    <d v="2025-02-17T00:00:00"/>
    <s v="ST-001"/>
    <x v="0"/>
    <s v="CUST-080"/>
    <x v="1"/>
    <s v="PRD-023"/>
    <x v="21"/>
    <x v="2"/>
    <n v="1"/>
    <n v="4941000"/>
    <n v="0"/>
    <n v="3785000"/>
    <n v="4941000"/>
    <x v="1072"/>
    <x v="1"/>
    <x v="2"/>
    <n v="2"/>
    <x v="2"/>
    <n v="0.23396073669297712"/>
  </r>
  <r>
    <s v="ID-2025-00890"/>
    <d v="2025-05-17T00:00:00"/>
    <s v="ST-001"/>
    <x v="0"/>
    <s v="CUST-138"/>
    <x v="2"/>
    <s v="PRD-023"/>
    <x v="21"/>
    <x v="2"/>
    <n v="1"/>
    <n v="4848000"/>
    <n v="0"/>
    <n v="3706000"/>
    <n v="4848000"/>
    <x v="1073"/>
    <x v="3"/>
    <x v="2"/>
    <n v="5"/>
    <x v="2"/>
    <n v="0.23556105610561057"/>
  </r>
  <r>
    <s v="ID-2025-01778"/>
    <d v="2025-07-13T00:00:00"/>
    <s v="ST-001"/>
    <x v="0"/>
    <s v="CUST-107"/>
    <x v="0"/>
    <s v="PRD-023"/>
    <x v="21"/>
    <x v="2"/>
    <n v="1"/>
    <n v="2432000"/>
    <n v="0"/>
    <n v="1801000"/>
    <n v="2432000"/>
    <x v="1074"/>
    <x v="5"/>
    <x v="2"/>
    <n v="7"/>
    <x v="23"/>
    <n v="0.25945723684210525"/>
  </r>
  <r>
    <s v="ID-2025-01493"/>
    <d v="2025-07-15T00:00:00"/>
    <s v="ST-005"/>
    <x v="1"/>
    <s v="CUST-101"/>
    <x v="1"/>
    <s v="PRD-023"/>
    <x v="21"/>
    <x v="2"/>
    <n v="2"/>
    <n v="3697000"/>
    <n v="0"/>
    <n v="2781000"/>
    <n v="7394000"/>
    <x v="1075"/>
    <x v="5"/>
    <x v="2"/>
    <n v="7"/>
    <x v="19"/>
    <n v="0.62388423045712738"/>
  </r>
  <r>
    <s v="ID-2025-01773"/>
    <d v="2025-08-27T00:00:00"/>
    <s v="ST-002"/>
    <x v="3"/>
    <s v="CUST-083"/>
    <x v="1"/>
    <s v="PRD-023"/>
    <x v="21"/>
    <x v="2"/>
    <n v="1"/>
    <n v="4408000"/>
    <n v="0"/>
    <n v="3298000"/>
    <n v="4408000"/>
    <x v="1076"/>
    <x v="6"/>
    <x v="2"/>
    <n v="8"/>
    <x v="24"/>
    <n v="0.25181488203266789"/>
  </r>
  <r>
    <s v="ID-2025-01451"/>
    <d v="2025-09-02T00:00:00"/>
    <s v="ST-003"/>
    <x v="4"/>
    <s v="CUST-140"/>
    <x v="3"/>
    <s v="PRD-023"/>
    <x v="21"/>
    <x v="2"/>
    <n v="1"/>
    <n v="4460000"/>
    <n v="0"/>
    <n v="3351000"/>
    <n v="4460000"/>
    <x v="1077"/>
    <x v="7"/>
    <x v="2"/>
    <n v="9"/>
    <x v="17"/>
    <n v="0.24865470852017937"/>
  </r>
  <r>
    <s v="ID-2025-00861"/>
    <d v="2025-09-06T00:00:00"/>
    <s v="ST-005"/>
    <x v="1"/>
    <s v="CUST-140"/>
    <x v="3"/>
    <s v="PRD-023"/>
    <x v="21"/>
    <x v="2"/>
    <n v="3"/>
    <n v="3443000"/>
    <n v="0"/>
    <n v="2617000"/>
    <n v="10329000"/>
    <x v="1078"/>
    <x v="7"/>
    <x v="2"/>
    <n v="9"/>
    <x v="29"/>
    <n v="0.74663568593281049"/>
  </r>
  <r>
    <s v="ID-2026-00838"/>
    <d v="2026-01-15T00:00:00"/>
    <s v="ST-002"/>
    <x v="3"/>
    <s v="CUST-139"/>
    <x v="1"/>
    <s v="PRD-023"/>
    <x v="21"/>
    <x v="2"/>
    <n v="1"/>
    <n v="3316000"/>
    <n v="0.05"/>
    <n v="0"/>
    <n v="3150200"/>
    <x v="1079"/>
    <x v="0"/>
    <x v="3"/>
    <n v="1"/>
    <x v="19"/>
    <n v="1"/>
  </r>
  <r>
    <s v="ID-2026-00442"/>
    <d v="2026-03-20T00:00:00"/>
    <s v="ST-005"/>
    <x v="1"/>
    <s v="CUST-118"/>
    <x v="1"/>
    <s v="PRD-023"/>
    <x v="21"/>
    <x v="2"/>
    <n v="1"/>
    <n v="2664000"/>
    <n v="0"/>
    <n v="2014000"/>
    <n v="2664000"/>
    <x v="162"/>
    <x v="2"/>
    <x v="3"/>
    <n v="3"/>
    <x v="30"/>
    <n v="0.24399399399399399"/>
  </r>
  <r>
    <s v="ID-2026-01491"/>
    <d v="2026-04-03T00:00:00"/>
    <s v="ST-001"/>
    <x v="0"/>
    <s v="CUST-149"/>
    <x v="1"/>
    <s v="PRD-023"/>
    <x v="21"/>
    <x v="2"/>
    <n v="1"/>
    <n v="4784000"/>
    <n v="0"/>
    <n v="3597000"/>
    <n v="4784000"/>
    <x v="1080"/>
    <x v="11"/>
    <x v="3"/>
    <n v="4"/>
    <x v="8"/>
    <n v="0.24811872909698995"/>
  </r>
  <r>
    <s v="ID-2026-00584"/>
    <d v="2026-05-10T00:00:00"/>
    <s v="ST-003"/>
    <x v="4"/>
    <s v="CUST-011"/>
    <x v="1"/>
    <s v="PRD-023"/>
    <x v="21"/>
    <x v="2"/>
    <n v="3"/>
    <n v="3519000"/>
    <n v="0"/>
    <n v="2669000"/>
    <n v="10557000"/>
    <x v="1081"/>
    <x v="3"/>
    <x v="3"/>
    <n v="5"/>
    <x v="13"/>
    <n v="0.74718196457326891"/>
  </r>
  <r>
    <s v="ID-2026-00554"/>
    <d v="2026-05-28T00:00:00"/>
    <s v="ST-001"/>
    <x v="0"/>
    <s v="CUST-112"/>
    <x v="1"/>
    <s v="PRD-023"/>
    <x v="21"/>
    <x v="2"/>
    <n v="1"/>
    <n v="3316000"/>
    <n v="0.1"/>
    <n v="2438000"/>
    <n v="2984400"/>
    <x v="1082"/>
    <x v="3"/>
    <x v="3"/>
    <n v="5"/>
    <x v="4"/>
    <n v="0.18308537729526872"/>
  </r>
  <r>
    <s v="ID-2026-00962"/>
    <d v="2026-06-24T00:00:00"/>
    <s v="ST-003"/>
    <x v="4"/>
    <s v="CUST-043"/>
    <x v="1"/>
    <s v="PRD-023"/>
    <x v="21"/>
    <x v="2"/>
    <n v="1"/>
    <n v="2626000"/>
    <n v="0"/>
    <n v="1927000"/>
    <n v="2626000"/>
    <x v="1083"/>
    <x v="4"/>
    <x v="3"/>
    <n v="6"/>
    <x v="25"/>
    <n v="0.26618431073876619"/>
  </r>
  <r>
    <s v="ID-2023-00862"/>
    <d v="2023-02-07T00:00:00"/>
    <s v="ST-005"/>
    <x v="1"/>
    <s v="CUST-105"/>
    <x v="2"/>
    <s v="PRD-014"/>
    <x v="22"/>
    <x v="0"/>
    <n v="1"/>
    <n v="1178000"/>
    <n v="0"/>
    <n v="873000"/>
    <n v="1178000"/>
    <x v="1084"/>
    <x v="1"/>
    <x v="0"/>
    <n v="2"/>
    <x v="3"/>
    <n v="0.25891341256366723"/>
  </r>
  <r>
    <s v="ID-2023-01235"/>
    <d v="2023-02-21T00:00:00"/>
    <s v="ST-001"/>
    <x v="0"/>
    <s v="CUST-057"/>
    <x v="1"/>
    <s v="PRD-014"/>
    <x v="22"/>
    <x v="0"/>
    <n v="1"/>
    <n v="1469000"/>
    <n v="0"/>
    <n v="1084000"/>
    <n v="1469000"/>
    <x v="635"/>
    <x v="1"/>
    <x v="0"/>
    <n v="2"/>
    <x v="14"/>
    <n v="0.26208304969366919"/>
  </r>
  <r>
    <s v="ID-2023-01203"/>
    <d v="2023-03-11T00:00:00"/>
    <s v="ST-002"/>
    <x v="3"/>
    <s v="CUST-146"/>
    <x v="1"/>
    <s v="PRD-014"/>
    <x v="22"/>
    <x v="0"/>
    <n v="2"/>
    <n v="1301000"/>
    <n v="0"/>
    <n v="942000"/>
    <n v="2602000"/>
    <x v="1085"/>
    <x v="2"/>
    <x v="0"/>
    <n v="3"/>
    <x v="22"/>
    <n v="0.63797079169869331"/>
  </r>
  <r>
    <s v="ID-2023-01417"/>
    <d v="2023-03-15T00:00:00"/>
    <s v="ST-004"/>
    <x v="2"/>
    <s v="CUST-069"/>
    <x v="1"/>
    <s v="PRD-014"/>
    <x v="22"/>
    <x v="0"/>
    <n v="1"/>
    <n v="1352000"/>
    <n v="0"/>
    <n v="1011000"/>
    <n v="1352000"/>
    <x v="527"/>
    <x v="2"/>
    <x v="0"/>
    <n v="3"/>
    <x v="19"/>
    <n v="0.25221893491124259"/>
  </r>
  <r>
    <s v="ID-2023-00062"/>
    <d v="2023-03-29T00:00:00"/>
    <s v="ST-001"/>
    <x v="0"/>
    <s v="CUST-022"/>
    <x v="1"/>
    <s v="PRD-014"/>
    <x v="22"/>
    <x v="0"/>
    <n v="2"/>
    <n v="1230000"/>
    <n v="0"/>
    <n v="889000"/>
    <n v="2460000"/>
    <x v="1086"/>
    <x v="2"/>
    <x v="0"/>
    <n v="3"/>
    <x v="7"/>
    <n v="0.63861788617886184"/>
  </r>
  <r>
    <s v="ID-2023-00748"/>
    <d v="2023-04-03T00:00:00"/>
    <s v="ST-003"/>
    <x v="4"/>
    <s v="CUST-102"/>
    <x v="0"/>
    <s v="PRD-014"/>
    <x v="22"/>
    <x v="0"/>
    <n v="1"/>
    <n v="1443000"/>
    <n v="0"/>
    <n v="1062000"/>
    <n v="1443000"/>
    <x v="472"/>
    <x v="11"/>
    <x v="0"/>
    <n v="4"/>
    <x v="8"/>
    <n v="0.26403326403326405"/>
  </r>
  <r>
    <s v="ID-2023-00494"/>
    <d v="2023-04-19T00:00:00"/>
    <s v="ST-002"/>
    <x v="3"/>
    <s v="CUST-040"/>
    <x v="0"/>
    <s v="PRD-014"/>
    <x v="22"/>
    <x v="0"/>
    <n v="3"/>
    <n v="938000"/>
    <n v="0"/>
    <n v="668000"/>
    <n v="2814000"/>
    <x v="1087"/>
    <x v="11"/>
    <x v="0"/>
    <n v="4"/>
    <x v="26"/>
    <n v="0.76261549395877759"/>
  </r>
  <r>
    <s v="ID-2023-00231"/>
    <d v="2023-04-20T00:00:00"/>
    <s v="ST-003"/>
    <x v="4"/>
    <s v="CUST-073"/>
    <x v="1"/>
    <s v="PRD-014"/>
    <x v="22"/>
    <x v="0"/>
    <n v="1"/>
    <n v="863000"/>
    <n v="0.05"/>
    <n v="614000"/>
    <n v="819850"/>
    <x v="1088"/>
    <x v="11"/>
    <x v="0"/>
    <n v="4"/>
    <x v="30"/>
    <n v="0.25108251509422458"/>
  </r>
  <r>
    <s v="ID-2023-00150"/>
    <d v="2023-04-21T00:00:00"/>
    <s v="ST-001"/>
    <x v="0"/>
    <s v="CUST-068"/>
    <x v="1"/>
    <s v="PRD-014"/>
    <x v="22"/>
    <x v="0"/>
    <n v="2"/>
    <n v="1027000"/>
    <n v="0.1"/>
    <n v="742000"/>
    <n v="1848600"/>
    <x v="1089"/>
    <x v="11"/>
    <x v="0"/>
    <n v="4"/>
    <x v="14"/>
    <n v="0.59861516823542138"/>
  </r>
  <r>
    <s v="ID-2023-01555"/>
    <d v="2023-05-28T00:00:00"/>
    <s v="ST-004"/>
    <x v="2"/>
    <s v="CUST-043"/>
    <x v="1"/>
    <s v="PRD-014"/>
    <x v="22"/>
    <x v="0"/>
    <n v="1"/>
    <n v="1341000"/>
    <n v="0"/>
    <n v="975000"/>
    <n v="1341000"/>
    <x v="1090"/>
    <x v="3"/>
    <x v="0"/>
    <n v="5"/>
    <x v="4"/>
    <n v="0.27293064876957496"/>
  </r>
  <r>
    <s v="ID-2023-01741"/>
    <d v="2023-06-25T00:00:00"/>
    <s v="ST-004"/>
    <x v="2"/>
    <s v="CUST-087"/>
    <x v="2"/>
    <s v="PRD-014"/>
    <x v="22"/>
    <x v="0"/>
    <n v="1"/>
    <n v="1190000"/>
    <n v="0"/>
    <n v="884000"/>
    <n v="1190000"/>
    <x v="1091"/>
    <x v="4"/>
    <x v="0"/>
    <n v="6"/>
    <x v="12"/>
    <n v="0.25714285714285712"/>
  </r>
  <r>
    <s v="ID-2023-00708"/>
    <d v="2023-07-22T00:00:00"/>
    <s v="ST-004"/>
    <x v="2"/>
    <s v="CUST-004"/>
    <x v="0"/>
    <s v="PRD-014"/>
    <x v="22"/>
    <x v="0"/>
    <n v="1"/>
    <n v="1245465.5172413792"/>
    <n v="0"/>
    <n v="840000"/>
    <n v="1245465.5172413792"/>
    <x v="1092"/>
    <x v="5"/>
    <x v="0"/>
    <n v="7"/>
    <x v="16"/>
    <n v="0.3255533867685535"/>
  </r>
  <r>
    <s v="ID-2023-01634"/>
    <d v="2023-07-28T00:00:00"/>
    <s v="ST-001"/>
    <x v="0"/>
    <s v="CUST-122"/>
    <x v="1"/>
    <s v="PRD-014"/>
    <x v="22"/>
    <x v="0"/>
    <n v="1"/>
    <n v="1146000"/>
    <n v="0"/>
    <n v="830000"/>
    <n v="1146000"/>
    <x v="614"/>
    <x v="5"/>
    <x v="0"/>
    <n v="7"/>
    <x v="4"/>
    <n v="0.27574171029668409"/>
  </r>
  <r>
    <s v="ID-2023-00898"/>
    <d v="2023-07-31T00:00:00"/>
    <s v="ST-001"/>
    <x v="0"/>
    <s v="CUST-098"/>
    <x v="0"/>
    <s v="PRD-014"/>
    <x v="22"/>
    <x v="0"/>
    <n v="1"/>
    <n v="1220000"/>
    <n v="0"/>
    <n v="887000"/>
    <n v="1220000"/>
    <x v="1093"/>
    <x v="5"/>
    <x v="0"/>
    <n v="7"/>
    <x v="28"/>
    <n v="0.27295081967213114"/>
  </r>
  <r>
    <s v="ID-2023-00019"/>
    <d v="2023-08-16T00:00:00"/>
    <s v="ST-002"/>
    <x v="3"/>
    <s v="CUST-034"/>
    <x v="2"/>
    <s v="PRD-014"/>
    <x v="22"/>
    <x v="0"/>
    <n v="3"/>
    <n v="856000"/>
    <n v="0"/>
    <n v="624000"/>
    <n v="2568000"/>
    <x v="1094"/>
    <x v="6"/>
    <x v="0"/>
    <n v="8"/>
    <x v="5"/>
    <n v="0.7570093457943925"/>
  </r>
  <r>
    <s v="ID-2023-00680"/>
    <d v="2023-09-01T00:00:00"/>
    <s v="ST-002"/>
    <x v="3"/>
    <s v="CUST-028"/>
    <x v="0"/>
    <s v="PRD-014"/>
    <x v="22"/>
    <x v="0"/>
    <n v="2"/>
    <n v="1312000"/>
    <n v="0"/>
    <n v="975000"/>
    <n v="2624000"/>
    <x v="1095"/>
    <x v="7"/>
    <x v="0"/>
    <n v="9"/>
    <x v="0"/>
    <n v="0.62842987804878048"/>
  </r>
  <r>
    <s v="ID-2023-00203"/>
    <d v="2023-09-08T00:00:00"/>
    <s v="ST-001"/>
    <x v="0"/>
    <s v="CUST-052"/>
    <x v="2"/>
    <s v="PRD-014"/>
    <x v="22"/>
    <x v="0"/>
    <n v="1"/>
    <n v="1089000"/>
    <n v="0"/>
    <n v="812000"/>
    <n v="1089000"/>
    <x v="1096"/>
    <x v="7"/>
    <x v="0"/>
    <n v="9"/>
    <x v="27"/>
    <n v="0.25436179981634527"/>
  </r>
  <r>
    <s v="ID-2023-01683"/>
    <d v="2023-11-19T00:00:00"/>
    <s v="ST-001"/>
    <x v="0"/>
    <s v="CUST-093"/>
    <x v="2"/>
    <s v="PRD-014"/>
    <x v="22"/>
    <x v="0"/>
    <n v="1"/>
    <n v="1419000"/>
    <n v="0"/>
    <n v="1015000"/>
    <n v="1419000"/>
    <x v="1097"/>
    <x v="9"/>
    <x v="0"/>
    <n v="11"/>
    <x v="26"/>
    <n v="0.284707540521494"/>
  </r>
  <r>
    <s v="ID-2023-01754"/>
    <d v="2023-12-22T00:00:00"/>
    <s v="ST-001"/>
    <x v="0"/>
    <s v="CUST-035"/>
    <x v="3"/>
    <s v="PRD-014"/>
    <x v="22"/>
    <x v="0"/>
    <n v="3"/>
    <n v="1227000"/>
    <n v="0.05"/>
    <n v="886000"/>
    <n v="3496950"/>
    <x v="1098"/>
    <x v="10"/>
    <x v="0"/>
    <n v="12"/>
    <x v="16"/>
    <n v="0.74663635453752553"/>
  </r>
  <r>
    <s v="ID-2024-00578"/>
    <d v="2024-01-03T00:00:00"/>
    <s v="ST-002"/>
    <x v="3"/>
    <s v="CUST-107"/>
    <x v="0"/>
    <s v="PRD-014"/>
    <x v="22"/>
    <x v="0"/>
    <n v="1"/>
    <n v="1450000"/>
    <n v="0"/>
    <n v="1047000"/>
    <n v="1450000"/>
    <x v="447"/>
    <x v="0"/>
    <x v="1"/>
    <n v="1"/>
    <x v="8"/>
    <n v="0.27793103448275863"/>
  </r>
  <r>
    <s v="ID-2024-01496"/>
    <d v="2024-01-22T00:00:00"/>
    <s v="ST-001"/>
    <x v="0"/>
    <s v="CUST-080"/>
    <x v="1"/>
    <s v="PRD-014"/>
    <x v="22"/>
    <x v="0"/>
    <n v="3"/>
    <n v="949000"/>
    <n v="0.1"/>
    <n v="686000"/>
    <n v="2562300"/>
    <x v="1099"/>
    <x v="0"/>
    <x v="1"/>
    <n v="1"/>
    <x v="16"/>
    <n v="0.73227178706630758"/>
  </r>
  <r>
    <s v="ID-2024-00322"/>
    <d v="2024-02-18T00:00:00"/>
    <s v="ST-001"/>
    <x v="0"/>
    <s v="CUST-060"/>
    <x v="1"/>
    <s v="PRD-014"/>
    <x v="22"/>
    <x v="0"/>
    <n v="2"/>
    <n v="1245465.5172413792"/>
    <n v="0"/>
    <n v="0"/>
    <n v="2490931.0344827585"/>
    <x v="1100"/>
    <x v="1"/>
    <x v="1"/>
    <n v="2"/>
    <x v="9"/>
    <n v="1"/>
  </r>
  <r>
    <s v="ID-2024-01529"/>
    <d v="2024-03-20T00:00:00"/>
    <s v="ST-005"/>
    <x v="1"/>
    <s v="CUST-077"/>
    <x v="2"/>
    <s v="PRD-014"/>
    <x v="22"/>
    <x v="0"/>
    <n v="1"/>
    <n v="1248000"/>
    <n v="0"/>
    <n v="904000"/>
    <n v="1248000"/>
    <x v="684"/>
    <x v="2"/>
    <x v="1"/>
    <n v="3"/>
    <x v="30"/>
    <n v="0.27564102564102566"/>
  </r>
  <r>
    <s v="ID-2024-01648"/>
    <d v="2024-03-29T00:00:00"/>
    <s v="ST-005"/>
    <x v="1"/>
    <s v="CUST-059"/>
    <x v="1"/>
    <s v="PRD-014"/>
    <x v="22"/>
    <x v="0"/>
    <n v="1"/>
    <n v="1245465.5172413792"/>
    <n v="0"/>
    <n v="840000"/>
    <n v="1245465.5172413792"/>
    <x v="1092"/>
    <x v="2"/>
    <x v="1"/>
    <n v="3"/>
    <x v="7"/>
    <n v="0.3255533867685535"/>
  </r>
  <r>
    <s v="ID-2024-01306"/>
    <d v="2024-03-31T00:00:00"/>
    <s v="ST-004"/>
    <x v="2"/>
    <s v="CUST-025"/>
    <x v="0"/>
    <s v="PRD-014"/>
    <x v="22"/>
    <x v="0"/>
    <n v="1"/>
    <n v="1171000"/>
    <n v="0"/>
    <n v="837000"/>
    <n v="1171000"/>
    <x v="459"/>
    <x v="2"/>
    <x v="1"/>
    <n v="3"/>
    <x v="28"/>
    <n v="0.2852263023057216"/>
  </r>
  <r>
    <s v="ID-2024-00796"/>
    <d v="2024-04-11T00:00:00"/>
    <s v="ST-005"/>
    <x v="1"/>
    <s v="CUST-139"/>
    <x v="1"/>
    <s v="PRD-014"/>
    <x v="22"/>
    <x v="0"/>
    <n v="1"/>
    <n v="1239000"/>
    <n v="0"/>
    <n v="921000"/>
    <n v="1239000"/>
    <x v="1101"/>
    <x v="11"/>
    <x v="1"/>
    <n v="4"/>
    <x v="22"/>
    <n v="0.2566585956416465"/>
  </r>
  <r>
    <s v="ID-2024-01382"/>
    <d v="2024-04-11T00:00:00"/>
    <s v="ST-002"/>
    <x v="3"/>
    <s v="CUST-111"/>
    <x v="1"/>
    <s v="PRD-014"/>
    <x v="22"/>
    <x v="0"/>
    <n v="1"/>
    <n v="1544000"/>
    <n v="0"/>
    <n v="1121000"/>
    <n v="1544000"/>
    <x v="1102"/>
    <x v="11"/>
    <x v="1"/>
    <n v="4"/>
    <x v="22"/>
    <n v="0.27396373056994816"/>
  </r>
  <r>
    <s v="ID-2024-00446"/>
    <d v="2024-04-30T00:00:00"/>
    <s v="ST-001"/>
    <x v="0"/>
    <s v="CUST-047"/>
    <x v="1"/>
    <s v="PRD-014"/>
    <x v="22"/>
    <x v="0"/>
    <n v="5"/>
    <n v="877000"/>
    <n v="0"/>
    <n v="651000"/>
    <n v="4385000"/>
    <x v="1103"/>
    <x v="11"/>
    <x v="1"/>
    <n v="4"/>
    <x v="15"/>
    <n v="0.85153933865450404"/>
  </r>
  <r>
    <s v="ID-2024-00468"/>
    <d v="2024-05-23T00:00:00"/>
    <s v="ST-003"/>
    <x v="4"/>
    <s v="CUST-107"/>
    <x v="0"/>
    <s v="PRD-014"/>
    <x v="22"/>
    <x v="0"/>
    <n v="1"/>
    <n v="1484000"/>
    <n v="0"/>
    <n v="1087000"/>
    <n v="1484000"/>
    <x v="434"/>
    <x v="3"/>
    <x v="1"/>
    <n v="5"/>
    <x v="11"/>
    <n v="0.26752021563342315"/>
  </r>
  <r>
    <s v="ID-2024-00836"/>
    <d v="2024-06-29T00:00:00"/>
    <s v="ST-001"/>
    <x v="0"/>
    <s v="CUST-105"/>
    <x v="2"/>
    <s v="PRD-014"/>
    <x v="22"/>
    <x v="0"/>
    <n v="2"/>
    <n v="995000"/>
    <n v="0"/>
    <n v="735000"/>
    <n v="1990000"/>
    <x v="1104"/>
    <x v="4"/>
    <x v="1"/>
    <n v="6"/>
    <x v="7"/>
    <n v="0.6306532663316583"/>
  </r>
  <r>
    <s v="ID-2024-00901"/>
    <d v="2024-07-10T00:00:00"/>
    <s v="ST-001"/>
    <x v="0"/>
    <s v="CUST-024"/>
    <x v="1"/>
    <s v="PRD-014"/>
    <x v="22"/>
    <x v="0"/>
    <n v="2"/>
    <n v="1121000"/>
    <n v="0"/>
    <n v="837000"/>
    <n v="2242000"/>
    <x v="1105"/>
    <x v="5"/>
    <x v="1"/>
    <n v="7"/>
    <x v="13"/>
    <n v="0.6266726137377342"/>
  </r>
  <r>
    <s v="ID-2024-00545"/>
    <d v="2024-07-20T00:00:00"/>
    <s v="ST-005"/>
    <x v="1"/>
    <s v="CUST-096"/>
    <x v="0"/>
    <s v="PRD-014"/>
    <x v="22"/>
    <x v="0"/>
    <n v="1"/>
    <n v="1086000"/>
    <n v="0"/>
    <n v="801000"/>
    <n v="1086000"/>
    <x v="1106"/>
    <x v="5"/>
    <x v="1"/>
    <n v="7"/>
    <x v="30"/>
    <n v="0.26243093922651933"/>
  </r>
  <r>
    <s v="ID-2024-01517"/>
    <d v="2024-08-03T00:00:00"/>
    <s v="ST-002"/>
    <x v="3"/>
    <s v="CUST-047"/>
    <x v="1"/>
    <s v="PRD-014"/>
    <x v="22"/>
    <x v="0"/>
    <n v="1"/>
    <n v="1209000"/>
    <n v="0.05"/>
    <n v="904000"/>
    <n v="1148550"/>
    <x v="1107"/>
    <x v="6"/>
    <x v="1"/>
    <n v="8"/>
    <x v="8"/>
    <n v="0.21292063906664926"/>
  </r>
  <r>
    <s v="ID-2024-00069"/>
    <d v="2024-09-19T00:00:00"/>
    <s v="ST-004"/>
    <x v="2"/>
    <s v="CUST-125"/>
    <x v="1"/>
    <s v="PRD-014"/>
    <x v="22"/>
    <x v="0"/>
    <n v="1"/>
    <n v="1312000"/>
    <n v="0.05"/>
    <n v="974000"/>
    <n v="1246400"/>
    <x v="1108"/>
    <x v="7"/>
    <x v="1"/>
    <n v="9"/>
    <x v="26"/>
    <n v="0.21854942233632862"/>
  </r>
  <r>
    <s v="ID-2024-01160"/>
    <d v="2024-10-29T00:00:00"/>
    <s v="ST-003"/>
    <x v="4"/>
    <s v="CUST-109"/>
    <x v="1"/>
    <s v="PRD-014"/>
    <x v="22"/>
    <x v="0"/>
    <n v="1"/>
    <n v="1261000"/>
    <n v="0"/>
    <n v="931000"/>
    <n v="1261000"/>
    <x v="843"/>
    <x v="8"/>
    <x v="1"/>
    <n v="10"/>
    <x v="7"/>
    <n v="0.26169706582077717"/>
  </r>
  <r>
    <s v="ID-2024-00860"/>
    <d v="2024-12-07T00:00:00"/>
    <s v="ST-002"/>
    <x v="3"/>
    <s v="CUST-098"/>
    <x v="0"/>
    <s v="PRD-014"/>
    <x v="22"/>
    <x v="0"/>
    <n v="2"/>
    <n v="1460000"/>
    <n v="0"/>
    <n v="1068000"/>
    <n v="2920000"/>
    <x v="1109"/>
    <x v="10"/>
    <x v="1"/>
    <n v="12"/>
    <x v="3"/>
    <n v="0.63424657534246576"/>
  </r>
  <r>
    <s v="ID-2024-01205"/>
    <d v="2024-12-15T00:00:00"/>
    <s v="ST-001"/>
    <x v="0"/>
    <s v="CUST-056"/>
    <x v="2"/>
    <s v="PRD-014"/>
    <x v="22"/>
    <x v="0"/>
    <n v="1"/>
    <n v="1307000"/>
    <n v="0.1"/>
    <n v="974000"/>
    <n v="1176300"/>
    <x v="1110"/>
    <x v="10"/>
    <x v="1"/>
    <n v="12"/>
    <x v="19"/>
    <n v="0.17197993709087817"/>
  </r>
  <r>
    <s v="ID-2025-01267"/>
    <d v="2025-01-02T00:00:00"/>
    <s v="ST-001"/>
    <x v="0"/>
    <s v="CUST-050"/>
    <x v="1"/>
    <s v="PRD-014"/>
    <x v="22"/>
    <x v="0"/>
    <n v="1"/>
    <n v="1095000"/>
    <n v="0"/>
    <n v="810000"/>
    <n v="1095000"/>
    <x v="1106"/>
    <x v="0"/>
    <x v="2"/>
    <n v="1"/>
    <x v="17"/>
    <n v="0.26027397260273971"/>
  </r>
  <r>
    <s v="ID-2025-00529"/>
    <d v="2025-01-19T00:00:00"/>
    <s v="ST-002"/>
    <x v="3"/>
    <s v="CUST-084"/>
    <x v="1"/>
    <s v="PRD-014"/>
    <x v="22"/>
    <x v="0"/>
    <n v="5"/>
    <n v="1162000"/>
    <n v="0.1"/>
    <n v="843000"/>
    <n v="5229000"/>
    <x v="1111"/>
    <x v="0"/>
    <x v="2"/>
    <n v="1"/>
    <x v="26"/>
    <n v="0.83878370625358578"/>
  </r>
  <r>
    <s v="ID-2025-00504"/>
    <d v="2025-01-31T00:00:00"/>
    <s v="ST-002"/>
    <x v="3"/>
    <s v="CUST-142"/>
    <x v="1"/>
    <s v="PRD-014"/>
    <x v="22"/>
    <x v="0"/>
    <n v="3"/>
    <n v="1536000"/>
    <n v="0"/>
    <n v="1116000"/>
    <n v="4608000"/>
    <x v="1112"/>
    <x v="0"/>
    <x v="2"/>
    <n v="1"/>
    <x v="28"/>
    <n v="0.7578125"/>
  </r>
  <r>
    <s v="ID-2025-00604"/>
    <d v="2025-03-13T00:00:00"/>
    <s v="ST-004"/>
    <x v="2"/>
    <s v="CUST-023"/>
    <x v="1"/>
    <s v="PRD-014"/>
    <x v="22"/>
    <x v="0"/>
    <n v="1"/>
    <n v="1556000"/>
    <n v="0"/>
    <n v="1117000"/>
    <n v="1556000"/>
    <x v="401"/>
    <x v="2"/>
    <x v="2"/>
    <n v="3"/>
    <x v="23"/>
    <n v="0.28213367609254497"/>
  </r>
  <r>
    <s v="ID-2025-00404"/>
    <d v="2025-04-30T00:00:00"/>
    <s v="ST-005"/>
    <x v="1"/>
    <s v="CUST-081"/>
    <x v="1"/>
    <s v="PRD-014"/>
    <x v="22"/>
    <x v="0"/>
    <n v="1"/>
    <n v="1390000"/>
    <n v="0.05"/>
    <n v="1003000"/>
    <n v="1320500"/>
    <x v="1113"/>
    <x v="11"/>
    <x v="2"/>
    <n v="4"/>
    <x v="15"/>
    <n v="0.24043922756531616"/>
  </r>
  <r>
    <s v="ID-2025-00551"/>
    <d v="2025-06-10T00:00:00"/>
    <s v="ST-001"/>
    <x v="0"/>
    <s v="CUST-011"/>
    <x v="1"/>
    <s v="PRD-014"/>
    <x v="22"/>
    <x v="0"/>
    <n v="1"/>
    <n v="1242000"/>
    <n v="0.1"/>
    <n v="913000"/>
    <n v="1117800"/>
    <x v="1114"/>
    <x v="4"/>
    <x v="2"/>
    <n v="6"/>
    <x v="13"/>
    <n v="0.18321703345857934"/>
  </r>
  <r>
    <s v="ID-2025-01746"/>
    <d v="2025-07-16T00:00:00"/>
    <s v="ST-001"/>
    <x v="0"/>
    <s v="CUST-098"/>
    <x v="0"/>
    <s v="PRD-014"/>
    <x v="22"/>
    <x v="0"/>
    <n v="3"/>
    <n v="1023000"/>
    <n v="0"/>
    <n v="756000"/>
    <n v="3069000"/>
    <x v="1115"/>
    <x v="5"/>
    <x v="2"/>
    <n v="7"/>
    <x v="5"/>
    <n v="0.75366568914956011"/>
  </r>
  <r>
    <s v="ID-2025-00759"/>
    <d v="2025-07-26T00:00:00"/>
    <s v="ST-003"/>
    <x v="4"/>
    <s v="CUST-034"/>
    <x v="2"/>
    <s v="PRD-014"/>
    <x v="22"/>
    <x v="0"/>
    <n v="1"/>
    <n v="1451000"/>
    <n v="0"/>
    <n v="1037000"/>
    <n v="1451000"/>
    <x v="469"/>
    <x v="5"/>
    <x v="2"/>
    <n v="7"/>
    <x v="6"/>
    <n v="0.28532046864231564"/>
  </r>
  <r>
    <s v="ID-2025-01617"/>
    <d v="2025-08-01T00:00:00"/>
    <s v="ST-004"/>
    <x v="2"/>
    <s v="CUST-137"/>
    <x v="0"/>
    <s v="PRD-014"/>
    <x v="22"/>
    <x v="0"/>
    <n v="1"/>
    <n v="1150000"/>
    <n v="0"/>
    <n v="847000"/>
    <n v="1150000"/>
    <x v="619"/>
    <x v="6"/>
    <x v="2"/>
    <n v="8"/>
    <x v="0"/>
    <n v="0.26347826086956522"/>
  </r>
  <r>
    <s v="ID-2025-01470"/>
    <d v="2025-10-29T00:00:00"/>
    <s v="ST-001"/>
    <x v="0"/>
    <s v="CUST-089"/>
    <x v="1"/>
    <s v="PRD-014"/>
    <x v="22"/>
    <x v="0"/>
    <n v="1"/>
    <n v="1195000"/>
    <n v="0"/>
    <n v="869000"/>
    <n v="1195000"/>
    <x v="1116"/>
    <x v="8"/>
    <x v="2"/>
    <n v="10"/>
    <x v="7"/>
    <n v="0.27280334728033473"/>
  </r>
  <r>
    <s v="ID-2025-00485"/>
    <d v="2025-11-08T00:00:00"/>
    <s v="ST-003"/>
    <x v="4"/>
    <s v="CUST-116"/>
    <x v="1"/>
    <s v="PRD-014"/>
    <x v="22"/>
    <x v="0"/>
    <n v="1"/>
    <n v="1079000"/>
    <n v="0"/>
    <n v="805000"/>
    <n v="1079000"/>
    <x v="863"/>
    <x v="9"/>
    <x v="2"/>
    <n v="11"/>
    <x v="27"/>
    <n v="0.25393883225208524"/>
  </r>
  <r>
    <s v="ID-2025-00170"/>
    <d v="2025-11-08T00:00:00"/>
    <s v="ST-001"/>
    <x v="0"/>
    <s v="CUST-053"/>
    <x v="2"/>
    <s v="PRD-014"/>
    <x v="22"/>
    <x v="0"/>
    <n v="1"/>
    <n v="1029000"/>
    <n v="0"/>
    <n v="768000"/>
    <n v="1029000"/>
    <x v="1117"/>
    <x v="9"/>
    <x v="2"/>
    <n v="11"/>
    <x v="27"/>
    <n v="0.25364431486880468"/>
  </r>
  <r>
    <s v="ID-2025-00260"/>
    <d v="2025-11-08T00:00:00"/>
    <s v="ST-005"/>
    <x v="1"/>
    <s v="CUST-014"/>
    <x v="1"/>
    <s v="PRD-014"/>
    <x v="22"/>
    <x v="0"/>
    <n v="5"/>
    <n v="1041000"/>
    <n v="0.15"/>
    <n v="780000"/>
    <n v="4424250"/>
    <x v="1118"/>
    <x v="9"/>
    <x v="2"/>
    <n v="11"/>
    <x v="27"/>
    <n v="0.82369893202237665"/>
  </r>
  <r>
    <s v="ID-2025-01111"/>
    <d v="2025-11-27T00:00:00"/>
    <s v="ST-004"/>
    <x v="2"/>
    <s v="CUST-051"/>
    <x v="3"/>
    <s v="PRD-014"/>
    <x v="22"/>
    <x v="0"/>
    <n v="1"/>
    <n v="1050000"/>
    <n v="0.05"/>
    <n v="773000"/>
    <n v="997500"/>
    <x v="1119"/>
    <x v="9"/>
    <x v="2"/>
    <n v="11"/>
    <x v="24"/>
    <n v="0.22506265664160402"/>
  </r>
  <r>
    <s v="ID-2025-00844"/>
    <d v="2025-11-27T00:00:00"/>
    <s v="ST-005"/>
    <x v="1"/>
    <s v="CUST-089"/>
    <x v="1"/>
    <s v="PRD-014"/>
    <x v="22"/>
    <x v="0"/>
    <n v="1"/>
    <n v="1448000"/>
    <n v="0"/>
    <n v="1040000"/>
    <n v="1448000"/>
    <x v="1120"/>
    <x v="9"/>
    <x v="2"/>
    <n v="11"/>
    <x v="24"/>
    <n v="0.28176795580110497"/>
  </r>
  <r>
    <s v="ID-2025-00094"/>
    <d v="2025-11-28T00:00:00"/>
    <s v="ST-003"/>
    <x v="4"/>
    <s v="CUST-084"/>
    <x v="1"/>
    <s v="PRD-014"/>
    <x v="22"/>
    <x v="0"/>
    <n v="1"/>
    <n v="1186000"/>
    <n v="0.15"/>
    <n v="846000"/>
    <n v="1008100"/>
    <x v="1121"/>
    <x v="9"/>
    <x v="2"/>
    <n v="11"/>
    <x v="4"/>
    <n v="0.1607975399265946"/>
  </r>
  <r>
    <s v="ID-2026-00561"/>
    <d v="2026-01-08T00:00:00"/>
    <s v="ST-001"/>
    <x v="0"/>
    <s v="CUST-052"/>
    <x v="2"/>
    <s v="PRD-014"/>
    <x v="22"/>
    <x v="0"/>
    <n v="1"/>
    <n v="1030000"/>
    <n v="0"/>
    <n v="738000"/>
    <n v="1030000"/>
    <x v="1122"/>
    <x v="0"/>
    <x v="3"/>
    <n v="1"/>
    <x v="27"/>
    <n v="0.28349514563106798"/>
  </r>
  <r>
    <s v="ID-2026-01383"/>
    <d v="2026-01-14T00:00:00"/>
    <s v="ST-003"/>
    <x v="4"/>
    <s v="CUST-118"/>
    <x v="1"/>
    <s v="PRD-014"/>
    <x v="22"/>
    <x v="0"/>
    <n v="1"/>
    <n v="1084000"/>
    <n v="0"/>
    <n v="801000"/>
    <n v="1084000"/>
    <x v="1123"/>
    <x v="0"/>
    <x v="3"/>
    <n v="1"/>
    <x v="18"/>
    <n v="0.26107011070110703"/>
  </r>
  <r>
    <s v="ID-2026-01053"/>
    <d v="2026-02-06T00:00:00"/>
    <s v="ST-004"/>
    <x v="2"/>
    <s v="CUST-093"/>
    <x v="2"/>
    <s v="PRD-014"/>
    <x v="22"/>
    <x v="0"/>
    <n v="5"/>
    <n v="1606000"/>
    <n v="0"/>
    <n v="1187000"/>
    <n v="8030000"/>
    <x v="1124"/>
    <x v="1"/>
    <x v="3"/>
    <n v="2"/>
    <x v="29"/>
    <n v="0.85217932752179326"/>
  </r>
  <r>
    <s v="ID-2026-00658"/>
    <d v="2026-03-01T00:00:00"/>
    <s v="ST-001"/>
    <x v="0"/>
    <s v="CUST-083"/>
    <x v="1"/>
    <s v="PRD-014"/>
    <x v="22"/>
    <x v="0"/>
    <n v="1"/>
    <n v="1687000"/>
    <n v="0.05"/>
    <n v="1224000"/>
    <n v="1602650"/>
    <x v="1125"/>
    <x v="2"/>
    <x v="3"/>
    <n v="3"/>
    <x v="0"/>
    <n v="0.23626493619941971"/>
  </r>
  <r>
    <s v="ID-2026-00501"/>
    <d v="2026-03-03T00:00:00"/>
    <s v="ST-001"/>
    <x v="0"/>
    <s v="CUST-132"/>
    <x v="1"/>
    <s v="PRD-014"/>
    <x v="22"/>
    <x v="0"/>
    <n v="1"/>
    <n v="1546000"/>
    <n v="0.05"/>
    <n v="1129000"/>
    <n v="1468700"/>
    <x v="1126"/>
    <x v="2"/>
    <x v="3"/>
    <n v="3"/>
    <x v="8"/>
    <n v="0.23129298018655955"/>
  </r>
  <r>
    <s v="ID-2026-00390"/>
    <d v="2026-03-24T00:00:00"/>
    <s v="ST-004"/>
    <x v="2"/>
    <s v="CUST-010"/>
    <x v="2"/>
    <s v="PRD-014"/>
    <x v="22"/>
    <x v="0"/>
    <n v="1"/>
    <n v="1075000"/>
    <n v="0.1"/>
    <n v="774000"/>
    <n v="967500"/>
    <x v="1127"/>
    <x v="2"/>
    <x v="3"/>
    <n v="3"/>
    <x v="25"/>
    <n v="0.2"/>
  </r>
  <r>
    <s v="ID-2026-00323"/>
    <d v="2026-04-18T00:00:00"/>
    <s v="ST-003"/>
    <x v="4"/>
    <s v="CUST-008"/>
    <x v="1"/>
    <s v="PRD-014"/>
    <x v="22"/>
    <x v="0"/>
    <n v="3"/>
    <n v="1576000"/>
    <n v="0.05"/>
    <n v="1120000"/>
    <n v="4491600"/>
    <x v="1128"/>
    <x v="11"/>
    <x v="3"/>
    <n v="4"/>
    <x v="9"/>
    <n v="0.75064564965713776"/>
  </r>
  <r>
    <s v="ID-2026-00216"/>
    <d v="2026-05-29T00:00:00"/>
    <s v="ST-005"/>
    <x v="1"/>
    <s v="CUST-002"/>
    <x v="3"/>
    <s v="PRD-014"/>
    <x v="22"/>
    <x v="0"/>
    <n v="1"/>
    <n v="1686000"/>
    <n v="0.05"/>
    <n v="1243000"/>
    <n v="1601700"/>
    <x v="1129"/>
    <x v="3"/>
    <x v="3"/>
    <n v="5"/>
    <x v="7"/>
    <n v="0.22394955359930074"/>
  </r>
  <r>
    <s v="ID-2023-00362"/>
    <d v="2023-02-10T00:00:00"/>
    <s v="ST-003"/>
    <x v="4"/>
    <s v="CUST-137"/>
    <x v="0"/>
    <s v="PRD-027"/>
    <x v="23"/>
    <x v="2"/>
    <n v="1"/>
    <n v="356000"/>
    <n v="0"/>
    <n v="234000"/>
    <n v="356000"/>
    <x v="541"/>
    <x v="1"/>
    <x v="0"/>
    <n v="2"/>
    <x v="13"/>
    <n v="0.34269662921348315"/>
  </r>
  <r>
    <s v="ID-2023-00929"/>
    <d v="2023-02-22T00:00:00"/>
    <s v="ST-001"/>
    <x v="0"/>
    <s v="CUST-048"/>
    <x v="0"/>
    <s v="PRD-027"/>
    <x v="23"/>
    <x v="2"/>
    <n v="1"/>
    <n v="204000"/>
    <n v="0"/>
    <n v="138000"/>
    <n v="204000"/>
    <x v="1130"/>
    <x v="1"/>
    <x v="0"/>
    <n v="2"/>
    <x v="16"/>
    <n v="0.3235294117647059"/>
  </r>
  <r>
    <s v="ID-2023-01565"/>
    <d v="2023-03-19T00:00:00"/>
    <s v="ST-002"/>
    <x v="3"/>
    <s v="CUST-064"/>
    <x v="1"/>
    <s v="PRD-027"/>
    <x v="23"/>
    <x v="2"/>
    <n v="5"/>
    <n v="162000"/>
    <n v="0.05"/>
    <n v="108000"/>
    <n v="769500"/>
    <x v="1131"/>
    <x v="2"/>
    <x v="0"/>
    <n v="3"/>
    <x v="26"/>
    <n v="0.85964912280701755"/>
  </r>
  <r>
    <s v="ID-2023-00559"/>
    <d v="2023-04-04T00:00:00"/>
    <s v="ST-002"/>
    <x v="3"/>
    <s v="CUST-085"/>
    <x v="1"/>
    <s v="PRD-027"/>
    <x v="23"/>
    <x v="2"/>
    <n v="1"/>
    <n v="273666.66666666669"/>
    <n v="0"/>
    <n v="0"/>
    <n v="273666.66666666669"/>
    <x v="1132"/>
    <x v="11"/>
    <x v="0"/>
    <n v="4"/>
    <x v="20"/>
    <n v="1"/>
  </r>
  <r>
    <s v="ID-2023-00721"/>
    <d v="2023-05-21T00:00:00"/>
    <s v="ST-003"/>
    <x v="4"/>
    <s v="CUST-106"/>
    <x v="1"/>
    <s v="PRD-027"/>
    <x v="23"/>
    <x v="2"/>
    <n v="1"/>
    <n v="167000"/>
    <n v="0.05"/>
    <n v="109000"/>
    <n v="158650"/>
    <x v="1133"/>
    <x v="3"/>
    <x v="0"/>
    <n v="5"/>
    <x v="14"/>
    <n v="0.31295304128584933"/>
  </r>
  <r>
    <s v="ID-2023-01757"/>
    <d v="2023-05-25T00:00:00"/>
    <s v="ST-001"/>
    <x v="0"/>
    <s v="CUST-033"/>
    <x v="1"/>
    <s v="PRD-027"/>
    <x v="23"/>
    <x v="2"/>
    <n v="3"/>
    <n v="276000"/>
    <n v="0.05"/>
    <n v="184000"/>
    <n v="786600"/>
    <x v="1134"/>
    <x v="3"/>
    <x v="0"/>
    <n v="5"/>
    <x v="12"/>
    <n v="0.76608187134502925"/>
  </r>
  <r>
    <s v="ID-2023-00710"/>
    <d v="2023-06-05T00:00:00"/>
    <s v="ST-001"/>
    <x v="0"/>
    <s v="CUST-029"/>
    <x v="0"/>
    <s v="PRD-027"/>
    <x v="23"/>
    <x v="2"/>
    <n v="1"/>
    <n v="345000"/>
    <n v="0"/>
    <n v="227000"/>
    <n v="345000"/>
    <x v="7"/>
    <x v="4"/>
    <x v="0"/>
    <n v="6"/>
    <x v="21"/>
    <n v="0.34202898550724636"/>
  </r>
  <r>
    <s v="ID-2023-01054"/>
    <d v="2023-06-11T00:00:00"/>
    <s v="ST-001"/>
    <x v="0"/>
    <s v="CUST-068"/>
    <x v="1"/>
    <s v="PRD-027"/>
    <x v="23"/>
    <x v="2"/>
    <n v="1"/>
    <n v="205000"/>
    <n v="0"/>
    <n v="140000"/>
    <n v="205000"/>
    <x v="1135"/>
    <x v="4"/>
    <x v="0"/>
    <n v="6"/>
    <x v="22"/>
    <n v="0.31707317073170732"/>
  </r>
  <r>
    <s v="ID-2023-01093"/>
    <d v="2023-06-17T00:00:00"/>
    <s v="ST-002"/>
    <x v="3"/>
    <s v="CUST-095"/>
    <x v="2"/>
    <s v="PRD-027"/>
    <x v="23"/>
    <x v="2"/>
    <n v="1"/>
    <n v="352000"/>
    <n v="0"/>
    <n v="238000"/>
    <n v="352000"/>
    <x v="208"/>
    <x v="4"/>
    <x v="0"/>
    <n v="6"/>
    <x v="2"/>
    <n v="0.32386363636363635"/>
  </r>
  <r>
    <s v="ID-2023-01540"/>
    <d v="2023-06-21T00:00:00"/>
    <s v="ST-003"/>
    <x v="4"/>
    <s v="CUST-150"/>
    <x v="1"/>
    <s v="PRD-027"/>
    <x v="23"/>
    <x v="2"/>
    <n v="5"/>
    <n v="225000"/>
    <n v="0.05"/>
    <n v="148000"/>
    <n v="1068750"/>
    <x v="1136"/>
    <x v="4"/>
    <x v="0"/>
    <n v="6"/>
    <x v="14"/>
    <n v="0.86152046783625735"/>
  </r>
  <r>
    <s v="ID-2023-00875"/>
    <d v="2023-06-21T00:00:00"/>
    <s v="ST-001"/>
    <x v="0"/>
    <s v="CUST-095"/>
    <x v="2"/>
    <s v="PRD-027"/>
    <x v="23"/>
    <x v="2"/>
    <n v="1"/>
    <n v="331000"/>
    <n v="0"/>
    <n v="225000"/>
    <n v="331000"/>
    <x v="172"/>
    <x v="4"/>
    <x v="0"/>
    <n v="6"/>
    <x v="14"/>
    <n v="0.3202416918429003"/>
  </r>
  <r>
    <s v="ID-2023-00989"/>
    <d v="2023-08-29T00:00:00"/>
    <s v="ST-002"/>
    <x v="3"/>
    <s v="CUST-143"/>
    <x v="0"/>
    <s v="PRD-027"/>
    <x v="23"/>
    <x v="2"/>
    <n v="1"/>
    <n v="306000"/>
    <n v="0"/>
    <n v="204000"/>
    <n v="306000"/>
    <x v="155"/>
    <x v="6"/>
    <x v="0"/>
    <n v="8"/>
    <x v="7"/>
    <n v="0.33333333333333331"/>
  </r>
  <r>
    <s v="ID-2023-01341"/>
    <d v="2023-09-18T00:00:00"/>
    <s v="ST-001"/>
    <x v="0"/>
    <s v="CUST-008"/>
    <x v="1"/>
    <s v="PRD-027"/>
    <x v="23"/>
    <x v="2"/>
    <n v="1"/>
    <n v="322000"/>
    <n v="0"/>
    <n v="218000"/>
    <n v="322000"/>
    <x v="545"/>
    <x v="7"/>
    <x v="0"/>
    <n v="9"/>
    <x v="9"/>
    <n v="0.32298136645962733"/>
  </r>
  <r>
    <s v="ID-2023-01378"/>
    <d v="2023-09-23T00:00:00"/>
    <s v="ST-003"/>
    <x v="4"/>
    <s v="CUST-002"/>
    <x v="3"/>
    <s v="PRD-027"/>
    <x v="23"/>
    <x v="2"/>
    <n v="3"/>
    <n v="205000"/>
    <n v="0"/>
    <n v="137000"/>
    <n v="615000"/>
    <x v="1137"/>
    <x v="7"/>
    <x v="0"/>
    <n v="9"/>
    <x v="11"/>
    <n v="0.77723577235772356"/>
  </r>
  <r>
    <s v="ID-2023-00575"/>
    <d v="2023-10-29T00:00:00"/>
    <s v="ST-002"/>
    <x v="3"/>
    <s v="CUST-093"/>
    <x v="2"/>
    <s v="PRD-027"/>
    <x v="23"/>
    <x v="2"/>
    <n v="1"/>
    <n v="153000"/>
    <n v="0"/>
    <n v="104000"/>
    <n v="153000"/>
    <x v="1138"/>
    <x v="8"/>
    <x v="0"/>
    <n v="10"/>
    <x v="7"/>
    <n v="0.3202614379084967"/>
  </r>
  <r>
    <s v="ID-2023-01714"/>
    <d v="2023-11-04T00:00:00"/>
    <s v="ST-001"/>
    <x v="0"/>
    <s v="CUST-071"/>
    <x v="2"/>
    <s v="PRD-027"/>
    <x v="23"/>
    <x v="2"/>
    <n v="1"/>
    <n v="209000"/>
    <n v="0"/>
    <n v="137000"/>
    <n v="209000"/>
    <x v="1139"/>
    <x v="9"/>
    <x v="0"/>
    <n v="11"/>
    <x v="20"/>
    <n v="0.34449760765550241"/>
  </r>
  <r>
    <s v="ID-2023-00286"/>
    <d v="2023-11-04T00:00:00"/>
    <s v="ST-003"/>
    <x v="4"/>
    <s v="CUST-099"/>
    <x v="1"/>
    <s v="PRD-027"/>
    <x v="23"/>
    <x v="2"/>
    <n v="1"/>
    <n v="232000"/>
    <n v="0.05"/>
    <n v="158000"/>
    <n v="220400"/>
    <x v="539"/>
    <x v="9"/>
    <x v="0"/>
    <n v="11"/>
    <x v="20"/>
    <n v="0.28312159709618873"/>
  </r>
  <r>
    <s v="ID-2023-00701"/>
    <d v="2023-12-12T00:00:00"/>
    <s v="ST-002"/>
    <x v="3"/>
    <s v="CUST-150"/>
    <x v="1"/>
    <s v="PRD-027"/>
    <x v="23"/>
    <x v="2"/>
    <n v="3"/>
    <n v="243000"/>
    <n v="0"/>
    <n v="167000"/>
    <n v="729000"/>
    <x v="820"/>
    <x v="10"/>
    <x v="0"/>
    <n v="12"/>
    <x v="10"/>
    <n v="0.77091906721536352"/>
  </r>
  <r>
    <s v="ID-2024-00662"/>
    <d v="2024-01-20T00:00:00"/>
    <s v="ST-001"/>
    <x v="0"/>
    <s v="CUST-031"/>
    <x v="0"/>
    <s v="PRD-027"/>
    <x v="23"/>
    <x v="2"/>
    <n v="1"/>
    <n v="369000"/>
    <n v="0"/>
    <n v="253000"/>
    <n v="369000"/>
    <x v="3"/>
    <x v="0"/>
    <x v="1"/>
    <n v="1"/>
    <x v="30"/>
    <n v="0.3143631436314363"/>
  </r>
  <r>
    <s v="ID-2024-00576"/>
    <d v="2024-02-23T00:00:00"/>
    <s v="ST-003"/>
    <x v="4"/>
    <s v="CUST-144"/>
    <x v="1"/>
    <s v="PRD-027"/>
    <x v="23"/>
    <x v="2"/>
    <n v="1"/>
    <n v="376000"/>
    <n v="0"/>
    <n v="258000"/>
    <n v="376000"/>
    <x v="7"/>
    <x v="1"/>
    <x v="1"/>
    <n v="2"/>
    <x v="11"/>
    <n v="0.31382978723404253"/>
  </r>
  <r>
    <s v="ID-2024-01237"/>
    <d v="2024-03-11T00:00:00"/>
    <s v="ST-001"/>
    <x v="0"/>
    <s v="CUST-090"/>
    <x v="0"/>
    <s v="PRD-027"/>
    <x v="23"/>
    <x v="2"/>
    <n v="2"/>
    <n v="205000"/>
    <n v="0"/>
    <n v="138000"/>
    <n v="410000"/>
    <x v="956"/>
    <x v="2"/>
    <x v="1"/>
    <n v="3"/>
    <x v="22"/>
    <n v="0.6634146341463415"/>
  </r>
  <r>
    <s v="ID-2024-00444"/>
    <d v="2024-03-25T00:00:00"/>
    <s v="ST-005"/>
    <x v="1"/>
    <s v="CUST-019"/>
    <x v="0"/>
    <s v="PRD-027"/>
    <x v="23"/>
    <x v="2"/>
    <n v="1"/>
    <n v="236000"/>
    <n v="0"/>
    <n v="157000"/>
    <n v="236000"/>
    <x v="930"/>
    <x v="2"/>
    <x v="1"/>
    <n v="3"/>
    <x v="12"/>
    <n v="0.3347457627118644"/>
  </r>
  <r>
    <s v="ID-2024-01219"/>
    <d v="2024-04-30T00:00:00"/>
    <s v="ST-001"/>
    <x v="0"/>
    <s v="CUST-022"/>
    <x v="1"/>
    <s v="PRD-027"/>
    <x v="23"/>
    <x v="2"/>
    <n v="1"/>
    <n v="214000"/>
    <n v="0"/>
    <n v="143000"/>
    <n v="214000"/>
    <x v="903"/>
    <x v="11"/>
    <x v="1"/>
    <n v="4"/>
    <x v="15"/>
    <n v="0.33177570093457942"/>
  </r>
  <r>
    <s v="ID-2024-00477"/>
    <d v="2024-05-23T00:00:00"/>
    <s v="ST-002"/>
    <x v="3"/>
    <s v="CUST-048"/>
    <x v="0"/>
    <s v="PRD-027"/>
    <x v="23"/>
    <x v="2"/>
    <n v="2"/>
    <n v="178000"/>
    <n v="0"/>
    <n v="122000"/>
    <n v="356000"/>
    <x v="1140"/>
    <x v="3"/>
    <x v="1"/>
    <n v="5"/>
    <x v="11"/>
    <n v="0.65730337078651691"/>
  </r>
  <r>
    <s v="ID-2024-00810"/>
    <d v="2024-07-02T00:00:00"/>
    <s v="ST-003"/>
    <x v="4"/>
    <s v="CUST-127"/>
    <x v="1"/>
    <s v="PRD-027"/>
    <x v="23"/>
    <x v="2"/>
    <n v="5"/>
    <n v="261000"/>
    <n v="0"/>
    <n v="179000"/>
    <n v="1305000"/>
    <x v="1141"/>
    <x v="5"/>
    <x v="1"/>
    <n v="7"/>
    <x v="17"/>
    <n v="0.86283524904214559"/>
  </r>
  <r>
    <s v="ID-2024-01514"/>
    <d v="2024-07-21T00:00:00"/>
    <s v="ST-005"/>
    <x v="1"/>
    <s v="CUST-056"/>
    <x v="2"/>
    <s v="PRD-027"/>
    <x v="23"/>
    <x v="2"/>
    <n v="3"/>
    <n v="217000"/>
    <n v="0.1"/>
    <n v="149000"/>
    <n v="585900"/>
    <x v="1142"/>
    <x v="5"/>
    <x v="1"/>
    <n v="7"/>
    <x v="14"/>
    <n v="0.74569039085168121"/>
  </r>
  <r>
    <s v="ID-2024-00209"/>
    <d v="2024-08-14T00:00:00"/>
    <s v="ST-003"/>
    <x v="4"/>
    <s v="CUST-016"/>
    <x v="1"/>
    <s v="PRD-027"/>
    <x v="23"/>
    <x v="2"/>
    <n v="2"/>
    <n v="170000"/>
    <n v="0"/>
    <n v="112000"/>
    <n v="340000"/>
    <x v="962"/>
    <x v="6"/>
    <x v="1"/>
    <n v="8"/>
    <x v="18"/>
    <n v="0.6705882352941176"/>
  </r>
  <r>
    <s v="ID-2024-00367"/>
    <d v="2024-09-06T00:00:00"/>
    <s v="ST-004"/>
    <x v="2"/>
    <s v="CUST-056"/>
    <x v="2"/>
    <s v="PRD-027"/>
    <x v="23"/>
    <x v="2"/>
    <n v="2"/>
    <n v="197000"/>
    <n v="0"/>
    <n v="130000"/>
    <n v="394000"/>
    <x v="976"/>
    <x v="7"/>
    <x v="1"/>
    <n v="9"/>
    <x v="29"/>
    <n v="0.67005076142131981"/>
  </r>
  <r>
    <s v="ID-2024-01231"/>
    <d v="2024-10-18T00:00:00"/>
    <s v="ST-003"/>
    <x v="4"/>
    <s v="CUST-030"/>
    <x v="1"/>
    <s v="PRD-027"/>
    <x v="23"/>
    <x v="2"/>
    <n v="1"/>
    <n v="363000"/>
    <n v="0.05"/>
    <n v="237000"/>
    <n v="344850"/>
    <x v="1143"/>
    <x v="8"/>
    <x v="1"/>
    <n v="10"/>
    <x v="9"/>
    <n v="0.31274467159634622"/>
  </r>
  <r>
    <s v="ID-2024-00233"/>
    <d v="2024-11-30T00:00:00"/>
    <s v="ST-001"/>
    <x v="0"/>
    <s v="CUST-031"/>
    <x v="0"/>
    <s v="PRD-027"/>
    <x v="23"/>
    <x v="2"/>
    <n v="1"/>
    <n v="181000"/>
    <n v="0"/>
    <n v="121000"/>
    <n v="181000"/>
    <x v="531"/>
    <x v="9"/>
    <x v="1"/>
    <n v="11"/>
    <x v="15"/>
    <n v="0.33149171270718231"/>
  </r>
  <r>
    <s v="ID-2024-00163"/>
    <d v="2024-12-10T00:00:00"/>
    <s v="ST-001"/>
    <x v="0"/>
    <s v="CUST-129"/>
    <x v="1"/>
    <s v="PRD-027"/>
    <x v="23"/>
    <x v="2"/>
    <n v="1"/>
    <n v="350000"/>
    <n v="0"/>
    <n v="231000"/>
    <n v="350000"/>
    <x v="819"/>
    <x v="10"/>
    <x v="1"/>
    <n v="12"/>
    <x v="13"/>
    <n v="0.34"/>
  </r>
  <r>
    <s v="ID-2024-01574"/>
    <d v="2024-12-25T00:00:00"/>
    <s v="ST-002"/>
    <x v="3"/>
    <s v="CUST-117"/>
    <x v="1"/>
    <s v="PRD-027"/>
    <x v="23"/>
    <x v="2"/>
    <n v="3"/>
    <n v="373000"/>
    <n v="0"/>
    <n v="245000"/>
    <n v="1119000"/>
    <x v="1144"/>
    <x v="10"/>
    <x v="1"/>
    <n v="12"/>
    <x v="12"/>
    <n v="0.78105451295799821"/>
  </r>
  <r>
    <s v="ID-2024-01750"/>
    <d v="2024-12-25T00:00:00"/>
    <s v="ST-004"/>
    <x v="2"/>
    <s v="CUST-123"/>
    <x v="1"/>
    <s v="PRD-027"/>
    <x v="23"/>
    <x v="2"/>
    <n v="1"/>
    <n v="212000"/>
    <n v="0"/>
    <n v="141000"/>
    <n v="212000"/>
    <x v="903"/>
    <x v="10"/>
    <x v="1"/>
    <n v="12"/>
    <x v="12"/>
    <n v="0.33490566037735847"/>
  </r>
  <r>
    <s v="ID-2025-00882"/>
    <d v="2025-01-03T00:00:00"/>
    <s v="ST-001"/>
    <x v="0"/>
    <s v="CUST-071"/>
    <x v="2"/>
    <s v="PRD-027"/>
    <x v="23"/>
    <x v="2"/>
    <n v="1"/>
    <n v="356000"/>
    <n v="0"/>
    <n v="241000"/>
    <n v="356000"/>
    <x v="43"/>
    <x v="0"/>
    <x v="2"/>
    <n v="1"/>
    <x v="8"/>
    <n v="0.32303370786516855"/>
  </r>
  <r>
    <s v="ID-2025-00909"/>
    <d v="2025-01-16T00:00:00"/>
    <s v="ST-004"/>
    <x v="2"/>
    <s v="CUST-105"/>
    <x v="2"/>
    <s v="PRD-027"/>
    <x v="23"/>
    <x v="2"/>
    <n v="2"/>
    <n v="204000"/>
    <n v="0"/>
    <n v="139000"/>
    <n v="408000"/>
    <x v="862"/>
    <x v="0"/>
    <x v="2"/>
    <n v="1"/>
    <x v="5"/>
    <n v="0.65931372549019607"/>
  </r>
  <r>
    <s v="ID-2025-01246"/>
    <d v="2025-04-14T00:00:00"/>
    <s v="ST-001"/>
    <x v="0"/>
    <s v="CUST-053"/>
    <x v="2"/>
    <s v="PRD-027"/>
    <x v="23"/>
    <x v="2"/>
    <n v="1"/>
    <n v="346000"/>
    <n v="0"/>
    <n v="230000"/>
    <n v="346000"/>
    <x v="3"/>
    <x v="11"/>
    <x v="2"/>
    <n v="4"/>
    <x v="18"/>
    <n v="0.33526011560693642"/>
  </r>
  <r>
    <s v="ID-2025-00415"/>
    <d v="2025-04-29T00:00:00"/>
    <s v="ST-001"/>
    <x v="0"/>
    <s v="CUST-086"/>
    <x v="1"/>
    <s v="PRD-027"/>
    <x v="23"/>
    <x v="2"/>
    <n v="1"/>
    <n v="354000"/>
    <n v="0"/>
    <n v="235000"/>
    <n v="354000"/>
    <x v="819"/>
    <x v="11"/>
    <x v="2"/>
    <n v="4"/>
    <x v="7"/>
    <n v="0.33615819209039549"/>
  </r>
  <r>
    <s v="ID-2025-00693"/>
    <d v="2025-04-30T00:00:00"/>
    <s v="ST-001"/>
    <x v="0"/>
    <s v="CUST-124"/>
    <x v="1"/>
    <s v="PRD-027"/>
    <x v="23"/>
    <x v="2"/>
    <n v="2"/>
    <n v="294000"/>
    <n v="0"/>
    <n v="198000"/>
    <n v="588000"/>
    <x v="1145"/>
    <x v="11"/>
    <x v="2"/>
    <n v="4"/>
    <x v="15"/>
    <n v="0.66326530612244894"/>
  </r>
  <r>
    <s v="ID-2025-00670"/>
    <d v="2025-05-28T00:00:00"/>
    <s v="ST-001"/>
    <x v="0"/>
    <s v="CUST-119"/>
    <x v="1"/>
    <s v="PRD-027"/>
    <x v="23"/>
    <x v="2"/>
    <n v="2"/>
    <n v="229000"/>
    <n v="0"/>
    <n v="150000"/>
    <n v="458000"/>
    <x v="1146"/>
    <x v="3"/>
    <x v="2"/>
    <n v="5"/>
    <x v="4"/>
    <n v="0.67248908296943233"/>
  </r>
  <r>
    <s v="ID-2025-00414"/>
    <d v="2025-06-03T00:00:00"/>
    <s v="ST-002"/>
    <x v="3"/>
    <s v="CUST-131"/>
    <x v="0"/>
    <s v="PRD-027"/>
    <x v="23"/>
    <x v="2"/>
    <n v="2"/>
    <n v="273666.66666666669"/>
    <n v="0"/>
    <n v="0"/>
    <n v="547333.33333333337"/>
    <x v="1147"/>
    <x v="4"/>
    <x v="2"/>
    <n v="6"/>
    <x v="8"/>
    <n v="1"/>
  </r>
  <r>
    <s v="ID-2025-01327"/>
    <d v="2025-06-06T00:00:00"/>
    <s v="ST-003"/>
    <x v="4"/>
    <s v="CUST-082"/>
    <x v="0"/>
    <s v="PRD-027"/>
    <x v="23"/>
    <x v="2"/>
    <n v="1"/>
    <n v="210000"/>
    <n v="0"/>
    <n v="141000"/>
    <n v="210000"/>
    <x v="523"/>
    <x v="4"/>
    <x v="2"/>
    <n v="6"/>
    <x v="29"/>
    <n v="0.32857142857142857"/>
  </r>
  <r>
    <s v="ID-2025-00904"/>
    <d v="2025-06-22T00:00:00"/>
    <s v="ST-001"/>
    <x v="0"/>
    <s v="CUST-064"/>
    <x v="1"/>
    <s v="PRD-027"/>
    <x v="23"/>
    <x v="2"/>
    <n v="1"/>
    <n v="264000"/>
    <n v="0.1"/>
    <n v="177000"/>
    <n v="237600"/>
    <x v="1148"/>
    <x v="4"/>
    <x v="2"/>
    <n v="6"/>
    <x v="16"/>
    <n v="0.25505050505050503"/>
  </r>
  <r>
    <s v="ID-2025-00724"/>
    <d v="2025-07-24T00:00:00"/>
    <s v="ST-003"/>
    <x v="4"/>
    <s v="CUST-091"/>
    <x v="1"/>
    <s v="PRD-027"/>
    <x v="23"/>
    <x v="2"/>
    <n v="1"/>
    <n v="289000"/>
    <n v="0.05"/>
    <n v="196000"/>
    <n v="274550"/>
    <x v="1149"/>
    <x v="5"/>
    <x v="2"/>
    <n v="7"/>
    <x v="25"/>
    <n v="0.28610453469313424"/>
  </r>
  <r>
    <s v="ID-2025-00802"/>
    <d v="2025-07-25T00:00:00"/>
    <s v="ST-001"/>
    <x v="0"/>
    <s v="CUST-048"/>
    <x v="0"/>
    <s v="PRD-027"/>
    <x v="23"/>
    <x v="2"/>
    <n v="1"/>
    <n v="236000"/>
    <n v="0"/>
    <n v="159000"/>
    <n v="236000"/>
    <x v="157"/>
    <x v="5"/>
    <x v="2"/>
    <n v="7"/>
    <x v="12"/>
    <n v="0.32627118644067798"/>
  </r>
  <r>
    <s v="ID-2025-00682"/>
    <d v="2025-08-14T00:00:00"/>
    <s v="ST-003"/>
    <x v="4"/>
    <s v="CUST-051"/>
    <x v="3"/>
    <s v="PRD-027"/>
    <x v="23"/>
    <x v="2"/>
    <n v="1"/>
    <n v="369000"/>
    <n v="0"/>
    <n v="241000"/>
    <n v="369000"/>
    <x v="31"/>
    <x v="6"/>
    <x v="2"/>
    <n v="8"/>
    <x v="18"/>
    <n v="0.34688346883468835"/>
  </r>
  <r>
    <s v="ID-2025-00699"/>
    <d v="2025-09-25T00:00:00"/>
    <s v="ST-001"/>
    <x v="0"/>
    <s v="CUST-140"/>
    <x v="3"/>
    <s v="PRD-027"/>
    <x v="23"/>
    <x v="2"/>
    <n v="1"/>
    <n v="247000"/>
    <n v="0"/>
    <n v="168000"/>
    <n v="247000"/>
    <x v="930"/>
    <x v="7"/>
    <x v="2"/>
    <n v="9"/>
    <x v="12"/>
    <n v="0.31983805668016196"/>
  </r>
  <r>
    <s v="ID-2025-00637"/>
    <d v="2025-10-17T00:00:00"/>
    <s v="ST-003"/>
    <x v="4"/>
    <s v="CUST-040"/>
    <x v="0"/>
    <s v="PRD-027"/>
    <x v="23"/>
    <x v="2"/>
    <n v="2"/>
    <n v="298000"/>
    <n v="0"/>
    <n v="205000"/>
    <n v="596000"/>
    <x v="404"/>
    <x v="8"/>
    <x v="2"/>
    <n v="10"/>
    <x v="2"/>
    <n v="0.65604026845637586"/>
  </r>
  <r>
    <s v="ID-2025-00951"/>
    <d v="2025-11-12T00:00:00"/>
    <s v="ST-002"/>
    <x v="3"/>
    <s v="CUST-094"/>
    <x v="0"/>
    <s v="PRD-027"/>
    <x v="23"/>
    <x v="2"/>
    <n v="1"/>
    <n v="295000"/>
    <n v="0"/>
    <n v="192000"/>
    <n v="295000"/>
    <x v="147"/>
    <x v="9"/>
    <x v="2"/>
    <n v="11"/>
    <x v="10"/>
    <n v="0.34915254237288135"/>
  </r>
  <r>
    <s v="ID-2025-01764"/>
    <d v="2025-11-14T00:00:00"/>
    <s v="ST-001"/>
    <x v="0"/>
    <s v="CUST-035"/>
    <x v="3"/>
    <s v="PRD-027"/>
    <x v="23"/>
    <x v="2"/>
    <n v="3"/>
    <n v="228000"/>
    <n v="0"/>
    <n v="148000"/>
    <n v="684000"/>
    <x v="1150"/>
    <x v="9"/>
    <x v="2"/>
    <n v="11"/>
    <x v="18"/>
    <n v="0.783625730994152"/>
  </r>
  <r>
    <s v="ID-2025-00717"/>
    <d v="2025-11-24T00:00:00"/>
    <s v="ST-002"/>
    <x v="3"/>
    <s v="CUST-119"/>
    <x v="1"/>
    <s v="PRD-027"/>
    <x v="23"/>
    <x v="2"/>
    <n v="3"/>
    <n v="250000"/>
    <n v="0"/>
    <n v="165000"/>
    <n v="750000"/>
    <x v="91"/>
    <x v="9"/>
    <x v="2"/>
    <n v="11"/>
    <x v="25"/>
    <n v="0.78"/>
  </r>
  <r>
    <s v="ID-2025-00033"/>
    <d v="2025-11-28T00:00:00"/>
    <s v="ST-001"/>
    <x v="0"/>
    <s v="CUST-029"/>
    <x v="0"/>
    <s v="PRD-027"/>
    <x v="23"/>
    <x v="2"/>
    <n v="1"/>
    <n v="405000"/>
    <n v="0"/>
    <n v="267000"/>
    <n v="405000"/>
    <x v="195"/>
    <x v="9"/>
    <x v="2"/>
    <n v="11"/>
    <x v="4"/>
    <n v="0.34074074074074073"/>
  </r>
  <r>
    <s v="ID-2026-00113"/>
    <d v="2026-01-20T00:00:00"/>
    <s v="ST-001"/>
    <x v="0"/>
    <s v="CUST-134"/>
    <x v="1"/>
    <s v="PRD-027"/>
    <x v="23"/>
    <x v="2"/>
    <n v="1"/>
    <n v="208000"/>
    <n v="0"/>
    <n v="140000"/>
    <n v="208000"/>
    <x v="525"/>
    <x v="0"/>
    <x v="3"/>
    <n v="1"/>
    <x v="30"/>
    <n v="0.32692307692307693"/>
  </r>
  <r>
    <s v="ID-2026-01787"/>
    <d v="2026-02-04T00:00:00"/>
    <s v="ST-003"/>
    <x v="4"/>
    <s v="CUST-009"/>
    <x v="0"/>
    <s v="PRD-027"/>
    <x v="23"/>
    <x v="2"/>
    <n v="3"/>
    <n v="198000"/>
    <n v="0"/>
    <n v="129000"/>
    <n v="594000"/>
    <x v="1151"/>
    <x v="1"/>
    <x v="3"/>
    <n v="2"/>
    <x v="20"/>
    <n v="0.78282828282828287"/>
  </r>
  <r>
    <s v="ID-2026-00191"/>
    <d v="2026-02-08T00:00:00"/>
    <s v="ST-002"/>
    <x v="3"/>
    <s v="CUST-099"/>
    <x v="1"/>
    <s v="PRD-027"/>
    <x v="23"/>
    <x v="2"/>
    <n v="5"/>
    <n v="348000"/>
    <n v="0"/>
    <n v="229000"/>
    <n v="1740000"/>
    <x v="1152"/>
    <x v="1"/>
    <x v="3"/>
    <n v="2"/>
    <x v="27"/>
    <n v="0.86839080459770113"/>
  </r>
  <r>
    <s v="ID-2026-00905"/>
    <d v="2026-02-24T00:00:00"/>
    <s v="ST-001"/>
    <x v="0"/>
    <s v="CUST-136"/>
    <x v="1"/>
    <s v="PRD-027"/>
    <x v="23"/>
    <x v="2"/>
    <n v="1"/>
    <n v="216000"/>
    <n v="0"/>
    <n v="149000"/>
    <n v="216000"/>
    <x v="145"/>
    <x v="1"/>
    <x v="3"/>
    <n v="2"/>
    <x v="25"/>
    <n v="0.31018518518518517"/>
  </r>
  <r>
    <s v="ID-2026-00111"/>
    <d v="2026-03-13T00:00:00"/>
    <s v="ST-001"/>
    <x v="0"/>
    <s v="CUST-073"/>
    <x v="1"/>
    <s v="PRD-027"/>
    <x v="23"/>
    <x v="2"/>
    <n v="1"/>
    <n v="429000"/>
    <n v="0"/>
    <n v="295000"/>
    <n v="429000"/>
    <x v="496"/>
    <x v="2"/>
    <x v="3"/>
    <n v="3"/>
    <x v="23"/>
    <n v="0.31235431235431238"/>
  </r>
  <r>
    <s v="ID-2026-00991"/>
    <d v="2026-03-13T00:00:00"/>
    <s v="ST-001"/>
    <x v="0"/>
    <s v="CUST-047"/>
    <x v="1"/>
    <s v="PRD-027"/>
    <x v="23"/>
    <x v="2"/>
    <n v="2"/>
    <n v="359000"/>
    <n v="0.1"/>
    <n v="238000"/>
    <n v="646200"/>
    <x v="1153"/>
    <x v="2"/>
    <x v="3"/>
    <n v="3"/>
    <x v="23"/>
    <n v="0.63169297431135873"/>
  </r>
  <r>
    <s v="ID-2026-00823"/>
    <d v="2026-03-22T00:00:00"/>
    <s v="ST-001"/>
    <x v="0"/>
    <s v="CUST-038"/>
    <x v="1"/>
    <s v="PRD-027"/>
    <x v="23"/>
    <x v="2"/>
    <n v="1"/>
    <n v="433000"/>
    <n v="0"/>
    <n v="284000"/>
    <n v="433000"/>
    <x v="1154"/>
    <x v="2"/>
    <x v="3"/>
    <n v="3"/>
    <x v="16"/>
    <n v="0.34411085450346418"/>
  </r>
  <r>
    <s v="ID-2026-00034"/>
    <d v="2026-03-22T00:00:00"/>
    <s v="ST-003"/>
    <x v="4"/>
    <s v="CUST-004"/>
    <x v="0"/>
    <s v="PRD-027"/>
    <x v="23"/>
    <x v="2"/>
    <n v="1"/>
    <n v="302000"/>
    <n v="0.05"/>
    <n v="196000"/>
    <n v="286900"/>
    <x v="1155"/>
    <x v="2"/>
    <x v="3"/>
    <n v="3"/>
    <x v="16"/>
    <n v="0.31683513419309867"/>
  </r>
  <r>
    <s v="ID-2026-01759"/>
    <d v="2026-03-27T00:00:00"/>
    <s v="ST-001"/>
    <x v="0"/>
    <s v="CUST-045"/>
    <x v="1"/>
    <s v="PRD-027"/>
    <x v="23"/>
    <x v="2"/>
    <n v="1"/>
    <n v="294000"/>
    <n v="0"/>
    <n v="197000"/>
    <n v="294000"/>
    <x v="0"/>
    <x v="2"/>
    <x v="3"/>
    <n v="3"/>
    <x v="24"/>
    <n v="0.32993197278911562"/>
  </r>
  <r>
    <s v="ID-2026-00319"/>
    <d v="2026-05-27T00:00:00"/>
    <s v="ST-001"/>
    <x v="0"/>
    <s v="CUST-070"/>
    <x v="3"/>
    <s v="PRD-027"/>
    <x v="23"/>
    <x v="2"/>
    <n v="1"/>
    <n v="233000"/>
    <n v="0"/>
    <n v="153000"/>
    <n v="233000"/>
    <x v="133"/>
    <x v="3"/>
    <x v="3"/>
    <n v="5"/>
    <x v="24"/>
    <n v="0.34334763948497854"/>
  </r>
  <r>
    <s v="ID-2026-01335"/>
    <d v="2026-06-01T00:00:00"/>
    <s v="ST-001"/>
    <x v="0"/>
    <s v="CUST-034"/>
    <x v="2"/>
    <s v="PRD-027"/>
    <x v="23"/>
    <x v="2"/>
    <n v="3"/>
    <n v="331000"/>
    <n v="0"/>
    <n v="226000"/>
    <n v="993000"/>
    <x v="1156"/>
    <x v="4"/>
    <x v="3"/>
    <n v="6"/>
    <x v="0"/>
    <n v="0.77240684793554881"/>
  </r>
  <r>
    <s v="ID-2023-01407"/>
    <d v="2023-02-11T00:00:00"/>
    <s v="ST-002"/>
    <x v="3"/>
    <s v="CUST-141"/>
    <x v="3"/>
    <s v="PRD-022"/>
    <x v="24"/>
    <x v="4"/>
    <n v="1"/>
    <n v="191750"/>
    <n v="0"/>
    <n v="129000"/>
    <n v="191750"/>
    <x v="1157"/>
    <x v="1"/>
    <x v="0"/>
    <n v="2"/>
    <x v="22"/>
    <n v="0.32724902216427643"/>
  </r>
  <r>
    <s v="ID-2023-00900"/>
    <d v="2023-02-12T00:00:00"/>
    <s v="ST-003"/>
    <x v="4"/>
    <s v="CUST-071"/>
    <x v="2"/>
    <s v="PRD-022"/>
    <x v="24"/>
    <x v="4"/>
    <n v="2"/>
    <n v="210000"/>
    <n v="0"/>
    <n v="150000"/>
    <n v="420000"/>
    <x v="933"/>
    <x v="1"/>
    <x v="0"/>
    <n v="2"/>
    <x v="10"/>
    <n v="0.6428571428571429"/>
  </r>
  <r>
    <s v="ID-2023-00455"/>
    <d v="2023-03-26T00:00:00"/>
    <s v="ST-005"/>
    <x v="1"/>
    <s v="CUST-138"/>
    <x v="2"/>
    <s v="PRD-022"/>
    <x v="24"/>
    <x v="4"/>
    <n v="2"/>
    <n v="214000"/>
    <n v="0"/>
    <n v="148000"/>
    <n v="428000"/>
    <x v="1158"/>
    <x v="2"/>
    <x v="0"/>
    <n v="3"/>
    <x v="6"/>
    <n v="0.65420560747663548"/>
  </r>
  <r>
    <s v="ID-2023-00621"/>
    <d v="2023-04-07T00:00:00"/>
    <s v="ST-005"/>
    <x v="1"/>
    <s v="CUST-077"/>
    <x v="2"/>
    <s v="PRD-022"/>
    <x v="24"/>
    <x v="4"/>
    <n v="1"/>
    <n v="177000"/>
    <n v="0"/>
    <n v="127000"/>
    <n v="177000"/>
    <x v="1159"/>
    <x v="11"/>
    <x v="0"/>
    <n v="4"/>
    <x v="3"/>
    <n v="0.2824858757062147"/>
  </r>
  <r>
    <s v="ID-2023-01695"/>
    <d v="2023-05-04T00:00:00"/>
    <s v="ST-001"/>
    <x v="0"/>
    <s v="CUST-017"/>
    <x v="1"/>
    <s v="PRD-022"/>
    <x v="24"/>
    <x v="4"/>
    <n v="1"/>
    <n v="206000"/>
    <n v="0"/>
    <n v="145000"/>
    <n v="206000"/>
    <x v="579"/>
    <x v="3"/>
    <x v="0"/>
    <n v="5"/>
    <x v="20"/>
    <n v="0.29611650485436891"/>
  </r>
  <r>
    <s v="ID-2023-01485"/>
    <d v="2023-05-08T00:00:00"/>
    <s v="ST-002"/>
    <x v="3"/>
    <s v="CUST-035"/>
    <x v="3"/>
    <s v="PRD-022"/>
    <x v="24"/>
    <x v="4"/>
    <n v="3"/>
    <n v="149000"/>
    <n v="0"/>
    <n v="106000"/>
    <n v="447000"/>
    <x v="527"/>
    <x v="3"/>
    <x v="0"/>
    <n v="5"/>
    <x v="27"/>
    <n v="0.76286353467561518"/>
  </r>
  <r>
    <s v="ID-2023-01244"/>
    <d v="2023-05-19T00:00:00"/>
    <s v="ST-002"/>
    <x v="3"/>
    <s v="CUST-029"/>
    <x v="0"/>
    <s v="PRD-022"/>
    <x v="24"/>
    <x v="4"/>
    <n v="1"/>
    <n v="143000"/>
    <n v="0"/>
    <n v="103000"/>
    <n v="143000"/>
    <x v="584"/>
    <x v="3"/>
    <x v="0"/>
    <n v="5"/>
    <x v="26"/>
    <n v="0.27972027972027974"/>
  </r>
  <r>
    <s v="ID-2023-01748"/>
    <d v="2023-05-26T00:00:00"/>
    <s v="ST-001"/>
    <x v="0"/>
    <s v="CUST-029"/>
    <x v="0"/>
    <s v="PRD-022"/>
    <x v="24"/>
    <x v="4"/>
    <n v="1"/>
    <n v="240000"/>
    <n v="0"/>
    <n v="171000"/>
    <n v="240000"/>
    <x v="523"/>
    <x v="3"/>
    <x v="0"/>
    <n v="5"/>
    <x v="6"/>
    <n v="0.28749999999999998"/>
  </r>
  <r>
    <s v="ID-2023-01703"/>
    <d v="2023-06-14T00:00:00"/>
    <s v="ST-004"/>
    <x v="2"/>
    <s v="CUST-091"/>
    <x v="1"/>
    <s v="PRD-022"/>
    <x v="24"/>
    <x v="4"/>
    <n v="2"/>
    <n v="162000"/>
    <n v="0"/>
    <n v="115000"/>
    <n v="324000"/>
    <x v="1160"/>
    <x v="4"/>
    <x v="0"/>
    <n v="6"/>
    <x v="18"/>
    <n v="0.64506172839506171"/>
  </r>
  <r>
    <s v="ID-2023-00471"/>
    <d v="2023-06-15T00:00:00"/>
    <s v="ST-005"/>
    <x v="1"/>
    <s v="CUST-141"/>
    <x v="3"/>
    <s v="PRD-022"/>
    <x v="24"/>
    <x v="4"/>
    <n v="1"/>
    <n v="232000"/>
    <n v="0"/>
    <n v="163000"/>
    <n v="232000"/>
    <x v="523"/>
    <x v="4"/>
    <x v="0"/>
    <n v="6"/>
    <x v="19"/>
    <n v="0.29741379310344829"/>
  </r>
  <r>
    <s v="ID-2023-00930"/>
    <d v="2023-06-20T00:00:00"/>
    <s v="ST-002"/>
    <x v="3"/>
    <s v="CUST-023"/>
    <x v="1"/>
    <s v="PRD-022"/>
    <x v="24"/>
    <x v="4"/>
    <n v="2"/>
    <n v="209000"/>
    <n v="0"/>
    <n v="143000"/>
    <n v="418000"/>
    <x v="1161"/>
    <x v="4"/>
    <x v="0"/>
    <n v="6"/>
    <x v="30"/>
    <n v="0.65789473684210531"/>
  </r>
  <r>
    <s v="ID-2023-00558"/>
    <d v="2023-07-20T00:00:00"/>
    <s v="ST-001"/>
    <x v="0"/>
    <s v="CUST-034"/>
    <x v="2"/>
    <s v="PRD-022"/>
    <x v="24"/>
    <x v="4"/>
    <n v="2"/>
    <n v="232000"/>
    <n v="0"/>
    <n v="159000"/>
    <n v="464000"/>
    <x v="1084"/>
    <x v="5"/>
    <x v="0"/>
    <n v="7"/>
    <x v="30"/>
    <n v="0.65732758620689657"/>
  </r>
  <r>
    <s v="ID-2023-01699"/>
    <d v="2023-08-26T00:00:00"/>
    <s v="ST-001"/>
    <x v="0"/>
    <s v="CUST-132"/>
    <x v="1"/>
    <s v="PRD-022"/>
    <x v="24"/>
    <x v="4"/>
    <n v="1"/>
    <n v="201000"/>
    <n v="0"/>
    <n v="143000"/>
    <n v="201000"/>
    <x v="533"/>
    <x v="6"/>
    <x v="0"/>
    <n v="8"/>
    <x v="6"/>
    <n v="0.28855721393034828"/>
  </r>
  <r>
    <s v="ID-2023-01046"/>
    <d v="2023-08-30T00:00:00"/>
    <s v="ST-005"/>
    <x v="1"/>
    <s v="CUST-099"/>
    <x v="1"/>
    <s v="PRD-022"/>
    <x v="24"/>
    <x v="4"/>
    <n v="1"/>
    <n v="130000"/>
    <n v="0"/>
    <n v="91000"/>
    <n v="130000"/>
    <x v="565"/>
    <x v="6"/>
    <x v="0"/>
    <n v="8"/>
    <x v="15"/>
    <n v="0.3"/>
  </r>
  <r>
    <s v="ID-2023-01329"/>
    <d v="2023-09-05T00:00:00"/>
    <s v="ST-001"/>
    <x v="0"/>
    <s v="CUST-068"/>
    <x v="1"/>
    <s v="PRD-022"/>
    <x v="24"/>
    <x v="4"/>
    <n v="1"/>
    <n v="237000"/>
    <n v="0"/>
    <n v="161000"/>
    <n v="237000"/>
    <x v="813"/>
    <x v="7"/>
    <x v="0"/>
    <n v="9"/>
    <x v="21"/>
    <n v="0.32067510548523209"/>
  </r>
  <r>
    <s v="ID-2023-00128"/>
    <d v="2023-09-07T00:00:00"/>
    <s v="ST-001"/>
    <x v="0"/>
    <s v="CUST-046"/>
    <x v="0"/>
    <s v="PRD-022"/>
    <x v="24"/>
    <x v="4"/>
    <n v="1"/>
    <n v="216000"/>
    <n v="0"/>
    <n v="155000"/>
    <n v="216000"/>
    <x v="579"/>
    <x v="7"/>
    <x v="0"/>
    <n v="9"/>
    <x v="3"/>
    <n v="0.28240740740740738"/>
  </r>
  <r>
    <s v="ID-2023-01248"/>
    <d v="2023-09-12T00:00:00"/>
    <s v="ST-002"/>
    <x v="3"/>
    <s v="CUST-098"/>
    <x v="0"/>
    <s v="PRD-022"/>
    <x v="24"/>
    <x v="4"/>
    <n v="3"/>
    <n v="151000"/>
    <n v="0"/>
    <n v="104000"/>
    <n v="453000"/>
    <x v="1162"/>
    <x v="7"/>
    <x v="0"/>
    <n v="9"/>
    <x v="10"/>
    <n v="0.77041942604856517"/>
  </r>
  <r>
    <s v="ID-2023-01066"/>
    <d v="2023-09-28T00:00:00"/>
    <s v="ST-003"/>
    <x v="4"/>
    <s v="CUST-048"/>
    <x v="0"/>
    <s v="PRD-022"/>
    <x v="24"/>
    <x v="4"/>
    <n v="1"/>
    <n v="191750"/>
    <n v="0"/>
    <n v="129000"/>
    <n v="191750"/>
    <x v="1157"/>
    <x v="7"/>
    <x v="0"/>
    <n v="9"/>
    <x v="4"/>
    <n v="0.32724902216427643"/>
  </r>
  <r>
    <s v="ID-2023-00719"/>
    <d v="2023-11-16T00:00:00"/>
    <s v="ST-004"/>
    <x v="2"/>
    <s v="CUST-117"/>
    <x v="1"/>
    <s v="PRD-022"/>
    <x v="24"/>
    <x v="4"/>
    <n v="2"/>
    <n v="137000"/>
    <n v="0"/>
    <n v="97000"/>
    <n v="274000"/>
    <x v="519"/>
    <x v="9"/>
    <x v="0"/>
    <n v="11"/>
    <x v="5"/>
    <n v="0.64598540145985406"/>
  </r>
  <r>
    <s v="ID-2023-00241"/>
    <d v="2023-11-25T00:00:00"/>
    <s v="ST-003"/>
    <x v="4"/>
    <s v="CUST-130"/>
    <x v="0"/>
    <s v="PRD-022"/>
    <x v="24"/>
    <x v="4"/>
    <n v="2"/>
    <n v="239000"/>
    <n v="0"/>
    <n v="163000"/>
    <n v="478000"/>
    <x v="653"/>
    <x v="9"/>
    <x v="0"/>
    <n v="11"/>
    <x v="12"/>
    <n v="0.65899581589958156"/>
  </r>
  <r>
    <s v="ID-2023-01700"/>
    <d v="2023-12-03T00:00:00"/>
    <s v="ST-003"/>
    <x v="4"/>
    <s v="CUST-139"/>
    <x v="1"/>
    <s v="PRD-022"/>
    <x v="24"/>
    <x v="4"/>
    <n v="1"/>
    <n v="159000"/>
    <n v="0"/>
    <n v="110000"/>
    <n v="159000"/>
    <x v="1138"/>
    <x v="10"/>
    <x v="0"/>
    <n v="12"/>
    <x v="8"/>
    <n v="0.3081761006289308"/>
  </r>
  <r>
    <s v="ID-2023-00711"/>
    <d v="2023-12-19T00:00:00"/>
    <s v="ST-002"/>
    <x v="3"/>
    <s v="CUST-012"/>
    <x v="3"/>
    <s v="PRD-022"/>
    <x v="24"/>
    <x v="4"/>
    <n v="1"/>
    <n v="186000"/>
    <n v="0"/>
    <n v="128000"/>
    <n v="186000"/>
    <x v="533"/>
    <x v="10"/>
    <x v="0"/>
    <n v="12"/>
    <x v="26"/>
    <n v="0.31182795698924731"/>
  </r>
  <r>
    <s v="ID-2023-01305"/>
    <d v="2023-12-22T00:00:00"/>
    <s v="ST-001"/>
    <x v="0"/>
    <s v="CUST-047"/>
    <x v="1"/>
    <s v="PRD-022"/>
    <x v="24"/>
    <x v="4"/>
    <n v="1"/>
    <n v="181000"/>
    <n v="0"/>
    <n v="125000"/>
    <n v="181000"/>
    <x v="151"/>
    <x v="10"/>
    <x v="0"/>
    <n v="12"/>
    <x v="16"/>
    <n v="0.30939226519337015"/>
  </r>
  <r>
    <s v="ID-2024-00818"/>
    <d v="2024-03-09T00:00:00"/>
    <s v="ST-001"/>
    <x v="0"/>
    <s v="CUST-075"/>
    <x v="2"/>
    <s v="PRD-022"/>
    <x v="24"/>
    <x v="4"/>
    <n v="2"/>
    <n v="191000"/>
    <n v="0"/>
    <n v="135000"/>
    <n v="382000"/>
    <x v="1163"/>
    <x v="2"/>
    <x v="1"/>
    <n v="3"/>
    <x v="1"/>
    <n v="0.6465968586387435"/>
  </r>
  <r>
    <s v="ID-2024-00318"/>
    <d v="2024-04-10T00:00:00"/>
    <s v="ST-002"/>
    <x v="3"/>
    <s v="CUST-079"/>
    <x v="1"/>
    <s v="PRD-022"/>
    <x v="24"/>
    <x v="4"/>
    <n v="1"/>
    <n v="247000"/>
    <n v="0"/>
    <n v="172000"/>
    <n v="247000"/>
    <x v="1164"/>
    <x v="11"/>
    <x v="1"/>
    <n v="4"/>
    <x v="13"/>
    <n v="0.30364372469635625"/>
  </r>
  <r>
    <s v="ID-2024-00833"/>
    <d v="2024-06-14T00:00:00"/>
    <s v="ST-001"/>
    <x v="0"/>
    <s v="CUST-042"/>
    <x v="0"/>
    <s v="PRD-022"/>
    <x v="24"/>
    <x v="4"/>
    <n v="5"/>
    <n v="255000"/>
    <n v="0"/>
    <n v="175000"/>
    <n v="1275000"/>
    <x v="1165"/>
    <x v="4"/>
    <x v="1"/>
    <n v="6"/>
    <x v="18"/>
    <n v="0.86274509803921573"/>
  </r>
  <r>
    <s v="ID-2024-00519"/>
    <d v="2024-06-30T00:00:00"/>
    <s v="ST-001"/>
    <x v="0"/>
    <s v="CUST-097"/>
    <x v="0"/>
    <s v="PRD-022"/>
    <x v="24"/>
    <x v="4"/>
    <n v="1"/>
    <n v="153000"/>
    <n v="0"/>
    <n v="107000"/>
    <n v="153000"/>
    <x v="561"/>
    <x v="4"/>
    <x v="1"/>
    <n v="6"/>
    <x v="15"/>
    <n v="0.30065359477124182"/>
  </r>
  <r>
    <s v="ID-2024-01199"/>
    <d v="2024-07-22T00:00:00"/>
    <s v="ST-005"/>
    <x v="1"/>
    <s v="CUST-065"/>
    <x v="1"/>
    <s v="PRD-022"/>
    <x v="24"/>
    <x v="4"/>
    <n v="1"/>
    <n v="199000"/>
    <n v="0"/>
    <n v="141000"/>
    <n v="199000"/>
    <x v="533"/>
    <x v="5"/>
    <x v="1"/>
    <n v="7"/>
    <x v="16"/>
    <n v="0.29145728643216079"/>
  </r>
  <r>
    <s v="ID-2024-00328"/>
    <d v="2024-07-31T00:00:00"/>
    <s v="ST-001"/>
    <x v="0"/>
    <s v="CUST-112"/>
    <x v="1"/>
    <s v="PRD-022"/>
    <x v="24"/>
    <x v="4"/>
    <n v="1"/>
    <n v="160000"/>
    <n v="0"/>
    <n v="109000"/>
    <n v="160000"/>
    <x v="559"/>
    <x v="5"/>
    <x v="1"/>
    <n v="7"/>
    <x v="28"/>
    <n v="0.31874999999999998"/>
  </r>
  <r>
    <s v="ID-2024-00781"/>
    <d v="2024-08-12T00:00:00"/>
    <s v="ST-001"/>
    <x v="0"/>
    <s v="CUST-073"/>
    <x v="1"/>
    <s v="PRD-022"/>
    <x v="24"/>
    <x v="4"/>
    <n v="1"/>
    <n v="175000"/>
    <n v="0"/>
    <n v="121000"/>
    <n v="175000"/>
    <x v="564"/>
    <x v="6"/>
    <x v="1"/>
    <n v="8"/>
    <x v="10"/>
    <n v="0.30857142857142855"/>
  </r>
  <r>
    <s v="ID-2024-01256"/>
    <d v="2024-08-16T00:00:00"/>
    <s v="ST-001"/>
    <x v="0"/>
    <s v="CUST-133"/>
    <x v="1"/>
    <s v="PRD-022"/>
    <x v="24"/>
    <x v="4"/>
    <n v="2"/>
    <n v="145000"/>
    <n v="0"/>
    <n v="101000"/>
    <n v="290000"/>
    <x v="1166"/>
    <x v="6"/>
    <x v="1"/>
    <n v="8"/>
    <x v="5"/>
    <n v="0.65172413793103445"/>
  </r>
  <r>
    <s v="ID-2024-00017"/>
    <d v="2024-08-26T00:00:00"/>
    <s v="ST-001"/>
    <x v="0"/>
    <s v="CUST-022"/>
    <x v="1"/>
    <s v="PRD-022"/>
    <x v="24"/>
    <x v="4"/>
    <n v="1"/>
    <n v="210000"/>
    <n v="0"/>
    <n v="148000"/>
    <n v="210000"/>
    <x v="143"/>
    <x v="6"/>
    <x v="1"/>
    <n v="8"/>
    <x v="6"/>
    <n v="0.29523809523809524"/>
  </r>
  <r>
    <s v="ID-2024-01678"/>
    <d v="2024-10-20T00:00:00"/>
    <s v="ST-001"/>
    <x v="0"/>
    <s v="CUST-055"/>
    <x v="0"/>
    <s v="PRD-022"/>
    <x v="24"/>
    <x v="4"/>
    <n v="1"/>
    <n v="169000"/>
    <n v="0"/>
    <n v="118000"/>
    <n v="169000"/>
    <x v="559"/>
    <x v="8"/>
    <x v="1"/>
    <n v="10"/>
    <x v="30"/>
    <n v="0.30177514792899407"/>
  </r>
  <r>
    <s v="ID-2024-00112"/>
    <d v="2024-11-15T00:00:00"/>
    <s v="ST-002"/>
    <x v="3"/>
    <s v="CUST-077"/>
    <x v="2"/>
    <s v="PRD-022"/>
    <x v="24"/>
    <x v="4"/>
    <n v="1"/>
    <n v="174000"/>
    <n v="0"/>
    <n v="121000"/>
    <n v="174000"/>
    <x v="554"/>
    <x v="9"/>
    <x v="1"/>
    <n v="11"/>
    <x v="19"/>
    <n v="0.3045977011494253"/>
  </r>
  <r>
    <s v="ID-2024-00198"/>
    <d v="2024-11-27T00:00:00"/>
    <s v="ST-001"/>
    <x v="0"/>
    <s v="CUST-114"/>
    <x v="1"/>
    <s v="PRD-022"/>
    <x v="24"/>
    <x v="4"/>
    <n v="3"/>
    <n v="251000"/>
    <n v="0"/>
    <n v="176000"/>
    <n v="753000"/>
    <x v="405"/>
    <x v="9"/>
    <x v="1"/>
    <n v="11"/>
    <x v="24"/>
    <n v="0.76626826029216466"/>
  </r>
  <r>
    <s v="ID-2024-01596"/>
    <d v="2024-12-19T00:00:00"/>
    <s v="ST-002"/>
    <x v="3"/>
    <s v="CUST-105"/>
    <x v="2"/>
    <s v="PRD-022"/>
    <x v="24"/>
    <x v="4"/>
    <n v="1"/>
    <n v="203000"/>
    <n v="0.05"/>
    <n v="144000"/>
    <n v="192850"/>
    <x v="1167"/>
    <x v="10"/>
    <x v="1"/>
    <n v="12"/>
    <x v="26"/>
    <n v="0.25330567798807363"/>
  </r>
  <r>
    <s v="ID-2024-00410"/>
    <d v="2024-12-27T00:00:00"/>
    <s v="ST-004"/>
    <x v="2"/>
    <s v="CUST-102"/>
    <x v="0"/>
    <s v="PRD-022"/>
    <x v="24"/>
    <x v="4"/>
    <n v="1"/>
    <n v="139000"/>
    <n v="0"/>
    <n v="98000"/>
    <n v="139000"/>
    <x v="588"/>
    <x v="10"/>
    <x v="1"/>
    <n v="12"/>
    <x v="24"/>
    <n v="0.29496402877697842"/>
  </r>
  <r>
    <s v="ID-2025-01208"/>
    <d v="2025-01-28T00:00:00"/>
    <s v="ST-001"/>
    <x v="0"/>
    <s v="CUST-063"/>
    <x v="1"/>
    <s v="PRD-022"/>
    <x v="24"/>
    <x v="4"/>
    <n v="2"/>
    <n v="143000"/>
    <n v="0"/>
    <n v="98000"/>
    <n v="286000"/>
    <x v="503"/>
    <x v="0"/>
    <x v="2"/>
    <n v="1"/>
    <x v="4"/>
    <n v="0.65734265734265729"/>
  </r>
  <r>
    <s v="ID-2025-01174"/>
    <d v="2025-02-19T00:00:00"/>
    <s v="ST-001"/>
    <x v="0"/>
    <s v="CUST-133"/>
    <x v="1"/>
    <s v="PRD-022"/>
    <x v="24"/>
    <x v="4"/>
    <n v="2"/>
    <n v="234000"/>
    <n v="0"/>
    <n v="162000"/>
    <n v="468000"/>
    <x v="1091"/>
    <x v="1"/>
    <x v="2"/>
    <n v="2"/>
    <x v="26"/>
    <n v="0.65384615384615385"/>
  </r>
  <r>
    <s v="ID-2025-01543"/>
    <d v="2025-03-16T00:00:00"/>
    <s v="ST-004"/>
    <x v="2"/>
    <s v="CUST-014"/>
    <x v="1"/>
    <s v="PRD-022"/>
    <x v="24"/>
    <x v="4"/>
    <n v="1"/>
    <n v="182000"/>
    <n v="0.05"/>
    <n v="128000"/>
    <n v="172900"/>
    <x v="1168"/>
    <x v="2"/>
    <x v="2"/>
    <n v="3"/>
    <x v="5"/>
    <n v="0.25968768074031234"/>
  </r>
  <r>
    <s v="ID-2025-00252"/>
    <d v="2025-03-24T00:00:00"/>
    <s v="ST-001"/>
    <x v="0"/>
    <s v="CUST-132"/>
    <x v="1"/>
    <s v="PRD-022"/>
    <x v="24"/>
    <x v="4"/>
    <n v="1"/>
    <n v="190000"/>
    <n v="0"/>
    <n v="132000"/>
    <n v="190000"/>
    <x v="533"/>
    <x v="2"/>
    <x v="2"/>
    <n v="3"/>
    <x v="25"/>
    <n v="0.30526315789473685"/>
  </r>
  <r>
    <s v="ID-2025-00107"/>
    <d v="2025-04-01T00:00:00"/>
    <s v="ST-001"/>
    <x v="0"/>
    <s v="CUST-129"/>
    <x v="1"/>
    <s v="PRD-022"/>
    <x v="24"/>
    <x v="4"/>
    <n v="1"/>
    <n v="238000"/>
    <n v="0.05"/>
    <n v="171000"/>
    <n v="226100"/>
    <x v="815"/>
    <x v="11"/>
    <x v="2"/>
    <n v="4"/>
    <x v="0"/>
    <n v="0.24369747899159663"/>
  </r>
  <r>
    <s v="ID-2025-01475"/>
    <d v="2025-04-15T00:00:00"/>
    <s v="ST-001"/>
    <x v="0"/>
    <s v="CUST-077"/>
    <x v="2"/>
    <s v="PRD-022"/>
    <x v="24"/>
    <x v="4"/>
    <n v="2"/>
    <n v="228000"/>
    <n v="0"/>
    <n v="161000"/>
    <n v="456000"/>
    <x v="647"/>
    <x v="11"/>
    <x v="2"/>
    <n v="4"/>
    <x v="19"/>
    <n v="0.64692982456140347"/>
  </r>
  <r>
    <s v="ID-2025-01112"/>
    <d v="2025-06-01T00:00:00"/>
    <s v="ST-005"/>
    <x v="1"/>
    <s v="CUST-073"/>
    <x v="1"/>
    <s v="PRD-022"/>
    <x v="24"/>
    <x v="4"/>
    <n v="1"/>
    <n v="178000"/>
    <n v="0"/>
    <n v="125000"/>
    <n v="178000"/>
    <x v="554"/>
    <x v="4"/>
    <x v="2"/>
    <n v="6"/>
    <x v="0"/>
    <n v="0.29775280898876405"/>
  </r>
  <r>
    <s v="ID-2025-00422"/>
    <d v="2025-07-05T00:00:00"/>
    <s v="ST-005"/>
    <x v="1"/>
    <s v="CUST-107"/>
    <x v="0"/>
    <s v="PRD-022"/>
    <x v="24"/>
    <x v="4"/>
    <n v="5"/>
    <n v="199000"/>
    <n v="0.05"/>
    <n v="141000"/>
    <n v="945250"/>
    <x v="1169"/>
    <x v="5"/>
    <x v="2"/>
    <n v="7"/>
    <x v="21"/>
    <n v="0.8508331129330865"/>
  </r>
  <r>
    <s v="ID-2025-00218"/>
    <d v="2025-07-09T00:00:00"/>
    <s v="ST-001"/>
    <x v="0"/>
    <s v="CUST-011"/>
    <x v="1"/>
    <s v="PRD-022"/>
    <x v="24"/>
    <x v="4"/>
    <n v="1"/>
    <n v="206000"/>
    <n v="0"/>
    <n v="148000"/>
    <n v="206000"/>
    <x v="533"/>
    <x v="5"/>
    <x v="2"/>
    <n v="7"/>
    <x v="1"/>
    <n v="0.28155339805825241"/>
  </r>
  <r>
    <s v="ID-2025-00175"/>
    <d v="2025-07-24T00:00:00"/>
    <s v="ST-003"/>
    <x v="4"/>
    <s v="CUST-073"/>
    <x v="1"/>
    <s v="PRD-022"/>
    <x v="24"/>
    <x v="4"/>
    <n v="1"/>
    <n v="199000"/>
    <n v="0.15"/>
    <n v="142000"/>
    <n v="169150"/>
    <x v="1170"/>
    <x v="5"/>
    <x v="2"/>
    <n v="7"/>
    <x v="25"/>
    <n v="0.16050842447531777"/>
  </r>
  <r>
    <s v="ID-2025-00342"/>
    <d v="2025-08-19T00:00:00"/>
    <s v="ST-003"/>
    <x v="4"/>
    <s v="CUST-069"/>
    <x v="1"/>
    <s v="PRD-022"/>
    <x v="24"/>
    <x v="4"/>
    <n v="1"/>
    <n v="178000"/>
    <n v="0"/>
    <n v="128000"/>
    <n v="178000"/>
    <x v="1159"/>
    <x v="6"/>
    <x v="2"/>
    <n v="8"/>
    <x v="26"/>
    <n v="0.2808988764044944"/>
  </r>
  <r>
    <s v="ID-2025-00914"/>
    <d v="2025-08-23T00:00:00"/>
    <s v="ST-003"/>
    <x v="4"/>
    <s v="CUST-058"/>
    <x v="1"/>
    <s v="PRD-022"/>
    <x v="24"/>
    <x v="4"/>
    <n v="1"/>
    <n v="255000"/>
    <n v="0"/>
    <n v="177000"/>
    <n v="255000"/>
    <x v="22"/>
    <x v="6"/>
    <x v="2"/>
    <n v="8"/>
    <x v="11"/>
    <n v="0.30588235294117649"/>
  </r>
  <r>
    <s v="ID-2025-00032"/>
    <d v="2025-09-21T00:00:00"/>
    <s v="ST-001"/>
    <x v="0"/>
    <s v="CUST-103"/>
    <x v="1"/>
    <s v="PRD-022"/>
    <x v="24"/>
    <x v="4"/>
    <n v="5"/>
    <n v="132000"/>
    <n v="0"/>
    <n v="94000"/>
    <n v="660000"/>
    <x v="1044"/>
    <x v="7"/>
    <x v="2"/>
    <n v="9"/>
    <x v="14"/>
    <n v="0.85757575757575755"/>
  </r>
  <r>
    <s v="ID-2025-00080"/>
    <d v="2025-10-03T00:00:00"/>
    <s v="ST-001"/>
    <x v="0"/>
    <s v="CUST-126"/>
    <x v="0"/>
    <s v="PRD-022"/>
    <x v="24"/>
    <x v="4"/>
    <n v="1"/>
    <n v="153000"/>
    <n v="0"/>
    <n v="107000"/>
    <n v="153000"/>
    <x v="561"/>
    <x v="8"/>
    <x v="2"/>
    <n v="10"/>
    <x v="8"/>
    <n v="0.30065359477124182"/>
  </r>
  <r>
    <s v="ID-2025-01724"/>
    <d v="2025-10-08T00:00:00"/>
    <s v="ST-003"/>
    <x v="4"/>
    <s v="CUST-015"/>
    <x v="1"/>
    <s v="PRD-022"/>
    <x v="24"/>
    <x v="4"/>
    <n v="1"/>
    <n v="226000"/>
    <n v="0"/>
    <n v="161000"/>
    <n v="226000"/>
    <x v="1135"/>
    <x v="8"/>
    <x v="2"/>
    <n v="10"/>
    <x v="27"/>
    <n v="0.28761061946902655"/>
  </r>
  <r>
    <s v="ID-2025-00832"/>
    <d v="2025-10-29T00:00:00"/>
    <s v="ST-001"/>
    <x v="0"/>
    <s v="CUST-065"/>
    <x v="1"/>
    <s v="PRD-022"/>
    <x v="24"/>
    <x v="4"/>
    <n v="1"/>
    <n v="186000"/>
    <n v="0.05"/>
    <n v="127000"/>
    <n v="176700"/>
    <x v="1171"/>
    <x v="8"/>
    <x v="2"/>
    <n v="10"/>
    <x v="7"/>
    <n v="0.28126768534238822"/>
  </r>
  <r>
    <s v="ID-2025-01357"/>
    <d v="2025-12-17T00:00:00"/>
    <s v="ST-001"/>
    <x v="0"/>
    <s v="CUST-111"/>
    <x v="1"/>
    <s v="PRD-022"/>
    <x v="24"/>
    <x v="4"/>
    <n v="1"/>
    <n v="149000"/>
    <n v="0"/>
    <n v="107000"/>
    <n v="149000"/>
    <x v="580"/>
    <x v="10"/>
    <x v="2"/>
    <n v="12"/>
    <x v="2"/>
    <n v="0.28187919463087246"/>
  </r>
  <r>
    <s v="ID-2026-00479"/>
    <d v="2026-01-23T00:00:00"/>
    <s v="ST-001"/>
    <x v="0"/>
    <s v="CUST-048"/>
    <x v="0"/>
    <s v="PRD-022"/>
    <x v="24"/>
    <x v="4"/>
    <n v="1"/>
    <n v="141000"/>
    <n v="0"/>
    <n v="96000"/>
    <n v="141000"/>
    <x v="553"/>
    <x v="0"/>
    <x v="3"/>
    <n v="1"/>
    <x v="11"/>
    <n v="0.31914893617021278"/>
  </r>
  <r>
    <s v="ID-2026-01314"/>
    <d v="2026-01-25T00:00:00"/>
    <s v="ST-001"/>
    <x v="0"/>
    <s v="CUST-069"/>
    <x v="1"/>
    <s v="PRD-022"/>
    <x v="24"/>
    <x v="4"/>
    <n v="1"/>
    <n v="165000"/>
    <n v="0"/>
    <n v="116000"/>
    <n v="165000"/>
    <x v="1138"/>
    <x v="0"/>
    <x v="3"/>
    <n v="1"/>
    <x v="12"/>
    <n v="0.29696969696969699"/>
  </r>
  <r>
    <s v="ID-2026-00995"/>
    <d v="2026-02-09T00:00:00"/>
    <s v="ST-002"/>
    <x v="3"/>
    <s v="CUST-093"/>
    <x v="2"/>
    <s v="PRD-022"/>
    <x v="24"/>
    <x v="4"/>
    <n v="1"/>
    <n v="191000"/>
    <n v="0"/>
    <n v="132000"/>
    <n v="191000"/>
    <x v="560"/>
    <x v="1"/>
    <x v="3"/>
    <n v="2"/>
    <x v="1"/>
    <n v="0.30890052356020942"/>
  </r>
  <r>
    <s v="ID-2026-00296"/>
    <d v="2026-03-25T00:00:00"/>
    <s v="ST-001"/>
    <x v="0"/>
    <s v="CUST-147"/>
    <x v="0"/>
    <s v="PRD-022"/>
    <x v="24"/>
    <x v="4"/>
    <n v="1"/>
    <n v="224000"/>
    <n v="0.05"/>
    <n v="153000"/>
    <n v="212800"/>
    <x v="1172"/>
    <x v="2"/>
    <x v="3"/>
    <n v="3"/>
    <x v="12"/>
    <n v="0.28101503759398494"/>
  </r>
  <r>
    <s v="ID-2026-00133"/>
    <d v="2026-05-01T00:00:00"/>
    <s v="ST-001"/>
    <x v="0"/>
    <s v="CUST-112"/>
    <x v="1"/>
    <s v="PRD-022"/>
    <x v="24"/>
    <x v="4"/>
    <n v="1"/>
    <n v="173000"/>
    <n v="0.05"/>
    <n v="124000"/>
    <n v="164350"/>
    <x v="1173"/>
    <x v="3"/>
    <x v="3"/>
    <n v="5"/>
    <x v="0"/>
    <n v="0.24551262549437178"/>
  </r>
  <r>
    <s v="ID-2026-01734"/>
    <d v="2026-05-11T00:00:00"/>
    <s v="ST-002"/>
    <x v="3"/>
    <s v="CUST-018"/>
    <x v="0"/>
    <s v="PRD-022"/>
    <x v="24"/>
    <x v="4"/>
    <n v="1"/>
    <n v="270000"/>
    <n v="0"/>
    <n v="194000"/>
    <n v="270000"/>
    <x v="813"/>
    <x v="3"/>
    <x v="3"/>
    <n v="5"/>
    <x v="22"/>
    <n v="0.2814814814814815"/>
  </r>
  <r>
    <s v="ID-2026-00463"/>
    <d v="2026-06-15T00:00:00"/>
    <s v="ST-003"/>
    <x v="4"/>
    <s v="CUST-048"/>
    <x v="0"/>
    <s v="PRD-022"/>
    <x v="24"/>
    <x v="4"/>
    <n v="1"/>
    <n v="236000"/>
    <n v="0"/>
    <n v="168000"/>
    <n v="236000"/>
    <x v="525"/>
    <x v="4"/>
    <x v="3"/>
    <n v="6"/>
    <x v="19"/>
    <n v="0.28813559322033899"/>
  </r>
  <r>
    <s v="ID-2026-00126"/>
    <d v="2026-06-24T00:00:00"/>
    <s v="ST-001"/>
    <x v="0"/>
    <s v="CUST-083"/>
    <x v="1"/>
    <s v="PRD-022"/>
    <x v="24"/>
    <x v="4"/>
    <n v="1"/>
    <n v="147000"/>
    <n v="0"/>
    <n v="101000"/>
    <n v="147000"/>
    <x v="561"/>
    <x v="4"/>
    <x v="3"/>
    <n v="6"/>
    <x v="25"/>
    <n v="0.31292517006802723"/>
  </r>
  <r>
    <s v="ID-2023-00228"/>
    <d v="2023-02-20T00:00:00"/>
    <s v="ST-001"/>
    <x v="0"/>
    <s v="CUST-102"/>
    <x v="0"/>
    <s v="PRD-013"/>
    <x v="25"/>
    <x v="0"/>
    <n v="1"/>
    <n v="481000"/>
    <n v="0"/>
    <n v="347000"/>
    <n v="481000"/>
    <x v="496"/>
    <x v="1"/>
    <x v="0"/>
    <n v="2"/>
    <x v="30"/>
    <n v="0.2785862785862786"/>
  </r>
  <r>
    <s v="ID-2023-00804"/>
    <d v="2023-04-17T00:00:00"/>
    <s v="ST-004"/>
    <x v="2"/>
    <s v="CUST-082"/>
    <x v="0"/>
    <s v="PRD-013"/>
    <x v="25"/>
    <x v="0"/>
    <n v="3"/>
    <n v="415000"/>
    <n v="0"/>
    <n v="301000"/>
    <n v="1245000"/>
    <x v="1174"/>
    <x v="11"/>
    <x v="0"/>
    <n v="4"/>
    <x v="2"/>
    <n v="0.75823293172690764"/>
  </r>
  <r>
    <s v="ID-2023-00149"/>
    <d v="2023-04-23T00:00:00"/>
    <s v="ST-002"/>
    <x v="3"/>
    <s v="CUST-001"/>
    <x v="1"/>
    <s v="PRD-013"/>
    <x v="25"/>
    <x v="0"/>
    <n v="1"/>
    <n v="501000"/>
    <n v="0"/>
    <n v="363000"/>
    <n v="501000"/>
    <x v="195"/>
    <x v="11"/>
    <x v="0"/>
    <n v="4"/>
    <x v="11"/>
    <n v="0.27544910179640719"/>
  </r>
  <r>
    <s v="ID-2023-01752"/>
    <d v="2023-06-16T00:00:00"/>
    <s v="ST-001"/>
    <x v="0"/>
    <s v="CUST-020"/>
    <x v="1"/>
    <s v="PRD-013"/>
    <x v="25"/>
    <x v="0"/>
    <n v="2"/>
    <n v="441000"/>
    <n v="0"/>
    <n v="314000"/>
    <n v="882000"/>
    <x v="408"/>
    <x v="4"/>
    <x v="0"/>
    <n v="6"/>
    <x v="5"/>
    <n v="0.64399092970521543"/>
  </r>
  <r>
    <s v="ID-2023-01654"/>
    <d v="2023-06-23T00:00:00"/>
    <s v="ST-001"/>
    <x v="0"/>
    <s v="CUST-103"/>
    <x v="1"/>
    <s v="PRD-013"/>
    <x v="25"/>
    <x v="0"/>
    <n v="1"/>
    <n v="544000"/>
    <n v="0"/>
    <n v="404000"/>
    <n v="544000"/>
    <x v="1175"/>
    <x v="4"/>
    <x v="0"/>
    <n v="6"/>
    <x v="11"/>
    <n v="0.25735294117647056"/>
  </r>
  <r>
    <s v="ID-2023-01709"/>
    <d v="2023-07-17T00:00:00"/>
    <s v="ST-002"/>
    <x v="3"/>
    <s v="CUST-059"/>
    <x v="1"/>
    <s v="PRD-013"/>
    <x v="25"/>
    <x v="0"/>
    <n v="1"/>
    <n v="434000"/>
    <n v="0"/>
    <n v="311000"/>
    <n v="434000"/>
    <x v="498"/>
    <x v="5"/>
    <x v="0"/>
    <n v="7"/>
    <x v="2"/>
    <n v="0.28341013824884792"/>
  </r>
  <r>
    <s v="ID-2023-00437"/>
    <d v="2023-08-16T00:00:00"/>
    <s v="ST-002"/>
    <x v="3"/>
    <s v="CUST-045"/>
    <x v="1"/>
    <s v="PRD-013"/>
    <x v="25"/>
    <x v="0"/>
    <n v="3"/>
    <n v="572000"/>
    <n v="0.1"/>
    <n v="413000"/>
    <n v="1544400"/>
    <x v="1176"/>
    <x v="6"/>
    <x v="0"/>
    <n v="8"/>
    <x v="5"/>
    <n v="0.73258223258223254"/>
  </r>
  <r>
    <s v="ID-2023-00598"/>
    <d v="2023-09-15T00:00:00"/>
    <s v="ST-002"/>
    <x v="3"/>
    <s v="CUST-033"/>
    <x v="1"/>
    <s v="PRD-013"/>
    <x v="25"/>
    <x v="0"/>
    <n v="1"/>
    <n v="418000"/>
    <n v="0"/>
    <n v="302000"/>
    <n v="418000"/>
    <x v="3"/>
    <x v="7"/>
    <x v="0"/>
    <n v="9"/>
    <x v="19"/>
    <n v="0.27751196172248804"/>
  </r>
  <r>
    <s v="ID-2023-00610"/>
    <d v="2023-09-17T00:00:00"/>
    <s v="ST-002"/>
    <x v="3"/>
    <s v="CUST-113"/>
    <x v="2"/>
    <s v="PRD-013"/>
    <x v="25"/>
    <x v="0"/>
    <n v="1"/>
    <n v="371000"/>
    <n v="0"/>
    <n v="274000"/>
    <n v="371000"/>
    <x v="0"/>
    <x v="7"/>
    <x v="0"/>
    <n v="9"/>
    <x v="2"/>
    <n v="0.26145552560646901"/>
  </r>
  <r>
    <s v="ID-2023-00242"/>
    <d v="2023-11-02T00:00:00"/>
    <s v="ST-004"/>
    <x v="2"/>
    <s v="CUST-089"/>
    <x v="1"/>
    <s v="PRD-013"/>
    <x v="25"/>
    <x v="0"/>
    <n v="1"/>
    <n v="430000"/>
    <n v="0"/>
    <n v="312000"/>
    <n v="430000"/>
    <x v="7"/>
    <x v="9"/>
    <x v="0"/>
    <n v="11"/>
    <x v="17"/>
    <n v="0.2744186046511628"/>
  </r>
  <r>
    <s v="ID-2023-01209"/>
    <d v="2023-11-03T00:00:00"/>
    <s v="ST-002"/>
    <x v="3"/>
    <s v="CUST-001"/>
    <x v="1"/>
    <s v="PRD-013"/>
    <x v="25"/>
    <x v="0"/>
    <n v="3"/>
    <n v="502000"/>
    <n v="0.05"/>
    <n v="363000"/>
    <n v="1430700"/>
    <x v="1177"/>
    <x v="9"/>
    <x v="0"/>
    <n v="11"/>
    <x v="8"/>
    <n v="0.74627804571188927"/>
  </r>
  <r>
    <s v="ID-2023-00684"/>
    <d v="2023-11-15T00:00:00"/>
    <s v="ST-003"/>
    <x v="4"/>
    <s v="CUST-134"/>
    <x v="1"/>
    <s v="PRD-013"/>
    <x v="25"/>
    <x v="0"/>
    <n v="2"/>
    <n v="501000"/>
    <n v="0.1"/>
    <n v="361000"/>
    <n v="901800"/>
    <x v="1178"/>
    <x v="9"/>
    <x v="0"/>
    <n v="11"/>
    <x v="19"/>
    <n v="0.59968950986915059"/>
  </r>
  <r>
    <s v="ID-2023-01421"/>
    <d v="2023-12-08T00:00:00"/>
    <s v="ST-001"/>
    <x v="0"/>
    <s v="CUST-015"/>
    <x v="1"/>
    <s v="PRD-013"/>
    <x v="25"/>
    <x v="0"/>
    <n v="1"/>
    <n v="452000"/>
    <n v="0"/>
    <n v="334000"/>
    <n v="452000"/>
    <x v="7"/>
    <x v="10"/>
    <x v="0"/>
    <n v="12"/>
    <x v="27"/>
    <n v="0.26106194690265488"/>
  </r>
  <r>
    <s v="ID-2024-00767"/>
    <d v="2024-01-24T00:00:00"/>
    <s v="ST-001"/>
    <x v="0"/>
    <s v="CUST-078"/>
    <x v="1"/>
    <s v="PRD-013"/>
    <x v="25"/>
    <x v="0"/>
    <n v="1"/>
    <n v="331000"/>
    <n v="0"/>
    <n v="240000"/>
    <n v="331000"/>
    <x v="45"/>
    <x v="0"/>
    <x v="1"/>
    <n v="1"/>
    <x v="25"/>
    <n v="0.27492447129909364"/>
  </r>
  <r>
    <s v="ID-2024-01061"/>
    <d v="2024-03-13T00:00:00"/>
    <s v="ST-001"/>
    <x v="0"/>
    <s v="CUST-004"/>
    <x v="0"/>
    <s v="PRD-013"/>
    <x v="25"/>
    <x v="0"/>
    <n v="1"/>
    <n v="453000"/>
    <n v="0"/>
    <n v="334000"/>
    <n v="453000"/>
    <x v="819"/>
    <x v="2"/>
    <x v="1"/>
    <n v="3"/>
    <x v="23"/>
    <n v="0.26269315673289184"/>
  </r>
  <r>
    <s v="ID-2024-01151"/>
    <d v="2024-03-30T00:00:00"/>
    <s v="ST-001"/>
    <x v="0"/>
    <s v="CUST-052"/>
    <x v="2"/>
    <s v="PRD-013"/>
    <x v="25"/>
    <x v="0"/>
    <n v="2"/>
    <n v="616000"/>
    <n v="0"/>
    <n v="440000"/>
    <n v="1232000"/>
    <x v="1179"/>
    <x v="2"/>
    <x v="1"/>
    <n v="3"/>
    <x v="15"/>
    <n v="0.6428571428571429"/>
  </r>
  <r>
    <s v="ID-2024-00176"/>
    <d v="2024-04-05T00:00:00"/>
    <s v="ST-001"/>
    <x v="0"/>
    <s v="CUST-144"/>
    <x v="1"/>
    <s v="PRD-013"/>
    <x v="25"/>
    <x v="0"/>
    <n v="1"/>
    <n v="611000"/>
    <n v="0"/>
    <n v="452000"/>
    <n v="611000"/>
    <x v="231"/>
    <x v="11"/>
    <x v="1"/>
    <n v="4"/>
    <x v="21"/>
    <n v="0.2602291325695581"/>
  </r>
  <r>
    <s v="ID-2024-01402"/>
    <d v="2024-04-21T00:00:00"/>
    <s v="ST-004"/>
    <x v="2"/>
    <s v="CUST-131"/>
    <x v="0"/>
    <s v="PRD-013"/>
    <x v="25"/>
    <x v="0"/>
    <n v="1"/>
    <n v="475000"/>
    <n v="0.05"/>
    <n v="344000"/>
    <n v="451250"/>
    <x v="1180"/>
    <x v="11"/>
    <x v="1"/>
    <n v="4"/>
    <x v="14"/>
    <n v="0.23767313019390582"/>
  </r>
  <r>
    <s v="ID-2024-01669"/>
    <d v="2024-05-05T00:00:00"/>
    <s v="ST-004"/>
    <x v="2"/>
    <s v="CUST-050"/>
    <x v="1"/>
    <s v="PRD-013"/>
    <x v="25"/>
    <x v="0"/>
    <n v="2"/>
    <n v="593000"/>
    <n v="0.05"/>
    <n v="434000"/>
    <n v="1126700"/>
    <x v="1181"/>
    <x v="3"/>
    <x v="1"/>
    <n v="5"/>
    <x v="21"/>
    <n v="0.61480429573089557"/>
  </r>
  <r>
    <s v="ID-2024-00145"/>
    <d v="2024-05-16T00:00:00"/>
    <s v="ST-001"/>
    <x v="0"/>
    <s v="CUST-001"/>
    <x v="1"/>
    <s v="PRD-013"/>
    <x v="25"/>
    <x v="0"/>
    <n v="2"/>
    <n v="603000"/>
    <n v="0"/>
    <n v="444000"/>
    <n v="1206000"/>
    <x v="1182"/>
    <x v="3"/>
    <x v="1"/>
    <n v="5"/>
    <x v="5"/>
    <n v="0.63184079601990051"/>
  </r>
  <r>
    <s v="ID-2024-00859"/>
    <d v="2024-05-26T00:00:00"/>
    <s v="ST-001"/>
    <x v="0"/>
    <s v="CUST-118"/>
    <x v="1"/>
    <s v="PRD-013"/>
    <x v="25"/>
    <x v="0"/>
    <n v="1"/>
    <n v="608000"/>
    <n v="0"/>
    <n v="438000"/>
    <n v="608000"/>
    <x v="817"/>
    <x v="3"/>
    <x v="1"/>
    <n v="5"/>
    <x v="6"/>
    <n v="0.27960526315789475"/>
  </r>
  <r>
    <s v="ID-2024-01308"/>
    <d v="2024-05-27T00:00:00"/>
    <s v="ST-003"/>
    <x v="4"/>
    <s v="CUST-119"/>
    <x v="1"/>
    <s v="PRD-013"/>
    <x v="25"/>
    <x v="0"/>
    <n v="1"/>
    <n v="508000"/>
    <n v="0"/>
    <n v="375000"/>
    <n v="508000"/>
    <x v="183"/>
    <x v="3"/>
    <x v="1"/>
    <n v="5"/>
    <x v="24"/>
    <n v="0.26181102362204722"/>
  </r>
  <r>
    <s v="ID-2024-00933"/>
    <d v="2024-05-28T00:00:00"/>
    <s v="ST-004"/>
    <x v="2"/>
    <s v="CUST-036"/>
    <x v="1"/>
    <s v="PRD-013"/>
    <x v="25"/>
    <x v="0"/>
    <n v="2"/>
    <n v="437000"/>
    <n v="0"/>
    <n v="319000"/>
    <n v="874000"/>
    <x v="1183"/>
    <x v="3"/>
    <x v="1"/>
    <n v="5"/>
    <x v="4"/>
    <n v="0.63501144164759726"/>
  </r>
  <r>
    <s v="ID-2024-00822"/>
    <d v="2024-05-29T00:00:00"/>
    <s v="ST-001"/>
    <x v="0"/>
    <s v="CUST-009"/>
    <x v="0"/>
    <s v="PRD-013"/>
    <x v="25"/>
    <x v="0"/>
    <n v="1"/>
    <n v="335000"/>
    <n v="0"/>
    <n v="242000"/>
    <n v="335000"/>
    <x v="148"/>
    <x v="3"/>
    <x v="1"/>
    <n v="5"/>
    <x v="7"/>
    <n v="0.27761194029850744"/>
  </r>
  <r>
    <s v="ID-2024-01126"/>
    <d v="2024-06-02T00:00:00"/>
    <s v="ST-002"/>
    <x v="3"/>
    <s v="CUST-148"/>
    <x v="0"/>
    <s v="PRD-013"/>
    <x v="25"/>
    <x v="0"/>
    <n v="1"/>
    <n v="491000"/>
    <n v="0.1"/>
    <n v="366000"/>
    <n v="441900"/>
    <x v="1184"/>
    <x v="4"/>
    <x v="1"/>
    <n v="6"/>
    <x v="17"/>
    <n v="0.17175831636116767"/>
  </r>
  <r>
    <s v="ID-2024-00848"/>
    <d v="2024-06-05T00:00:00"/>
    <s v="ST-003"/>
    <x v="4"/>
    <s v="CUST-111"/>
    <x v="1"/>
    <s v="PRD-013"/>
    <x v="25"/>
    <x v="0"/>
    <n v="1"/>
    <n v="455000"/>
    <n v="0"/>
    <n v="333000"/>
    <n v="455000"/>
    <x v="541"/>
    <x v="4"/>
    <x v="1"/>
    <n v="6"/>
    <x v="21"/>
    <n v="0.26813186813186812"/>
  </r>
  <r>
    <s v="ID-2024-00886"/>
    <d v="2024-08-19T00:00:00"/>
    <s v="ST-004"/>
    <x v="2"/>
    <s v="CUST-067"/>
    <x v="1"/>
    <s v="PRD-013"/>
    <x v="25"/>
    <x v="0"/>
    <n v="3"/>
    <n v="410000"/>
    <n v="0"/>
    <n v="294000"/>
    <n v="1230000"/>
    <x v="1185"/>
    <x v="6"/>
    <x v="1"/>
    <n v="8"/>
    <x v="26"/>
    <n v="0.76097560975609757"/>
  </r>
  <r>
    <s v="ID-2024-01006"/>
    <d v="2024-10-09T00:00:00"/>
    <s v="ST-003"/>
    <x v="4"/>
    <s v="CUST-126"/>
    <x v="0"/>
    <s v="PRD-013"/>
    <x v="25"/>
    <x v="0"/>
    <n v="1"/>
    <n v="334000"/>
    <n v="0.05"/>
    <n v="243000"/>
    <n v="317300"/>
    <x v="1186"/>
    <x v="8"/>
    <x v="1"/>
    <n v="10"/>
    <x v="1"/>
    <n v="0.23416325244248345"/>
  </r>
  <r>
    <s v="ID-2024-00525"/>
    <d v="2024-11-11T00:00:00"/>
    <s v="ST-001"/>
    <x v="0"/>
    <s v="CUST-025"/>
    <x v="0"/>
    <s v="PRD-013"/>
    <x v="25"/>
    <x v="0"/>
    <n v="3"/>
    <n v="331000"/>
    <n v="0"/>
    <n v="246000"/>
    <n v="993000"/>
    <x v="385"/>
    <x v="9"/>
    <x v="1"/>
    <n v="11"/>
    <x v="22"/>
    <n v="0.75226586102719029"/>
  </r>
  <r>
    <s v="ID-2024-01412"/>
    <d v="2024-11-17T00:00:00"/>
    <s v="ST-002"/>
    <x v="3"/>
    <s v="CUST-116"/>
    <x v="1"/>
    <s v="PRD-013"/>
    <x v="25"/>
    <x v="0"/>
    <n v="1"/>
    <n v="398000"/>
    <n v="0"/>
    <n v="287000"/>
    <n v="398000"/>
    <x v="141"/>
    <x v="9"/>
    <x v="1"/>
    <n v="11"/>
    <x v="2"/>
    <n v="0.27889447236180903"/>
  </r>
  <r>
    <s v="ID-2024-00348"/>
    <d v="2024-11-20T00:00:00"/>
    <s v="ST-002"/>
    <x v="3"/>
    <s v="CUST-025"/>
    <x v="0"/>
    <s v="PRD-013"/>
    <x v="25"/>
    <x v="0"/>
    <n v="1"/>
    <n v="472000"/>
    <n v="0"/>
    <n v="345000"/>
    <n v="472000"/>
    <x v="502"/>
    <x v="9"/>
    <x v="1"/>
    <n v="11"/>
    <x v="30"/>
    <n v="0.2690677966101695"/>
  </r>
  <r>
    <s v="ID-2024-01193"/>
    <d v="2024-12-14T00:00:00"/>
    <s v="ST-002"/>
    <x v="3"/>
    <s v="CUST-110"/>
    <x v="1"/>
    <s v="PRD-013"/>
    <x v="25"/>
    <x v="0"/>
    <n v="3"/>
    <n v="396000"/>
    <n v="0"/>
    <n v="284000"/>
    <n v="1188000"/>
    <x v="279"/>
    <x v="10"/>
    <x v="1"/>
    <n v="12"/>
    <x v="18"/>
    <n v="0.76094276094276092"/>
  </r>
  <r>
    <s v="ID-2024-01464"/>
    <d v="2024-12-25T00:00:00"/>
    <s v="ST-003"/>
    <x v="4"/>
    <s v="CUST-088"/>
    <x v="0"/>
    <s v="PRD-013"/>
    <x v="25"/>
    <x v="0"/>
    <n v="2"/>
    <n v="347000"/>
    <n v="0"/>
    <n v="251000"/>
    <n v="694000"/>
    <x v="698"/>
    <x v="10"/>
    <x v="1"/>
    <n v="12"/>
    <x v="12"/>
    <n v="0.63832853025936598"/>
  </r>
  <r>
    <s v="ID-2025-00035"/>
    <d v="2025-02-19T00:00:00"/>
    <s v="ST-001"/>
    <x v="0"/>
    <s v="CUST-089"/>
    <x v="1"/>
    <s v="PRD-013"/>
    <x v="25"/>
    <x v="0"/>
    <n v="1"/>
    <n v="555000"/>
    <n v="0.05"/>
    <n v="415000"/>
    <n v="527250"/>
    <x v="1187"/>
    <x v="1"/>
    <x v="2"/>
    <n v="2"/>
    <x v="26"/>
    <n v="0.21289710763394973"/>
  </r>
  <r>
    <s v="ID-2025-00750"/>
    <d v="2025-02-26T00:00:00"/>
    <s v="ST-003"/>
    <x v="4"/>
    <s v="CUST-117"/>
    <x v="1"/>
    <s v="PRD-013"/>
    <x v="25"/>
    <x v="0"/>
    <n v="1"/>
    <n v="571000"/>
    <n v="0"/>
    <n v="407000"/>
    <n v="571000"/>
    <x v="212"/>
    <x v="1"/>
    <x v="2"/>
    <n v="2"/>
    <x v="6"/>
    <n v="0.28721541155866898"/>
  </r>
  <r>
    <s v="ID-2025-00829"/>
    <d v="2025-03-26T00:00:00"/>
    <s v="ST-001"/>
    <x v="0"/>
    <s v="CUST-134"/>
    <x v="1"/>
    <s v="PRD-013"/>
    <x v="25"/>
    <x v="0"/>
    <n v="1"/>
    <n v="644000"/>
    <n v="0"/>
    <n v="480000"/>
    <n v="644000"/>
    <x v="212"/>
    <x v="2"/>
    <x v="2"/>
    <n v="3"/>
    <x v="6"/>
    <n v="0.25465838509316768"/>
  </r>
  <r>
    <s v="ID-2025-00935"/>
    <d v="2025-04-20T00:00:00"/>
    <s v="ST-004"/>
    <x v="2"/>
    <s v="CUST-129"/>
    <x v="1"/>
    <s v="PRD-013"/>
    <x v="25"/>
    <x v="0"/>
    <n v="1"/>
    <n v="571000"/>
    <n v="0"/>
    <n v="419000"/>
    <n v="571000"/>
    <x v="219"/>
    <x v="11"/>
    <x v="2"/>
    <n v="4"/>
    <x v="30"/>
    <n v="0.26619964973730298"/>
  </r>
  <r>
    <s v="ID-2025-00124"/>
    <d v="2025-04-28T00:00:00"/>
    <s v="ST-002"/>
    <x v="3"/>
    <s v="CUST-116"/>
    <x v="1"/>
    <s v="PRD-013"/>
    <x v="25"/>
    <x v="0"/>
    <n v="2"/>
    <n v="606000"/>
    <n v="0"/>
    <n v="432000"/>
    <n v="1212000"/>
    <x v="63"/>
    <x v="11"/>
    <x v="2"/>
    <n v="4"/>
    <x v="4"/>
    <n v="0.64356435643564358"/>
  </r>
  <r>
    <s v="ID-2025-01800"/>
    <d v="2025-05-12T00:00:00"/>
    <s v="ST-001"/>
    <x v="0"/>
    <s v="CUST-095"/>
    <x v="2"/>
    <s v="PRD-013"/>
    <x v="25"/>
    <x v="0"/>
    <n v="2"/>
    <n v="474000"/>
    <n v="0.15"/>
    <n v="343000"/>
    <n v="805800"/>
    <x v="1188"/>
    <x v="3"/>
    <x v="2"/>
    <n v="5"/>
    <x v="10"/>
    <n v="0.57433606353933975"/>
  </r>
  <r>
    <s v="ID-2025-00788"/>
    <d v="2025-06-03T00:00:00"/>
    <s v="ST-004"/>
    <x v="2"/>
    <s v="CUST-065"/>
    <x v="1"/>
    <s v="PRD-013"/>
    <x v="25"/>
    <x v="0"/>
    <n v="1"/>
    <n v="581000"/>
    <n v="0"/>
    <n v="422000"/>
    <n v="581000"/>
    <x v="231"/>
    <x v="4"/>
    <x v="2"/>
    <n v="6"/>
    <x v="8"/>
    <n v="0.27366609294320138"/>
  </r>
  <r>
    <s v="ID-2025-01784"/>
    <d v="2025-07-16T00:00:00"/>
    <s v="ST-001"/>
    <x v="0"/>
    <s v="CUST-039"/>
    <x v="0"/>
    <s v="PRD-013"/>
    <x v="25"/>
    <x v="0"/>
    <n v="3"/>
    <n v="493000"/>
    <n v="0"/>
    <n v="352000"/>
    <n v="1479000"/>
    <x v="1189"/>
    <x v="5"/>
    <x v="2"/>
    <n v="7"/>
    <x v="5"/>
    <n v="0.76200135226504395"/>
  </r>
  <r>
    <s v="ID-2025-00734"/>
    <d v="2025-07-30T00:00:00"/>
    <s v="ST-004"/>
    <x v="2"/>
    <s v="CUST-023"/>
    <x v="1"/>
    <s v="PRD-013"/>
    <x v="25"/>
    <x v="0"/>
    <n v="1"/>
    <n v="621000"/>
    <n v="0"/>
    <n v="448000"/>
    <n v="621000"/>
    <x v="230"/>
    <x v="5"/>
    <x v="2"/>
    <n v="7"/>
    <x v="15"/>
    <n v="0.27858293075684382"/>
  </r>
  <r>
    <s v="ID-2025-00067"/>
    <d v="2025-08-01T00:00:00"/>
    <s v="ST-004"/>
    <x v="2"/>
    <s v="CUST-120"/>
    <x v="0"/>
    <s v="PRD-013"/>
    <x v="25"/>
    <x v="0"/>
    <n v="1"/>
    <n v="564000"/>
    <n v="0"/>
    <n v="411000"/>
    <n v="564000"/>
    <x v="186"/>
    <x v="6"/>
    <x v="2"/>
    <n v="8"/>
    <x v="0"/>
    <n v="0.27127659574468083"/>
  </r>
  <r>
    <s v="ID-2025-00074"/>
    <d v="2025-09-27T00:00:00"/>
    <s v="ST-001"/>
    <x v="0"/>
    <s v="CUST-041"/>
    <x v="1"/>
    <s v="PRD-013"/>
    <x v="25"/>
    <x v="0"/>
    <n v="1"/>
    <n v="604000"/>
    <n v="0"/>
    <n v="432000"/>
    <n v="604000"/>
    <x v="586"/>
    <x v="7"/>
    <x v="2"/>
    <n v="9"/>
    <x v="24"/>
    <n v="0.28476821192052981"/>
  </r>
  <r>
    <s v="ID-2025-00675"/>
    <d v="2025-10-11T00:00:00"/>
    <s v="ST-002"/>
    <x v="3"/>
    <s v="CUST-007"/>
    <x v="1"/>
    <s v="PRD-013"/>
    <x v="25"/>
    <x v="0"/>
    <n v="1"/>
    <n v="480000"/>
    <n v="0"/>
    <n v="343000"/>
    <n v="480000"/>
    <x v="488"/>
    <x v="8"/>
    <x v="2"/>
    <n v="10"/>
    <x v="22"/>
    <n v="0.28541666666666665"/>
  </r>
  <r>
    <s v="ID-2025-00297"/>
    <d v="2025-10-20T00:00:00"/>
    <s v="ST-003"/>
    <x v="4"/>
    <s v="CUST-108"/>
    <x v="2"/>
    <s v="PRD-013"/>
    <x v="25"/>
    <x v="0"/>
    <n v="1"/>
    <n v="550000"/>
    <n v="0"/>
    <n v="408000"/>
    <n v="550000"/>
    <x v="138"/>
    <x v="8"/>
    <x v="2"/>
    <n v="10"/>
    <x v="30"/>
    <n v="0.25818181818181818"/>
  </r>
  <r>
    <s v="ID-2025-00127"/>
    <d v="2025-10-30T00:00:00"/>
    <s v="ST-001"/>
    <x v="0"/>
    <s v="CUST-005"/>
    <x v="1"/>
    <s v="PRD-013"/>
    <x v="25"/>
    <x v="0"/>
    <n v="2"/>
    <n v="505000"/>
    <n v="0"/>
    <n v="373000"/>
    <n v="1010000"/>
    <x v="76"/>
    <x v="8"/>
    <x v="2"/>
    <n v="10"/>
    <x v="15"/>
    <n v="0.6306930693069307"/>
  </r>
  <r>
    <s v="ID-2025-00947"/>
    <d v="2025-10-31T00:00:00"/>
    <s v="ST-003"/>
    <x v="4"/>
    <s v="CUST-024"/>
    <x v="1"/>
    <s v="PRD-013"/>
    <x v="25"/>
    <x v="0"/>
    <n v="1"/>
    <n v="498087.71929824562"/>
    <n v="0"/>
    <n v="328000"/>
    <n v="498087.71929824562"/>
    <x v="1190"/>
    <x v="8"/>
    <x v="2"/>
    <n v="10"/>
    <x v="28"/>
    <n v="0.34148145539079289"/>
  </r>
  <r>
    <s v="ID-2025-00735"/>
    <d v="2025-11-21T00:00:00"/>
    <s v="ST-003"/>
    <x v="4"/>
    <s v="CUST-049"/>
    <x v="0"/>
    <s v="PRD-013"/>
    <x v="25"/>
    <x v="0"/>
    <n v="1"/>
    <n v="337000"/>
    <n v="0"/>
    <n v="249000"/>
    <n v="337000"/>
    <x v="15"/>
    <x v="9"/>
    <x v="2"/>
    <n v="11"/>
    <x v="14"/>
    <n v="0.26112759643916916"/>
  </r>
  <r>
    <s v="ID-2025-01792"/>
    <d v="2025-11-25T00:00:00"/>
    <s v="ST-003"/>
    <x v="4"/>
    <s v="CUST-131"/>
    <x v="0"/>
    <s v="PRD-013"/>
    <x v="25"/>
    <x v="0"/>
    <n v="1"/>
    <n v="466000"/>
    <n v="0.05"/>
    <n v="349000"/>
    <n v="442700"/>
    <x v="1191"/>
    <x v="9"/>
    <x v="2"/>
    <n v="11"/>
    <x v="12"/>
    <n v="0.21165574881409532"/>
  </r>
  <r>
    <s v="ID-2025-00168"/>
    <d v="2025-12-05T00:00:00"/>
    <s v="ST-003"/>
    <x v="4"/>
    <s v="CUST-144"/>
    <x v="1"/>
    <s v="PRD-013"/>
    <x v="25"/>
    <x v="0"/>
    <n v="1"/>
    <n v="532000"/>
    <n v="0"/>
    <n v="382000"/>
    <n v="532000"/>
    <x v="165"/>
    <x v="10"/>
    <x v="2"/>
    <n v="12"/>
    <x v="21"/>
    <n v="0.28195488721804512"/>
  </r>
  <r>
    <s v="ID-2026-00194"/>
    <d v="2026-01-01T00:00:00"/>
    <s v="ST-004"/>
    <x v="2"/>
    <s v="CUST-129"/>
    <x v="1"/>
    <s v="PRD-013"/>
    <x v="25"/>
    <x v="0"/>
    <n v="2"/>
    <n v="612000"/>
    <n v="0"/>
    <n v="454000"/>
    <n v="1224000"/>
    <x v="1192"/>
    <x v="0"/>
    <x v="3"/>
    <n v="1"/>
    <x v="0"/>
    <n v="0.62908496732026142"/>
  </r>
  <r>
    <s v="ID-2026-01799"/>
    <d v="2026-01-12T00:00:00"/>
    <s v="ST-001"/>
    <x v="0"/>
    <s v="CUST-017"/>
    <x v="1"/>
    <s v="PRD-013"/>
    <x v="25"/>
    <x v="0"/>
    <n v="2"/>
    <n v="503000"/>
    <n v="0"/>
    <n v="377000"/>
    <n v="1006000"/>
    <x v="1015"/>
    <x v="0"/>
    <x v="3"/>
    <n v="1"/>
    <x v="10"/>
    <n v="0.62524850894632211"/>
  </r>
  <r>
    <s v="ID-2026-00827"/>
    <d v="2026-02-16T00:00:00"/>
    <s v="ST-003"/>
    <x v="4"/>
    <s v="CUST-136"/>
    <x v="1"/>
    <s v="PRD-013"/>
    <x v="25"/>
    <x v="0"/>
    <n v="5"/>
    <n v="599000"/>
    <n v="0"/>
    <n v="438000"/>
    <n v="2995000"/>
    <x v="1193"/>
    <x v="1"/>
    <x v="3"/>
    <n v="2"/>
    <x v="5"/>
    <n v="0.85375626043405672"/>
  </r>
  <r>
    <s v="ID-2026-01320"/>
    <d v="2026-04-18T00:00:00"/>
    <s v="ST-005"/>
    <x v="1"/>
    <s v="CUST-140"/>
    <x v="3"/>
    <s v="PRD-013"/>
    <x v="25"/>
    <x v="0"/>
    <n v="1"/>
    <n v="686000"/>
    <n v="0"/>
    <n v="510000"/>
    <n v="686000"/>
    <x v="489"/>
    <x v="11"/>
    <x v="3"/>
    <n v="4"/>
    <x v="9"/>
    <n v="0.2565597667638484"/>
  </r>
  <r>
    <s v="ID-2026-00917"/>
    <d v="2026-04-19T00:00:00"/>
    <s v="ST-004"/>
    <x v="2"/>
    <s v="CUST-066"/>
    <x v="0"/>
    <s v="PRD-013"/>
    <x v="25"/>
    <x v="0"/>
    <n v="1"/>
    <n v="558000"/>
    <n v="0"/>
    <n v="418000"/>
    <n v="558000"/>
    <x v="1175"/>
    <x v="11"/>
    <x v="3"/>
    <n v="4"/>
    <x v="26"/>
    <n v="0.25089605734767023"/>
  </r>
  <r>
    <s v="ID-2026-00879"/>
    <d v="2026-05-01T00:00:00"/>
    <s v="ST-002"/>
    <x v="3"/>
    <s v="CUST-045"/>
    <x v="1"/>
    <s v="PRD-013"/>
    <x v="25"/>
    <x v="0"/>
    <n v="1"/>
    <n v="346000"/>
    <n v="0"/>
    <n v="256000"/>
    <n v="346000"/>
    <x v="8"/>
    <x v="3"/>
    <x v="3"/>
    <n v="5"/>
    <x v="0"/>
    <n v="0.26011560693641617"/>
  </r>
  <r>
    <s v="ID-2026-00121"/>
    <d v="2026-05-26T00:00:00"/>
    <s v="ST-001"/>
    <x v="0"/>
    <s v="CUST-082"/>
    <x v="0"/>
    <s v="PRD-013"/>
    <x v="25"/>
    <x v="0"/>
    <n v="5"/>
    <n v="667000"/>
    <n v="0"/>
    <n v="480000"/>
    <n v="3335000"/>
    <x v="1194"/>
    <x v="3"/>
    <x v="3"/>
    <n v="5"/>
    <x v="6"/>
    <n v="0.85607196401799102"/>
  </r>
  <r>
    <s v="ID-2023-00837"/>
    <d v="2023-03-11T00:00:00"/>
    <s v="ST-001"/>
    <x v="0"/>
    <s v="CUST-032"/>
    <x v="1"/>
    <s v="PRD-003"/>
    <x v="26"/>
    <x v="1"/>
    <n v="1"/>
    <n v="2107000"/>
    <n v="0"/>
    <n v="1417000"/>
    <n v="2107000"/>
    <x v="1195"/>
    <x v="2"/>
    <x v="0"/>
    <n v="3"/>
    <x v="22"/>
    <n v="0.32747982914095869"/>
  </r>
  <r>
    <s v="ID-2023-00347"/>
    <d v="2023-03-19T00:00:00"/>
    <s v="ST-001"/>
    <x v="0"/>
    <s v="CUST-018"/>
    <x v="0"/>
    <s v="PRD-003"/>
    <x v="26"/>
    <x v="1"/>
    <n v="1"/>
    <n v="2098000"/>
    <n v="0"/>
    <n v="1443000"/>
    <n v="2098000"/>
    <x v="1196"/>
    <x v="2"/>
    <x v="0"/>
    <n v="3"/>
    <x v="26"/>
    <n v="0.31220209723546233"/>
  </r>
  <r>
    <s v="ID-2023-00325"/>
    <d v="2023-03-19T00:00:00"/>
    <s v="ST-002"/>
    <x v="3"/>
    <s v="CUST-102"/>
    <x v="0"/>
    <s v="PRD-003"/>
    <x v="26"/>
    <x v="1"/>
    <n v="2"/>
    <n v="3446000"/>
    <n v="0"/>
    <n v="2391000"/>
    <n v="6892000"/>
    <x v="1197"/>
    <x v="2"/>
    <x v="0"/>
    <n v="3"/>
    <x v="26"/>
    <n v="0.65307603017991878"/>
  </r>
  <r>
    <s v="ID-2023-01497"/>
    <d v="2023-04-04T00:00:00"/>
    <s v="ST-004"/>
    <x v="2"/>
    <s v="CUST-003"/>
    <x v="2"/>
    <s v="PRD-003"/>
    <x v="26"/>
    <x v="1"/>
    <n v="1"/>
    <n v="2116000"/>
    <n v="0.05"/>
    <n v="1472000"/>
    <n v="2010200"/>
    <x v="1198"/>
    <x v="11"/>
    <x v="0"/>
    <n v="4"/>
    <x v="20"/>
    <n v="0.26773455377574373"/>
  </r>
  <r>
    <s v="ID-2023-00202"/>
    <d v="2023-04-27T00:00:00"/>
    <s v="ST-002"/>
    <x v="3"/>
    <s v="CUST-144"/>
    <x v="1"/>
    <s v="PRD-003"/>
    <x v="26"/>
    <x v="1"/>
    <n v="1"/>
    <n v="3395000"/>
    <n v="0"/>
    <n v="2314000"/>
    <n v="3395000"/>
    <x v="1199"/>
    <x v="11"/>
    <x v="0"/>
    <n v="4"/>
    <x v="24"/>
    <n v="0.31840942562592045"/>
  </r>
  <r>
    <s v="ID-2023-01010"/>
    <d v="2023-05-09T00:00:00"/>
    <s v="ST-001"/>
    <x v="0"/>
    <s v="CUST-112"/>
    <x v="1"/>
    <s v="PRD-003"/>
    <x v="26"/>
    <x v="1"/>
    <n v="1"/>
    <n v="2856000"/>
    <n v="0.05"/>
    <n v="1932000"/>
    <n v="2713200"/>
    <x v="1200"/>
    <x v="3"/>
    <x v="0"/>
    <n v="5"/>
    <x v="1"/>
    <n v="0.28792569659442724"/>
  </r>
  <r>
    <s v="ID-2023-01733"/>
    <d v="2023-05-24T00:00:00"/>
    <s v="ST-004"/>
    <x v="2"/>
    <s v="CUST-041"/>
    <x v="1"/>
    <s v="PRD-003"/>
    <x v="26"/>
    <x v="1"/>
    <n v="1"/>
    <n v="3079000"/>
    <n v="0"/>
    <n v="2036000"/>
    <n v="3079000"/>
    <x v="1201"/>
    <x v="3"/>
    <x v="0"/>
    <n v="5"/>
    <x v="25"/>
    <n v="0.33874634621630401"/>
  </r>
  <r>
    <s v="ID-2023-01165"/>
    <d v="2023-05-31T00:00:00"/>
    <s v="ST-001"/>
    <x v="0"/>
    <s v="CUST-127"/>
    <x v="1"/>
    <s v="PRD-003"/>
    <x v="26"/>
    <x v="1"/>
    <n v="1"/>
    <n v="2456000"/>
    <n v="0"/>
    <n v="1695000"/>
    <n v="2456000"/>
    <x v="1202"/>
    <x v="3"/>
    <x v="0"/>
    <n v="5"/>
    <x v="28"/>
    <n v="0.30985342019543977"/>
  </r>
  <r>
    <s v="ID-2023-00990"/>
    <d v="2023-06-22T00:00:00"/>
    <s v="ST-002"/>
    <x v="3"/>
    <s v="CUST-049"/>
    <x v="0"/>
    <s v="PRD-003"/>
    <x v="26"/>
    <x v="1"/>
    <n v="1"/>
    <n v="3396000"/>
    <n v="0"/>
    <n v="2360000"/>
    <n v="3396000"/>
    <x v="1203"/>
    <x v="4"/>
    <x v="0"/>
    <n v="6"/>
    <x v="16"/>
    <n v="0.30506478209658422"/>
  </r>
  <r>
    <s v="ID-2023-00351"/>
    <d v="2023-08-15T00:00:00"/>
    <s v="ST-003"/>
    <x v="4"/>
    <s v="CUST-045"/>
    <x v="1"/>
    <s v="PRD-003"/>
    <x v="26"/>
    <x v="1"/>
    <n v="3"/>
    <n v="2276000"/>
    <n v="0"/>
    <n v="1574000"/>
    <n v="6828000"/>
    <x v="1204"/>
    <x v="6"/>
    <x v="0"/>
    <n v="8"/>
    <x v="19"/>
    <n v="0.76947861745752788"/>
  </r>
  <r>
    <s v="ID-2023-00385"/>
    <d v="2023-09-03T00:00:00"/>
    <s v="ST-001"/>
    <x v="0"/>
    <s v="CUST-136"/>
    <x v="1"/>
    <s v="PRD-003"/>
    <x v="26"/>
    <x v="1"/>
    <n v="5"/>
    <n v="2012000"/>
    <n v="0"/>
    <n v="1373000"/>
    <n v="10060000"/>
    <x v="1205"/>
    <x v="7"/>
    <x v="0"/>
    <n v="9"/>
    <x v="8"/>
    <n v="0.86351888667992049"/>
  </r>
  <r>
    <s v="ID-2023-01287"/>
    <d v="2023-09-29T00:00:00"/>
    <s v="ST-001"/>
    <x v="0"/>
    <s v="CUST-082"/>
    <x v="0"/>
    <s v="PRD-003"/>
    <x v="26"/>
    <x v="1"/>
    <n v="1"/>
    <n v="2503000"/>
    <n v="0"/>
    <n v="1664000"/>
    <n v="2503000"/>
    <x v="1025"/>
    <x v="7"/>
    <x v="0"/>
    <n v="9"/>
    <x v="7"/>
    <n v="0.33519776268477824"/>
  </r>
  <r>
    <s v="ID-2023-01645"/>
    <d v="2023-10-22T00:00:00"/>
    <s v="ST-001"/>
    <x v="0"/>
    <s v="CUST-016"/>
    <x v="1"/>
    <s v="PRD-003"/>
    <x v="26"/>
    <x v="1"/>
    <n v="1"/>
    <n v="2699000"/>
    <n v="0"/>
    <n v="1810000"/>
    <n v="2699000"/>
    <x v="1206"/>
    <x v="8"/>
    <x v="0"/>
    <n v="10"/>
    <x v="16"/>
    <n v="0.32938125231567245"/>
  </r>
  <r>
    <s v="ID-2023-00984"/>
    <d v="2023-11-06T00:00:00"/>
    <s v="ST-002"/>
    <x v="3"/>
    <s v="CUST-007"/>
    <x v="1"/>
    <s v="PRD-003"/>
    <x v="26"/>
    <x v="1"/>
    <n v="2"/>
    <n v="2022000"/>
    <n v="0"/>
    <n v="1404000"/>
    <n v="4044000"/>
    <x v="1207"/>
    <x v="9"/>
    <x v="0"/>
    <n v="11"/>
    <x v="29"/>
    <n v="0.65281899109792285"/>
  </r>
  <r>
    <s v="ID-2023-00507"/>
    <d v="2023-11-29T00:00:00"/>
    <s v="ST-003"/>
    <x v="4"/>
    <s v="CUST-052"/>
    <x v="2"/>
    <s v="PRD-003"/>
    <x v="26"/>
    <x v="1"/>
    <n v="1"/>
    <n v="2885000"/>
    <n v="0"/>
    <n v="1968000"/>
    <n v="2885000"/>
    <x v="792"/>
    <x v="9"/>
    <x v="0"/>
    <n v="11"/>
    <x v="7"/>
    <n v="0.31785095320623918"/>
  </r>
  <r>
    <s v="ID-2023-00777"/>
    <d v="2023-12-09T00:00:00"/>
    <s v="ST-001"/>
    <x v="0"/>
    <s v="CUST-067"/>
    <x v="1"/>
    <s v="PRD-003"/>
    <x v="26"/>
    <x v="1"/>
    <n v="3"/>
    <n v="2804666.6666666665"/>
    <n v="0"/>
    <n v="0"/>
    <n v="8414000"/>
    <x v="1208"/>
    <x v="10"/>
    <x v="0"/>
    <n v="12"/>
    <x v="1"/>
    <n v="1"/>
  </r>
  <r>
    <s v="ID-2023-01034"/>
    <d v="2023-12-18T00:00:00"/>
    <s v="ST-005"/>
    <x v="1"/>
    <s v="CUST-133"/>
    <x v="1"/>
    <s v="PRD-003"/>
    <x v="26"/>
    <x v="1"/>
    <n v="1"/>
    <n v="2350000"/>
    <n v="0"/>
    <n v="1627000"/>
    <n v="2350000"/>
    <x v="1070"/>
    <x v="10"/>
    <x v="0"/>
    <n v="12"/>
    <x v="9"/>
    <n v="0.30765957446808512"/>
  </r>
  <r>
    <s v="ID-2024-00644"/>
    <d v="2024-01-26T00:00:00"/>
    <s v="ST-001"/>
    <x v="0"/>
    <s v="CUST-040"/>
    <x v="0"/>
    <s v="PRD-003"/>
    <x v="26"/>
    <x v="1"/>
    <n v="2"/>
    <n v="2247000"/>
    <n v="0"/>
    <n v="1534000"/>
    <n v="4494000"/>
    <x v="1209"/>
    <x v="0"/>
    <x v="1"/>
    <n v="1"/>
    <x v="6"/>
    <n v="0.65865598575878948"/>
  </r>
  <r>
    <s v="ID-2024-00546"/>
    <d v="2024-02-14T00:00:00"/>
    <s v="ST-003"/>
    <x v="4"/>
    <s v="CUST-068"/>
    <x v="1"/>
    <s v="PRD-003"/>
    <x v="26"/>
    <x v="1"/>
    <n v="1"/>
    <n v="2351000"/>
    <n v="0.05"/>
    <n v="1584000"/>
    <n v="2233450"/>
    <x v="1210"/>
    <x v="1"/>
    <x v="1"/>
    <n v="2"/>
    <x v="18"/>
    <n v="0.29078331728939533"/>
  </r>
  <r>
    <s v="ID-2024-00613"/>
    <d v="2024-03-20T00:00:00"/>
    <s v="ST-001"/>
    <x v="0"/>
    <s v="CUST-011"/>
    <x v="1"/>
    <s v="PRD-003"/>
    <x v="26"/>
    <x v="1"/>
    <n v="1"/>
    <n v="2804666.6666666665"/>
    <n v="0"/>
    <n v="0"/>
    <n v="2804666.6666666665"/>
    <x v="1211"/>
    <x v="2"/>
    <x v="1"/>
    <n v="3"/>
    <x v="30"/>
    <n v="1"/>
  </r>
  <r>
    <s v="ID-2024-01664"/>
    <d v="2024-04-09T00:00:00"/>
    <s v="ST-001"/>
    <x v="0"/>
    <s v="CUST-009"/>
    <x v="0"/>
    <s v="PRD-003"/>
    <x v="26"/>
    <x v="1"/>
    <n v="3"/>
    <n v="3405000"/>
    <n v="0.05"/>
    <n v="2278000"/>
    <n v="9704250"/>
    <x v="1212"/>
    <x v="11"/>
    <x v="1"/>
    <n v="4"/>
    <x v="1"/>
    <n v="0.76525749027487955"/>
  </r>
  <r>
    <s v="ID-2024-00226"/>
    <d v="2024-04-10T00:00:00"/>
    <s v="ST-001"/>
    <x v="0"/>
    <s v="CUST-031"/>
    <x v="0"/>
    <s v="PRD-003"/>
    <x v="26"/>
    <x v="1"/>
    <n v="3"/>
    <n v="2526000"/>
    <n v="0"/>
    <n v="1731000"/>
    <n v="7578000"/>
    <x v="1213"/>
    <x v="11"/>
    <x v="1"/>
    <n v="4"/>
    <x v="13"/>
    <n v="0.77157561361836902"/>
  </r>
  <r>
    <s v="ID-2024-01663"/>
    <d v="2024-05-11T00:00:00"/>
    <s v="ST-001"/>
    <x v="0"/>
    <s v="CUST-061"/>
    <x v="1"/>
    <s v="PRD-003"/>
    <x v="26"/>
    <x v="1"/>
    <n v="3"/>
    <n v="2802000"/>
    <n v="0"/>
    <n v="1867000"/>
    <n v="8406000"/>
    <x v="1214"/>
    <x v="3"/>
    <x v="1"/>
    <n v="5"/>
    <x v="22"/>
    <n v="0.77789674042350698"/>
  </r>
  <r>
    <s v="ID-2024-00715"/>
    <d v="2024-05-20T00:00:00"/>
    <s v="ST-001"/>
    <x v="0"/>
    <s v="CUST-112"/>
    <x v="1"/>
    <s v="PRD-003"/>
    <x v="26"/>
    <x v="1"/>
    <n v="1"/>
    <n v="3591000"/>
    <n v="0"/>
    <n v="2513000"/>
    <n v="3591000"/>
    <x v="1215"/>
    <x v="3"/>
    <x v="1"/>
    <n v="5"/>
    <x v="30"/>
    <n v="0.30019493177387913"/>
  </r>
  <r>
    <s v="ID-2024-00581"/>
    <d v="2024-05-26T00:00:00"/>
    <s v="ST-001"/>
    <x v="0"/>
    <s v="CUST-130"/>
    <x v="0"/>
    <s v="PRD-003"/>
    <x v="26"/>
    <x v="1"/>
    <n v="3"/>
    <n v="2808000"/>
    <n v="0.05"/>
    <n v="1865000"/>
    <n v="8002800"/>
    <x v="1216"/>
    <x v="3"/>
    <x v="1"/>
    <n v="5"/>
    <x v="6"/>
    <n v="0.76695656520217925"/>
  </r>
  <r>
    <s v="ID-2024-00969"/>
    <d v="2024-06-02T00:00:00"/>
    <s v="ST-003"/>
    <x v="4"/>
    <s v="CUST-066"/>
    <x v="0"/>
    <s v="PRD-003"/>
    <x v="26"/>
    <x v="1"/>
    <n v="1"/>
    <n v="2468000"/>
    <n v="0.05"/>
    <n v="1645000"/>
    <n v="2344600"/>
    <x v="1217"/>
    <x v="4"/>
    <x v="1"/>
    <n v="6"/>
    <x v="17"/>
    <n v="0.29838778469674998"/>
  </r>
  <r>
    <s v="ID-2024-01719"/>
    <d v="2024-06-14T00:00:00"/>
    <s v="ST-001"/>
    <x v="0"/>
    <s v="CUST-142"/>
    <x v="1"/>
    <s v="PRD-003"/>
    <x v="26"/>
    <x v="1"/>
    <n v="1"/>
    <n v="2626000"/>
    <n v="0"/>
    <n v="1735000"/>
    <n v="2626000"/>
    <x v="766"/>
    <x v="4"/>
    <x v="1"/>
    <n v="6"/>
    <x v="18"/>
    <n v="0.33929931454683931"/>
  </r>
  <r>
    <s v="ID-2024-00136"/>
    <d v="2024-06-17T00:00:00"/>
    <s v="ST-001"/>
    <x v="0"/>
    <s v="CUST-111"/>
    <x v="1"/>
    <s v="PRD-003"/>
    <x v="26"/>
    <x v="1"/>
    <n v="1"/>
    <n v="2366000"/>
    <n v="0"/>
    <n v="1623000"/>
    <n v="2366000"/>
    <x v="1218"/>
    <x v="4"/>
    <x v="1"/>
    <n v="6"/>
    <x v="2"/>
    <n v="0.3140321217244294"/>
  </r>
  <r>
    <s v="ID-2024-00102"/>
    <d v="2024-07-12T00:00:00"/>
    <s v="ST-001"/>
    <x v="0"/>
    <s v="CUST-033"/>
    <x v="1"/>
    <s v="PRD-003"/>
    <x v="26"/>
    <x v="1"/>
    <n v="1"/>
    <n v="2553000"/>
    <n v="0.1"/>
    <n v="1720000"/>
    <n v="2297700"/>
    <x v="1219"/>
    <x v="5"/>
    <x v="1"/>
    <n v="7"/>
    <x v="10"/>
    <n v="0.2514253383818601"/>
  </r>
  <r>
    <s v="ID-2024-00299"/>
    <d v="2024-09-23T00:00:00"/>
    <s v="ST-003"/>
    <x v="4"/>
    <s v="CUST-048"/>
    <x v="0"/>
    <s v="PRD-003"/>
    <x v="26"/>
    <x v="1"/>
    <n v="1"/>
    <n v="2125000"/>
    <n v="0"/>
    <n v="1478000"/>
    <n v="2125000"/>
    <x v="746"/>
    <x v="7"/>
    <x v="1"/>
    <n v="9"/>
    <x v="11"/>
    <n v="0.3044705882352941"/>
  </r>
  <r>
    <s v="ID-2024-01310"/>
    <d v="2024-10-02T00:00:00"/>
    <s v="ST-003"/>
    <x v="4"/>
    <s v="CUST-045"/>
    <x v="1"/>
    <s v="PRD-003"/>
    <x v="26"/>
    <x v="1"/>
    <n v="2"/>
    <n v="3324000"/>
    <n v="0.05"/>
    <n v="2198000"/>
    <n v="6315600"/>
    <x v="1220"/>
    <x v="8"/>
    <x v="1"/>
    <n v="10"/>
    <x v="17"/>
    <n v="0.65197289252010893"/>
  </r>
  <r>
    <s v="ID-2024-01515"/>
    <d v="2024-10-15T00:00:00"/>
    <s v="ST-001"/>
    <x v="0"/>
    <s v="CUST-098"/>
    <x v="0"/>
    <s v="PRD-003"/>
    <x v="26"/>
    <x v="1"/>
    <n v="1"/>
    <n v="2609000"/>
    <n v="0"/>
    <n v="1729000"/>
    <n v="2609000"/>
    <x v="1221"/>
    <x v="8"/>
    <x v="1"/>
    <n v="10"/>
    <x v="19"/>
    <n v="0.33729398236872365"/>
  </r>
  <r>
    <s v="ID-2024-01488"/>
    <d v="2024-10-22T00:00:00"/>
    <s v="ST-001"/>
    <x v="0"/>
    <s v="CUST-128"/>
    <x v="1"/>
    <s v="PRD-003"/>
    <x v="26"/>
    <x v="1"/>
    <n v="3"/>
    <n v="2424000"/>
    <n v="0"/>
    <n v="1663000"/>
    <n v="7272000"/>
    <x v="1222"/>
    <x v="8"/>
    <x v="1"/>
    <n v="10"/>
    <x v="16"/>
    <n v="0.77131463146314627"/>
  </r>
  <r>
    <s v="ID-2024-01334"/>
    <d v="2024-10-23T00:00:00"/>
    <s v="ST-001"/>
    <x v="0"/>
    <s v="CUST-011"/>
    <x v="1"/>
    <s v="PRD-003"/>
    <x v="26"/>
    <x v="1"/>
    <n v="1"/>
    <n v="2249000"/>
    <n v="0"/>
    <n v="1506000"/>
    <n v="2249000"/>
    <x v="1218"/>
    <x v="8"/>
    <x v="1"/>
    <n v="10"/>
    <x v="11"/>
    <n v="0.33036905291240554"/>
  </r>
  <r>
    <s v="ID-2024-01630"/>
    <d v="2024-11-19T00:00:00"/>
    <s v="ST-004"/>
    <x v="2"/>
    <s v="CUST-130"/>
    <x v="0"/>
    <s v="PRD-003"/>
    <x v="26"/>
    <x v="1"/>
    <n v="2"/>
    <n v="2274000"/>
    <n v="0"/>
    <n v="1559000"/>
    <n v="4548000"/>
    <x v="1223"/>
    <x v="9"/>
    <x v="1"/>
    <n v="11"/>
    <x v="26"/>
    <n v="0.65721196130167103"/>
  </r>
  <r>
    <s v="ID-2024-01704"/>
    <d v="2024-11-22T00:00:00"/>
    <s v="ST-004"/>
    <x v="2"/>
    <s v="CUST-030"/>
    <x v="1"/>
    <s v="PRD-003"/>
    <x v="26"/>
    <x v="1"/>
    <n v="1"/>
    <n v="2228000"/>
    <n v="0.05"/>
    <n v="1475000"/>
    <n v="2116600"/>
    <x v="1224"/>
    <x v="9"/>
    <x v="1"/>
    <n v="11"/>
    <x v="16"/>
    <n v="0.30312765756401777"/>
  </r>
  <r>
    <s v="ID-2024-00883"/>
    <d v="2024-12-14T00:00:00"/>
    <s v="ST-004"/>
    <x v="2"/>
    <s v="CUST-081"/>
    <x v="1"/>
    <s v="PRD-003"/>
    <x v="26"/>
    <x v="1"/>
    <n v="1"/>
    <n v="2856000"/>
    <n v="0.1"/>
    <n v="1962000"/>
    <n v="2570400"/>
    <x v="1225"/>
    <x v="10"/>
    <x v="1"/>
    <n v="12"/>
    <x v="18"/>
    <n v="0.23669467787114845"/>
  </r>
  <r>
    <s v="ID-2024-00123"/>
    <d v="2024-12-17T00:00:00"/>
    <s v="ST-001"/>
    <x v="0"/>
    <s v="CUST-129"/>
    <x v="1"/>
    <s v="PRD-003"/>
    <x v="26"/>
    <x v="1"/>
    <n v="1"/>
    <n v="3162000"/>
    <n v="0"/>
    <n v="2117000"/>
    <n v="3162000"/>
    <x v="1226"/>
    <x v="10"/>
    <x v="1"/>
    <n v="12"/>
    <x v="2"/>
    <n v="0.33048703352308667"/>
  </r>
  <r>
    <s v="ID-2024-00332"/>
    <d v="2024-12-25T00:00:00"/>
    <s v="ST-001"/>
    <x v="0"/>
    <s v="CUST-040"/>
    <x v="0"/>
    <s v="PRD-003"/>
    <x v="26"/>
    <x v="1"/>
    <n v="1"/>
    <n v="2367000"/>
    <n v="0"/>
    <n v="1589000"/>
    <n v="2367000"/>
    <x v="1227"/>
    <x v="10"/>
    <x v="1"/>
    <n v="12"/>
    <x v="12"/>
    <n v="0.32868610054921843"/>
  </r>
  <r>
    <s v="ID-2024-01625"/>
    <d v="2024-12-26T00:00:00"/>
    <s v="ST-002"/>
    <x v="3"/>
    <s v="CUST-094"/>
    <x v="0"/>
    <s v="PRD-003"/>
    <x v="26"/>
    <x v="1"/>
    <n v="1"/>
    <n v="2959000"/>
    <n v="0.05"/>
    <n v="2028000"/>
    <n v="2811050"/>
    <x v="1228"/>
    <x v="10"/>
    <x v="1"/>
    <n v="12"/>
    <x v="6"/>
    <n v="0.27856139165080662"/>
  </r>
  <r>
    <s v="ID-2024-01465"/>
    <d v="2024-12-30T00:00:00"/>
    <s v="ST-001"/>
    <x v="0"/>
    <s v="CUST-094"/>
    <x v="0"/>
    <s v="PRD-003"/>
    <x v="26"/>
    <x v="1"/>
    <n v="1"/>
    <n v="2804666.6666666665"/>
    <n v="0"/>
    <n v="1870000"/>
    <n v="2804666.6666666665"/>
    <x v="1229"/>
    <x v="10"/>
    <x v="1"/>
    <n v="12"/>
    <x v="15"/>
    <n v="0.33325410030900876"/>
  </r>
  <r>
    <s v="ID-2025-01189"/>
    <d v="2025-02-13T00:00:00"/>
    <s v="ST-001"/>
    <x v="0"/>
    <s v="CUST-109"/>
    <x v="1"/>
    <s v="PRD-003"/>
    <x v="26"/>
    <x v="1"/>
    <n v="1"/>
    <n v="2830000"/>
    <n v="0"/>
    <n v="1920000"/>
    <n v="2830000"/>
    <x v="1230"/>
    <x v="1"/>
    <x v="2"/>
    <n v="2"/>
    <x v="23"/>
    <n v="0.32155477031802121"/>
  </r>
  <r>
    <s v="ID-2025-01279"/>
    <d v="2025-02-17T00:00:00"/>
    <s v="ST-003"/>
    <x v="4"/>
    <s v="CUST-079"/>
    <x v="1"/>
    <s v="PRD-003"/>
    <x v="26"/>
    <x v="1"/>
    <n v="1"/>
    <n v="3417000"/>
    <n v="0"/>
    <n v="2349000"/>
    <n v="3417000"/>
    <x v="1066"/>
    <x v="1"/>
    <x v="2"/>
    <n v="2"/>
    <x v="2"/>
    <n v="0.31255487269534682"/>
  </r>
  <r>
    <s v="ID-2025-00289"/>
    <d v="2025-02-22T00:00:00"/>
    <s v="ST-001"/>
    <x v="0"/>
    <s v="CUST-045"/>
    <x v="1"/>
    <s v="PRD-003"/>
    <x v="26"/>
    <x v="1"/>
    <n v="3"/>
    <n v="3631000"/>
    <n v="0"/>
    <n v="2500000"/>
    <n v="10893000"/>
    <x v="1231"/>
    <x v="1"/>
    <x v="2"/>
    <n v="2"/>
    <x v="16"/>
    <n v="0.7704948131827779"/>
  </r>
  <r>
    <s v="ID-2025-01150"/>
    <d v="2025-03-21T00:00:00"/>
    <s v="ST-001"/>
    <x v="0"/>
    <s v="CUST-071"/>
    <x v="2"/>
    <s v="PRD-003"/>
    <x v="26"/>
    <x v="1"/>
    <n v="1"/>
    <n v="2804666.6666666665"/>
    <n v="0"/>
    <n v="1870000"/>
    <n v="2804666.6666666665"/>
    <x v="1229"/>
    <x v="2"/>
    <x v="2"/>
    <n v="3"/>
    <x v="14"/>
    <n v="0.33325410030900876"/>
  </r>
  <r>
    <s v="ID-2025-00160"/>
    <d v="2025-05-11T00:00:00"/>
    <s v="ST-002"/>
    <x v="3"/>
    <s v="CUST-069"/>
    <x v="1"/>
    <s v="PRD-003"/>
    <x v="26"/>
    <x v="1"/>
    <n v="2"/>
    <n v="3373000"/>
    <n v="0"/>
    <n v="2329000"/>
    <n v="6746000"/>
    <x v="1232"/>
    <x v="3"/>
    <x v="2"/>
    <n v="5"/>
    <x v="22"/>
    <n v="0.65475837533353098"/>
  </r>
  <r>
    <s v="ID-2025-01284"/>
    <d v="2025-06-01T00:00:00"/>
    <s v="ST-001"/>
    <x v="0"/>
    <s v="CUST-022"/>
    <x v="1"/>
    <s v="PRD-003"/>
    <x v="26"/>
    <x v="1"/>
    <n v="1"/>
    <n v="3107000"/>
    <n v="0"/>
    <n v="2167000"/>
    <n v="3107000"/>
    <x v="1233"/>
    <x v="4"/>
    <x v="2"/>
    <n v="6"/>
    <x v="0"/>
    <n v="0.30254264563887995"/>
  </r>
  <r>
    <s v="ID-2025-01547"/>
    <d v="2025-08-03T00:00:00"/>
    <s v="ST-004"/>
    <x v="2"/>
    <s v="CUST-042"/>
    <x v="0"/>
    <s v="PRD-003"/>
    <x v="26"/>
    <x v="1"/>
    <n v="1"/>
    <n v="2473000"/>
    <n v="0"/>
    <n v="1672000"/>
    <n v="2473000"/>
    <x v="1234"/>
    <x v="6"/>
    <x v="2"/>
    <n v="8"/>
    <x v="8"/>
    <n v="0.32389809947432269"/>
  </r>
  <r>
    <s v="ID-2025-00317"/>
    <d v="2025-09-02T00:00:00"/>
    <s v="ST-003"/>
    <x v="4"/>
    <s v="CUST-011"/>
    <x v="1"/>
    <s v="PRD-003"/>
    <x v="26"/>
    <x v="1"/>
    <n v="1"/>
    <n v="3234000"/>
    <n v="0.1"/>
    <n v="2161000"/>
    <n v="2910600"/>
    <x v="1235"/>
    <x v="7"/>
    <x v="2"/>
    <n v="9"/>
    <x v="17"/>
    <n v="0.25754140039854323"/>
  </r>
  <r>
    <s v="ID-2025-01272"/>
    <d v="2025-10-01T00:00:00"/>
    <s v="ST-002"/>
    <x v="3"/>
    <s v="CUST-106"/>
    <x v="1"/>
    <s v="PRD-003"/>
    <x v="26"/>
    <x v="1"/>
    <n v="2"/>
    <n v="3625000"/>
    <n v="0"/>
    <n v="2501000"/>
    <n v="7250000"/>
    <x v="1236"/>
    <x v="8"/>
    <x v="2"/>
    <n v="10"/>
    <x v="0"/>
    <n v="0.65503448275862064"/>
  </r>
  <r>
    <s v="ID-2025-01438"/>
    <d v="2025-11-25T00:00:00"/>
    <s v="ST-004"/>
    <x v="2"/>
    <s v="CUST-088"/>
    <x v="0"/>
    <s v="PRD-003"/>
    <x v="26"/>
    <x v="1"/>
    <n v="1"/>
    <n v="3717000"/>
    <n v="0"/>
    <n v="2601000"/>
    <n v="3717000"/>
    <x v="1237"/>
    <x v="9"/>
    <x v="2"/>
    <n v="11"/>
    <x v="12"/>
    <n v="0.30024213075060535"/>
  </r>
  <r>
    <s v="ID-2025-01651"/>
    <d v="2025-12-14T00:00:00"/>
    <s v="ST-003"/>
    <x v="4"/>
    <s v="CUST-108"/>
    <x v="2"/>
    <s v="PRD-003"/>
    <x v="26"/>
    <x v="1"/>
    <n v="1"/>
    <n v="2419000"/>
    <n v="0"/>
    <n v="1641000"/>
    <n v="2419000"/>
    <x v="1227"/>
    <x v="10"/>
    <x v="2"/>
    <n v="12"/>
    <x v="18"/>
    <n v="0.3216205043406366"/>
  </r>
  <r>
    <s v="ID-2025-01016"/>
    <d v="2025-12-21T00:00:00"/>
    <s v="ST-002"/>
    <x v="3"/>
    <s v="CUST-119"/>
    <x v="1"/>
    <s v="PRD-003"/>
    <x v="26"/>
    <x v="1"/>
    <n v="2"/>
    <n v="2366000"/>
    <n v="0.15"/>
    <n v="1579000"/>
    <n v="4022200"/>
    <x v="1238"/>
    <x v="10"/>
    <x v="2"/>
    <n v="12"/>
    <x v="14"/>
    <n v="0.60742877032469789"/>
  </r>
  <r>
    <s v="ID-2026-01528"/>
    <d v="2026-01-03T00:00:00"/>
    <s v="ST-004"/>
    <x v="2"/>
    <s v="CUST-100"/>
    <x v="1"/>
    <s v="PRD-003"/>
    <x v="26"/>
    <x v="1"/>
    <n v="2"/>
    <n v="2738000"/>
    <n v="0"/>
    <n v="1903000"/>
    <n v="5476000"/>
    <x v="1239"/>
    <x v="0"/>
    <x v="3"/>
    <n v="1"/>
    <x v="8"/>
    <n v="0.65248356464572677"/>
  </r>
  <r>
    <s v="ID-2026-01429"/>
    <d v="2026-02-03T00:00:00"/>
    <s v="ST-005"/>
    <x v="1"/>
    <s v="CUST-056"/>
    <x v="2"/>
    <s v="PRD-003"/>
    <x v="26"/>
    <x v="1"/>
    <n v="2"/>
    <n v="3573000"/>
    <n v="0"/>
    <n v="2388000"/>
    <n v="7146000"/>
    <x v="1240"/>
    <x v="1"/>
    <x v="3"/>
    <n v="2"/>
    <x v="8"/>
    <n v="0.6658270361041142"/>
  </r>
  <r>
    <s v="ID-2026-00831"/>
    <d v="2026-02-22T00:00:00"/>
    <s v="ST-001"/>
    <x v="0"/>
    <s v="CUST-082"/>
    <x v="0"/>
    <s v="PRD-003"/>
    <x v="26"/>
    <x v="1"/>
    <n v="2"/>
    <n v="3708000"/>
    <n v="0.05"/>
    <n v="2556000"/>
    <n v="7045200"/>
    <x v="1241"/>
    <x v="1"/>
    <x v="3"/>
    <n v="2"/>
    <x v="16"/>
    <n v="0.63719979560551865"/>
  </r>
  <r>
    <s v="ID-2026-00731"/>
    <d v="2026-04-12T00:00:00"/>
    <s v="ST-001"/>
    <x v="0"/>
    <s v="CUST-018"/>
    <x v="0"/>
    <s v="PRD-003"/>
    <x v="26"/>
    <x v="1"/>
    <n v="1"/>
    <n v="2871000"/>
    <n v="0"/>
    <n v="1970000"/>
    <n v="2871000"/>
    <x v="1242"/>
    <x v="11"/>
    <x v="3"/>
    <n v="4"/>
    <x v="10"/>
    <n v="0.31382793451758967"/>
  </r>
  <r>
    <s v="ID-2026-00304"/>
    <d v="2026-05-08T00:00:00"/>
    <s v="ST-002"/>
    <x v="3"/>
    <s v="CUST-087"/>
    <x v="2"/>
    <s v="PRD-003"/>
    <x v="26"/>
    <x v="1"/>
    <n v="5"/>
    <n v="3342000"/>
    <n v="0"/>
    <n v="2241000"/>
    <n v="16710000"/>
    <x v="1243"/>
    <x v="3"/>
    <x v="3"/>
    <n v="5"/>
    <x v="27"/>
    <n v="0.86588868940754038"/>
  </r>
  <r>
    <s v="ID-2026-00356"/>
    <d v="2026-05-09T00:00:00"/>
    <s v="ST-003"/>
    <x v="4"/>
    <s v="CUST-149"/>
    <x v="1"/>
    <s v="PRD-003"/>
    <x v="26"/>
    <x v="1"/>
    <n v="1"/>
    <n v="3255000"/>
    <n v="0"/>
    <n v="2229000"/>
    <n v="3255000"/>
    <x v="1036"/>
    <x v="3"/>
    <x v="3"/>
    <n v="5"/>
    <x v="1"/>
    <n v="0.31520737327188941"/>
  </r>
  <r>
    <s v="ID-2026-00791"/>
    <d v="2026-05-19T00:00:00"/>
    <s v="ST-001"/>
    <x v="0"/>
    <s v="CUST-055"/>
    <x v="0"/>
    <s v="PRD-003"/>
    <x v="26"/>
    <x v="1"/>
    <n v="3"/>
    <n v="2372000"/>
    <n v="0"/>
    <n v="1588000"/>
    <n v="7116000"/>
    <x v="1244"/>
    <x v="3"/>
    <x v="3"/>
    <n v="5"/>
    <x v="26"/>
    <n v="0.776840921866217"/>
  </r>
  <r>
    <s v="ID-2026-01680"/>
    <d v="2026-05-20T00:00:00"/>
    <s v="ST-002"/>
    <x v="3"/>
    <s v="CUST-117"/>
    <x v="1"/>
    <s v="PRD-003"/>
    <x v="26"/>
    <x v="1"/>
    <n v="2"/>
    <n v="3304000"/>
    <n v="0"/>
    <n v="2231000"/>
    <n v="6608000"/>
    <x v="1245"/>
    <x v="3"/>
    <x v="3"/>
    <n v="5"/>
    <x v="30"/>
    <n v="0.66237893462469732"/>
  </r>
  <r>
    <s v="ID-2026-00224"/>
    <d v="2026-05-28T00:00:00"/>
    <s v="ST-004"/>
    <x v="2"/>
    <s v="CUST-023"/>
    <x v="1"/>
    <s v="PRD-003"/>
    <x v="26"/>
    <x v="1"/>
    <n v="1"/>
    <n v="2920000"/>
    <n v="0"/>
    <n v="1944000"/>
    <n v="2920000"/>
    <x v="1246"/>
    <x v="3"/>
    <x v="3"/>
    <n v="5"/>
    <x v="4"/>
    <n v="0.33424657534246577"/>
  </r>
  <r>
    <s v="ID-2026-01263"/>
    <d v="2026-06-13T00:00:00"/>
    <s v="ST-004"/>
    <x v="2"/>
    <s v="CUST-089"/>
    <x v="1"/>
    <s v="PRD-003"/>
    <x v="26"/>
    <x v="1"/>
    <n v="1"/>
    <n v="2687000"/>
    <n v="0.05"/>
    <n v="1845000"/>
    <n v="2552650"/>
    <x v="1247"/>
    <x v="4"/>
    <x v="3"/>
    <n v="6"/>
    <x v="23"/>
    <n v="0.27722171077115937"/>
  </r>
  <r>
    <s v="ID-2026-01074"/>
    <d v="2026-06-16T00:00:00"/>
    <s v="ST-003"/>
    <x v="4"/>
    <s v="CUST-093"/>
    <x v="2"/>
    <s v="PRD-003"/>
    <x v="26"/>
    <x v="1"/>
    <n v="1"/>
    <n v="3302000"/>
    <n v="0"/>
    <n v="2260000"/>
    <n v="3302000"/>
    <x v="275"/>
    <x v="4"/>
    <x v="3"/>
    <n v="6"/>
    <x v="5"/>
    <n v="0.31556632344033919"/>
  </r>
  <r>
    <s v="ID-2026-01763"/>
    <d v="2026-06-17T00:00:00"/>
    <s v="ST-002"/>
    <x v="3"/>
    <s v="CUST-064"/>
    <x v="1"/>
    <s v="PRD-003"/>
    <x v="26"/>
    <x v="1"/>
    <n v="1"/>
    <n v="2804666.6666666665"/>
    <n v="0"/>
    <n v="0"/>
    <n v="2804666.6666666665"/>
    <x v="1211"/>
    <x v="4"/>
    <x v="3"/>
    <n v="6"/>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B0671-22A1-4D57-BFFF-4DA0D68240E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BL1:BM6" firstHeaderRow="1" firstDataRow="1" firstDataCol="1"/>
  <pivotFields count="20">
    <pivotField showAll="0"/>
    <pivotField numFmtId="14" showAll="0"/>
    <pivotField showAll="0"/>
    <pivotField axis="axisRow" showAll="0" sortType="a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items count="6">
        <item x="4"/>
        <item x="1"/>
        <item x="3"/>
        <item x="0"/>
        <item x="2"/>
        <item t="default"/>
      </items>
    </pivotField>
    <pivotField showAll="0"/>
    <pivotField showAll="0"/>
    <pivotField showAll="0"/>
    <pivotField showAll="0"/>
    <pivotField dataField="1" showAll="0"/>
    <pivotField showAll="0"/>
    <pivotField showAll="0">
      <items count="13">
        <item x="0"/>
        <item x="1"/>
        <item x="2"/>
        <item x="11"/>
        <item x="3"/>
        <item x="4"/>
        <item x="5"/>
        <item x="6"/>
        <item x="7"/>
        <item x="8"/>
        <item x="9"/>
        <item x="10"/>
        <item t="default"/>
      </items>
    </pivotField>
    <pivotField showAll="0">
      <items count="5">
        <item x="0"/>
        <item x="1"/>
        <item x="2"/>
        <item x="3"/>
        <item t="default"/>
      </items>
    </pivotField>
    <pivotField showAll="0"/>
    <pivotField showAll="0"/>
    <pivotField showAll="0"/>
  </pivotFields>
  <rowFields count="1">
    <field x="3"/>
  </rowFields>
  <rowItems count="5">
    <i>
      <x/>
    </i>
    <i>
      <x v="3"/>
    </i>
    <i>
      <x v="2"/>
    </i>
    <i>
      <x v="4"/>
    </i>
    <i>
      <x v="1"/>
    </i>
  </rowItems>
  <colItems count="1">
    <i/>
  </colItems>
  <dataFields count="1">
    <dataField name="Sum of sales" fld="13" baseField="0" baseItem="0" numFmtId="1"/>
  </dataFields>
  <formats count="1">
    <format dxfId="24783">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C6C2A-EF59-4EC2-B450-7AEC34351D3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Y1:BZ6" firstHeaderRow="1" firstDataRow="1" firstDataCol="1"/>
  <pivotFields count="20">
    <pivotField showAll="0"/>
    <pivotField numFmtId="14" showAll="0"/>
    <pivotField showAll="0"/>
    <pivotField showAll="0">
      <items count="6">
        <item x="1"/>
        <item x="0"/>
        <item x="4"/>
        <item x="2"/>
        <item x="3"/>
        <item t="default"/>
      </items>
    </pivotField>
    <pivotField showAll="0"/>
    <pivotField showAll="0">
      <items count="5">
        <item x="1"/>
        <item x="0"/>
        <item x="2"/>
        <item x="3"/>
        <item t="default"/>
      </items>
    </pivotField>
    <pivotField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3">
        <item x="0"/>
        <item x="1"/>
        <item x="2"/>
        <item x="11"/>
        <item x="3"/>
        <item x="4"/>
        <item x="5"/>
        <item x="6"/>
        <item x="7"/>
        <item x="8"/>
        <item x="9"/>
        <item x="10"/>
        <item t="default"/>
      </items>
    </pivotField>
    <pivotField showAll="0">
      <items count="5">
        <item x="0"/>
        <item x="1"/>
        <item x="2"/>
        <item x="3"/>
        <item t="default"/>
      </items>
    </pivotField>
    <pivotField showAll="0"/>
    <pivotField showAll="0"/>
    <pivotField showAll="0"/>
  </pivotFields>
  <rowFields count="1">
    <field x="8"/>
  </rowFields>
  <rowItems count="5">
    <i>
      <x v="3"/>
    </i>
    <i>
      <x v="2"/>
    </i>
    <i>
      <x/>
    </i>
    <i>
      <x v="1"/>
    </i>
    <i>
      <x v="4"/>
    </i>
  </rowItems>
  <colItems count="1">
    <i/>
  </colItems>
  <dataFields count="1">
    <dataField name="Sum of sales" fld="13" baseField="0" baseItem="0"/>
  </dataFields>
  <formats count="2">
    <format dxfId="24781">
      <pivotArea collapsedLevelsAreSubtotals="1" fieldPosition="0">
        <references count="1">
          <reference field="8" count="1">
            <x v="1"/>
          </reference>
        </references>
      </pivotArea>
    </format>
    <format dxfId="24780">
      <pivotArea collapsedLevelsAreSubtotals="1" fieldPosition="0">
        <references count="1">
          <reference field="8"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0D5AE-2BB9-4ED0-BF3D-3D4111A8F776}" name="PivotTable1" cacheId="0"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chartFormat="1">
  <location ref="B2:G1189" firstHeaderRow="1" firstDataRow="1" firstDataCol="5"/>
  <pivotFields count="20">
    <pivotField compact="0" outline="0" showAll="0"/>
    <pivotField compact="0" numFmtId="14" outline="0" showAll="0"/>
    <pivotField compact="0" outline="0" showAll="0"/>
    <pivotField axis="axisRow" compact="0" outline="0" showAll="0" defaultSubtotal="0">
      <items count="5">
        <item x="1"/>
        <item x="0"/>
        <item x="4"/>
        <item x="2"/>
        <item x="3"/>
      </items>
    </pivotField>
    <pivotField compact="0" outline="0" showAll="0"/>
    <pivotField axis="axisRow" compact="0" outline="0" showAll="0" defaultSubtotal="0">
      <items count="4">
        <item x="1"/>
        <item x="0"/>
        <item x="2"/>
        <item x="3"/>
      </items>
    </pivotField>
    <pivotField compact="0" outline="0" showAll="0"/>
    <pivotField compact="0" outline="0" showAll="0"/>
    <pivotField axis="axisRow" compact="0" outline="0" showAll="0" defaultSubtotal="0">
      <items count="5">
        <item x="4"/>
        <item x="1"/>
        <item x="3"/>
        <item x="0"/>
        <item x="2"/>
      </items>
    </pivotField>
    <pivotField compact="0" outline="0" showAll="0"/>
    <pivotField compact="0" outline="0" showAll="0"/>
    <pivotField compact="0" outline="0" showAll="0"/>
    <pivotField compact="0" outline="0" showAll="0"/>
    <pivotField dataField="1" compact="0" outline="0" showAll="0"/>
    <pivotField compact="0" outline="0" showAll="0">
      <items count="1249">
        <item x="904"/>
        <item x="926"/>
        <item x="895"/>
        <item x="920"/>
        <item x="898"/>
        <item x="915"/>
        <item x="897"/>
        <item x="906"/>
        <item x="901"/>
        <item x="910"/>
        <item x="891"/>
        <item x="909"/>
        <item x="922"/>
        <item x="914"/>
        <item x="905"/>
        <item x="932"/>
        <item x="889"/>
        <item x="936"/>
        <item x="913"/>
        <item x="887"/>
        <item x="567"/>
        <item x="908"/>
        <item x="1170"/>
        <item x="911"/>
        <item x="557"/>
        <item x="928"/>
        <item x="894"/>
        <item x="919"/>
        <item x="896"/>
        <item x="888"/>
        <item x="14"/>
        <item x="589"/>
        <item x="592"/>
        <item x="899"/>
        <item x="562"/>
        <item x="893"/>
        <item x="563"/>
        <item x="555"/>
        <item x="571"/>
        <item x="575"/>
        <item x="890"/>
        <item x="902"/>
        <item x="590"/>
        <item x="585"/>
        <item x="900"/>
        <item x="923"/>
        <item x="570"/>
        <item x="565"/>
        <item x="584"/>
        <item x="1173"/>
        <item x="577"/>
        <item x="588"/>
        <item x="580"/>
        <item x="34"/>
        <item x="150"/>
        <item x="931"/>
        <item x="205"/>
        <item x="918"/>
        <item x="1168"/>
        <item x="553"/>
        <item x="561"/>
        <item x="163"/>
        <item x="916"/>
        <item x="136"/>
        <item x="814"/>
        <item x="1167"/>
        <item x="1138"/>
        <item x="1133"/>
        <item x="1171"/>
        <item x="1159"/>
        <item x="591"/>
        <item x="559"/>
        <item x="484"/>
        <item x="194"/>
        <item x="576"/>
        <item x="554"/>
        <item x="954"/>
        <item x="564"/>
        <item x="529"/>
        <item x="210"/>
        <item x="227"/>
        <item x="815"/>
        <item x="569"/>
        <item x="151"/>
        <item x="938"/>
        <item x="153"/>
        <item x="573"/>
        <item x="533"/>
        <item x="560"/>
        <item x="1172"/>
        <item x="531"/>
        <item x="1148"/>
        <item x="1"/>
        <item x="579"/>
        <item x="532"/>
        <item x="536"/>
        <item x="490"/>
        <item x="528"/>
        <item x="143"/>
        <item x="539"/>
        <item x="809"/>
        <item x="1157"/>
        <item x="550"/>
        <item x="806"/>
        <item x="582"/>
        <item x="1135"/>
        <item x="1130"/>
        <item x="10"/>
        <item x="192"/>
        <item x="145"/>
        <item x="534"/>
        <item x="185"/>
        <item x="525"/>
        <item x="523"/>
        <item x="521"/>
        <item x="903"/>
        <item x="1139"/>
        <item x="892"/>
        <item x="19"/>
        <item x="807"/>
        <item x="1186"/>
        <item x="1164"/>
        <item x="1184"/>
        <item x="813"/>
        <item x="500"/>
        <item x="191"/>
        <item x="157"/>
        <item x="22"/>
        <item x="544"/>
        <item x="1149"/>
        <item x="930"/>
        <item x="537"/>
        <item x="133"/>
        <item x="40"/>
        <item x="540"/>
        <item x="27"/>
        <item x="524"/>
        <item x="494"/>
        <item x="26"/>
        <item x="18"/>
        <item x="485"/>
        <item x="491"/>
        <item x="60"/>
        <item x="855"/>
        <item x="235"/>
        <item x="15"/>
        <item x="233"/>
        <item x="142"/>
        <item x="182"/>
        <item x="8"/>
        <item x="543"/>
        <item x="1155"/>
        <item x="45"/>
        <item x="50"/>
        <item x="552"/>
        <item x="28"/>
        <item x="982"/>
        <item x="148"/>
        <item x="1191"/>
        <item x="41"/>
        <item x="12"/>
        <item x="221"/>
        <item x="803"/>
        <item x="167"/>
        <item x="0"/>
        <item x="222"/>
        <item x="32"/>
        <item x="13"/>
        <item x="506"/>
        <item x="556"/>
        <item x="505"/>
        <item x="155"/>
        <item x="804"/>
        <item x="937"/>
        <item x="147"/>
        <item x="545"/>
        <item x="547"/>
        <item x="172"/>
        <item x="868"/>
        <item x="39"/>
        <item x="1180"/>
        <item x="1143"/>
        <item x="49"/>
        <item x="234"/>
        <item x="25"/>
        <item x="549"/>
        <item x="24"/>
        <item x="927"/>
        <item x="144"/>
        <item x="141"/>
        <item x="538"/>
        <item x="160"/>
        <item x="1187"/>
        <item x="135"/>
        <item x="208"/>
        <item x="43"/>
        <item x="3"/>
        <item x="943"/>
        <item x="824"/>
        <item x="7"/>
        <item x="819"/>
        <item x="137"/>
        <item x="517"/>
        <item x="831"/>
        <item x="541"/>
        <item x="498"/>
        <item x="189"/>
        <item x="36"/>
        <item x="176"/>
        <item x="51"/>
        <item x="594"/>
        <item x="970"/>
        <item x="502"/>
        <item x="31"/>
        <item x="33"/>
        <item x="823"/>
        <item x="198"/>
        <item x="149"/>
        <item x="821"/>
        <item x="183"/>
        <item x="496"/>
        <item x="169"/>
        <item x="959"/>
        <item x="876"/>
        <item x="199"/>
        <item x="488"/>
        <item x="195"/>
        <item x="57"/>
        <item x="1175"/>
        <item x="921"/>
        <item x="214"/>
        <item x="138"/>
        <item x="139"/>
        <item x="164"/>
        <item x="177"/>
        <item x="225"/>
        <item x="215"/>
        <item x="510"/>
        <item x="1154"/>
        <item x="165"/>
        <item x="907"/>
        <item x="219"/>
        <item x="186"/>
        <item x="832"/>
        <item x="193"/>
        <item x="980"/>
        <item x="179"/>
        <item x="181"/>
        <item x="816"/>
        <item x="178"/>
        <item x="231"/>
        <item x="187"/>
        <item x="196"/>
        <item x="453"/>
        <item x="190"/>
        <item x="1121"/>
        <item x="202"/>
        <item x="212"/>
        <item x="180"/>
        <item x="856"/>
        <item x="948"/>
        <item x="220"/>
        <item x="201"/>
        <item x="841"/>
        <item x="817"/>
        <item x="1190"/>
        <item x="558"/>
        <item x="586"/>
        <item x="230"/>
        <item x="489"/>
        <item x="940"/>
        <item x="519"/>
        <item x="492"/>
        <item x="217"/>
        <item x="224"/>
        <item x="830"/>
        <item x="503"/>
        <item x="1166"/>
        <item x="613"/>
        <item x="924"/>
        <item x="1127"/>
        <item x="852"/>
        <item x="514"/>
        <item x="515"/>
        <item x="958"/>
        <item x="839"/>
        <item x="977"/>
        <item x="1110"/>
        <item x="946"/>
        <item x="583"/>
        <item x="511"/>
        <item x="1114"/>
        <item x="1088"/>
        <item x="981"/>
        <item x="925"/>
        <item x="1160"/>
        <item x="551"/>
        <item x="1007"/>
        <item x="857"/>
        <item x="578"/>
        <item x="950"/>
        <item x="912"/>
        <item x="680"/>
        <item x="679"/>
        <item x="596"/>
        <item x="566"/>
        <item x="939"/>
        <item x="858"/>
        <item x="929"/>
        <item x="448"/>
        <item x="595"/>
        <item x="1119"/>
        <item x="945"/>
        <item x="844"/>
        <item x="572"/>
        <item x="962"/>
        <item x="574"/>
        <item x="845"/>
        <item x="606"/>
        <item x="669"/>
        <item x="1140"/>
        <item x="530"/>
        <item x="648"/>
        <item x="667"/>
        <item x="866"/>
        <item x="612"/>
        <item x="626"/>
        <item x="471"/>
        <item x="880"/>
        <item x="1107"/>
        <item x="840"/>
        <item x="886"/>
        <item x="873"/>
        <item x="428"/>
        <item x="1163"/>
        <item x="654"/>
        <item x="978"/>
        <item x="834"/>
        <item x="604"/>
        <item x="861"/>
        <item x="610"/>
        <item x="676"/>
        <item x="598"/>
        <item x="1117"/>
        <item x="696"/>
        <item x="976"/>
        <item x="675"/>
        <item x="609"/>
        <item x="862"/>
        <item x="933"/>
        <item x="956"/>
        <item x="1108"/>
        <item x="449"/>
        <item x="1132"/>
        <item x="863"/>
        <item x="439"/>
        <item x="1161"/>
        <item x="1096"/>
        <item x="601"/>
        <item x="621"/>
        <item x="1158"/>
        <item x="629"/>
        <item x="682"/>
        <item x="949"/>
        <item x="1123"/>
        <item x="467"/>
        <item x="1106"/>
        <item x="885"/>
        <item x="972"/>
        <item x="645"/>
        <item x="842"/>
        <item x="838"/>
        <item x="433"/>
        <item x="1122"/>
        <item x="456"/>
        <item x="917"/>
        <item x="647"/>
        <item x="971"/>
        <item x="6"/>
        <item x="851"/>
        <item x="846"/>
        <item x="628"/>
        <item x="619"/>
        <item x="627"/>
        <item x="719"/>
        <item x="850"/>
        <item x="1084"/>
        <item x="1091"/>
        <item x="1146"/>
        <item x="748"/>
        <item x="655"/>
        <item x="615"/>
        <item x="653"/>
        <item x="614"/>
        <item x="104"/>
        <item x="870"/>
        <item x="1113"/>
        <item x="1101"/>
        <item x="568"/>
        <item x="833"/>
        <item x="641"/>
        <item x="597"/>
        <item x="694"/>
        <item x="785"/>
        <item x="650"/>
        <item x="1116"/>
        <item x="599"/>
        <item x="486"/>
        <item x="843"/>
        <item x="658"/>
        <item x="1093"/>
        <item x="459"/>
        <item x="884"/>
        <item x="535"/>
        <item x="692"/>
        <item x="1126"/>
        <item x="603"/>
        <item x="527"/>
        <item x="625"/>
        <item x="435"/>
        <item x="684"/>
        <item x="864"/>
        <item x="674"/>
        <item x="661"/>
        <item x="1162"/>
        <item x="602"/>
        <item x="673"/>
        <item x="431"/>
        <item x="617"/>
        <item x="789"/>
        <item x="644"/>
        <item x="581"/>
        <item x="882"/>
        <item x="1129"/>
        <item x="652"/>
        <item x="17"/>
        <item x="608"/>
        <item x="747"/>
        <item x="878"/>
        <item x="1090"/>
        <item x="755"/>
        <item x="47"/>
        <item x="636"/>
        <item x="82"/>
        <item x="1046"/>
        <item x="697"/>
        <item x="860"/>
        <item x="611"/>
        <item x="110"/>
        <item x="639"/>
        <item x="1125"/>
        <item x="522"/>
        <item x="472"/>
        <item x="16"/>
        <item x="442"/>
        <item x="634"/>
        <item x="635"/>
        <item x="445"/>
        <item x="29"/>
        <item x="166"/>
        <item x="443"/>
        <item x="672"/>
        <item x="1145"/>
        <item x="404"/>
        <item x="811"/>
        <item x="412"/>
        <item x="434"/>
        <item x="394"/>
        <item x="812"/>
        <item x="470"/>
        <item x="934"/>
        <item x="728"/>
        <item x="678"/>
        <item x="447"/>
        <item x="711"/>
        <item x="1097"/>
        <item x="395"/>
        <item x="1092"/>
        <item x="158"/>
        <item x="1120"/>
        <item x="1153"/>
        <item x="114"/>
        <item x="802"/>
        <item x="508"/>
        <item x="469"/>
        <item x="409"/>
        <item x="53"/>
        <item x="776"/>
        <item x="526"/>
        <item x="463"/>
        <item x="436"/>
        <item x="1102"/>
        <item x="455"/>
        <item x="587"/>
        <item x="709"/>
        <item x="499"/>
        <item x="593"/>
        <item x="822"/>
        <item x="686"/>
        <item x="482"/>
        <item x="438"/>
        <item x="1142"/>
        <item x="935"/>
        <item x="209"/>
        <item x="401"/>
        <item x="698"/>
        <item x="826"/>
        <item x="74"/>
        <item x="188"/>
        <item x="474"/>
        <item x="382"/>
        <item x="460"/>
        <item x="375"/>
        <item x="406"/>
        <item x="542"/>
        <item x="991"/>
        <item x="495"/>
        <item x="5"/>
        <item x="430"/>
        <item x="475"/>
        <item x="1188"/>
        <item x="4"/>
        <item x="681"/>
        <item x="1151"/>
        <item x="480"/>
        <item x="207"/>
        <item x="421"/>
        <item x="59"/>
        <item x="159"/>
        <item x="777"/>
        <item x="794"/>
        <item x="20"/>
        <item x="152"/>
        <item x="1137"/>
        <item x="391"/>
        <item x="130"/>
        <item x="752"/>
        <item x="128"/>
        <item x="52"/>
        <item x="72"/>
        <item x="468"/>
        <item x="42"/>
        <item x="1023"/>
        <item x="197"/>
        <item x="38"/>
        <item x="389"/>
        <item x="204"/>
        <item x="70"/>
        <item x="400"/>
        <item x="46"/>
        <item x="1017"/>
        <item x="61"/>
        <item x="516"/>
        <item x="411"/>
        <item x="987"/>
        <item x="518"/>
        <item x="466"/>
        <item x="96"/>
        <item x="127"/>
        <item x="454"/>
        <item x="462"/>
        <item x="174"/>
        <item x="810"/>
        <item x="501"/>
        <item x="761"/>
        <item x="81"/>
        <item x="1150"/>
        <item x="424"/>
        <item x="476"/>
        <item x="1198"/>
        <item x="223"/>
        <item x="829"/>
        <item x="1178"/>
        <item x="216"/>
        <item x="736"/>
        <item x="1082"/>
        <item x="1147"/>
        <item x="55"/>
        <item x="751"/>
        <item x="714"/>
        <item x="465"/>
        <item x="1183"/>
        <item x="108"/>
        <item x="1002"/>
        <item x="175"/>
        <item x="44"/>
        <item x="820"/>
        <item x="67"/>
        <item x="1044"/>
        <item x="119"/>
        <item x="408"/>
        <item x="171"/>
        <item x="11"/>
        <item x="513"/>
        <item x="105"/>
        <item x="226"/>
        <item x="410"/>
        <item x="405"/>
        <item x="1219"/>
        <item x="418"/>
        <item x="507"/>
        <item x="808"/>
        <item x="91"/>
        <item x="35"/>
        <item x="828"/>
        <item x="109"/>
        <item x="1060"/>
        <item x="218"/>
        <item x="745"/>
        <item x="173"/>
        <item x="113"/>
        <item x="251"/>
        <item x="1134"/>
        <item x="985"/>
        <item x="427"/>
        <item x="154"/>
        <item x="392"/>
        <item x="100"/>
        <item x="1225"/>
        <item x="1026"/>
        <item x="744"/>
        <item x="140"/>
        <item x="378"/>
        <item x="97"/>
        <item x="99"/>
        <item x="721"/>
        <item x="126"/>
        <item x="229"/>
        <item x="760"/>
        <item x="75"/>
        <item x="1015"/>
        <item x="384"/>
        <item x="1074"/>
        <item x="993"/>
        <item x="415"/>
        <item x="76"/>
        <item x="200"/>
        <item x="793"/>
        <item x="1224"/>
        <item x="77"/>
        <item x="704"/>
        <item x="287"/>
        <item x="122"/>
        <item x="799"/>
        <item x="746"/>
        <item x="988"/>
        <item x="393"/>
        <item x="1210"/>
        <item x="162"/>
        <item x="83"/>
        <item x="493"/>
        <item x="1196"/>
        <item x="770"/>
        <item x="85"/>
        <item x="509"/>
        <item x="1041"/>
        <item x="116"/>
        <item x="1131"/>
        <item x="161"/>
        <item x="374"/>
        <item x="62"/>
        <item x="87"/>
        <item x="732"/>
        <item x="730"/>
        <item x="487"/>
        <item x="283"/>
        <item x="1038"/>
        <item x="998"/>
        <item x="739"/>
        <item x="129"/>
        <item x="1195"/>
        <item x="1181"/>
        <item x="65"/>
        <item x="93"/>
        <item x="1083"/>
        <item x="1217"/>
        <item x="1006"/>
        <item x="117"/>
        <item x="1247"/>
        <item x="703"/>
        <item x="236"/>
        <item x="120"/>
        <item x="731"/>
        <item x="414"/>
        <item x="1035"/>
        <item x="1013"/>
        <item x="1070"/>
        <item x="759"/>
        <item x="710"/>
        <item x="37"/>
        <item x="781"/>
        <item x="420"/>
        <item x="504"/>
        <item x="700"/>
        <item x="1218"/>
        <item x="784"/>
        <item x="385"/>
        <item x="48"/>
        <item x="1235"/>
        <item x="86"/>
        <item x="778"/>
        <item x="1027"/>
        <item x="757"/>
        <item x="699"/>
        <item x="206"/>
        <item x="1202"/>
        <item x="1182"/>
        <item x="735"/>
        <item x="1029"/>
        <item x="398"/>
        <item x="1156"/>
        <item x="132"/>
        <item x="1192"/>
        <item x="211"/>
        <item x="111"/>
        <item x="787"/>
        <item x="725"/>
        <item x="121"/>
        <item x="1227"/>
        <item x="63"/>
        <item x="756"/>
        <item x="1200"/>
        <item x="1228"/>
        <item x="125"/>
        <item x="94"/>
        <item x="92"/>
        <item x="1179"/>
        <item x="1042"/>
        <item x="1063"/>
        <item x="118"/>
        <item x="953"/>
        <item x="1234"/>
        <item x="1169"/>
        <item x="788"/>
        <item x="101"/>
        <item x="1028"/>
        <item x="112"/>
        <item x="546"/>
        <item x="89"/>
        <item x="1003"/>
        <item x="767"/>
        <item x="69"/>
        <item x="423"/>
        <item x="1025"/>
        <item x="146"/>
        <item x="994"/>
        <item x="426"/>
        <item x="713"/>
        <item x="715"/>
        <item x="95"/>
        <item x="1064"/>
        <item x="729"/>
        <item x="1144"/>
        <item x="429"/>
        <item x="1221"/>
        <item x="54"/>
        <item x="798"/>
        <item x="9"/>
        <item x="763"/>
        <item x="1206"/>
        <item x="766"/>
        <item x="134"/>
        <item x="1022"/>
        <item x="764"/>
        <item x="737"/>
        <item x="1242"/>
        <item x="279"/>
        <item x="818"/>
        <item x="1230"/>
        <item x="294"/>
        <item x="961"/>
        <item x="277"/>
        <item x="792"/>
        <item x="1136"/>
        <item x="733"/>
        <item x="107"/>
        <item x="707"/>
        <item x="801"/>
        <item x="1229"/>
        <item x="1019"/>
        <item x="1185"/>
        <item x="1018"/>
        <item x="1233"/>
        <item x="273"/>
        <item x="796"/>
        <item x="1174"/>
        <item x="58"/>
        <item x="268"/>
        <item x="319"/>
        <item x="724"/>
        <item x="734"/>
        <item x="996"/>
        <item x="250"/>
        <item x="1012"/>
        <item x="706"/>
        <item x="727"/>
        <item x="1246"/>
        <item x="1010"/>
        <item x="213"/>
        <item x="241"/>
        <item x="242"/>
        <item x="771"/>
        <item x="947"/>
        <item x="21"/>
        <item x="765"/>
        <item x="300"/>
        <item x="782"/>
        <item x="245"/>
        <item x="497"/>
        <item x="269"/>
        <item x="800"/>
        <item x="716"/>
        <item x="1067"/>
        <item x="1005"/>
        <item x="261"/>
        <item x="304"/>
        <item x="718"/>
        <item x="1065"/>
        <item x="1036"/>
        <item x="967"/>
        <item x="1016"/>
        <item x="284"/>
        <item x="1000"/>
        <item x="1203"/>
        <item x="783"/>
        <item x="1014"/>
        <item x="275"/>
        <item x="702"/>
        <item x="1201"/>
        <item x="631"/>
        <item x="23"/>
        <item x="1226"/>
        <item x="1059"/>
        <item x="1177"/>
        <item x="1066"/>
        <item x="701"/>
        <item x="859"/>
        <item x="56"/>
        <item x="638"/>
        <item x="1215"/>
        <item x="1199"/>
        <item x="1024"/>
        <item x="246"/>
        <item x="1033"/>
        <item x="1165"/>
        <item x="1011"/>
        <item x="743"/>
        <item x="483"/>
        <item x="780"/>
        <item x="1089"/>
        <item x="1077"/>
        <item x="1076"/>
        <item x="306"/>
        <item x="272"/>
        <item x="1237"/>
        <item x="708"/>
        <item x="1034"/>
        <item x="1141"/>
        <item x="1189"/>
        <item x="668"/>
        <item x="1176"/>
        <item x="247"/>
        <item x="1073"/>
        <item x="310"/>
        <item x="623"/>
        <item x="366"/>
        <item x="288"/>
        <item x="168"/>
        <item x="1072"/>
        <item x="286"/>
        <item x="305"/>
        <item x="30"/>
        <item x="309"/>
        <item x="975"/>
        <item x="1080"/>
        <item x="616"/>
        <item x="363"/>
        <item x="742"/>
        <item x="849"/>
        <item x="364"/>
        <item x="995"/>
        <item x="726"/>
        <item x="695"/>
        <item x="1021"/>
        <item x="1043"/>
        <item x="643"/>
        <item x="966"/>
        <item x="1104"/>
        <item x="291"/>
        <item x="260"/>
        <item x="243"/>
        <item x="693"/>
        <item x="960"/>
        <item x="825"/>
        <item x="170"/>
        <item x="944"/>
        <item x="805"/>
        <item x="240"/>
        <item x="289"/>
        <item x="258"/>
        <item x="827"/>
        <item x="282"/>
        <item x="671"/>
        <item x="237"/>
        <item x="872"/>
        <item x="867"/>
        <item x="290"/>
        <item x="437"/>
        <item x="301"/>
        <item x="257"/>
        <item x="239"/>
        <item x="1105"/>
        <item x="274"/>
        <item x="278"/>
        <item x="664"/>
        <item x="624"/>
        <item x="618"/>
        <item x="264"/>
        <item x="520"/>
        <item x="262"/>
        <item x="875"/>
        <item x="244"/>
        <item x="548"/>
        <item x="883"/>
        <item x="228"/>
        <item x="441"/>
        <item x="267"/>
        <item x="281"/>
        <item x="307"/>
        <item x="620"/>
        <item x="1152"/>
        <item x="837"/>
        <item x="637"/>
        <item x="622"/>
        <item x="263"/>
        <item x="685"/>
        <item x="292"/>
        <item x="276"/>
        <item x="836"/>
        <item x="1086"/>
        <item x="232"/>
        <item x="327"/>
        <item x="358"/>
        <item x="835"/>
        <item x="280"/>
        <item x="342"/>
        <item x="361"/>
        <item x="444"/>
        <item x="451"/>
        <item x="344"/>
        <item x="335"/>
        <item x="1095"/>
        <item x="881"/>
        <item x="853"/>
        <item x="1085"/>
        <item x="352"/>
        <item x="348"/>
        <item x="662"/>
        <item x="941"/>
        <item x="156"/>
        <item x="670"/>
        <item x="969"/>
        <item x="314"/>
        <item x="2"/>
        <item x="642"/>
        <item x="461"/>
        <item x="339"/>
        <item x="688"/>
        <item x="847"/>
        <item x="691"/>
        <item x="353"/>
        <item x="311"/>
        <item x="458"/>
        <item x="877"/>
        <item x="323"/>
        <item x="184"/>
        <item x="1109"/>
        <item x="665"/>
        <item x="607"/>
        <item x="640"/>
        <item x="308"/>
        <item x="659"/>
        <item x="1099"/>
        <item x="341"/>
        <item x="689"/>
        <item x="328"/>
        <item x="473"/>
        <item x="322"/>
        <item x="1094"/>
        <item x="331"/>
        <item x="367"/>
        <item x="452"/>
        <item x="371"/>
        <item x="952"/>
        <item x="313"/>
        <item x="347"/>
        <item x="871"/>
        <item x="942"/>
        <item x="660"/>
        <item x="349"/>
        <item x="440"/>
        <item x="481"/>
        <item x="478"/>
        <item x="377"/>
        <item x="359"/>
        <item x="1087"/>
        <item x="477"/>
        <item x="984"/>
        <item x="356"/>
        <item x="357"/>
        <item x="317"/>
        <item x="402"/>
        <item x="203"/>
        <item x="512"/>
        <item x="600"/>
        <item x="388"/>
        <item x="968"/>
        <item x="687"/>
        <item x="321"/>
        <item x="1115"/>
        <item x="336"/>
        <item x="332"/>
        <item x="354"/>
        <item x="362"/>
        <item x="957"/>
        <item x="379"/>
        <item x="325"/>
        <item x="446"/>
        <item x="633"/>
        <item x="663"/>
        <item x="71"/>
        <item x="1238"/>
        <item x="338"/>
        <item x="79"/>
        <item x="381"/>
        <item x="646"/>
        <item x="1100"/>
        <item x="955"/>
        <item x="343"/>
        <item x="84"/>
        <item x="1193"/>
        <item x="345"/>
        <item x="98"/>
        <item x="775"/>
        <item x="370"/>
        <item x="1098"/>
        <item x="951"/>
        <item x="1207"/>
        <item x="373"/>
        <item x="677"/>
        <item x="964"/>
        <item x="1032"/>
        <item x="848"/>
        <item x="425"/>
        <item x="115"/>
        <item x="666"/>
        <item x="1211"/>
        <item x="979"/>
        <item x="854"/>
        <item x="90"/>
        <item x="399"/>
        <item x="983"/>
        <item x="1194"/>
        <item x="999"/>
        <item x="1056"/>
        <item x="632"/>
        <item x="1209"/>
        <item x="1223"/>
        <item x="869"/>
        <item x="1052"/>
        <item x="656"/>
        <item x="753"/>
        <item x="422"/>
        <item x="450"/>
        <item x="1050"/>
        <item x="754"/>
        <item x="88"/>
        <item x="1079"/>
        <item x="649"/>
        <item x="413"/>
        <item x="1058"/>
        <item x="80"/>
        <item x="683"/>
        <item x="1128"/>
        <item x="64"/>
        <item x="1020"/>
        <item x="1057"/>
        <item x="1053"/>
        <item x="1112"/>
        <item x="986"/>
        <item x="387"/>
        <item x="769"/>
        <item x="1239"/>
        <item x="397"/>
        <item x="1118"/>
        <item x="419"/>
        <item x="874"/>
        <item x="997"/>
        <item x="1103"/>
        <item x="386"/>
        <item x="605"/>
        <item x="990"/>
        <item x="396"/>
        <item x="416"/>
        <item x="479"/>
        <item x="1069"/>
        <item x="457"/>
        <item x="740"/>
        <item x="1220"/>
        <item x="1031"/>
        <item x="123"/>
        <item x="865"/>
        <item x="772"/>
        <item x="965"/>
        <item x="790"/>
        <item x="1047"/>
        <item x="1245"/>
        <item x="1111"/>
        <item x="1232"/>
        <item x="407"/>
        <item x="1241"/>
        <item x="1197"/>
        <item x="879"/>
        <item x="73"/>
        <item x="106"/>
        <item x="795"/>
        <item x="376"/>
        <item x="1075"/>
        <item x="1055"/>
        <item x="390"/>
        <item x="1039"/>
        <item x="1048"/>
        <item x="1236"/>
        <item x="1240"/>
        <item x="768"/>
        <item x="297"/>
        <item x="630"/>
        <item x="690"/>
        <item x="1008"/>
        <item x="299"/>
        <item x="657"/>
        <item x="1071"/>
        <item x="298"/>
        <item x="1068"/>
        <item x="963"/>
        <item x="1001"/>
        <item x="974"/>
        <item x="432"/>
        <item x="651"/>
        <item x="1204"/>
        <item x="973"/>
        <item x="270"/>
        <item x="249"/>
        <item x="1009"/>
        <item x="1037"/>
        <item x="124"/>
        <item x="773"/>
        <item x="797"/>
        <item x="403"/>
        <item x="774"/>
        <item x="723"/>
        <item x="1244"/>
        <item x="383"/>
        <item x="1222"/>
        <item x="102"/>
        <item x="762"/>
        <item x="78"/>
        <item x="256"/>
        <item x="1213"/>
        <item x="786"/>
        <item x="103"/>
        <item x="380"/>
        <item x="464"/>
        <item x="1062"/>
        <item x="1004"/>
        <item x="1216"/>
        <item x="259"/>
        <item x="326"/>
        <item x="749"/>
        <item x="741"/>
        <item x="303"/>
        <item x="340"/>
        <item x="330"/>
        <item x="271"/>
        <item x="295"/>
        <item x="1214"/>
        <item x="66"/>
        <item x="417"/>
        <item x="238"/>
        <item x="1124"/>
        <item x="318"/>
        <item x="372"/>
        <item x="131"/>
        <item x="712"/>
        <item x="1054"/>
        <item x="1049"/>
        <item x="1040"/>
        <item x="252"/>
        <item x="1212"/>
        <item x="312"/>
        <item x="722"/>
        <item x="1078"/>
        <item x="717"/>
        <item x="1051"/>
        <item x="1081"/>
        <item x="1030"/>
        <item x="360"/>
        <item x="68"/>
        <item x="316"/>
        <item x="992"/>
        <item x="1061"/>
        <item x="1231"/>
        <item x="1208"/>
        <item x="779"/>
        <item x="1205"/>
        <item x="791"/>
        <item x="705"/>
        <item x="320"/>
        <item x="365"/>
        <item x="254"/>
        <item x="351"/>
        <item x="369"/>
        <item x="346"/>
        <item x="324"/>
        <item x="350"/>
        <item x="296"/>
        <item x="285"/>
        <item x="265"/>
        <item x="255"/>
        <item x="337"/>
        <item x="989"/>
        <item x="315"/>
        <item x="334"/>
        <item x="750"/>
        <item x="1243"/>
        <item x="302"/>
        <item x="738"/>
        <item x="293"/>
        <item x="720"/>
        <item x="333"/>
        <item x="758"/>
        <item x="355"/>
        <item x="1045"/>
        <item x="253"/>
        <item x="266"/>
        <item x="329"/>
        <item x="248"/>
        <item x="368"/>
        <item t="default"/>
      </items>
    </pivotField>
    <pivotField axis="axisRow" compact="0" outline="0" showAll="0" defaultSubtotal="0">
      <items count="12">
        <item x="0"/>
        <item x="1"/>
        <item x="2"/>
        <item x="11"/>
        <item x="3"/>
        <item x="4"/>
        <item x="5"/>
        <item x="6"/>
        <item x="7"/>
        <item x="8"/>
        <item x="9"/>
        <item x="10"/>
      </items>
    </pivotField>
    <pivotField axis="axisRow" compact="0" outline="0" showAll="0" defaultSubtotal="0">
      <items count="4">
        <item x="0"/>
        <item x="1"/>
        <item x="2"/>
        <item x="3"/>
      </items>
    </pivotField>
    <pivotField compact="0" outline="0" showAll="0"/>
    <pivotField compact="0" outline="0" showAll="0" defaultSubtotal="0">
      <items count="31">
        <item x="0"/>
        <item x="17"/>
        <item x="8"/>
        <item x="20"/>
        <item x="21"/>
        <item x="29"/>
        <item x="3"/>
        <item x="27"/>
        <item x="1"/>
        <item x="13"/>
        <item x="22"/>
        <item x="10"/>
        <item x="23"/>
        <item x="18"/>
        <item x="19"/>
        <item x="5"/>
        <item x="2"/>
        <item x="9"/>
        <item x="26"/>
        <item x="30"/>
        <item x="14"/>
        <item x="16"/>
        <item x="11"/>
        <item x="25"/>
        <item x="12"/>
        <item x="6"/>
        <item x="24"/>
        <item x="4"/>
        <item x="7"/>
        <item x="15"/>
        <item x="28"/>
      </items>
    </pivotField>
    <pivotField compact="0" outline="0" showAll="0"/>
  </pivotFields>
  <rowFields count="5">
    <field x="16"/>
    <field x="15"/>
    <field x="3"/>
    <field x="5"/>
    <field x="8"/>
  </rowFields>
  <rowItems count="1187">
    <i>
      <x/>
      <x/>
      <x/>
      <x/>
      <x v="1"/>
    </i>
    <i r="3">
      <x v="2"/>
      <x v="3"/>
    </i>
    <i r="2">
      <x v="1"/>
      <x/>
      <x v="1"/>
    </i>
    <i r="4">
      <x v="3"/>
    </i>
    <i r="4">
      <x v="4"/>
    </i>
    <i r="3">
      <x v="1"/>
      <x v="1"/>
    </i>
    <i r="4">
      <x v="2"/>
    </i>
    <i r="4">
      <x v="3"/>
    </i>
    <i r="3">
      <x v="2"/>
      <x/>
    </i>
    <i r="3">
      <x v="3"/>
      <x v="1"/>
    </i>
    <i r="4">
      <x v="2"/>
    </i>
    <i r="2">
      <x v="2"/>
      <x/>
      <x v="4"/>
    </i>
    <i r="3">
      <x v="1"/>
      <x/>
    </i>
    <i r="4">
      <x v="4"/>
    </i>
    <i r="3">
      <x v="2"/>
      <x/>
    </i>
    <i r="4">
      <x v="3"/>
    </i>
    <i r="4">
      <x v="4"/>
    </i>
    <i r="3">
      <x v="3"/>
      <x v="3"/>
    </i>
    <i r="2">
      <x v="3"/>
      <x/>
      <x/>
    </i>
    <i r="4">
      <x v="2"/>
    </i>
    <i r="3">
      <x v="2"/>
      <x v="1"/>
    </i>
    <i r="2">
      <x v="4"/>
      <x/>
      <x/>
    </i>
    <i r="4">
      <x v="2"/>
    </i>
    <i r="4">
      <x v="3"/>
    </i>
    <i r="3">
      <x v="1"/>
      <x/>
    </i>
    <i r="4">
      <x v="1"/>
    </i>
    <i r="4">
      <x v="2"/>
    </i>
    <i r="3">
      <x v="2"/>
      <x v="1"/>
    </i>
    <i r="4">
      <x v="4"/>
    </i>
    <i r="3">
      <x v="3"/>
      <x v="4"/>
    </i>
    <i r="1">
      <x v="1"/>
      <x/>
      <x/>
      <x v="2"/>
    </i>
    <i r="3">
      <x v="2"/>
      <x v="3"/>
    </i>
    <i r="2">
      <x v="1"/>
      <x/>
      <x/>
    </i>
    <i r="4">
      <x v="1"/>
    </i>
    <i r="4">
      <x v="2"/>
    </i>
    <i r="4">
      <x v="3"/>
    </i>
    <i r="4">
      <x v="4"/>
    </i>
    <i r="3">
      <x v="1"/>
      <x/>
    </i>
    <i r="4">
      <x v="1"/>
    </i>
    <i r="4">
      <x v="2"/>
    </i>
    <i r="4">
      <x v="3"/>
    </i>
    <i r="4">
      <x v="4"/>
    </i>
    <i r="3">
      <x v="2"/>
      <x v="1"/>
    </i>
    <i r="4">
      <x v="2"/>
    </i>
    <i r="3">
      <x v="3"/>
      <x v="2"/>
    </i>
    <i r="2">
      <x v="2"/>
      <x/>
      <x/>
    </i>
    <i r="3">
      <x v="1"/>
      <x v="1"/>
    </i>
    <i r="4">
      <x v="4"/>
    </i>
    <i r="3">
      <x v="2"/>
      <x/>
    </i>
    <i r="2">
      <x v="3"/>
      <x/>
      <x v="3"/>
    </i>
    <i r="3">
      <x v="1"/>
      <x v="2"/>
    </i>
    <i r="2">
      <x v="4"/>
      <x/>
      <x/>
    </i>
    <i r="4">
      <x v="2"/>
    </i>
    <i r="4">
      <x v="4"/>
    </i>
    <i r="3">
      <x v="1"/>
      <x/>
    </i>
    <i r="4">
      <x v="3"/>
    </i>
    <i r="3">
      <x v="3"/>
      <x/>
    </i>
    <i r="1">
      <x v="2"/>
      <x/>
      <x/>
      <x v="2"/>
    </i>
    <i r="4">
      <x v="4"/>
    </i>
    <i r="3">
      <x v="1"/>
      <x v="2"/>
    </i>
    <i r="3">
      <x v="2"/>
      <x/>
    </i>
    <i r="2">
      <x v="1"/>
      <x/>
      <x/>
    </i>
    <i r="4">
      <x v="1"/>
    </i>
    <i r="4">
      <x v="2"/>
    </i>
    <i r="4">
      <x v="3"/>
    </i>
    <i r="3">
      <x v="1"/>
      <x/>
    </i>
    <i r="4">
      <x v="1"/>
    </i>
    <i r="4">
      <x v="3"/>
    </i>
    <i r="3">
      <x v="2"/>
      <x v="2"/>
    </i>
    <i r="4">
      <x v="4"/>
    </i>
    <i r="2">
      <x v="2"/>
      <x/>
      <x v="2"/>
    </i>
    <i r="4">
      <x v="4"/>
    </i>
    <i r="3">
      <x v="3"/>
      <x v="2"/>
    </i>
    <i r="2">
      <x v="3"/>
      <x/>
      <x v="3"/>
    </i>
    <i r="3">
      <x v="1"/>
      <x v="3"/>
    </i>
    <i r="3">
      <x v="3"/>
      <x v="2"/>
    </i>
    <i r="2">
      <x v="4"/>
      <x/>
      <x/>
    </i>
    <i r="4">
      <x v="2"/>
    </i>
    <i r="4">
      <x v="3"/>
    </i>
    <i r="4">
      <x v="4"/>
    </i>
    <i r="3">
      <x v="1"/>
      <x v="1"/>
    </i>
    <i r="4">
      <x v="2"/>
    </i>
    <i r="4">
      <x v="3"/>
    </i>
    <i r="3">
      <x v="2"/>
      <x v="2"/>
    </i>
    <i r="4">
      <x v="4"/>
    </i>
    <i r="1">
      <x v="3"/>
      <x/>
      <x/>
      <x/>
    </i>
    <i r="3">
      <x v="1"/>
      <x/>
    </i>
    <i r="3">
      <x v="2"/>
      <x/>
    </i>
    <i r="2">
      <x v="1"/>
      <x/>
      <x/>
    </i>
    <i r="4">
      <x v="1"/>
    </i>
    <i r="4">
      <x v="2"/>
    </i>
    <i r="4">
      <x v="3"/>
    </i>
    <i r="3">
      <x v="1"/>
      <x/>
    </i>
    <i r="4">
      <x v="2"/>
    </i>
    <i r="4">
      <x v="4"/>
    </i>
    <i r="3">
      <x v="2"/>
      <x v="1"/>
    </i>
    <i r="4">
      <x v="4"/>
    </i>
    <i r="2">
      <x v="2"/>
      <x/>
      <x v="2"/>
    </i>
    <i r="4">
      <x v="3"/>
    </i>
    <i r="3">
      <x v="1"/>
      <x v="3"/>
    </i>
    <i r="2">
      <x v="3"/>
      <x/>
      <x/>
    </i>
    <i r="3">
      <x v="1"/>
      <x/>
    </i>
    <i r="4">
      <x v="1"/>
    </i>
    <i r="4">
      <x v="3"/>
    </i>
    <i r="4">
      <x v="4"/>
    </i>
    <i r="3">
      <x v="2"/>
      <x v="1"/>
    </i>
    <i r="2">
      <x v="4"/>
      <x/>
      <x v="1"/>
    </i>
    <i r="4">
      <x v="2"/>
    </i>
    <i r="4">
      <x v="3"/>
    </i>
    <i r="4">
      <x v="4"/>
    </i>
    <i r="3">
      <x v="1"/>
      <x/>
    </i>
    <i r="4">
      <x v="3"/>
    </i>
    <i r="3">
      <x v="2"/>
      <x v="1"/>
    </i>
    <i r="3">
      <x v="3"/>
      <x v="1"/>
    </i>
    <i r="1">
      <x v="4"/>
      <x/>
      <x v="1"/>
      <x v="4"/>
    </i>
    <i r="2">
      <x v="1"/>
      <x/>
      <x/>
    </i>
    <i r="4">
      <x v="1"/>
    </i>
    <i r="4">
      <x v="2"/>
    </i>
    <i r="4">
      <x v="4"/>
    </i>
    <i r="3">
      <x v="1"/>
      <x/>
    </i>
    <i r="4">
      <x v="2"/>
    </i>
    <i r="3">
      <x v="2"/>
      <x v="3"/>
    </i>
    <i r="3">
      <x v="3"/>
      <x v="1"/>
    </i>
    <i r="2">
      <x v="2"/>
      <x/>
      <x v="1"/>
    </i>
    <i r="4">
      <x v="2"/>
    </i>
    <i r="4">
      <x v="4"/>
    </i>
    <i r="3">
      <x v="2"/>
      <x/>
    </i>
    <i r="4">
      <x v="2"/>
    </i>
    <i r="2">
      <x v="3"/>
      <x/>
      <x/>
    </i>
    <i r="4">
      <x v="1"/>
    </i>
    <i r="4">
      <x v="2"/>
    </i>
    <i r="4">
      <x v="3"/>
    </i>
    <i r="2">
      <x v="4"/>
      <x/>
      <x v="1"/>
    </i>
    <i r="4">
      <x v="2"/>
    </i>
    <i r="4">
      <x v="3"/>
    </i>
    <i r="3">
      <x v="1"/>
      <x/>
    </i>
    <i r="4">
      <x v="2"/>
    </i>
    <i r="4">
      <x v="3"/>
    </i>
    <i r="3">
      <x v="2"/>
      <x v="1"/>
    </i>
    <i r="4">
      <x v="2"/>
    </i>
    <i r="4">
      <x v="4"/>
    </i>
    <i r="3">
      <x v="3"/>
      <x/>
    </i>
    <i r="1">
      <x v="5"/>
      <x/>
      <x/>
      <x/>
    </i>
    <i r="4">
      <x v="4"/>
    </i>
    <i r="3">
      <x v="1"/>
      <x v="1"/>
    </i>
    <i r="3">
      <x v="3"/>
      <x/>
    </i>
    <i r="2">
      <x v="1"/>
      <x/>
      <x/>
    </i>
    <i r="4">
      <x v="1"/>
    </i>
    <i r="4">
      <x v="2"/>
    </i>
    <i r="4">
      <x v="3"/>
    </i>
    <i r="4">
      <x v="4"/>
    </i>
    <i r="3">
      <x v="1"/>
      <x/>
    </i>
    <i r="4">
      <x v="3"/>
    </i>
    <i r="4">
      <x v="4"/>
    </i>
    <i r="3">
      <x v="2"/>
      <x v="4"/>
    </i>
    <i r="3">
      <x v="3"/>
      <x v="1"/>
    </i>
    <i r="2">
      <x v="2"/>
      <x/>
      <x v="1"/>
    </i>
    <i r="4">
      <x v="4"/>
    </i>
    <i r="3">
      <x v="1"/>
      <x v="1"/>
    </i>
    <i r="4">
      <x v="2"/>
    </i>
    <i r="3">
      <x v="3"/>
      <x/>
    </i>
    <i r="4">
      <x v="3"/>
    </i>
    <i r="2">
      <x v="3"/>
      <x/>
      <x/>
    </i>
    <i r="3">
      <x v="1"/>
      <x/>
    </i>
    <i r="4">
      <x v="2"/>
    </i>
    <i r="4">
      <x v="4"/>
    </i>
    <i r="3">
      <x v="2"/>
      <x v="3"/>
    </i>
    <i r="4">
      <x v="4"/>
    </i>
    <i r="2">
      <x v="4"/>
      <x/>
      <x/>
    </i>
    <i r="4">
      <x v="2"/>
    </i>
    <i r="4">
      <x v="4"/>
    </i>
    <i r="3">
      <x v="1"/>
      <x v="1"/>
    </i>
    <i r="3">
      <x v="2"/>
      <x v="1"/>
    </i>
    <i r="4">
      <x v="3"/>
    </i>
    <i r="4">
      <x v="4"/>
    </i>
    <i r="1">
      <x v="6"/>
      <x/>
      <x/>
      <x/>
    </i>
    <i r="3">
      <x v="1"/>
      <x v="4"/>
    </i>
    <i r="2">
      <x v="1"/>
      <x/>
      <x/>
    </i>
    <i r="4">
      <x v="1"/>
    </i>
    <i r="4">
      <x v="2"/>
    </i>
    <i r="4">
      <x v="3"/>
    </i>
    <i r="4">
      <x v="4"/>
    </i>
    <i r="3">
      <x v="1"/>
      <x/>
    </i>
    <i r="4">
      <x v="2"/>
    </i>
    <i r="4">
      <x v="3"/>
    </i>
    <i r="4">
      <x v="4"/>
    </i>
    <i r="3">
      <x v="2"/>
      <x/>
    </i>
    <i r="2">
      <x v="2"/>
      <x/>
      <x/>
    </i>
    <i r="4">
      <x v="1"/>
    </i>
    <i r="4">
      <x v="2"/>
    </i>
    <i r="4">
      <x v="3"/>
    </i>
    <i r="4">
      <x v="4"/>
    </i>
    <i r="3">
      <x v="1"/>
      <x/>
    </i>
    <i r="3">
      <x v="3"/>
      <x v="1"/>
    </i>
    <i r="2">
      <x v="3"/>
      <x/>
      <x/>
    </i>
    <i r="4">
      <x v="2"/>
    </i>
    <i r="4">
      <x v="4"/>
    </i>
    <i r="3">
      <x v="1"/>
      <x v="3"/>
    </i>
    <i r="4">
      <x v="4"/>
    </i>
    <i r="3">
      <x v="2"/>
      <x v="2"/>
    </i>
    <i r="4">
      <x v="3"/>
    </i>
    <i r="3">
      <x v="3"/>
      <x v="1"/>
    </i>
    <i r="4">
      <x v="2"/>
    </i>
    <i r="2">
      <x v="4"/>
      <x/>
      <x/>
    </i>
    <i r="4">
      <x v="1"/>
    </i>
    <i r="4">
      <x v="2"/>
    </i>
    <i r="4">
      <x v="3"/>
    </i>
    <i r="4">
      <x v="4"/>
    </i>
    <i r="3">
      <x v="2"/>
      <x v="2"/>
    </i>
    <i r="1">
      <x v="7"/>
      <x/>
      <x/>
      <x/>
    </i>
    <i r="4">
      <x v="1"/>
    </i>
    <i r="3">
      <x v="1"/>
      <x v="1"/>
    </i>
    <i r="2">
      <x v="1"/>
      <x/>
      <x/>
    </i>
    <i r="4">
      <x v="1"/>
    </i>
    <i r="4">
      <x v="2"/>
    </i>
    <i r="4">
      <x v="3"/>
    </i>
    <i r="4">
      <x v="4"/>
    </i>
    <i r="3">
      <x v="1"/>
      <x v="1"/>
    </i>
    <i r="4">
      <x v="2"/>
    </i>
    <i r="4">
      <x v="3"/>
    </i>
    <i r="3">
      <x v="2"/>
      <x/>
    </i>
    <i r="4">
      <x v="1"/>
    </i>
    <i r="4">
      <x v="3"/>
    </i>
    <i r="3">
      <x v="3"/>
      <x v="1"/>
    </i>
    <i r="2">
      <x v="2"/>
      <x/>
      <x v="1"/>
    </i>
    <i r="4">
      <x v="2"/>
    </i>
    <i r="4">
      <x v="3"/>
    </i>
    <i r="3">
      <x v="1"/>
      <x v="4"/>
    </i>
    <i r="2">
      <x v="3"/>
      <x/>
      <x/>
    </i>
    <i r="4">
      <x v="1"/>
    </i>
    <i r="3">
      <x v="1"/>
      <x v="1"/>
    </i>
    <i r="2">
      <x v="4"/>
      <x/>
      <x v="1"/>
    </i>
    <i r="4">
      <x v="3"/>
    </i>
    <i r="3">
      <x v="1"/>
      <x/>
    </i>
    <i r="4">
      <x v="2"/>
    </i>
    <i r="4">
      <x v="3"/>
    </i>
    <i r="4">
      <x v="4"/>
    </i>
    <i r="3">
      <x v="2"/>
      <x v="3"/>
    </i>
    <i r="1">
      <x v="8"/>
      <x/>
      <x/>
      <x v="1"/>
    </i>
    <i r="4">
      <x v="2"/>
    </i>
    <i r="3">
      <x v="1"/>
      <x v="2"/>
    </i>
    <i r="2">
      <x v="1"/>
      <x/>
      <x/>
    </i>
    <i r="4">
      <x v="1"/>
    </i>
    <i r="4">
      <x v="2"/>
    </i>
    <i r="4">
      <x v="4"/>
    </i>
    <i r="3">
      <x v="1"/>
      <x/>
    </i>
    <i r="4">
      <x v="1"/>
    </i>
    <i r="4">
      <x v="2"/>
    </i>
    <i r="4">
      <x v="3"/>
    </i>
    <i r="4">
      <x v="4"/>
    </i>
    <i r="3">
      <x v="2"/>
      <x v="1"/>
    </i>
    <i r="4">
      <x v="2"/>
    </i>
    <i r="4">
      <x v="3"/>
    </i>
    <i r="2">
      <x v="2"/>
      <x/>
      <x v="2"/>
    </i>
    <i r="3">
      <x v="1"/>
      <x/>
    </i>
    <i r="3">
      <x v="3"/>
      <x v="4"/>
    </i>
    <i r="2">
      <x v="3"/>
      <x v="1"/>
      <x v="4"/>
    </i>
    <i r="2">
      <x v="4"/>
      <x/>
      <x/>
    </i>
    <i r="4">
      <x v="2"/>
    </i>
    <i r="4">
      <x v="3"/>
    </i>
    <i r="3">
      <x v="1"/>
      <x/>
    </i>
    <i r="4">
      <x v="3"/>
    </i>
    <i r="4">
      <x v="4"/>
    </i>
    <i r="3">
      <x v="2"/>
      <x v="3"/>
    </i>
    <i r="4">
      <x v="4"/>
    </i>
    <i r="1">
      <x v="9"/>
      <x/>
      <x/>
      <x v="1"/>
    </i>
    <i r="2">
      <x v="1"/>
      <x/>
      <x v="1"/>
    </i>
    <i r="4">
      <x v="2"/>
    </i>
    <i r="4">
      <x v="4"/>
    </i>
    <i r="3">
      <x v="1"/>
      <x/>
    </i>
    <i r="4">
      <x v="1"/>
    </i>
    <i r="4">
      <x v="2"/>
    </i>
    <i r="3">
      <x v="2"/>
      <x v="3"/>
    </i>
    <i r="4">
      <x v="4"/>
    </i>
    <i r="2">
      <x v="2"/>
      <x/>
      <x/>
    </i>
    <i r="3">
      <x v="1"/>
      <x v="1"/>
    </i>
    <i r="3">
      <x v="2"/>
      <x v="4"/>
    </i>
    <i r="2">
      <x v="3"/>
      <x/>
      <x v="1"/>
    </i>
    <i r="3">
      <x v="1"/>
      <x v="2"/>
    </i>
    <i r="4">
      <x v="3"/>
    </i>
    <i r="2">
      <x v="4"/>
      <x/>
      <x/>
    </i>
    <i r="4">
      <x v="2"/>
    </i>
    <i r="4">
      <x v="4"/>
    </i>
    <i r="3">
      <x v="1"/>
      <x v="1"/>
    </i>
    <i r="4">
      <x v="2"/>
    </i>
    <i r="3">
      <x v="2"/>
      <x v="4"/>
    </i>
    <i r="3">
      <x v="3"/>
      <x v="1"/>
    </i>
    <i r="4">
      <x v="3"/>
    </i>
    <i r="1">
      <x v="10"/>
      <x/>
      <x/>
      <x v="4"/>
    </i>
    <i r="3">
      <x v="2"/>
      <x/>
    </i>
    <i r="4">
      <x v="2"/>
    </i>
    <i r="2">
      <x v="1"/>
      <x/>
      <x/>
    </i>
    <i r="4">
      <x v="1"/>
    </i>
    <i r="4">
      <x v="2"/>
    </i>
    <i r="4">
      <x v="3"/>
    </i>
    <i r="4">
      <x v="4"/>
    </i>
    <i r="3">
      <x v="1"/>
      <x v="1"/>
    </i>
    <i r="3">
      <x v="2"/>
      <x v="1"/>
    </i>
    <i r="4">
      <x v="2"/>
    </i>
    <i r="4">
      <x v="3"/>
    </i>
    <i r="4">
      <x v="4"/>
    </i>
    <i r="2">
      <x v="2"/>
      <x/>
      <x/>
    </i>
    <i r="4">
      <x v="1"/>
    </i>
    <i r="4">
      <x v="3"/>
    </i>
    <i r="4">
      <x v="4"/>
    </i>
    <i r="3">
      <x v="1"/>
      <x/>
    </i>
    <i r="4">
      <x v="1"/>
    </i>
    <i r="4">
      <x v="4"/>
    </i>
    <i r="3">
      <x v="2"/>
      <x v="1"/>
    </i>
    <i r="2">
      <x v="3"/>
      <x/>
      <x/>
    </i>
    <i r="4">
      <x v="1"/>
    </i>
    <i r="4">
      <x v="3"/>
    </i>
    <i r="3">
      <x v="1"/>
      <x/>
    </i>
    <i r="4">
      <x v="3"/>
    </i>
    <i r="3">
      <x v="2"/>
      <x v="3"/>
    </i>
    <i r="2">
      <x v="4"/>
      <x/>
      <x v="1"/>
    </i>
    <i r="4">
      <x v="3"/>
    </i>
    <i r="4">
      <x v="4"/>
    </i>
    <i r="3">
      <x v="1"/>
      <x v="1"/>
    </i>
    <i r="4">
      <x v="4"/>
    </i>
    <i r="1">
      <x v="11"/>
      <x/>
      <x/>
      <x/>
    </i>
    <i r="4">
      <x v="1"/>
    </i>
    <i r="4">
      <x v="3"/>
    </i>
    <i r="3">
      <x v="1"/>
      <x v="2"/>
    </i>
    <i r="2">
      <x v="1"/>
      <x/>
      <x/>
    </i>
    <i r="4">
      <x v="1"/>
    </i>
    <i r="4">
      <x v="2"/>
    </i>
    <i r="4">
      <x v="3"/>
    </i>
    <i r="4">
      <x v="4"/>
    </i>
    <i r="3">
      <x v="1"/>
      <x v="1"/>
    </i>
    <i r="4">
      <x v="2"/>
    </i>
    <i r="3">
      <x v="2"/>
      <x v="1"/>
    </i>
    <i r="4">
      <x v="3"/>
    </i>
    <i r="3">
      <x v="3"/>
      <x v="2"/>
    </i>
    <i r="4">
      <x v="3"/>
    </i>
    <i r="2">
      <x v="2"/>
      <x/>
      <x/>
    </i>
    <i r="4">
      <x v="4"/>
    </i>
    <i r="3">
      <x v="1"/>
      <x/>
    </i>
    <i r="3">
      <x v="2"/>
      <x v="3"/>
    </i>
    <i r="2">
      <x v="3"/>
      <x v="1"/>
      <x v="4"/>
    </i>
    <i r="2">
      <x v="4"/>
      <x/>
      <x v="1"/>
    </i>
    <i r="4">
      <x v="2"/>
    </i>
    <i r="4">
      <x v="3"/>
    </i>
    <i r="4">
      <x v="4"/>
    </i>
    <i r="3">
      <x v="1"/>
      <x/>
    </i>
    <i r="4">
      <x v="1"/>
    </i>
    <i r="4">
      <x v="3"/>
    </i>
    <i r="3">
      <x v="2"/>
      <x v="2"/>
    </i>
    <i r="3">
      <x v="3"/>
      <x/>
    </i>
    <i>
      <x v="1"/>
      <x/>
      <x/>
      <x/>
      <x v="2"/>
    </i>
    <i r="4">
      <x v="3"/>
    </i>
    <i r="4">
      <x v="4"/>
    </i>
    <i r="3">
      <x v="1"/>
      <x/>
    </i>
    <i r="2">
      <x v="1"/>
      <x/>
      <x/>
    </i>
    <i r="4">
      <x v="2"/>
    </i>
    <i r="4">
      <x v="3"/>
    </i>
    <i r="4">
      <x v="4"/>
    </i>
    <i r="3">
      <x v="1"/>
      <x v="1"/>
    </i>
    <i r="4">
      <x v="2"/>
    </i>
    <i r="4">
      <x v="4"/>
    </i>
    <i r="3">
      <x v="2"/>
      <x v="1"/>
    </i>
    <i r="4">
      <x v="2"/>
    </i>
    <i r="2">
      <x v="2"/>
      <x/>
      <x v="1"/>
    </i>
    <i r="4">
      <x v="3"/>
    </i>
    <i r="4">
      <x v="4"/>
    </i>
    <i r="3">
      <x v="2"/>
      <x/>
    </i>
    <i r="2">
      <x v="3"/>
      <x/>
      <x v="3"/>
    </i>
    <i r="3">
      <x v="2"/>
      <x v="2"/>
    </i>
    <i r="4">
      <x v="3"/>
    </i>
    <i r="2">
      <x v="4"/>
      <x/>
      <x/>
    </i>
    <i r="4">
      <x v="1"/>
    </i>
    <i r="4">
      <x v="2"/>
    </i>
    <i r="3">
      <x v="1"/>
      <x v="3"/>
    </i>
    <i r="3">
      <x v="2"/>
      <x v="1"/>
    </i>
    <i r="4">
      <x v="2"/>
    </i>
    <i r="1">
      <x v="1"/>
      <x/>
      <x/>
      <x v="2"/>
    </i>
    <i r="2">
      <x v="1"/>
      <x/>
      <x v="1"/>
    </i>
    <i r="4">
      <x v="2"/>
    </i>
    <i r="4">
      <x v="3"/>
    </i>
    <i r="4">
      <x v="4"/>
    </i>
    <i r="3">
      <x v="1"/>
      <x v="2"/>
    </i>
    <i r="4">
      <x v="4"/>
    </i>
    <i r="3">
      <x v="2"/>
      <x/>
    </i>
    <i r="4">
      <x v="3"/>
    </i>
    <i r="3">
      <x v="3"/>
      <x v="2"/>
    </i>
    <i r="2">
      <x v="2"/>
      <x/>
      <x/>
    </i>
    <i r="4">
      <x v="1"/>
    </i>
    <i r="4">
      <x v="2"/>
    </i>
    <i r="4">
      <x v="4"/>
    </i>
    <i r="2">
      <x v="3"/>
      <x/>
      <x v="3"/>
    </i>
    <i r="4">
      <x v="4"/>
    </i>
    <i r="3">
      <x v="1"/>
      <x/>
    </i>
    <i r="2">
      <x v="4"/>
      <x/>
      <x v="1"/>
    </i>
    <i r="4">
      <x v="2"/>
    </i>
    <i r="4">
      <x v="4"/>
    </i>
    <i r="3">
      <x v="1"/>
      <x/>
    </i>
    <i r="4">
      <x v="2"/>
    </i>
    <i r="3">
      <x v="2"/>
      <x/>
    </i>
    <i r="3">
      <x v="3"/>
      <x v="2"/>
    </i>
    <i r="1">
      <x v="2"/>
      <x/>
      <x/>
      <x/>
    </i>
    <i r="4">
      <x v="2"/>
    </i>
    <i r="4">
      <x v="3"/>
    </i>
    <i r="3">
      <x v="1"/>
      <x v="4"/>
    </i>
    <i r="3">
      <x v="2"/>
      <x v="3"/>
    </i>
    <i r="2">
      <x v="1"/>
      <x/>
      <x/>
    </i>
    <i r="4">
      <x v="1"/>
    </i>
    <i r="4">
      <x v="2"/>
    </i>
    <i r="4">
      <x v="3"/>
    </i>
    <i r="4">
      <x v="4"/>
    </i>
    <i r="3">
      <x v="1"/>
      <x/>
    </i>
    <i r="4">
      <x v="1"/>
    </i>
    <i r="4">
      <x v="2"/>
    </i>
    <i r="4">
      <x v="3"/>
    </i>
    <i r="4">
      <x v="4"/>
    </i>
    <i r="3">
      <x v="2"/>
      <x/>
    </i>
    <i r="4">
      <x v="2"/>
    </i>
    <i r="4">
      <x v="3"/>
    </i>
    <i r="3">
      <x v="3"/>
      <x v="4"/>
    </i>
    <i r="2">
      <x v="2"/>
      <x/>
      <x v="3"/>
    </i>
    <i r="4">
      <x v="4"/>
    </i>
    <i r="3">
      <x v="1"/>
      <x v="2"/>
    </i>
    <i r="3">
      <x v="2"/>
      <x v="2"/>
    </i>
    <i r="3">
      <x v="3"/>
      <x v="4"/>
    </i>
    <i r="2">
      <x v="3"/>
      <x/>
      <x v="1"/>
    </i>
    <i r="3">
      <x v="1"/>
      <x/>
    </i>
    <i r="4">
      <x v="1"/>
    </i>
    <i r="4">
      <x v="3"/>
    </i>
    <i r="2">
      <x v="4"/>
      <x/>
      <x/>
    </i>
    <i r="4">
      <x v="2"/>
    </i>
    <i r="4">
      <x v="3"/>
    </i>
    <i r="4">
      <x v="4"/>
    </i>
    <i r="3">
      <x v="2"/>
      <x v="1"/>
    </i>
    <i r="4">
      <x v="4"/>
    </i>
    <i r="1">
      <x v="3"/>
      <x/>
      <x/>
      <x/>
    </i>
    <i r="4">
      <x v="2"/>
    </i>
    <i r="4">
      <x v="3"/>
    </i>
    <i r="3">
      <x v="1"/>
      <x v="2"/>
    </i>
    <i r="3">
      <x v="2"/>
      <x v="4"/>
    </i>
    <i r="2">
      <x v="1"/>
      <x/>
      <x/>
    </i>
    <i r="4">
      <x v="1"/>
    </i>
    <i r="4">
      <x v="2"/>
    </i>
    <i r="4">
      <x v="3"/>
    </i>
    <i r="4">
      <x v="4"/>
    </i>
    <i r="3">
      <x v="1"/>
      <x/>
    </i>
    <i r="4">
      <x v="1"/>
    </i>
    <i r="4">
      <x v="3"/>
    </i>
    <i r="3">
      <x v="2"/>
      <x/>
    </i>
    <i r="4">
      <x v="1"/>
    </i>
    <i r="4">
      <x v="2"/>
    </i>
    <i r="2">
      <x v="2"/>
      <x/>
      <x v="2"/>
    </i>
    <i r="4">
      <x v="3"/>
    </i>
    <i r="3">
      <x v="1"/>
      <x v="2"/>
    </i>
    <i r="3">
      <x v="2"/>
      <x v="1"/>
    </i>
    <i r="2">
      <x v="3"/>
      <x v="1"/>
      <x v="3"/>
    </i>
    <i r="2">
      <x v="4"/>
      <x/>
      <x/>
    </i>
    <i r="4">
      <x v="3"/>
    </i>
    <i r="3">
      <x v="1"/>
      <x/>
    </i>
    <i r="1">
      <x v="4"/>
      <x/>
      <x v="2"/>
      <x/>
    </i>
    <i r="2">
      <x v="1"/>
      <x/>
      <x/>
    </i>
    <i r="4">
      <x v="1"/>
    </i>
    <i r="4">
      <x v="2"/>
    </i>
    <i r="4">
      <x v="3"/>
    </i>
    <i r="4">
      <x v="4"/>
    </i>
    <i r="3">
      <x v="1"/>
      <x v="1"/>
    </i>
    <i r="4">
      <x v="2"/>
    </i>
    <i r="4">
      <x v="3"/>
    </i>
    <i r="3">
      <x v="2"/>
      <x/>
    </i>
    <i r="4">
      <x v="1"/>
    </i>
    <i r="4">
      <x v="2"/>
    </i>
    <i r="4">
      <x v="3"/>
    </i>
    <i r="2">
      <x v="2"/>
      <x/>
      <x v="3"/>
    </i>
    <i r="4">
      <x v="4"/>
    </i>
    <i r="3">
      <x v="1"/>
      <x/>
    </i>
    <i r="4">
      <x v="1"/>
    </i>
    <i r="4">
      <x v="3"/>
    </i>
    <i r="4">
      <x v="4"/>
    </i>
    <i r="3">
      <x v="2"/>
      <x/>
    </i>
    <i r="2">
      <x v="3"/>
      <x/>
      <x/>
    </i>
    <i r="4">
      <x v="1"/>
    </i>
    <i r="4">
      <x v="3"/>
    </i>
    <i r="3">
      <x v="1"/>
      <x v="3"/>
    </i>
    <i r="3">
      <x v="2"/>
      <x v="4"/>
    </i>
    <i r="2">
      <x v="4"/>
      <x/>
      <x/>
    </i>
    <i r="4">
      <x v="2"/>
    </i>
    <i r="4">
      <x v="3"/>
    </i>
    <i r="3">
      <x v="1"/>
      <x v="2"/>
    </i>
    <i r="4">
      <x v="4"/>
    </i>
    <i r="3">
      <x v="2"/>
      <x v="1"/>
    </i>
    <i r="1">
      <x v="5"/>
      <x/>
      <x/>
      <x v="3"/>
    </i>
    <i r="3">
      <x v="2"/>
      <x v="2"/>
    </i>
    <i r="2">
      <x v="1"/>
      <x/>
      <x/>
    </i>
    <i r="4">
      <x v="1"/>
    </i>
    <i r="4">
      <x v="2"/>
    </i>
    <i r="4">
      <x v="3"/>
    </i>
    <i r="4">
      <x v="4"/>
    </i>
    <i r="3">
      <x v="1"/>
      <x/>
    </i>
    <i r="4">
      <x v="1"/>
    </i>
    <i r="4">
      <x v="2"/>
    </i>
    <i r="4">
      <x v="3"/>
    </i>
    <i r="4">
      <x v="4"/>
    </i>
    <i r="3">
      <x v="2"/>
      <x v="1"/>
    </i>
    <i r="4">
      <x v="2"/>
    </i>
    <i r="4">
      <x v="3"/>
    </i>
    <i r="3">
      <x v="3"/>
      <x v="2"/>
    </i>
    <i r="2">
      <x v="2"/>
      <x/>
      <x v="1"/>
    </i>
    <i r="4">
      <x v="2"/>
    </i>
    <i r="4">
      <x v="3"/>
    </i>
    <i r="3">
      <x v="1"/>
      <x v="1"/>
    </i>
    <i r="3">
      <x v="2"/>
      <x v="1"/>
    </i>
    <i r="2">
      <x v="3"/>
      <x/>
      <x v="4"/>
    </i>
    <i r="3">
      <x v="2"/>
      <x v="4"/>
    </i>
    <i r="2">
      <x v="4"/>
      <x/>
      <x/>
    </i>
    <i r="4">
      <x v="2"/>
    </i>
    <i r="4">
      <x v="3"/>
    </i>
    <i r="4">
      <x v="4"/>
    </i>
    <i r="3">
      <x v="1"/>
      <x v="2"/>
    </i>
    <i r="4">
      <x v="3"/>
    </i>
    <i r="1">
      <x v="6"/>
      <x/>
      <x/>
      <x/>
    </i>
    <i r="4">
      <x v="2"/>
    </i>
    <i r="4">
      <x v="4"/>
    </i>
    <i r="3">
      <x v="1"/>
      <x v="3"/>
    </i>
    <i r="3">
      <x v="2"/>
      <x v="4"/>
    </i>
    <i r="2">
      <x v="1"/>
      <x/>
      <x/>
    </i>
    <i r="4">
      <x v="1"/>
    </i>
    <i r="4">
      <x v="2"/>
    </i>
    <i r="4">
      <x v="3"/>
    </i>
    <i r="4">
      <x v="4"/>
    </i>
    <i r="3">
      <x v="1"/>
      <x v="4"/>
    </i>
    <i r="3">
      <x v="2"/>
      <x v="1"/>
    </i>
    <i r="4">
      <x v="2"/>
    </i>
    <i r="3">
      <x v="3"/>
      <x/>
    </i>
    <i r="2">
      <x v="2"/>
      <x/>
      <x v="1"/>
    </i>
    <i r="4">
      <x v="4"/>
    </i>
    <i r="3">
      <x v="1"/>
      <x v="1"/>
    </i>
    <i r="3">
      <x v="3"/>
      <x/>
    </i>
    <i r="2">
      <x v="3"/>
      <x/>
      <x v="3"/>
    </i>
    <i r="3">
      <x v="1"/>
      <x v="3"/>
    </i>
    <i r="3">
      <x v="2"/>
      <x/>
    </i>
    <i r="2">
      <x v="4"/>
      <x/>
      <x/>
    </i>
    <i r="4">
      <x v="1"/>
    </i>
    <i r="4">
      <x v="4"/>
    </i>
    <i r="3">
      <x v="1"/>
      <x v="4"/>
    </i>
    <i r="1">
      <x v="7"/>
      <x/>
      <x/>
      <x v="2"/>
    </i>
    <i r="4">
      <x v="3"/>
    </i>
    <i r="3">
      <x v="1"/>
      <x v="2"/>
    </i>
    <i r="4">
      <x v="4"/>
    </i>
    <i r="3">
      <x v="2"/>
      <x v="4"/>
    </i>
    <i r="2">
      <x v="1"/>
      <x/>
      <x/>
    </i>
    <i r="4">
      <x v="1"/>
    </i>
    <i r="4">
      <x v="2"/>
    </i>
    <i r="4">
      <x v="3"/>
    </i>
    <i r="3">
      <x v="1"/>
      <x/>
    </i>
    <i r="4">
      <x v="1"/>
    </i>
    <i r="4">
      <x v="2"/>
    </i>
    <i r="3">
      <x v="2"/>
      <x v="1"/>
    </i>
    <i r="3">
      <x v="3"/>
      <x v="1"/>
    </i>
    <i r="4">
      <x v="2"/>
    </i>
    <i r="4">
      <x v="4"/>
    </i>
    <i r="2">
      <x v="2"/>
      <x/>
      <x v="1"/>
    </i>
    <i r="4">
      <x v="2"/>
    </i>
    <i r="4">
      <x v="4"/>
    </i>
    <i r="3">
      <x v="1"/>
      <x v="1"/>
    </i>
    <i r="3">
      <x v="2"/>
      <x v="4"/>
    </i>
    <i r="2">
      <x v="3"/>
      <x/>
      <x v="3"/>
    </i>
    <i r="3">
      <x v="2"/>
      <x/>
    </i>
    <i r="2">
      <x v="4"/>
      <x/>
      <x/>
    </i>
    <i r="4">
      <x v="1"/>
    </i>
    <i r="4">
      <x v="2"/>
    </i>
    <i r="4">
      <x v="3"/>
    </i>
    <i r="4">
      <x v="4"/>
    </i>
    <i r="3">
      <x v="2"/>
      <x/>
    </i>
    <i r="1">
      <x v="8"/>
      <x/>
      <x/>
      <x/>
    </i>
    <i r="4">
      <x v="2"/>
    </i>
    <i r="4">
      <x v="4"/>
    </i>
    <i r="2">
      <x v="1"/>
      <x/>
      <x/>
    </i>
    <i r="4">
      <x v="1"/>
    </i>
    <i r="4">
      <x v="2"/>
    </i>
    <i r="4">
      <x v="3"/>
    </i>
    <i r="4">
      <x v="4"/>
    </i>
    <i r="3">
      <x v="1"/>
      <x/>
    </i>
    <i r="4">
      <x v="2"/>
    </i>
    <i r="3">
      <x v="2"/>
      <x v="2"/>
    </i>
    <i r="2">
      <x v="2"/>
      <x/>
      <x v="1"/>
    </i>
    <i r="4">
      <x v="2"/>
    </i>
    <i r="4">
      <x v="3"/>
    </i>
    <i r="4">
      <x v="4"/>
    </i>
    <i r="3">
      <x v="1"/>
      <x v="1"/>
    </i>
    <i r="4">
      <x v="2"/>
    </i>
    <i r="3">
      <x v="2"/>
      <x v="1"/>
    </i>
    <i r="4">
      <x v="2"/>
    </i>
    <i r="2">
      <x v="3"/>
      <x/>
      <x/>
    </i>
    <i r="4">
      <x v="1"/>
    </i>
    <i r="4">
      <x v="2"/>
    </i>
    <i r="4">
      <x v="3"/>
    </i>
    <i r="3">
      <x v="2"/>
      <x v="4"/>
    </i>
    <i r="2">
      <x v="4"/>
      <x/>
      <x v="2"/>
    </i>
    <i r="4">
      <x v="3"/>
    </i>
    <i r="4">
      <x v="4"/>
    </i>
    <i r="3">
      <x v="1"/>
      <x v="1"/>
    </i>
    <i r="4">
      <x v="3"/>
    </i>
    <i r="3">
      <x v="2"/>
      <x v="1"/>
    </i>
    <i r="3">
      <x v="3"/>
      <x v="1"/>
    </i>
    <i r="1">
      <x v="9"/>
      <x/>
      <x v="1"/>
      <x v="4"/>
    </i>
    <i r="2">
      <x v="1"/>
      <x/>
      <x/>
    </i>
    <i r="4">
      <x v="1"/>
    </i>
    <i r="4">
      <x v="2"/>
    </i>
    <i r="3">
      <x v="1"/>
      <x/>
    </i>
    <i r="4">
      <x v="1"/>
    </i>
    <i r="4">
      <x v="2"/>
    </i>
    <i r="3">
      <x v="2"/>
      <x v="2"/>
    </i>
    <i r="4">
      <x v="3"/>
    </i>
    <i r="2">
      <x v="2"/>
      <x/>
      <x v="1"/>
    </i>
    <i r="4">
      <x v="2"/>
    </i>
    <i r="4">
      <x v="3"/>
    </i>
    <i r="4">
      <x v="4"/>
    </i>
    <i r="3">
      <x v="1"/>
      <x/>
    </i>
    <i r="4">
      <x v="2"/>
    </i>
    <i r="4">
      <x v="3"/>
    </i>
    <i r="4">
      <x v="4"/>
    </i>
    <i r="3">
      <x v="3"/>
      <x/>
    </i>
    <i r="4">
      <x v="2"/>
    </i>
    <i r="2">
      <x v="3"/>
      <x/>
      <x v="2"/>
    </i>
    <i r="3">
      <x v="1"/>
      <x v="3"/>
    </i>
    <i r="2">
      <x v="4"/>
      <x/>
      <x v="1"/>
    </i>
    <i r="4">
      <x v="2"/>
    </i>
    <i r="4">
      <x v="3"/>
    </i>
    <i r="4">
      <x v="4"/>
    </i>
    <i r="3">
      <x v="1"/>
      <x/>
    </i>
    <i r="3">
      <x v="2"/>
      <x/>
    </i>
    <i r="1">
      <x v="10"/>
      <x/>
      <x/>
      <x v="2"/>
    </i>
    <i r="3">
      <x v="1"/>
      <x v="1"/>
    </i>
    <i r="4">
      <x v="2"/>
    </i>
    <i r="2">
      <x v="1"/>
      <x/>
      <x/>
    </i>
    <i r="4">
      <x v="1"/>
    </i>
    <i r="4">
      <x v="2"/>
    </i>
    <i r="4">
      <x v="3"/>
    </i>
    <i r="3">
      <x v="1"/>
      <x v="1"/>
    </i>
    <i r="4">
      <x v="2"/>
    </i>
    <i r="4">
      <x v="3"/>
    </i>
    <i r="4">
      <x v="4"/>
    </i>
    <i r="2">
      <x v="2"/>
      <x/>
      <x/>
    </i>
    <i r="4">
      <x v="2"/>
    </i>
    <i r="4">
      <x v="3"/>
    </i>
    <i r="4">
      <x v="4"/>
    </i>
    <i r="3">
      <x v="1"/>
      <x v="4"/>
    </i>
    <i r="3">
      <x v="2"/>
      <x v="2"/>
    </i>
    <i r="2">
      <x v="3"/>
      <x/>
      <x v="1"/>
    </i>
    <i r="4">
      <x v="4"/>
    </i>
    <i r="3">
      <x v="1"/>
      <x v="1"/>
    </i>
    <i r="4">
      <x v="2"/>
    </i>
    <i r="2">
      <x v="4"/>
      <x/>
      <x v="2"/>
    </i>
    <i r="4">
      <x v="3"/>
    </i>
    <i r="3">
      <x v="1"/>
      <x v="3"/>
    </i>
    <i r="4">
      <x v="4"/>
    </i>
    <i r="3">
      <x v="2"/>
      <x/>
    </i>
    <i r="4">
      <x v="2"/>
    </i>
    <i r="4">
      <x v="4"/>
    </i>
    <i r="1">
      <x v="11"/>
      <x v="1"/>
      <x/>
      <x/>
    </i>
    <i r="4">
      <x v="1"/>
    </i>
    <i r="4">
      <x v="2"/>
    </i>
    <i r="4">
      <x v="3"/>
    </i>
    <i r="4">
      <x v="4"/>
    </i>
    <i r="3">
      <x v="1"/>
      <x/>
    </i>
    <i r="4">
      <x v="1"/>
    </i>
    <i r="4">
      <x v="4"/>
    </i>
    <i r="3">
      <x v="2"/>
      <x v="1"/>
    </i>
    <i r="4">
      <x v="3"/>
    </i>
    <i r="2">
      <x v="2"/>
      <x/>
      <x/>
    </i>
    <i r="4">
      <x v="1"/>
    </i>
    <i r="4">
      <x v="2"/>
    </i>
    <i r="3">
      <x v="1"/>
      <x v="3"/>
    </i>
    <i r="3">
      <x v="2"/>
      <x v="2"/>
    </i>
    <i r="4">
      <x v="3"/>
    </i>
    <i r="3">
      <x v="3"/>
      <x v="2"/>
    </i>
    <i r="2">
      <x v="3"/>
      <x/>
      <x v="1"/>
    </i>
    <i r="4">
      <x v="2"/>
    </i>
    <i r="4">
      <x v="3"/>
    </i>
    <i r="4">
      <x v="4"/>
    </i>
    <i r="3">
      <x v="1"/>
      <x/>
    </i>
    <i r="3">
      <x v="3"/>
      <x v="1"/>
    </i>
    <i r="2">
      <x v="4"/>
      <x/>
      <x/>
    </i>
    <i r="4">
      <x v="2"/>
    </i>
    <i r="4">
      <x v="3"/>
    </i>
    <i r="4">
      <x v="4"/>
    </i>
    <i r="3">
      <x v="1"/>
      <x v="1"/>
    </i>
    <i r="4">
      <x v="3"/>
    </i>
    <i r="4">
      <x v="4"/>
    </i>
    <i r="3">
      <x v="2"/>
      <x/>
    </i>
    <i r="3">
      <x v="3"/>
      <x v="3"/>
    </i>
    <i>
      <x v="2"/>
      <x/>
      <x/>
      <x/>
      <x v="1"/>
    </i>
    <i r="4">
      <x v="4"/>
    </i>
    <i r="3">
      <x v="1"/>
      <x v="2"/>
    </i>
    <i r="2">
      <x v="1"/>
      <x/>
      <x/>
    </i>
    <i r="4">
      <x v="2"/>
    </i>
    <i r="4">
      <x v="3"/>
    </i>
    <i r="4">
      <x v="4"/>
    </i>
    <i r="3">
      <x v="1"/>
      <x/>
    </i>
    <i r="4">
      <x v="1"/>
    </i>
    <i r="3">
      <x v="2"/>
      <x v="1"/>
    </i>
    <i r="4">
      <x v="2"/>
    </i>
    <i r="4">
      <x v="3"/>
    </i>
    <i r="4">
      <x v="4"/>
    </i>
    <i r="3">
      <x v="3"/>
      <x v="2"/>
    </i>
    <i r="2">
      <x v="2"/>
      <x/>
      <x v="1"/>
    </i>
    <i r="3">
      <x v="1"/>
      <x v="2"/>
    </i>
    <i r="3">
      <x v="2"/>
      <x v="4"/>
    </i>
    <i r="3">
      <x v="3"/>
      <x v="4"/>
    </i>
    <i r="2">
      <x v="3"/>
      <x/>
      <x/>
    </i>
    <i r="4">
      <x v="1"/>
    </i>
    <i r="4">
      <x v="4"/>
    </i>
    <i r="3">
      <x v="1"/>
      <x v="4"/>
    </i>
    <i r="3">
      <x v="2"/>
      <x v="4"/>
    </i>
    <i r="2">
      <x v="4"/>
      <x/>
      <x v="1"/>
    </i>
    <i r="4">
      <x v="2"/>
    </i>
    <i r="4">
      <x v="3"/>
    </i>
    <i r="4">
      <x v="4"/>
    </i>
    <i r="3">
      <x v="1"/>
      <x v="2"/>
    </i>
    <i r="3">
      <x v="3"/>
      <x v="4"/>
    </i>
    <i r="1">
      <x v="1"/>
      <x/>
      <x/>
      <x/>
    </i>
    <i r="4">
      <x v="2"/>
    </i>
    <i r="2">
      <x v="1"/>
      <x/>
      <x/>
    </i>
    <i r="4">
      <x v="1"/>
    </i>
    <i r="4">
      <x v="2"/>
    </i>
    <i r="4">
      <x v="3"/>
    </i>
    <i r="4">
      <x v="4"/>
    </i>
    <i r="3">
      <x v="1"/>
      <x v="1"/>
    </i>
    <i r="4">
      <x v="4"/>
    </i>
    <i r="3">
      <x v="2"/>
      <x/>
    </i>
    <i r="2">
      <x v="2"/>
      <x/>
      <x v="1"/>
    </i>
    <i r="4">
      <x v="3"/>
    </i>
    <i r="4">
      <x v="4"/>
    </i>
    <i r="3">
      <x v="1"/>
      <x v="1"/>
    </i>
    <i r="2">
      <x v="3"/>
      <x/>
      <x v="1"/>
    </i>
    <i r="4">
      <x v="4"/>
    </i>
    <i r="3">
      <x v="1"/>
      <x/>
    </i>
    <i r="3">
      <x v="3"/>
      <x v="2"/>
    </i>
    <i r="2">
      <x v="4"/>
      <x/>
      <x v="1"/>
    </i>
    <i r="4">
      <x v="2"/>
    </i>
    <i r="4">
      <x v="3"/>
    </i>
    <i r="4">
      <x v="4"/>
    </i>
    <i r="3">
      <x v="1"/>
      <x/>
    </i>
    <i r="4">
      <x v="2"/>
    </i>
    <i r="3">
      <x v="2"/>
      <x v="3"/>
    </i>
    <i r="1">
      <x v="2"/>
      <x/>
      <x/>
      <x/>
    </i>
    <i r="4">
      <x v="1"/>
    </i>
    <i r="2">
      <x v="1"/>
      <x/>
      <x/>
    </i>
    <i r="4">
      <x v="1"/>
    </i>
    <i r="4">
      <x v="2"/>
    </i>
    <i r="4">
      <x v="3"/>
    </i>
    <i r="4">
      <x v="4"/>
    </i>
    <i r="3">
      <x v="1"/>
      <x v="1"/>
    </i>
    <i r="3">
      <x v="2"/>
      <x v="1"/>
    </i>
    <i r="4">
      <x v="3"/>
    </i>
    <i r="2">
      <x v="2"/>
      <x/>
      <x v="2"/>
    </i>
    <i r="4">
      <x v="4"/>
    </i>
    <i r="3">
      <x v="3"/>
      <x v="2"/>
    </i>
    <i r="2">
      <x v="3"/>
      <x/>
      <x/>
    </i>
    <i r="4">
      <x v="3"/>
    </i>
    <i r="2">
      <x v="4"/>
      <x/>
      <x v="1"/>
    </i>
    <i r="4">
      <x v="2"/>
    </i>
    <i r="4">
      <x v="3"/>
    </i>
    <i r="4">
      <x v="4"/>
    </i>
    <i r="3">
      <x v="1"/>
      <x v="1"/>
    </i>
    <i r="4">
      <x v="2"/>
    </i>
    <i r="4">
      <x v="4"/>
    </i>
    <i r="3">
      <x v="2"/>
      <x v="4"/>
    </i>
    <i r="1">
      <x v="3"/>
      <x/>
      <x/>
      <x/>
    </i>
    <i r="4">
      <x v="3"/>
    </i>
    <i r="3">
      <x v="1"/>
      <x v="1"/>
    </i>
    <i r="4">
      <x v="4"/>
    </i>
    <i r="2">
      <x v="1"/>
      <x/>
      <x/>
    </i>
    <i r="4">
      <x v="1"/>
    </i>
    <i r="4">
      <x v="2"/>
    </i>
    <i r="4">
      <x v="3"/>
    </i>
    <i r="4">
      <x v="4"/>
    </i>
    <i r="3">
      <x v="1"/>
      <x v="1"/>
    </i>
    <i r="4">
      <x v="4"/>
    </i>
    <i r="3">
      <x v="2"/>
      <x/>
    </i>
    <i r="4">
      <x v="4"/>
    </i>
    <i r="3">
      <x v="3"/>
      <x/>
    </i>
    <i r="4">
      <x v="1"/>
    </i>
    <i r="2">
      <x v="2"/>
      <x/>
      <x/>
    </i>
    <i r="4">
      <x v="1"/>
    </i>
    <i r="4">
      <x v="3"/>
    </i>
    <i r="4">
      <x v="4"/>
    </i>
    <i r="3">
      <x v="1"/>
      <x/>
    </i>
    <i r="4">
      <x v="2"/>
    </i>
    <i r="2">
      <x v="3"/>
      <x/>
      <x v="2"/>
    </i>
    <i r="4">
      <x v="3"/>
    </i>
    <i r="3">
      <x v="1"/>
      <x v="2"/>
    </i>
    <i r="2">
      <x v="4"/>
      <x/>
      <x/>
    </i>
    <i r="4">
      <x v="1"/>
    </i>
    <i r="4">
      <x v="2"/>
    </i>
    <i r="4">
      <x v="3"/>
    </i>
    <i r="4">
      <x v="4"/>
    </i>
    <i r="3">
      <x v="1"/>
      <x/>
    </i>
    <i r="4">
      <x v="3"/>
    </i>
    <i r="3">
      <x v="2"/>
      <x v="1"/>
    </i>
    <i r="1">
      <x v="4"/>
      <x/>
      <x/>
      <x/>
    </i>
    <i r="2">
      <x v="1"/>
      <x/>
      <x/>
    </i>
    <i r="4">
      <x v="1"/>
    </i>
    <i r="4">
      <x v="2"/>
    </i>
    <i r="4">
      <x v="3"/>
    </i>
    <i r="4">
      <x v="4"/>
    </i>
    <i r="3">
      <x v="1"/>
      <x/>
    </i>
    <i r="4">
      <x v="2"/>
    </i>
    <i r="4">
      <x v="4"/>
    </i>
    <i r="3">
      <x v="2"/>
      <x/>
    </i>
    <i r="4">
      <x v="1"/>
    </i>
    <i r="4">
      <x v="2"/>
    </i>
    <i r="4">
      <x v="3"/>
    </i>
    <i r="4">
      <x v="4"/>
    </i>
    <i r="3">
      <x v="3"/>
      <x v="1"/>
    </i>
    <i r="2">
      <x v="2"/>
      <x/>
      <x/>
    </i>
    <i r="4">
      <x v="3"/>
    </i>
    <i r="4">
      <x v="4"/>
    </i>
    <i r="3">
      <x v="1"/>
      <x/>
    </i>
    <i r="2">
      <x v="3"/>
      <x/>
      <x v="3"/>
    </i>
    <i r="4">
      <x v="4"/>
    </i>
    <i r="2">
      <x v="4"/>
      <x/>
      <x/>
    </i>
    <i r="4">
      <x v="1"/>
    </i>
    <i r="4">
      <x v="3"/>
    </i>
    <i r="3">
      <x v="1"/>
      <x v="4"/>
    </i>
    <i r="3">
      <x v="2"/>
      <x v="1"/>
    </i>
    <i r="3">
      <x v="3"/>
      <x v="4"/>
    </i>
    <i r="1">
      <x v="5"/>
      <x/>
      <x/>
      <x/>
    </i>
    <i r="2">
      <x v="1"/>
      <x/>
      <x/>
    </i>
    <i r="4">
      <x v="1"/>
    </i>
    <i r="4">
      <x v="2"/>
    </i>
    <i r="4">
      <x v="3"/>
    </i>
    <i r="4">
      <x v="4"/>
    </i>
    <i r="3">
      <x v="1"/>
      <x/>
    </i>
    <i r="4">
      <x v="3"/>
    </i>
    <i r="4">
      <x v="4"/>
    </i>
    <i r="3">
      <x v="2"/>
      <x/>
    </i>
    <i r="4">
      <x v="1"/>
    </i>
    <i r="4">
      <x v="2"/>
    </i>
    <i r="2">
      <x v="2"/>
      <x/>
      <x/>
    </i>
    <i r="4">
      <x v="1"/>
    </i>
    <i r="4">
      <x v="3"/>
    </i>
    <i r="4">
      <x v="4"/>
    </i>
    <i r="3">
      <x v="1"/>
      <x v="3"/>
    </i>
    <i r="4">
      <x v="4"/>
    </i>
    <i r="3">
      <x v="3"/>
      <x v="2"/>
    </i>
    <i r="2">
      <x v="3"/>
      <x/>
      <x v="1"/>
    </i>
    <i r="4">
      <x v="3"/>
    </i>
    <i r="4">
      <x v="4"/>
    </i>
    <i r="3">
      <x v="2"/>
      <x v="2"/>
    </i>
    <i r="3">
      <x v="3"/>
      <x v="3"/>
    </i>
    <i r="2">
      <x v="4"/>
      <x/>
      <x v="1"/>
    </i>
    <i r="4">
      <x v="2"/>
    </i>
    <i r="4">
      <x v="3"/>
    </i>
    <i r="4">
      <x v="4"/>
    </i>
    <i r="3">
      <x v="1"/>
      <x v="1"/>
    </i>
    <i r="4">
      <x v="4"/>
    </i>
    <i r="3">
      <x v="3"/>
      <x v="3"/>
    </i>
    <i r="1">
      <x v="6"/>
      <x/>
      <x/>
      <x v="4"/>
    </i>
    <i r="3">
      <x v="1"/>
      <x/>
    </i>
    <i r="2">
      <x v="1"/>
      <x/>
      <x/>
    </i>
    <i r="4">
      <x v="1"/>
    </i>
    <i r="4">
      <x v="2"/>
    </i>
    <i r="4">
      <x v="3"/>
    </i>
    <i r="4">
      <x v="4"/>
    </i>
    <i r="3">
      <x v="1"/>
      <x v="1"/>
    </i>
    <i r="4">
      <x v="2"/>
    </i>
    <i r="4">
      <x v="3"/>
    </i>
    <i r="4">
      <x v="4"/>
    </i>
    <i r="3">
      <x v="2"/>
      <x/>
    </i>
    <i r="4">
      <x v="3"/>
    </i>
    <i r="4">
      <x v="4"/>
    </i>
    <i r="2">
      <x v="2"/>
      <x/>
      <x/>
    </i>
    <i r="4">
      <x v="1"/>
    </i>
    <i r="4">
      <x v="4"/>
    </i>
    <i r="3">
      <x v="1"/>
      <x v="1"/>
    </i>
    <i r="4">
      <x v="2"/>
    </i>
    <i r="3">
      <x v="2"/>
      <x v="1"/>
    </i>
    <i r="4">
      <x v="2"/>
    </i>
    <i r="4">
      <x v="3"/>
    </i>
    <i r="2">
      <x v="3"/>
      <x/>
      <x v="3"/>
    </i>
    <i r="3">
      <x v="1"/>
      <x v="2"/>
    </i>
    <i r="3">
      <x v="2"/>
      <x/>
    </i>
    <i r="3">
      <x v="3"/>
      <x/>
    </i>
    <i r="2">
      <x v="4"/>
      <x/>
      <x/>
    </i>
    <i r="4">
      <x v="2"/>
    </i>
    <i r="3">
      <x v="1"/>
      <x v="1"/>
    </i>
    <i r="4">
      <x v="3"/>
    </i>
    <i r="3">
      <x v="2"/>
      <x v="4"/>
    </i>
    <i r="1">
      <x v="7"/>
      <x/>
      <x/>
      <x v="1"/>
    </i>
    <i r="4">
      <x v="3"/>
    </i>
    <i r="2">
      <x v="1"/>
      <x/>
      <x/>
    </i>
    <i r="4">
      <x v="1"/>
    </i>
    <i r="4">
      <x v="2"/>
    </i>
    <i r="3">
      <x v="1"/>
      <x/>
    </i>
    <i r="4">
      <x v="1"/>
    </i>
    <i r="4">
      <x v="3"/>
    </i>
    <i r="3">
      <x v="2"/>
      <x v="4"/>
    </i>
    <i r="2">
      <x v="2"/>
      <x/>
      <x/>
    </i>
    <i r="4">
      <x v="2"/>
    </i>
    <i r="4">
      <x v="3"/>
    </i>
    <i r="3">
      <x v="1"/>
      <x v="1"/>
    </i>
    <i r="4">
      <x v="3"/>
    </i>
    <i r="3">
      <x v="2"/>
      <x/>
    </i>
    <i r="3">
      <x v="3"/>
      <x v="4"/>
    </i>
    <i r="2">
      <x v="3"/>
      <x/>
      <x/>
    </i>
    <i r="4">
      <x v="1"/>
    </i>
    <i r="3">
      <x v="1"/>
      <x/>
    </i>
    <i r="4">
      <x v="1"/>
    </i>
    <i r="4">
      <x v="3"/>
    </i>
    <i r="2">
      <x v="4"/>
      <x/>
      <x v="1"/>
    </i>
    <i r="4">
      <x v="3"/>
    </i>
    <i r="4">
      <x v="4"/>
    </i>
    <i r="3">
      <x v="1"/>
      <x v="4"/>
    </i>
    <i r="1">
      <x v="8"/>
      <x/>
      <x v="2"/>
      <x v="3"/>
    </i>
    <i r="4">
      <x v="4"/>
    </i>
    <i r="3">
      <x v="3"/>
      <x v="4"/>
    </i>
    <i r="2">
      <x v="1"/>
      <x/>
      <x/>
    </i>
    <i r="4">
      <x v="3"/>
    </i>
    <i r="3">
      <x v="1"/>
      <x/>
    </i>
    <i r="4">
      <x v="1"/>
    </i>
    <i r="3">
      <x v="2"/>
      <x v="1"/>
    </i>
    <i r="3">
      <x v="3"/>
      <x v="1"/>
    </i>
    <i r="4">
      <x v="4"/>
    </i>
    <i r="2">
      <x v="2"/>
      <x/>
      <x v="1"/>
    </i>
    <i r="4">
      <x v="3"/>
    </i>
    <i r="4">
      <x v="4"/>
    </i>
    <i r="3">
      <x v="1"/>
      <x/>
    </i>
    <i r="4">
      <x v="1"/>
    </i>
    <i r="4">
      <x v="2"/>
    </i>
    <i r="3">
      <x v="2"/>
      <x v="1"/>
    </i>
    <i r="4">
      <x v="2"/>
    </i>
    <i r="3">
      <x v="3"/>
      <x v="4"/>
    </i>
    <i r="2">
      <x v="3"/>
      <x/>
      <x v="1"/>
    </i>
    <i r="4">
      <x v="2"/>
    </i>
    <i r="3">
      <x v="2"/>
      <x v="1"/>
    </i>
    <i r="3">
      <x v="3"/>
      <x v="1"/>
    </i>
    <i r="2">
      <x v="4"/>
      <x/>
      <x/>
    </i>
    <i r="4">
      <x v="1"/>
    </i>
    <i r="4">
      <x v="2"/>
    </i>
    <i r="3">
      <x v="3"/>
      <x v="1"/>
    </i>
    <i r="1">
      <x v="9"/>
      <x/>
      <x/>
      <x/>
    </i>
    <i r="2">
      <x v="1"/>
      <x/>
      <x/>
    </i>
    <i r="4">
      <x v="2"/>
    </i>
    <i r="4">
      <x v="3"/>
    </i>
    <i r="3">
      <x v="1"/>
      <x/>
    </i>
    <i r="4">
      <x v="1"/>
    </i>
    <i r="4">
      <x v="2"/>
    </i>
    <i r="4">
      <x v="4"/>
    </i>
    <i r="3">
      <x v="3"/>
      <x v="1"/>
    </i>
    <i r="2">
      <x v="2"/>
      <x/>
      <x/>
    </i>
    <i r="4">
      <x v="1"/>
    </i>
    <i r="4">
      <x v="2"/>
    </i>
    <i r="4">
      <x v="3"/>
    </i>
    <i r="3">
      <x v="1"/>
      <x v="2"/>
    </i>
    <i r="4">
      <x v="4"/>
    </i>
    <i r="3">
      <x v="2"/>
      <x v="3"/>
    </i>
    <i r="2">
      <x v="3"/>
      <x/>
      <x v="3"/>
    </i>
    <i r="3">
      <x v="1"/>
      <x v="2"/>
    </i>
    <i r="2">
      <x v="4"/>
      <x/>
      <x v="1"/>
    </i>
    <i r="4">
      <x v="2"/>
    </i>
    <i r="4">
      <x v="3"/>
    </i>
    <i r="4">
      <x v="4"/>
    </i>
    <i r="3">
      <x v="1"/>
      <x v="1"/>
    </i>
    <i r="4">
      <x v="3"/>
    </i>
    <i r="4">
      <x v="4"/>
    </i>
    <i r="3">
      <x v="2"/>
      <x v="1"/>
    </i>
    <i r="1">
      <x v="10"/>
      <x/>
      <x/>
      <x v="3"/>
    </i>
    <i r="2">
      <x v="1"/>
      <x/>
      <x/>
    </i>
    <i r="4">
      <x v="1"/>
    </i>
    <i r="4">
      <x v="2"/>
    </i>
    <i r="3">
      <x v="1"/>
      <x v="4"/>
    </i>
    <i r="3">
      <x v="2"/>
      <x v="1"/>
    </i>
    <i r="4">
      <x v="2"/>
    </i>
    <i r="4">
      <x v="3"/>
    </i>
    <i r="3">
      <x v="3"/>
      <x v="4"/>
    </i>
    <i r="2">
      <x v="2"/>
      <x/>
      <x v="1"/>
    </i>
    <i r="4">
      <x v="2"/>
    </i>
    <i r="4">
      <x v="3"/>
    </i>
    <i r="3">
      <x v="1"/>
      <x v="3"/>
    </i>
    <i r="2">
      <x v="3"/>
      <x/>
      <x v="2"/>
    </i>
    <i r="4">
      <x v="3"/>
    </i>
    <i r="3">
      <x v="1"/>
      <x/>
    </i>
    <i r="4">
      <x v="1"/>
    </i>
    <i r="3">
      <x v="2"/>
      <x v="3"/>
    </i>
    <i r="3">
      <x v="3"/>
      <x v="3"/>
    </i>
    <i r="2">
      <x v="4"/>
      <x/>
      <x v="3"/>
    </i>
    <i r="4">
      <x v="4"/>
    </i>
    <i r="3">
      <x v="1"/>
      <x v="2"/>
    </i>
    <i r="4">
      <x v="4"/>
    </i>
    <i r="3">
      <x v="2"/>
      <x v="3"/>
    </i>
    <i r="1">
      <x v="11"/>
      <x/>
      <x/>
      <x v="2"/>
    </i>
    <i r="4">
      <x v="3"/>
    </i>
    <i r="2">
      <x v="1"/>
      <x/>
      <x/>
    </i>
    <i r="4">
      <x v="1"/>
    </i>
    <i r="4">
      <x v="2"/>
    </i>
    <i r="4">
      <x v="3"/>
    </i>
    <i r="4">
      <x v="4"/>
    </i>
    <i r="3">
      <x v="1"/>
      <x v="2"/>
    </i>
    <i r="3">
      <x v="2"/>
      <x/>
    </i>
    <i r="3">
      <x v="3"/>
      <x v="1"/>
    </i>
    <i r="2">
      <x v="2"/>
      <x/>
      <x/>
    </i>
    <i r="4">
      <x v="2"/>
    </i>
    <i r="4">
      <x v="3"/>
    </i>
    <i r="3">
      <x v="2"/>
      <x v="1"/>
    </i>
    <i r="2">
      <x v="3"/>
      <x/>
      <x v="1"/>
    </i>
    <i r="4">
      <x v="2"/>
    </i>
    <i r="3">
      <x v="2"/>
      <x/>
    </i>
    <i r="2">
      <x v="4"/>
      <x/>
      <x/>
    </i>
    <i r="4">
      <x v="1"/>
    </i>
    <i r="4">
      <x v="4"/>
    </i>
    <i r="3">
      <x v="1"/>
      <x v="2"/>
    </i>
    <i>
      <x v="3"/>
      <x/>
      <x v="1"/>
      <x/>
      <x/>
    </i>
    <i r="4">
      <x v="1"/>
    </i>
    <i r="4">
      <x v="2"/>
    </i>
    <i r="4">
      <x v="3"/>
    </i>
    <i r="4">
      <x v="4"/>
    </i>
    <i r="3">
      <x v="1"/>
      <x/>
    </i>
    <i r="4">
      <x v="3"/>
    </i>
    <i r="3">
      <x v="2"/>
      <x/>
    </i>
    <i r="4">
      <x v="3"/>
    </i>
    <i r="3">
      <x v="3"/>
      <x v="1"/>
    </i>
    <i r="4">
      <x v="2"/>
    </i>
    <i r="2">
      <x v="2"/>
      <x/>
      <x/>
    </i>
    <i r="4">
      <x v="1"/>
    </i>
    <i r="4">
      <x v="3"/>
    </i>
    <i r="3">
      <x v="1"/>
      <x/>
    </i>
    <i r="3">
      <x v="3"/>
      <x/>
    </i>
    <i r="2">
      <x v="3"/>
      <x/>
      <x v="1"/>
    </i>
    <i r="4">
      <x v="3"/>
    </i>
    <i r="3">
      <x v="1"/>
      <x/>
    </i>
    <i r="3">
      <x v="2"/>
      <x v="4"/>
    </i>
    <i r="2">
      <x v="4"/>
      <x/>
      <x v="2"/>
    </i>
    <i r="4">
      <x v="3"/>
    </i>
    <i r="4">
      <x v="4"/>
    </i>
    <i r="3">
      <x v="1"/>
      <x v="1"/>
    </i>
    <i r="3">
      <x v="2"/>
      <x/>
    </i>
    <i r="4">
      <x v="1"/>
    </i>
    <i r="1">
      <x v="1"/>
      <x/>
      <x/>
      <x v="2"/>
    </i>
    <i r="3">
      <x v="2"/>
      <x v="1"/>
    </i>
    <i r="4">
      <x v="2"/>
    </i>
    <i r="2">
      <x v="1"/>
      <x/>
      <x/>
    </i>
    <i r="4">
      <x v="1"/>
    </i>
    <i r="4">
      <x v="2"/>
    </i>
    <i r="4">
      <x v="4"/>
    </i>
    <i r="3">
      <x v="1"/>
      <x v="1"/>
    </i>
    <i r="3">
      <x v="2"/>
      <x v="1"/>
    </i>
    <i r="3">
      <x v="3"/>
      <x v="3"/>
    </i>
    <i r="2">
      <x v="2"/>
      <x/>
      <x/>
    </i>
    <i r="4">
      <x v="2"/>
    </i>
    <i r="4">
      <x v="3"/>
    </i>
    <i r="4">
      <x v="4"/>
    </i>
    <i r="3">
      <x v="1"/>
      <x/>
    </i>
    <i r="4">
      <x v="3"/>
    </i>
    <i r="4">
      <x v="4"/>
    </i>
    <i r="3">
      <x v="3"/>
      <x/>
    </i>
    <i r="4">
      <x v="3"/>
    </i>
    <i r="2">
      <x v="3"/>
      <x/>
      <x v="2"/>
    </i>
    <i r="3">
      <x v="1"/>
      <x v="3"/>
    </i>
    <i r="4">
      <x v="4"/>
    </i>
    <i r="3">
      <x v="2"/>
      <x v="3"/>
    </i>
    <i r="2">
      <x v="4"/>
      <x/>
      <x/>
    </i>
    <i r="4">
      <x v="1"/>
    </i>
    <i r="4">
      <x v="3"/>
    </i>
    <i r="4">
      <x v="4"/>
    </i>
    <i r="3">
      <x v="1"/>
      <x v="4"/>
    </i>
    <i r="3">
      <x v="2"/>
      <x/>
    </i>
    <i r="1">
      <x v="2"/>
      <x/>
      <x/>
      <x v="4"/>
    </i>
    <i r="2">
      <x v="1"/>
      <x/>
      <x/>
    </i>
    <i r="4">
      <x v="1"/>
    </i>
    <i r="4">
      <x v="3"/>
    </i>
    <i r="4">
      <x v="4"/>
    </i>
    <i r="3">
      <x v="1"/>
      <x/>
    </i>
    <i r="4">
      <x v="2"/>
    </i>
    <i r="4">
      <x v="4"/>
    </i>
    <i r="3">
      <x v="2"/>
      <x v="1"/>
    </i>
    <i r="4">
      <x v="3"/>
    </i>
    <i r="3">
      <x v="3"/>
      <x v="1"/>
    </i>
    <i r="2">
      <x v="2"/>
      <x/>
      <x/>
    </i>
    <i r="4">
      <x v="1"/>
    </i>
    <i r="4">
      <x v="2"/>
    </i>
    <i r="3">
      <x v="1"/>
      <x v="3"/>
    </i>
    <i r="4">
      <x v="4"/>
    </i>
    <i r="3">
      <x v="3"/>
      <x v="1"/>
    </i>
    <i r="2">
      <x v="3"/>
      <x/>
      <x v="1"/>
    </i>
    <i r="4">
      <x v="2"/>
    </i>
    <i r="4">
      <x v="4"/>
    </i>
    <i r="3">
      <x v="1"/>
      <x v="3"/>
    </i>
    <i r="3">
      <x v="2"/>
      <x v="3"/>
    </i>
    <i r="3">
      <x v="3"/>
      <x v="2"/>
    </i>
    <i r="2">
      <x v="4"/>
      <x/>
      <x v="2"/>
    </i>
    <i r="1">
      <x v="3"/>
      <x/>
      <x v="2"/>
      <x v="1"/>
    </i>
    <i r="3">
      <x v="3"/>
      <x v="3"/>
    </i>
    <i r="2">
      <x v="1"/>
      <x/>
      <x/>
    </i>
    <i r="4">
      <x v="1"/>
    </i>
    <i r="4">
      <x v="2"/>
    </i>
    <i r="4">
      <x v="4"/>
    </i>
    <i r="3">
      <x v="1"/>
      <x/>
    </i>
    <i r="4">
      <x v="1"/>
    </i>
    <i r="4">
      <x v="2"/>
    </i>
    <i r="4">
      <x v="3"/>
    </i>
    <i r="4">
      <x v="4"/>
    </i>
    <i r="3">
      <x v="3"/>
      <x v="2"/>
    </i>
    <i r="2">
      <x v="2"/>
      <x/>
      <x/>
    </i>
    <i r="4">
      <x v="1"/>
    </i>
    <i r="4">
      <x v="3"/>
    </i>
    <i r="4">
      <x v="4"/>
    </i>
    <i r="3">
      <x v="1"/>
      <x v="2"/>
    </i>
    <i r="3">
      <x v="2"/>
      <x v="2"/>
    </i>
    <i r="2">
      <x v="3"/>
      <x/>
      <x v="2"/>
    </i>
    <i r="3">
      <x v="1"/>
      <x v="3"/>
    </i>
    <i r="2">
      <x v="4"/>
      <x/>
      <x/>
    </i>
    <i r="4">
      <x v="1"/>
    </i>
    <i r="3">
      <x v="1"/>
      <x/>
    </i>
    <i r="4">
      <x v="1"/>
    </i>
    <i r="4">
      <x v="3"/>
    </i>
    <i r="3">
      <x v="2"/>
      <x v="2"/>
    </i>
    <i r="4">
      <x v="3"/>
    </i>
    <i r="1">
      <x v="4"/>
      <x/>
      <x/>
      <x/>
    </i>
    <i r="4">
      <x v="3"/>
    </i>
    <i r="4">
      <x v="4"/>
    </i>
    <i r="3">
      <x v="1"/>
      <x v="3"/>
    </i>
    <i r="3">
      <x v="2"/>
      <x v="4"/>
    </i>
    <i r="3">
      <x v="3"/>
      <x v="3"/>
    </i>
    <i r="2">
      <x v="1"/>
      <x/>
      <x/>
    </i>
    <i r="4">
      <x v="1"/>
    </i>
    <i r="4">
      <x v="2"/>
    </i>
    <i r="4">
      <x v="3"/>
    </i>
    <i r="4">
      <x v="4"/>
    </i>
    <i r="3">
      <x v="1"/>
      <x/>
    </i>
    <i r="4">
      <x v="1"/>
    </i>
    <i r="4">
      <x v="3"/>
    </i>
    <i r="4">
      <x v="4"/>
    </i>
    <i r="3">
      <x v="2"/>
      <x/>
    </i>
    <i r="4">
      <x v="1"/>
    </i>
    <i r="4">
      <x v="2"/>
    </i>
    <i r="3">
      <x v="3"/>
      <x/>
    </i>
    <i r="4">
      <x v="2"/>
    </i>
    <i r="4">
      <x v="4"/>
    </i>
    <i r="2">
      <x v="2"/>
      <x/>
      <x v="1"/>
    </i>
    <i r="4">
      <x v="3"/>
    </i>
    <i r="4">
      <x v="4"/>
    </i>
    <i r="3">
      <x v="2"/>
      <x v="2"/>
    </i>
    <i r="2">
      <x v="3"/>
      <x/>
      <x v="1"/>
    </i>
    <i r="4">
      <x v="2"/>
    </i>
    <i r="4">
      <x v="3"/>
    </i>
    <i r="3">
      <x v="1"/>
      <x/>
    </i>
    <i r="2">
      <x v="4"/>
      <x/>
      <x/>
    </i>
    <i r="4">
      <x v="1"/>
    </i>
    <i r="4">
      <x v="3"/>
    </i>
    <i r="4">
      <x v="4"/>
    </i>
    <i r="3">
      <x v="1"/>
      <x/>
    </i>
    <i r="3">
      <x v="2"/>
      <x/>
    </i>
    <i r="4">
      <x v="1"/>
    </i>
    <i r="4">
      <x v="2"/>
    </i>
    <i r="4">
      <x v="4"/>
    </i>
    <i r="3">
      <x v="3"/>
      <x v="2"/>
    </i>
    <i r="1">
      <x v="5"/>
      <x/>
      <x v="1"/>
      <x v="2"/>
    </i>
    <i r="2">
      <x v="1"/>
      <x/>
      <x/>
    </i>
    <i r="4">
      <x v="1"/>
    </i>
    <i r="4">
      <x v="2"/>
    </i>
    <i r="4">
      <x v="3"/>
    </i>
    <i r="4">
      <x v="4"/>
    </i>
    <i r="3">
      <x v="1"/>
      <x v="1"/>
    </i>
    <i r="4">
      <x v="2"/>
    </i>
    <i r="4">
      <x v="3"/>
    </i>
    <i r="3">
      <x v="2"/>
      <x v="1"/>
    </i>
    <i r="4">
      <x v="3"/>
    </i>
    <i r="4">
      <x v="4"/>
    </i>
    <i r="3">
      <x v="3"/>
      <x v="3"/>
    </i>
    <i r="4">
      <x v="4"/>
    </i>
    <i r="2">
      <x v="2"/>
      <x/>
      <x v="2"/>
    </i>
    <i r="4">
      <x v="3"/>
    </i>
    <i r="4">
      <x v="4"/>
    </i>
    <i r="3">
      <x v="1"/>
      <x/>
    </i>
    <i r="3">
      <x v="2"/>
      <x/>
    </i>
    <i r="4">
      <x v="1"/>
    </i>
    <i r="2">
      <x v="3"/>
      <x/>
      <x/>
    </i>
    <i r="4">
      <x v="1"/>
    </i>
    <i r="4">
      <x v="2"/>
    </i>
    <i r="3">
      <x v="1"/>
      <x/>
    </i>
    <i r="2">
      <x v="4"/>
      <x/>
      <x v="1"/>
    </i>
    <i r="4">
      <x v="2"/>
    </i>
    <i r="4">
      <x v="3"/>
    </i>
    <i r="4">
      <x v="4"/>
    </i>
    <i r="3">
      <x v="1"/>
      <x/>
    </i>
    <i r="4">
      <x v="2"/>
    </i>
    <i r="4">
      <x v="4"/>
    </i>
    <i r="3">
      <x v="2"/>
      <x v="1"/>
    </i>
  </rowItems>
  <colItems count="1">
    <i/>
  </colItems>
  <dataFields count="1">
    <dataField name="Sum of sales" fld="13" baseField="0" baseItem="0"/>
  </dataFields>
  <formats count="1648">
    <format dxfId="24784">
      <pivotArea type="all" dataOnly="0" outline="0" fieldPosition="0"/>
    </format>
    <format dxfId="24785">
      <pivotArea outline="0" collapsedLevelsAreSubtotals="1" fieldPosition="0"/>
    </format>
    <format dxfId="24786">
      <pivotArea field="16" type="button" dataOnly="0" labelOnly="1" outline="0" axis="axisRow" fieldPosition="0"/>
    </format>
    <format dxfId="24787">
      <pivotArea field="15" type="button" dataOnly="0" labelOnly="1" outline="0" axis="axisRow" fieldPosition="1"/>
    </format>
    <format dxfId="24788">
      <pivotArea field="3" type="button" dataOnly="0" labelOnly="1" outline="0" axis="axisRow" fieldPosition="2"/>
    </format>
    <format dxfId="24789">
      <pivotArea field="5" type="button" dataOnly="0" labelOnly="1" outline="0" axis="axisRow" fieldPosition="3"/>
    </format>
    <format dxfId="24790">
      <pivotArea field="8" type="button" dataOnly="0" labelOnly="1" outline="0" axis="axisRow" fieldPosition="4"/>
    </format>
    <format dxfId="24791">
      <pivotArea dataOnly="0" labelOnly="1" outline="0" fieldPosition="0">
        <references count="1">
          <reference field="16" count="0"/>
        </references>
      </pivotArea>
    </format>
    <format dxfId="24792">
      <pivotArea dataOnly="0" labelOnly="1" outline="0" fieldPosition="0">
        <references count="2">
          <reference field="15" count="0"/>
          <reference field="16" count="1" selected="0">
            <x v="0"/>
          </reference>
        </references>
      </pivotArea>
    </format>
    <format dxfId="24793">
      <pivotArea dataOnly="0" labelOnly="1" outline="0" fieldPosition="0">
        <references count="2">
          <reference field="15" count="0"/>
          <reference field="16" count="1" selected="0">
            <x v="1"/>
          </reference>
        </references>
      </pivotArea>
    </format>
    <format dxfId="24794">
      <pivotArea dataOnly="0" labelOnly="1" outline="0" fieldPosition="0">
        <references count="2">
          <reference field="15" count="0"/>
          <reference field="16" count="1" selected="0">
            <x v="2"/>
          </reference>
        </references>
      </pivotArea>
    </format>
    <format dxfId="24795">
      <pivotArea dataOnly="0" labelOnly="1" outline="0" fieldPosition="0">
        <references count="2">
          <reference field="15" count="6">
            <x v="0"/>
            <x v="1"/>
            <x v="2"/>
            <x v="3"/>
            <x v="4"/>
            <x v="5"/>
          </reference>
          <reference field="16" count="1" selected="0">
            <x v="3"/>
          </reference>
        </references>
      </pivotArea>
    </format>
    <format dxfId="24796">
      <pivotArea dataOnly="0" labelOnly="1" outline="0" fieldPosition="0">
        <references count="3">
          <reference field="3" count="0"/>
          <reference field="15" count="1" selected="0">
            <x v="0"/>
          </reference>
          <reference field="16" count="1" selected="0">
            <x v="0"/>
          </reference>
        </references>
      </pivotArea>
    </format>
    <format dxfId="24797">
      <pivotArea dataOnly="0" labelOnly="1" outline="0" fieldPosition="0">
        <references count="3">
          <reference field="3" count="0"/>
          <reference field="15" count="1" selected="0">
            <x v="1"/>
          </reference>
          <reference field="16" count="1" selected="0">
            <x v="0"/>
          </reference>
        </references>
      </pivotArea>
    </format>
    <format dxfId="24798">
      <pivotArea dataOnly="0" labelOnly="1" outline="0" fieldPosition="0">
        <references count="3">
          <reference field="3" count="0"/>
          <reference field="15" count="1" selected="0">
            <x v="2"/>
          </reference>
          <reference field="16" count="1" selected="0">
            <x v="0"/>
          </reference>
        </references>
      </pivotArea>
    </format>
    <format dxfId="24799">
      <pivotArea dataOnly="0" labelOnly="1" outline="0" fieldPosition="0">
        <references count="3">
          <reference field="3" count="0"/>
          <reference field="15" count="1" selected="0">
            <x v="3"/>
          </reference>
          <reference field="16" count="1" selected="0">
            <x v="0"/>
          </reference>
        </references>
      </pivotArea>
    </format>
    <format dxfId="24800">
      <pivotArea dataOnly="0" labelOnly="1" outline="0" fieldPosition="0">
        <references count="3">
          <reference field="3" count="0"/>
          <reference field="15" count="1" selected="0">
            <x v="4"/>
          </reference>
          <reference field="16" count="1" selected="0">
            <x v="0"/>
          </reference>
        </references>
      </pivotArea>
    </format>
    <format dxfId="24801">
      <pivotArea dataOnly="0" labelOnly="1" outline="0" fieldPosition="0">
        <references count="3">
          <reference field="3" count="0"/>
          <reference field="15" count="1" selected="0">
            <x v="5"/>
          </reference>
          <reference field="16" count="1" selected="0">
            <x v="0"/>
          </reference>
        </references>
      </pivotArea>
    </format>
    <format dxfId="24802">
      <pivotArea dataOnly="0" labelOnly="1" outline="0" fieldPosition="0">
        <references count="3">
          <reference field="3" count="0"/>
          <reference field="15" count="1" selected="0">
            <x v="6"/>
          </reference>
          <reference field="16" count="1" selected="0">
            <x v="0"/>
          </reference>
        </references>
      </pivotArea>
    </format>
    <format dxfId="24803">
      <pivotArea dataOnly="0" labelOnly="1" outline="0" fieldPosition="0">
        <references count="3">
          <reference field="3" count="0"/>
          <reference field="15" count="1" selected="0">
            <x v="7"/>
          </reference>
          <reference field="16" count="1" selected="0">
            <x v="0"/>
          </reference>
        </references>
      </pivotArea>
    </format>
    <format dxfId="24804">
      <pivotArea dataOnly="0" labelOnly="1" outline="0" fieldPosition="0">
        <references count="3">
          <reference field="3" count="0"/>
          <reference field="15" count="1" selected="0">
            <x v="8"/>
          </reference>
          <reference field="16" count="1" selected="0">
            <x v="0"/>
          </reference>
        </references>
      </pivotArea>
    </format>
    <format dxfId="24805">
      <pivotArea dataOnly="0" labelOnly="1" outline="0" fieldPosition="0">
        <references count="3">
          <reference field="3" count="0"/>
          <reference field="15" count="1" selected="0">
            <x v="9"/>
          </reference>
          <reference field="16" count="1" selected="0">
            <x v="0"/>
          </reference>
        </references>
      </pivotArea>
    </format>
    <format dxfId="24806">
      <pivotArea dataOnly="0" labelOnly="1" outline="0" fieldPosition="0">
        <references count="3">
          <reference field="3" count="0"/>
          <reference field="15" count="1" selected="0">
            <x v="10"/>
          </reference>
          <reference field="16" count="1" selected="0">
            <x v="0"/>
          </reference>
        </references>
      </pivotArea>
    </format>
    <format dxfId="24807">
      <pivotArea dataOnly="0" labelOnly="1" outline="0" fieldPosition="0">
        <references count="3">
          <reference field="3" count="0"/>
          <reference field="15" count="1" selected="0">
            <x v="11"/>
          </reference>
          <reference field="16" count="1" selected="0">
            <x v="0"/>
          </reference>
        </references>
      </pivotArea>
    </format>
    <format dxfId="24808">
      <pivotArea dataOnly="0" labelOnly="1" outline="0" fieldPosition="0">
        <references count="3">
          <reference field="3" count="0"/>
          <reference field="15" count="1" selected="0">
            <x v="0"/>
          </reference>
          <reference field="16" count="1" selected="0">
            <x v="1"/>
          </reference>
        </references>
      </pivotArea>
    </format>
    <format dxfId="24809">
      <pivotArea dataOnly="0" labelOnly="1" outline="0" fieldPosition="0">
        <references count="3">
          <reference field="3" count="0"/>
          <reference field="15" count="1" selected="0">
            <x v="1"/>
          </reference>
          <reference field="16" count="1" selected="0">
            <x v="1"/>
          </reference>
        </references>
      </pivotArea>
    </format>
    <format dxfId="24810">
      <pivotArea dataOnly="0" labelOnly="1" outline="0" fieldPosition="0">
        <references count="3">
          <reference field="3" count="0"/>
          <reference field="15" count="1" selected="0">
            <x v="2"/>
          </reference>
          <reference field="16" count="1" selected="0">
            <x v="1"/>
          </reference>
        </references>
      </pivotArea>
    </format>
    <format dxfId="24811">
      <pivotArea dataOnly="0" labelOnly="1" outline="0" fieldPosition="0">
        <references count="3">
          <reference field="3" count="0"/>
          <reference field="15" count="1" selected="0">
            <x v="3"/>
          </reference>
          <reference field="16" count="1" selected="0">
            <x v="1"/>
          </reference>
        </references>
      </pivotArea>
    </format>
    <format dxfId="24812">
      <pivotArea dataOnly="0" labelOnly="1" outline="0" fieldPosition="0">
        <references count="3">
          <reference field="3" count="0"/>
          <reference field="15" count="1" selected="0">
            <x v="4"/>
          </reference>
          <reference field="16" count="1" selected="0">
            <x v="1"/>
          </reference>
        </references>
      </pivotArea>
    </format>
    <format dxfId="24813">
      <pivotArea dataOnly="0" labelOnly="1" outline="0" fieldPosition="0">
        <references count="3">
          <reference field="3" count="0"/>
          <reference field="15" count="1" selected="0">
            <x v="5"/>
          </reference>
          <reference field="16" count="1" selected="0">
            <x v="1"/>
          </reference>
        </references>
      </pivotArea>
    </format>
    <format dxfId="24814">
      <pivotArea dataOnly="0" labelOnly="1" outline="0" fieldPosition="0">
        <references count="3">
          <reference field="3" count="0"/>
          <reference field="15" count="1" selected="0">
            <x v="6"/>
          </reference>
          <reference field="16" count="1" selected="0">
            <x v="1"/>
          </reference>
        </references>
      </pivotArea>
    </format>
    <format dxfId="24815">
      <pivotArea dataOnly="0" labelOnly="1" outline="0" fieldPosition="0">
        <references count="3">
          <reference field="3" count="0"/>
          <reference field="15" count="1" selected="0">
            <x v="7"/>
          </reference>
          <reference field="16" count="1" selected="0">
            <x v="1"/>
          </reference>
        </references>
      </pivotArea>
    </format>
    <format dxfId="24816">
      <pivotArea dataOnly="0" labelOnly="1" outline="0" fieldPosition="0">
        <references count="3">
          <reference field="3" count="0"/>
          <reference field="15" count="1" selected="0">
            <x v="8"/>
          </reference>
          <reference field="16" count="1" selected="0">
            <x v="1"/>
          </reference>
        </references>
      </pivotArea>
    </format>
    <format dxfId="24817">
      <pivotArea dataOnly="0" labelOnly="1" outline="0" fieldPosition="0">
        <references count="3">
          <reference field="3" count="0"/>
          <reference field="15" count="1" selected="0">
            <x v="9"/>
          </reference>
          <reference field="16" count="1" selected="0">
            <x v="1"/>
          </reference>
        </references>
      </pivotArea>
    </format>
    <format dxfId="24818">
      <pivotArea dataOnly="0" labelOnly="1" outline="0" fieldPosition="0">
        <references count="3">
          <reference field="3" count="0"/>
          <reference field="15" count="1" selected="0">
            <x v="10"/>
          </reference>
          <reference field="16" count="1" selected="0">
            <x v="1"/>
          </reference>
        </references>
      </pivotArea>
    </format>
    <format dxfId="24819">
      <pivotArea dataOnly="0" labelOnly="1" outline="0" fieldPosition="0">
        <references count="3">
          <reference field="3" count="4">
            <x v="1"/>
            <x v="2"/>
            <x v="3"/>
            <x v="4"/>
          </reference>
          <reference field="15" count="1" selected="0">
            <x v="11"/>
          </reference>
          <reference field="16" count="1" selected="0">
            <x v="1"/>
          </reference>
        </references>
      </pivotArea>
    </format>
    <format dxfId="24820">
      <pivotArea dataOnly="0" labelOnly="1" outline="0" fieldPosition="0">
        <references count="3">
          <reference field="3" count="0"/>
          <reference field="15" count="1" selected="0">
            <x v="0"/>
          </reference>
          <reference field="16" count="1" selected="0">
            <x v="2"/>
          </reference>
        </references>
      </pivotArea>
    </format>
    <format dxfId="24821">
      <pivotArea dataOnly="0" labelOnly="1" outline="0" fieldPosition="0">
        <references count="3">
          <reference field="3" count="0"/>
          <reference field="15" count="1" selected="0">
            <x v="1"/>
          </reference>
          <reference field="16" count="1" selected="0">
            <x v="2"/>
          </reference>
        </references>
      </pivotArea>
    </format>
    <format dxfId="24822">
      <pivotArea dataOnly="0" labelOnly="1" outline="0" fieldPosition="0">
        <references count="3">
          <reference field="3" count="0"/>
          <reference field="15" count="1" selected="0">
            <x v="2"/>
          </reference>
          <reference field="16" count="1" selected="0">
            <x v="2"/>
          </reference>
        </references>
      </pivotArea>
    </format>
    <format dxfId="24823">
      <pivotArea dataOnly="0" labelOnly="1" outline="0" fieldPosition="0">
        <references count="3">
          <reference field="3" count="0"/>
          <reference field="15" count="1" selected="0">
            <x v="3"/>
          </reference>
          <reference field="16" count="1" selected="0">
            <x v="2"/>
          </reference>
        </references>
      </pivotArea>
    </format>
    <format dxfId="24824">
      <pivotArea dataOnly="0" labelOnly="1" outline="0" fieldPosition="0">
        <references count="3">
          <reference field="3" count="0"/>
          <reference field="15" count="1" selected="0">
            <x v="4"/>
          </reference>
          <reference field="16" count="1" selected="0">
            <x v="2"/>
          </reference>
        </references>
      </pivotArea>
    </format>
    <format dxfId="24825">
      <pivotArea dataOnly="0" labelOnly="1" outline="0" fieldPosition="0">
        <references count="3">
          <reference field="3" count="0"/>
          <reference field="15" count="1" selected="0">
            <x v="5"/>
          </reference>
          <reference field="16" count="1" selected="0">
            <x v="2"/>
          </reference>
        </references>
      </pivotArea>
    </format>
    <format dxfId="24826">
      <pivotArea dataOnly="0" labelOnly="1" outline="0" fieldPosition="0">
        <references count="3">
          <reference field="3" count="0"/>
          <reference field="15" count="1" selected="0">
            <x v="6"/>
          </reference>
          <reference field="16" count="1" selected="0">
            <x v="2"/>
          </reference>
        </references>
      </pivotArea>
    </format>
    <format dxfId="24827">
      <pivotArea dataOnly="0" labelOnly="1" outline="0" fieldPosition="0">
        <references count="3">
          <reference field="3" count="0"/>
          <reference field="15" count="1" selected="0">
            <x v="7"/>
          </reference>
          <reference field="16" count="1" selected="0">
            <x v="2"/>
          </reference>
        </references>
      </pivotArea>
    </format>
    <format dxfId="24828">
      <pivotArea dataOnly="0" labelOnly="1" outline="0" fieldPosition="0">
        <references count="3">
          <reference field="3" count="0"/>
          <reference field="15" count="1" selected="0">
            <x v="8"/>
          </reference>
          <reference field="16" count="1" selected="0">
            <x v="2"/>
          </reference>
        </references>
      </pivotArea>
    </format>
    <format dxfId="24829">
      <pivotArea dataOnly="0" labelOnly="1" outline="0" fieldPosition="0">
        <references count="3">
          <reference field="3" count="0"/>
          <reference field="15" count="1" selected="0">
            <x v="9"/>
          </reference>
          <reference field="16" count="1" selected="0">
            <x v="2"/>
          </reference>
        </references>
      </pivotArea>
    </format>
    <format dxfId="24830">
      <pivotArea dataOnly="0" labelOnly="1" outline="0" fieldPosition="0">
        <references count="3">
          <reference field="3" count="0"/>
          <reference field="15" count="1" selected="0">
            <x v="10"/>
          </reference>
          <reference field="16" count="1" selected="0">
            <x v="2"/>
          </reference>
        </references>
      </pivotArea>
    </format>
    <format dxfId="24831">
      <pivotArea dataOnly="0" labelOnly="1" outline="0" fieldPosition="0">
        <references count="3">
          <reference field="3" count="0"/>
          <reference field="15" count="1" selected="0">
            <x v="11"/>
          </reference>
          <reference field="16" count="1" selected="0">
            <x v="2"/>
          </reference>
        </references>
      </pivotArea>
    </format>
    <format dxfId="24832">
      <pivotArea dataOnly="0" labelOnly="1" outline="0" fieldPosition="0">
        <references count="3">
          <reference field="3" count="4">
            <x v="1"/>
            <x v="2"/>
            <x v="3"/>
            <x v="4"/>
          </reference>
          <reference field="15" count="1" selected="0">
            <x v="0"/>
          </reference>
          <reference field="16" count="1" selected="0">
            <x v="3"/>
          </reference>
        </references>
      </pivotArea>
    </format>
    <format dxfId="24833">
      <pivotArea dataOnly="0" labelOnly="1" outline="0" fieldPosition="0">
        <references count="3">
          <reference field="3" count="0"/>
          <reference field="15" count="1" selected="0">
            <x v="1"/>
          </reference>
          <reference field="16" count="1" selected="0">
            <x v="3"/>
          </reference>
        </references>
      </pivotArea>
    </format>
    <format dxfId="24834">
      <pivotArea dataOnly="0" labelOnly="1" outline="0" fieldPosition="0">
        <references count="3">
          <reference field="3" count="0"/>
          <reference field="15" count="1" selected="0">
            <x v="2"/>
          </reference>
          <reference field="16" count="1" selected="0">
            <x v="3"/>
          </reference>
        </references>
      </pivotArea>
    </format>
    <format dxfId="24835">
      <pivotArea dataOnly="0" labelOnly="1" outline="0" fieldPosition="0">
        <references count="3">
          <reference field="3" count="0"/>
          <reference field="15" count="1" selected="0">
            <x v="3"/>
          </reference>
          <reference field="16" count="1" selected="0">
            <x v="3"/>
          </reference>
        </references>
      </pivotArea>
    </format>
    <format dxfId="24836">
      <pivotArea dataOnly="0" labelOnly="1" outline="0" fieldPosition="0">
        <references count="3">
          <reference field="3" count="0"/>
          <reference field="15" count="1" selected="0">
            <x v="4"/>
          </reference>
          <reference field="16" count="1" selected="0">
            <x v="3"/>
          </reference>
        </references>
      </pivotArea>
    </format>
    <format dxfId="24837">
      <pivotArea dataOnly="0" labelOnly="1" outline="0" fieldPosition="0">
        <references count="3">
          <reference field="3" count="0"/>
          <reference field="15" count="1" selected="0">
            <x v="5"/>
          </reference>
          <reference field="16" count="1" selected="0">
            <x v="3"/>
          </reference>
        </references>
      </pivotArea>
    </format>
    <format dxfId="24838">
      <pivotArea dataOnly="0" labelOnly="1" outline="0" fieldPosition="0">
        <references count="4">
          <reference field="3" count="1" selected="0">
            <x v="0"/>
          </reference>
          <reference field="5" count="2">
            <x v="0"/>
            <x v="2"/>
          </reference>
          <reference field="15" count="1" selected="0">
            <x v="0"/>
          </reference>
          <reference field="16" count="1" selected="0">
            <x v="0"/>
          </reference>
        </references>
      </pivotArea>
    </format>
    <format dxfId="24839">
      <pivotArea dataOnly="0" labelOnly="1" outline="0" fieldPosition="0">
        <references count="4">
          <reference field="3" count="1" selected="0">
            <x v="1"/>
          </reference>
          <reference field="5" count="0"/>
          <reference field="15" count="1" selected="0">
            <x v="0"/>
          </reference>
          <reference field="16" count="1" selected="0">
            <x v="0"/>
          </reference>
        </references>
      </pivotArea>
    </format>
    <format dxfId="24840">
      <pivotArea dataOnly="0" labelOnly="1" outline="0" fieldPosition="0">
        <references count="4">
          <reference field="3" count="1" selected="0">
            <x v="2"/>
          </reference>
          <reference field="5" count="0"/>
          <reference field="15" count="1" selected="0">
            <x v="0"/>
          </reference>
          <reference field="16" count="1" selected="0">
            <x v="0"/>
          </reference>
        </references>
      </pivotArea>
    </format>
    <format dxfId="24841">
      <pivotArea dataOnly="0" labelOnly="1" outline="0" fieldPosition="0">
        <references count="4">
          <reference field="3" count="1" selected="0">
            <x v="3"/>
          </reference>
          <reference field="5" count="2">
            <x v="0"/>
            <x v="2"/>
          </reference>
          <reference field="15" count="1" selected="0">
            <x v="0"/>
          </reference>
          <reference field="16" count="1" selected="0">
            <x v="0"/>
          </reference>
        </references>
      </pivotArea>
    </format>
    <format dxfId="24842">
      <pivotArea dataOnly="0" labelOnly="1" outline="0" fieldPosition="0">
        <references count="4">
          <reference field="3" count="1" selected="0">
            <x v="4"/>
          </reference>
          <reference field="5" count="0"/>
          <reference field="15" count="1" selected="0">
            <x v="0"/>
          </reference>
          <reference field="16" count="1" selected="0">
            <x v="0"/>
          </reference>
        </references>
      </pivotArea>
    </format>
    <format dxfId="24843">
      <pivotArea dataOnly="0" labelOnly="1" outline="0" fieldPosition="0">
        <references count="4">
          <reference field="3" count="1" selected="0">
            <x v="0"/>
          </reference>
          <reference field="5" count="2">
            <x v="0"/>
            <x v="2"/>
          </reference>
          <reference field="15" count="1" selected="0">
            <x v="1"/>
          </reference>
          <reference field="16" count="1" selected="0">
            <x v="0"/>
          </reference>
        </references>
      </pivotArea>
    </format>
    <format dxfId="24844">
      <pivotArea dataOnly="0" labelOnly="1" outline="0" fieldPosition="0">
        <references count="4">
          <reference field="3" count="1" selected="0">
            <x v="1"/>
          </reference>
          <reference field="5" count="0"/>
          <reference field="15" count="1" selected="0">
            <x v="1"/>
          </reference>
          <reference field="16" count="1" selected="0">
            <x v="0"/>
          </reference>
        </references>
      </pivotArea>
    </format>
    <format dxfId="24845">
      <pivotArea dataOnly="0" labelOnly="1" outline="0" fieldPosition="0">
        <references count="4">
          <reference field="3" count="1" selected="0">
            <x v="2"/>
          </reference>
          <reference field="5" count="3">
            <x v="0"/>
            <x v="1"/>
            <x v="2"/>
          </reference>
          <reference field="15" count="1" selected="0">
            <x v="1"/>
          </reference>
          <reference field="16" count="1" selected="0">
            <x v="0"/>
          </reference>
        </references>
      </pivotArea>
    </format>
    <format dxfId="24846">
      <pivotArea dataOnly="0" labelOnly="1" outline="0" fieldPosition="0">
        <references count="4">
          <reference field="3" count="1" selected="0">
            <x v="3"/>
          </reference>
          <reference field="5" count="2">
            <x v="0"/>
            <x v="1"/>
          </reference>
          <reference field="15" count="1" selected="0">
            <x v="1"/>
          </reference>
          <reference field="16" count="1" selected="0">
            <x v="0"/>
          </reference>
        </references>
      </pivotArea>
    </format>
    <format dxfId="24847">
      <pivotArea dataOnly="0" labelOnly="1" outline="0" fieldPosition="0">
        <references count="4">
          <reference field="3" count="1" selected="0">
            <x v="4"/>
          </reference>
          <reference field="5" count="3">
            <x v="0"/>
            <x v="1"/>
            <x v="3"/>
          </reference>
          <reference field="15" count="1" selected="0">
            <x v="1"/>
          </reference>
          <reference field="16" count="1" selected="0">
            <x v="0"/>
          </reference>
        </references>
      </pivotArea>
    </format>
    <format dxfId="24848">
      <pivotArea dataOnly="0" labelOnly="1" outline="0" fieldPosition="0">
        <references count="4">
          <reference field="3" count="1" selected="0">
            <x v="0"/>
          </reference>
          <reference field="5" count="3">
            <x v="0"/>
            <x v="1"/>
            <x v="2"/>
          </reference>
          <reference field="15" count="1" selected="0">
            <x v="2"/>
          </reference>
          <reference field="16" count="1" selected="0">
            <x v="0"/>
          </reference>
        </references>
      </pivotArea>
    </format>
    <format dxfId="24849">
      <pivotArea dataOnly="0" labelOnly="1" outline="0" fieldPosition="0">
        <references count="4">
          <reference field="3" count="1" selected="0">
            <x v="1"/>
          </reference>
          <reference field="5" count="3">
            <x v="0"/>
            <x v="1"/>
            <x v="2"/>
          </reference>
          <reference field="15" count="1" selected="0">
            <x v="2"/>
          </reference>
          <reference field="16" count="1" selected="0">
            <x v="0"/>
          </reference>
        </references>
      </pivotArea>
    </format>
    <format dxfId="24850">
      <pivotArea dataOnly="0" labelOnly="1" outline="0" fieldPosition="0">
        <references count="4">
          <reference field="3" count="1" selected="0">
            <x v="2"/>
          </reference>
          <reference field="5" count="2">
            <x v="0"/>
            <x v="3"/>
          </reference>
          <reference field="15" count="1" selected="0">
            <x v="2"/>
          </reference>
          <reference field="16" count="1" selected="0">
            <x v="0"/>
          </reference>
        </references>
      </pivotArea>
    </format>
    <format dxfId="24851">
      <pivotArea dataOnly="0" labelOnly="1" outline="0" fieldPosition="0">
        <references count="4">
          <reference field="3" count="1" selected="0">
            <x v="3"/>
          </reference>
          <reference field="5" count="3">
            <x v="0"/>
            <x v="1"/>
            <x v="3"/>
          </reference>
          <reference field="15" count="1" selected="0">
            <x v="2"/>
          </reference>
          <reference field="16" count="1" selected="0">
            <x v="0"/>
          </reference>
        </references>
      </pivotArea>
    </format>
    <format dxfId="24852">
      <pivotArea dataOnly="0" labelOnly="1" outline="0" fieldPosition="0">
        <references count="4">
          <reference field="3" count="1" selected="0">
            <x v="4"/>
          </reference>
          <reference field="5" count="3">
            <x v="0"/>
            <x v="1"/>
            <x v="2"/>
          </reference>
          <reference field="15" count="1" selected="0">
            <x v="2"/>
          </reference>
          <reference field="16" count="1" selected="0">
            <x v="0"/>
          </reference>
        </references>
      </pivotArea>
    </format>
    <format dxfId="24853">
      <pivotArea dataOnly="0" labelOnly="1" outline="0" fieldPosition="0">
        <references count="4">
          <reference field="3" count="1" selected="0">
            <x v="0"/>
          </reference>
          <reference field="5" count="3">
            <x v="0"/>
            <x v="1"/>
            <x v="2"/>
          </reference>
          <reference field="15" count="1" selected="0">
            <x v="3"/>
          </reference>
          <reference field="16" count="1" selected="0">
            <x v="0"/>
          </reference>
        </references>
      </pivotArea>
    </format>
    <format dxfId="24854">
      <pivotArea dataOnly="0" labelOnly="1" outline="0" fieldPosition="0">
        <references count="4">
          <reference field="3" count="1" selected="0">
            <x v="1"/>
          </reference>
          <reference field="5" count="3">
            <x v="0"/>
            <x v="1"/>
            <x v="2"/>
          </reference>
          <reference field="15" count="1" selected="0">
            <x v="3"/>
          </reference>
          <reference field="16" count="1" selected="0">
            <x v="0"/>
          </reference>
        </references>
      </pivotArea>
    </format>
    <format dxfId="24855">
      <pivotArea dataOnly="0" labelOnly="1" outline="0" fieldPosition="0">
        <references count="4">
          <reference field="3" count="1" selected="0">
            <x v="2"/>
          </reference>
          <reference field="5" count="2">
            <x v="0"/>
            <x v="1"/>
          </reference>
          <reference field="15" count="1" selected="0">
            <x v="3"/>
          </reference>
          <reference field="16" count="1" selected="0">
            <x v="0"/>
          </reference>
        </references>
      </pivotArea>
    </format>
    <format dxfId="24856">
      <pivotArea dataOnly="0" labelOnly="1" outline="0" fieldPosition="0">
        <references count="4">
          <reference field="3" count="1" selected="0">
            <x v="3"/>
          </reference>
          <reference field="5" count="3">
            <x v="0"/>
            <x v="1"/>
            <x v="2"/>
          </reference>
          <reference field="15" count="1" selected="0">
            <x v="3"/>
          </reference>
          <reference field="16" count="1" selected="0">
            <x v="0"/>
          </reference>
        </references>
      </pivotArea>
    </format>
    <format dxfId="24857">
      <pivotArea dataOnly="0" labelOnly="1" outline="0" fieldPosition="0">
        <references count="4">
          <reference field="3" count="1" selected="0">
            <x v="4"/>
          </reference>
          <reference field="5" count="0"/>
          <reference field="15" count="1" selected="0">
            <x v="3"/>
          </reference>
          <reference field="16" count="1" selected="0">
            <x v="0"/>
          </reference>
        </references>
      </pivotArea>
    </format>
    <format dxfId="24858">
      <pivotArea dataOnly="0" labelOnly="1" outline="0" fieldPosition="0">
        <references count="4">
          <reference field="3" count="1" selected="0">
            <x v="0"/>
          </reference>
          <reference field="5" count="1">
            <x v="1"/>
          </reference>
          <reference field="15" count="1" selected="0">
            <x v="4"/>
          </reference>
          <reference field="16" count="1" selected="0">
            <x v="0"/>
          </reference>
        </references>
      </pivotArea>
    </format>
    <format dxfId="24859">
      <pivotArea dataOnly="0" labelOnly="1" outline="0" fieldPosition="0">
        <references count="4">
          <reference field="3" count="1" selected="0">
            <x v="1"/>
          </reference>
          <reference field="5" count="0"/>
          <reference field="15" count="1" selected="0">
            <x v="4"/>
          </reference>
          <reference field="16" count="1" selected="0">
            <x v="0"/>
          </reference>
        </references>
      </pivotArea>
    </format>
    <format dxfId="24860">
      <pivotArea dataOnly="0" labelOnly="1" outline="0" fieldPosition="0">
        <references count="4">
          <reference field="3" count="1" selected="0">
            <x v="2"/>
          </reference>
          <reference field="5" count="2">
            <x v="0"/>
            <x v="2"/>
          </reference>
          <reference field="15" count="1" selected="0">
            <x v="4"/>
          </reference>
          <reference field="16" count="1" selected="0">
            <x v="0"/>
          </reference>
        </references>
      </pivotArea>
    </format>
    <format dxfId="24861">
      <pivotArea dataOnly="0" labelOnly="1" outline="0" fieldPosition="0">
        <references count="4">
          <reference field="3" count="1" selected="0">
            <x v="3"/>
          </reference>
          <reference field="5" count="1">
            <x v="0"/>
          </reference>
          <reference field="15" count="1" selected="0">
            <x v="4"/>
          </reference>
          <reference field="16" count="1" selected="0">
            <x v="0"/>
          </reference>
        </references>
      </pivotArea>
    </format>
    <format dxfId="24862">
      <pivotArea dataOnly="0" labelOnly="1" outline="0" fieldPosition="0">
        <references count="4">
          <reference field="3" count="1" selected="0">
            <x v="4"/>
          </reference>
          <reference field="5" count="3">
            <x v="1"/>
            <x v="2"/>
            <x v="3"/>
          </reference>
          <reference field="15" count="1" selected="0">
            <x v="4"/>
          </reference>
          <reference field="16" count="1" selected="0">
            <x v="0"/>
          </reference>
        </references>
      </pivotArea>
    </format>
    <format dxfId="24863">
      <pivotArea dataOnly="0" labelOnly="1" outline="0" fieldPosition="0">
        <references count="4">
          <reference field="3" count="1" selected="0">
            <x v="0"/>
          </reference>
          <reference field="5" count="3">
            <x v="0"/>
            <x v="1"/>
            <x v="3"/>
          </reference>
          <reference field="15" count="1" selected="0">
            <x v="5"/>
          </reference>
          <reference field="16" count="1" selected="0">
            <x v="0"/>
          </reference>
        </references>
      </pivotArea>
    </format>
    <format dxfId="24864">
      <pivotArea dataOnly="0" labelOnly="1" outline="0" fieldPosition="0">
        <references count="4">
          <reference field="3" count="1" selected="0">
            <x v="1"/>
          </reference>
          <reference field="5" count="0"/>
          <reference field="15" count="1" selected="0">
            <x v="5"/>
          </reference>
          <reference field="16" count="1" selected="0">
            <x v="0"/>
          </reference>
        </references>
      </pivotArea>
    </format>
    <format dxfId="24865">
      <pivotArea dataOnly="0" labelOnly="1" outline="0" fieldPosition="0">
        <references count="4">
          <reference field="3" count="1" selected="0">
            <x v="2"/>
          </reference>
          <reference field="5" count="3">
            <x v="0"/>
            <x v="1"/>
            <x v="3"/>
          </reference>
          <reference field="15" count="1" selected="0">
            <x v="5"/>
          </reference>
          <reference field="16" count="1" selected="0">
            <x v="0"/>
          </reference>
        </references>
      </pivotArea>
    </format>
    <format dxfId="24866">
      <pivotArea dataOnly="0" labelOnly="1" outline="0" fieldPosition="0">
        <references count="4">
          <reference field="3" count="1" selected="0">
            <x v="3"/>
          </reference>
          <reference field="5" count="3">
            <x v="0"/>
            <x v="1"/>
            <x v="2"/>
          </reference>
          <reference field="15" count="1" selected="0">
            <x v="5"/>
          </reference>
          <reference field="16" count="1" selected="0">
            <x v="0"/>
          </reference>
        </references>
      </pivotArea>
    </format>
    <format dxfId="24867">
      <pivotArea dataOnly="0" labelOnly="1" outline="0" fieldPosition="0">
        <references count="4">
          <reference field="3" count="1" selected="0">
            <x v="4"/>
          </reference>
          <reference field="5" count="3">
            <x v="0"/>
            <x v="1"/>
            <x v="2"/>
          </reference>
          <reference field="15" count="1" selected="0">
            <x v="5"/>
          </reference>
          <reference field="16" count="1" selected="0">
            <x v="0"/>
          </reference>
        </references>
      </pivotArea>
    </format>
    <format dxfId="24868">
      <pivotArea dataOnly="0" labelOnly="1" outline="0" fieldPosition="0">
        <references count="4">
          <reference field="3" count="1" selected="0">
            <x v="0"/>
          </reference>
          <reference field="5" count="2">
            <x v="0"/>
            <x v="1"/>
          </reference>
          <reference field="15" count="1" selected="0">
            <x v="6"/>
          </reference>
          <reference field="16" count="1" selected="0">
            <x v="0"/>
          </reference>
        </references>
      </pivotArea>
    </format>
    <format dxfId="24869">
      <pivotArea dataOnly="0" labelOnly="1" outline="0" fieldPosition="0">
        <references count="4">
          <reference field="3" count="1" selected="0">
            <x v="1"/>
          </reference>
          <reference field="5" count="3">
            <x v="0"/>
            <x v="1"/>
            <x v="2"/>
          </reference>
          <reference field="15" count="1" selected="0">
            <x v="6"/>
          </reference>
          <reference field="16" count="1" selected="0">
            <x v="0"/>
          </reference>
        </references>
      </pivotArea>
    </format>
    <format dxfId="24870">
      <pivotArea dataOnly="0" labelOnly="1" outline="0" fieldPosition="0">
        <references count="4">
          <reference field="3" count="1" selected="0">
            <x v="2"/>
          </reference>
          <reference field="5" count="3">
            <x v="0"/>
            <x v="1"/>
            <x v="3"/>
          </reference>
          <reference field="15" count="1" selected="0">
            <x v="6"/>
          </reference>
          <reference field="16" count="1" selected="0">
            <x v="0"/>
          </reference>
        </references>
      </pivotArea>
    </format>
    <format dxfId="24871">
      <pivotArea dataOnly="0" labelOnly="1" outline="0" fieldPosition="0">
        <references count="4">
          <reference field="3" count="1" selected="0">
            <x v="3"/>
          </reference>
          <reference field="5" count="0"/>
          <reference field="15" count="1" selected="0">
            <x v="6"/>
          </reference>
          <reference field="16" count="1" selected="0">
            <x v="0"/>
          </reference>
        </references>
      </pivotArea>
    </format>
    <format dxfId="24872">
      <pivotArea dataOnly="0" labelOnly="1" outline="0" fieldPosition="0">
        <references count="4">
          <reference field="3" count="1" selected="0">
            <x v="4"/>
          </reference>
          <reference field="5" count="2">
            <x v="0"/>
            <x v="2"/>
          </reference>
          <reference field="15" count="1" selected="0">
            <x v="6"/>
          </reference>
          <reference field="16" count="1" selected="0">
            <x v="0"/>
          </reference>
        </references>
      </pivotArea>
    </format>
    <format dxfId="24873">
      <pivotArea dataOnly="0" labelOnly="1" outline="0" fieldPosition="0">
        <references count="4">
          <reference field="3" count="1" selected="0">
            <x v="0"/>
          </reference>
          <reference field="5" count="2">
            <x v="0"/>
            <x v="1"/>
          </reference>
          <reference field="15" count="1" selected="0">
            <x v="7"/>
          </reference>
          <reference field="16" count="1" selected="0">
            <x v="0"/>
          </reference>
        </references>
      </pivotArea>
    </format>
    <format dxfId="24874">
      <pivotArea dataOnly="0" labelOnly="1" outline="0" fieldPosition="0">
        <references count="4">
          <reference field="3" count="1" selected="0">
            <x v="1"/>
          </reference>
          <reference field="5" count="0"/>
          <reference field="15" count="1" selected="0">
            <x v="7"/>
          </reference>
          <reference field="16" count="1" selected="0">
            <x v="0"/>
          </reference>
        </references>
      </pivotArea>
    </format>
    <format dxfId="24875">
      <pivotArea dataOnly="0" labelOnly="1" outline="0" fieldPosition="0">
        <references count="4">
          <reference field="3" count="1" selected="0">
            <x v="2"/>
          </reference>
          <reference field="5" count="2">
            <x v="0"/>
            <x v="1"/>
          </reference>
          <reference field="15" count="1" selected="0">
            <x v="7"/>
          </reference>
          <reference field="16" count="1" selected="0">
            <x v="0"/>
          </reference>
        </references>
      </pivotArea>
    </format>
    <format dxfId="24876">
      <pivotArea dataOnly="0" labelOnly="1" outline="0" fieldPosition="0">
        <references count="4">
          <reference field="3" count="1" selected="0">
            <x v="3"/>
          </reference>
          <reference field="5" count="2">
            <x v="0"/>
            <x v="1"/>
          </reference>
          <reference field="15" count="1" selected="0">
            <x v="7"/>
          </reference>
          <reference field="16" count="1" selected="0">
            <x v="0"/>
          </reference>
        </references>
      </pivotArea>
    </format>
    <format dxfId="24877">
      <pivotArea dataOnly="0" labelOnly="1" outline="0" fieldPosition="0">
        <references count="4">
          <reference field="3" count="1" selected="0">
            <x v="4"/>
          </reference>
          <reference field="5" count="3">
            <x v="0"/>
            <x v="1"/>
            <x v="2"/>
          </reference>
          <reference field="15" count="1" selected="0">
            <x v="7"/>
          </reference>
          <reference field="16" count="1" selected="0">
            <x v="0"/>
          </reference>
        </references>
      </pivotArea>
    </format>
    <format dxfId="24878">
      <pivotArea dataOnly="0" labelOnly="1" outline="0" fieldPosition="0">
        <references count="4">
          <reference field="3" count="1" selected="0">
            <x v="0"/>
          </reference>
          <reference field="5" count="2">
            <x v="0"/>
            <x v="1"/>
          </reference>
          <reference field="15" count="1" selected="0">
            <x v="8"/>
          </reference>
          <reference field="16" count="1" selected="0">
            <x v="0"/>
          </reference>
        </references>
      </pivotArea>
    </format>
    <format dxfId="24879">
      <pivotArea dataOnly="0" labelOnly="1" outline="0" fieldPosition="0">
        <references count="4">
          <reference field="3" count="1" selected="0">
            <x v="1"/>
          </reference>
          <reference field="5" count="3">
            <x v="0"/>
            <x v="1"/>
            <x v="2"/>
          </reference>
          <reference field="15" count="1" selected="0">
            <x v="8"/>
          </reference>
          <reference field="16" count="1" selected="0">
            <x v="0"/>
          </reference>
        </references>
      </pivotArea>
    </format>
    <format dxfId="24880">
      <pivotArea dataOnly="0" labelOnly="1" outline="0" fieldPosition="0">
        <references count="4">
          <reference field="3" count="1" selected="0">
            <x v="2"/>
          </reference>
          <reference field="5" count="3">
            <x v="0"/>
            <x v="1"/>
            <x v="3"/>
          </reference>
          <reference field="15" count="1" selected="0">
            <x v="8"/>
          </reference>
          <reference field="16" count="1" selected="0">
            <x v="0"/>
          </reference>
        </references>
      </pivotArea>
    </format>
    <format dxfId="24881">
      <pivotArea dataOnly="0" labelOnly="1" outline="0" fieldPosition="0">
        <references count="4">
          <reference field="3" count="1" selected="0">
            <x v="3"/>
          </reference>
          <reference field="5" count="1">
            <x v="1"/>
          </reference>
          <reference field="15" count="1" selected="0">
            <x v="8"/>
          </reference>
          <reference field="16" count="1" selected="0">
            <x v="0"/>
          </reference>
        </references>
      </pivotArea>
    </format>
    <format dxfId="24882">
      <pivotArea dataOnly="0" labelOnly="1" outline="0" fieldPosition="0">
        <references count="4">
          <reference field="3" count="1" selected="0">
            <x v="4"/>
          </reference>
          <reference field="5" count="3">
            <x v="0"/>
            <x v="1"/>
            <x v="2"/>
          </reference>
          <reference field="15" count="1" selected="0">
            <x v="8"/>
          </reference>
          <reference field="16" count="1" selected="0">
            <x v="0"/>
          </reference>
        </references>
      </pivotArea>
    </format>
    <format dxfId="24883">
      <pivotArea dataOnly="0" labelOnly="1" outline="0" fieldPosition="0">
        <references count="4">
          <reference field="3" count="1" selected="0">
            <x v="0"/>
          </reference>
          <reference field="5" count="1">
            <x v="0"/>
          </reference>
          <reference field="15" count="1" selected="0">
            <x v="9"/>
          </reference>
          <reference field="16" count="1" selected="0">
            <x v="0"/>
          </reference>
        </references>
      </pivotArea>
    </format>
    <format dxfId="24884">
      <pivotArea dataOnly="0" labelOnly="1" outline="0" fieldPosition="0">
        <references count="4">
          <reference field="3" count="1" selected="0">
            <x v="1"/>
          </reference>
          <reference field="5" count="2">
            <x v="1"/>
            <x v="2"/>
          </reference>
          <reference field="15" count="1" selected="0">
            <x v="9"/>
          </reference>
          <reference field="16" count="1" selected="0">
            <x v="0"/>
          </reference>
        </references>
      </pivotArea>
    </format>
    <format dxfId="24885">
      <pivotArea dataOnly="0" labelOnly="1" outline="0" fieldPosition="0">
        <references count="4">
          <reference field="3" count="1" selected="0">
            <x v="2"/>
          </reference>
          <reference field="5" count="3">
            <x v="0"/>
            <x v="1"/>
            <x v="2"/>
          </reference>
          <reference field="15" count="1" selected="0">
            <x v="9"/>
          </reference>
          <reference field="16" count="1" selected="0">
            <x v="0"/>
          </reference>
        </references>
      </pivotArea>
    </format>
    <format dxfId="24886">
      <pivotArea dataOnly="0" labelOnly="1" outline="0" fieldPosition="0">
        <references count="4">
          <reference field="3" count="1" selected="0">
            <x v="3"/>
          </reference>
          <reference field="5" count="2">
            <x v="0"/>
            <x v="1"/>
          </reference>
          <reference field="15" count="1" selected="0">
            <x v="9"/>
          </reference>
          <reference field="16" count="1" selected="0">
            <x v="0"/>
          </reference>
        </references>
      </pivotArea>
    </format>
    <format dxfId="24887">
      <pivotArea dataOnly="0" labelOnly="1" outline="0" fieldPosition="0">
        <references count="4">
          <reference field="3" count="1" selected="0">
            <x v="4"/>
          </reference>
          <reference field="5" count="0"/>
          <reference field="15" count="1" selected="0">
            <x v="9"/>
          </reference>
          <reference field="16" count="1" selected="0">
            <x v="0"/>
          </reference>
        </references>
      </pivotArea>
    </format>
    <format dxfId="24888">
      <pivotArea dataOnly="0" labelOnly="1" outline="0" fieldPosition="0">
        <references count="4">
          <reference field="3" count="1" selected="0">
            <x v="0"/>
          </reference>
          <reference field="5" count="2">
            <x v="0"/>
            <x v="2"/>
          </reference>
          <reference field="15" count="1" selected="0">
            <x v="10"/>
          </reference>
          <reference field="16" count="1" selected="0">
            <x v="0"/>
          </reference>
        </references>
      </pivotArea>
    </format>
    <format dxfId="24889">
      <pivotArea dataOnly="0" labelOnly="1" outline="0" fieldPosition="0">
        <references count="4">
          <reference field="3" count="1" selected="0">
            <x v="1"/>
          </reference>
          <reference field="5" count="3">
            <x v="0"/>
            <x v="1"/>
            <x v="2"/>
          </reference>
          <reference field="15" count="1" selected="0">
            <x v="10"/>
          </reference>
          <reference field="16" count="1" selected="0">
            <x v="0"/>
          </reference>
        </references>
      </pivotArea>
    </format>
    <format dxfId="24890">
      <pivotArea dataOnly="0" labelOnly="1" outline="0" fieldPosition="0">
        <references count="4">
          <reference field="3" count="1" selected="0">
            <x v="2"/>
          </reference>
          <reference field="5" count="3">
            <x v="0"/>
            <x v="1"/>
            <x v="2"/>
          </reference>
          <reference field="15" count="1" selected="0">
            <x v="10"/>
          </reference>
          <reference field="16" count="1" selected="0">
            <x v="0"/>
          </reference>
        </references>
      </pivotArea>
    </format>
    <format dxfId="24891">
      <pivotArea dataOnly="0" labelOnly="1" outline="0" fieldPosition="0">
        <references count="4">
          <reference field="3" count="1" selected="0">
            <x v="3"/>
          </reference>
          <reference field="5" count="3">
            <x v="0"/>
            <x v="1"/>
            <x v="2"/>
          </reference>
          <reference field="15" count="1" selected="0">
            <x v="10"/>
          </reference>
          <reference field="16" count="1" selected="0">
            <x v="0"/>
          </reference>
        </references>
      </pivotArea>
    </format>
    <format dxfId="24892">
      <pivotArea dataOnly="0" labelOnly="1" outline="0" fieldPosition="0">
        <references count="4">
          <reference field="3" count="1" selected="0">
            <x v="4"/>
          </reference>
          <reference field="5" count="2">
            <x v="0"/>
            <x v="1"/>
          </reference>
          <reference field="15" count="1" selected="0">
            <x v="10"/>
          </reference>
          <reference field="16" count="1" selected="0">
            <x v="0"/>
          </reference>
        </references>
      </pivotArea>
    </format>
    <format dxfId="24893">
      <pivotArea dataOnly="0" labelOnly="1" outline="0" fieldPosition="0">
        <references count="4">
          <reference field="3" count="1" selected="0">
            <x v="0"/>
          </reference>
          <reference field="5" count="2">
            <x v="0"/>
            <x v="1"/>
          </reference>
          <reference field="15" count="1" selected="0">
            <x v="11"/>
          </reference>
          <reference field="16" count="1" selected="0">
            <x v="0"/>
          </reference>
        </references>
      </pivotArea>
    </format>
    <format dxfId="24894">
      <pivotArea dataOnly="0" labelOnly="1" outline="0" fieldPosition="0">
        <references count="4">
          <reference field="3" count="1" selected="0">
            <x v="1"/>
          </reference>
          <reference field="5" count="0"/>
          <reference field="15" count="1" selected="0">
            <x v="11"/>
          </reference>
          <reference field="16" count="1" selected="0">
            <x v="0"/>
          </reference>
        </references>
      </pivotArea>
    </format>
    <format dxfId="24895">
      <pivotArea dataOnly="0" labelOnly="1" outline="0" fieldPosition="0">
        <references count="4">
          <reference field="3" count="1" selected="0">
            <x v="2"/>
          </reference>
          <reference field="5" count="3">
            <x v="0"/>
            <x v="1"/>
            <x v="2"/>
          </reference>
          <reference field="15" count="1" selected="0">
            <x v="11"/>
          </reference>
          <reference field="16" count="1" selected="0">
            <x v="0"/>
          </reference>
        </references>
      </pivotArea>
    </format>
    <format dxfId="24896">
      <pivotArea dataOnly="0" labelOnly="1" outline="0" fieldPosition="0">
        <references count="4">
          <reference field="3" count="1" selected="0">
            <x v="3"/>
          </reference>
          <reference field="5" count="1">
            <x v="1"/>
          </reference>
          <reference field="15" count="1" selected="0">
            <x v="11"/>
          </reference>
          <reference field="16" count="1" selected="0">
            <x v="0"/>
          </reference>
        </references>
      </pivotArea>
    </format>
    <format dxfId="24897">
      <pivotArea dataOnly="0" labelOnly="1" outline="0" fieldPosition="0">
        <references count="4">
          <reference field="3" count="1" selected="0">
            <x v="4"/>
          </reference>
          <reference field="5" count="0"/>
          <reference field="15" count="1" selected="0">
            <x v="11"/>
          </reference>
          <reference field="16" count="1" selected="0">
            <x v="0"/>
          </reference>
        </references>
      </pivotArea>
    </format>
    <format dxfId="24898">
      <pivotArea dataOnly="0" labelOnly="1" outline="0" fieldPosition="0">
        <references count="4">
          <reference field="3" count="1" selected="0">
            <x v="0"/>
          </reference>
          <reference field="5" count="2">
            <x v="0"/>
            <x v="1"/>
          </reference>
          <reference field="15" count="1" selected="0">
            <x v="0"/>
          </reference>
          <reference field="16" count="1" selected="0">
            <x v="1"/>
          </reference>
        </references>
      </pivotArea>
    </format>
    <format dxfId="24899">
      <pivotArea dataOnly="0" labelOnly="1" outline="0" fieldPosition="0">
        <references count="4">
          <reference field="3" count="1" selected="0">
            <x v="1"/>
          </reference>
          <reference field="5" count="3">
            <x v="0"/>
            <x v="1"/>
            <x v="2"/>
          </reference>
          <reference field="15" count="1" selected="0">
            <x v="0"/>
          </reference>
          <reference field="16" count="1" selected="0">
            <x v="1"/>
          </reference>
        </references>
      </pivotArea>
    </format>
    <format dxfId="24900">
      <pivotArea dataOnly="0" labelOnly="1" outline="0" fieldPosition="0">
        <references count="4">
          <reference field="3" count="1" selected="0">
            <x v="2"/>
          </reference>
          <reference field="5" count="2">
            <x v="0"/>
            <x v="2"/>
          </reference>
          <reference field="15" count="1" selected="0">
            <x v="0"/>
          </reference>
          <reference field="16" count="1" selected="0">
            <x v="1"/>
          </reference>
        </references>
      </pivotArea>
    </format>
    <format dxfId="24901">
      <pivotArea dataOnly="0" labelOnly="1" outline="0" fieldPosition="0">
        <references count="4">
          <reference field="3" count="1" selected="0">
            <x v="3"/>
          </reference>
          <reference field="5" count="2">
            <x v="0"/>
            <x v="2"/>
          </reference>
          <reference field="15" count="1" selected="0">
            <x v="0"/>
          </reference>
          <reference field="16" count="1" selected="0">
            <x v="1"/>
          </reference>
        </references>
      </pivotArea>
    </format>
    <format dxfId="24902">
      <pivotArea dataOnly="0" labelOnly="1" outline="0" fieldPosition="0">
        <references count="4">
          <reference field="3" count="1" selected="0">
            <x v="4"/>
          </reference>
          <reference field="5" count="3">
            <x v="0"/>
            <x v="1"/>
            <x v="2"/>
          </reference>
          <reference field="15" count="1" selected="0">
            <x v="0"/>
          </reference>
          <reference field="16" count="1" selected="0">
            <x v="1"/>
          </reference>
        </references>
      </pivotArea>
    </format>
    <format dxfId="24903">
      <pivotArea dataOnly="0" labelOnly="1" outline="0" fieldPosition="0">
        <references count="4">
          <reference field="3" count="1" selected="0">
            <x v="0"/>
          </reference>
          <reference field="5" count="1">
            <x v="0"/>
          </reference>
          <reference field="15" count="1" selected="0">
            <x v="1"/>
          </reference>
          <reference field="16" count="1" selected="0">
            <x v="1"/>
          </reference>
        </references>
      </pivotArea>
    </format>
    <format dxfId="24904">
      <pivotArea dataOnly="0" labelOnly="1" outline="0" fieldPosition="0">
        <references count="4">
          <reference field="3" count="1" selected="0">
            <x v="1"/>
          </reference>
          <reference field="5" count="3">
            <x v="1"/>
            <x v="2"/>
            <x v="3"/>
          </reference>
          <reference field="15" count="1" selected="0">
            <x v="1"/>
          </reference>
          <reference field="16" count="1" selected="0">
            <x v="1"/>
          </reference>
        </references>
      </pivotArea>
    </format>
    <format dxfId="24905">
      <pivotArea dataOnly="0" labelOnly="1" outline="0" fieldPosition="0">
        <references count="4">
          <reference field="3" count="1" selected="0">
            <x v="2"/>
          </reference>
          <reference field="5" count="1">
            <x v="0"/>
          </reference>
          <reference field="15" count="1" selected="0">
            <x v="1"/>
          </reference>
          <reference field="16" count="1" selected="0">
            <x v="1"/>
          </reference>
        </references>
      </pivotArea>
    </format>
    <format dxfId="24906">
      <pivotArea dataOnly="0" labelOnly="1" outline="0" fieldPosition="0">
        <references count="4">
          <reference field="3" count="1" selected="0">
            <x v="3"/>
          </reference>
          <reference field="5" count="1">
            <x v="1"/>
          </reference>
          <reference field="15" count="1" selected="0">
            <x v="1"/>
          </reference>
          <reference field="16" count="1" selected="0">
            <x v="1"/>
          </reference>
        </references>
      </pivotArea>
    </format>
    <format dxfId="24907">
      <pivotArea dataOnly="0" labelOnly="1" outline="0" fieldPosition="0">
        <references count="4">
          <reference field="3" count="1" selected="0">
            <x v="4"/>
          </reference>
          <reference field="5" count="0"/>
          <reference field="15" count="1" selected="0">
            <x v="1"/>
          </reference>
          <reference field="16" count="1" selected="0">
            <x v="1"/>
          </reference>
        </references>
      </pivotArea>
    </format>
    <format dxfId="24908">
      <pivotArea dataOnly="0" labelOnly="1" outline="0" fieldPosition="0">
        <references count="4">
          <reference field="3" count="1" selected="0">
            <x v="0"/>
          </reference>
          <reference field="5" count="3">
            <x v="0"/>
            <x v="1"/>
            <x v="2"/>
          </reference>
          <reference field="15" count="1" selected="0">
            <x v="2"/>
          </reference>
          <reference field="16" count="1" selected="0">
            <x v="1"/>
          </reference>
        </references>
      </pivotArea>
    </format>
    <format dxfId="24909">
      <pivotArea dataOnly="0" labelOnly="1" outline="0" fieldPosition="0">
        <references count="4">
          <reference field="3" count="1" selected="0">
            <x v="1"/>
          </reference>
          <reference field="5" count="0"/>
          <reference field="15" count="1" selected="0">
            <x v="2"/>
          </reference>
          <reference field="16" count="1" selected="0">
            <x v="1"/>
          </reference>
        </references>
      </pivotArea>
    </format>
    <format dxfId="24910">
      <pivotArea dataOnly="0" labelOnly="1" outline="0" fieldPosition="0">
        <references count="4">
          <reference field="3" count="1" selected="0">
            <x v="2"/>
          </reference>
          <reference field="5" count="0"/>
          <reference field="15" count="1" selected="0">
            <x v="2"/>
          </reference>
          <reference field="16" count="1" selected="0">
            <x v="1"/>
          </reference>
        </references>
      </pivotArea>
    </format>
    <format dxfId="24911">
      <pivotArea dataOnly="0" labelOnly="1" outline="0" fieldPosition="0">
        <references count="4">
          <reference field="3" count="1" selected="0">
            <x v="3"/>
          </reference>
          <reference field="5" count="2">
            <x v="0"/>
            <x v="1"/>
          </reference>
          <reference field="15" count="1" selected="0">
            <x v="2"/>
          </reference>
          <reference field="16" count="1" selected="0">
            <x v="1"/>
          </reference>
        </references>
      </pivotArea>
    </format>
    <format dxfId="24912">
      <pivotArea dataOnly="0" labelOnly="1" outline="0" fieldPosition="0">
        <references count="4">
          <reference field="3" count="1" selected="0">
            <x v="4"/>
          </reference>
          <reference field="5" count="2">
            <x v="0"/>
            <x v="2"/>
          </reference>
          <reference field="15" count="1" selected="0">
            <x v="2"/>
          </reference>
          <reference field="16" count="1" selected="0">
            <x v="1"/>
          </reference>
        </references>
      </pivotArea>
    </format>
    <format dxfId="24913">
      <pivotArea dataOnly="0" labelOnly="1" outline="0" fieldPosition="0">
        <references count="4">
          <reference field="3" count="1" selected="0">
            <x v="0"/>
          </reference>
          <reference field="5" count="3">
            <x v="0"/>
            <x v="1"/>
            <x v="2"/>
          </reference>
          <reference field="15" count="1" selected="0">
            <x v="3"/>
          </reference>
          <reference field="16" count="1" selected="0">
            <x v="1"/>
          </reference>
        </references>
      </pivotArea>
    </format>
    <format dxfId="24914">
      <pivotArea dataOnly="0" labelOnly="1" outline="0" fieldPosition="0">
        <references count="4">
          <reference field="3" count="1" selected="0">
            <x v="1"/>
          </reference>
          <reference field="5" count="3">
            <x v="0"/>
            <x v="1"/>
            <x v="2"/>
          </reference>
          <reference field="15" count="1" selected="0">
            <x v="3"/>
          </reference>
          <reference field="16" count="1" selected="0">
            <x v="1"/>
          </reference>
        </references>
      </pivotArea>
    </format>
    <format dxfId="24915">
      <pivotArea dataOnly="0" labelOnly="1" outline="0" fieldPosition="0">
        <references count="4">
          <reference field="3" count="1" selected="0">
            <x v="2"/>
          </reference>
          <reference field="5" count="3">
            <x v="0"/>
            <x v="1"/>
            <x v="2"/>
          </reference>
          <reference field="15" count="1" selected="0">
            <x v="3"/>
          </reference>
          <reference field="16" count="1" selected="0">
            <x v="1"/>
          </reference>
        </references>
      </pivotArea>
    </format>
    <format dxfId="24916">
      <pivotArea dataOnly="0" labelOnly="1" outline="0" fieldPosition="0">
        <references count="4">
          <reference field="3" count="1" selected="0">
            <x v="3"/>
          </reference>
          <reference field="5" count="1">
            <x v="1"/>
          </reference>
          <reference field="15" count="1" selected="0">
            <x v="3"/>
          </reference>
          <reference field="16" count="1" selected="0">
            <x v="1"/>
          </reference>
        </references>
      </pivotArea>
    </format>
    <format dxfId="24917">
      <pivotArea dataOnly="0" labelOnly="1" outline="0" fieldPosition="0">
        <references count="4">
          <reference field="3" count="1" selected="0">
            <x v="4"/>
          </reference>
          <reference field="5" count="2">
            <x v="0"/>
            <x v="1"/>
          </reference>
          <reference field="15" count="1" selected="0">
            <x v="3"/>
          </reference>
          <reference field="16" count="1" selected="0">
            <x v="1"/>
          </reference>
        </references>
      </pivotArea>
    </format>
    <format dxfId="24918">
      <pivotArea dataOnly="0" labelOnly="1" outline="0" fieldPosition="0">
        <references count="4">
          <reference field="3" count="1" selected="0">
            <x v="0"/>
          </reference>
          <reference field="5" count="1">
            <x v="2"/>
          </reference>
          <reference field="15" count="1" selected="0">
            <x v="4"/>
          </reference>
          <reference field="16" count="1" selected="0">
            <x v="1"/>
          </reference>
        </references>
      </pivotArea>
    </format>
    <format dxfId="24919">
      <pivotArea dataOnly="0" labelOnly="1" outline="0" fieldPosition="0">
        <references count="4">
          <reference field="3" count="1" selected="0">
            <x v="1"/>
          </reference>
          <reference field="5" count="3">
            <x v="0"/>
            <x v="1"/>
            <x v="2"/>
          </reference>
          <reference field="15" count="1" selected="0">
            <x v="4"/>
          </reference>
          <reference field="16" count="1" selected="0">
            <x v="1"/>
          </reference>
        </references>
      </pivotArea>
    </format>
    <format dxfId="24920">
      <pivotArea dataOnly="0" labelOnly="1" outline="0" fieldPosition="0">
        <references count="4">
          <reference field="3" count="1" selected="0">
            <x v="2"/>
          </reference>
          <reference field="5" count="3">
            <x v="0"/>
            <x v="1"/>
            <x v="2"/>
          </reference>
          <reference field="15" count="1" selected="0">
            <x v="4"/>
          </reference>
          <reference field="16" count="1" selected="0">
            <x v="1"/>
          </reference>
        </references>
      </pivotArea>
    </format>
    <format dxfId="24921">
      <pivotArea dataOnly="0" labelOnly="1" outline="0" fieldPosition="0">
        <references count="4">
          <reference field="3" count="1" selected="0">
            <x v="3"/>
          </reference>
          <reference field="5" count="3">
            <x v="0"/>
            <x v="1"/>
            <x v="2"/>
          </reference>
          <reference field="15" count="1" selected="0">
            <x v="4"/>
          </reference>
          <reference field="16" count="1" selected="0">
            <x v="1"/>
          </reference>
        </references>
      </pivotArea>
    </format>
    <format dxfId="24922">
      <pivotArea dataOnly="0" labelOnly="1" outline="0" fieldPosition="0">
        <references count="4">
          <reference field="3" count="1" selected="0">
            <x v="4"/>
          </reference>
          <reference field="5" count="3">
            <x v="0"/>
            <x v="1"/>
            <x v="2"/>
          </reference>
          <reference field="15" count="1" selected="0">
            <x v="4"/>
          </reference>
          <reference field="16" count="1" selected="0">
            <x v="1"/>
          </reference>
        </references>
      </pivotArea>
    </format>
    <format dxfId="24923">
      <pivotArea dataOnly="0" labelOnly="1" outline="0" fieldPosition="0">
        <references count="4">
          <reference field="3" count="1" selected="0">
            <x v="0"/>
          </reference>
          <reference field="5" count="2">
            <x v="0"/>
            <x v="2"/>
          </reference>
          <reference field="15" count="1" selected="0">
            <x v="5"/>
          </reference>
          <reference field="16" count="1" selected="0">
            <x v="1"/>
          </reference>
        </references>
      </pivotArea>
    </format>
    <format dxfId="24924">
      <pivotArea dataOnly="0" labelOnly="1" outline="0" fieldPosition="0">
        <references count="4">
          <reference field="3" count="1" selected="0">
            <x v="1"/>
          </reference>
          <reference field="5" count="0"/>
          <reference field="15" count="1" selected="0">
            <x v="5"/>
          </reference>
          <reference field="16" count="1" selected="0">
            <x v="1"/>
          </reference>
        </references>
      </pivotArea>
    </format>
    <format dxfId="24925">
      <pivotArea dataOnly="0" labelOnly="1" outline="0" fieldPosition="0">
        <references count="4">
          <reference field="3" count="1" selected="0">
            <x v="2"/>
          </reference>
          <reference field="5" count="3">
            <x v="0"/>
            <x v="1"/>
            <x v="2"/>
          </reference>
          <reference field="15" count="1" selected="0">
            <x v="5"/>
          </reference>
          <reference field="16" count="1" selected="0">
            <x v="1"/>
          </reference>
        </references>
      </pivotArea>
    </format>
    <format dxfId="24926">
      <pivotArea dataOnly="0" labelOnly="1" outline="0" fieldPosition="0">
        <references count="4">
          <reference field="3" count="1" selected="0">
            <x v="3"/>
          </reference>
          <reference field="5" count="2">
            <x v="0"/>
            <x v="2"/>
          </reference>
          <reference field="15" count="1" selected="0">
            <x v="5"/>
          </reference>
          <reference field="16" count="1" selected="0">
            <x v="1"/>
          </reference>
        </references>
      </pivotArea>
    </format>
    <format dxfId="24927">
      <pivotArea dataOnly="0" labelOnly="1" outline="0" fieldPosition="0">
        <references count="4">
          <reference field="3" count="1" selected="0">
            <x v="4"/>
          </reference>
          <reference field="5" count="2">
            <x v="0"/>
            <x v="1"/>
          </reference>
          <reference field="15" count="1" selected="0">
            <x v="5"/>
          </reference>
          <reference field="16" count="1" selected="0">
            <x v="1"/>
          </reference>
        </references>
      </pivotArea>
    </format>
    <format dxfId="24928">
      <pivotArea dataOnly="0" labelOnly="1" outline="0" fieldPosition="0">
        <references count="4">
          <reference field="3" count="1" selected="0">
            <x v="0"/>
          </reference>
          <reference field="5" count="3">
            <x v="0"/>
            <x v="1"/>
            <x v="2"/>
          </reference>
          <reference field="15" count="1" selected="0">
            <x v="6"/>
          </reference>
          <reference field="16" count="1" selected="0">
            <x v="1"/>
          </reference>
        </references>
      </pivotArea>
    </format>
    <format dxfId="24929">
      <pivotArea dataOnly="0" labelOnly="1" outline="0" fieldPosition="0">
        <references count="4">
          <reference field="3" count="1" selected="0">
            <x v="1"/>
          </reference>
          <reference field="5" count="0"/>
          <reference field="15" count="1" selected="0">
            <x v="6"/>
          </reference>
          <reference field="16" count="1" selected="0">
            <x v="1"/>
          </reference>
        </references>
      </pivotArea>
    </format>
    <format dxfId="24930">
      <pivotArea dataOnly="0" labelOnly="1" outline="0" fieldPosition="0">
        <references count="4">
          <reference field="3" count="1" selected="0">
            <x v="2"/>
          </reference>
          <reference field="5" count="3">
            <x v="0"/>
            <x v="1"/>
            <x v="3"/>
          </reference>
          <reference field="15" count="1" selected="0">
            <x v="6"/>
          </reference>
          <reference field="16" count="1" selected="0">
            <x v="1"/>
          </reference>
        </references>
      </pivotArea>
    </format>
    <format dxfId="24931">
      <pivotArea dataOnly="0" labelOnly="1" outline="0" fieldPosition="0">
        <references count="4">
          <reference field="3" count="1" selected="0">
            <x v="3"/>
          </reference>
          <reference field="5" count="3">
            <x v="0"/>
            <x v="1"/>
            <x v="2"/>
          </reference>
          <reference field="15" count="1" selected="0">
            <x v="6"/>
          </reference>
          <reference field="16" count="1" selected="0">
            <x v="1"/>
          </reference>
        </references>
      </pivotArea>
    </format>
    <format dxfId="24932">
      <pivotArea dataOnly="0" labelOnly="1" outline="0" fieldPosition="0">
        <references count="4">
          <reference field="3" count="1" selected="0">
            <x v="4"/>
          </reference>
          <reference field="5" count="2">
            <x v="0"/>
            <x v="1"/>
          </reference>
          <reference field="15" count="1" selected="0">
            <x v="6"/>
          </reference>
          <reference field="16" count="1" selected="0">
            <x v="1"/>
          </reference>
        </references>
      </pivotArea>
    </format>
    <format dxfId="24933">
      <pivotArea dataOnly="0" labelOnly="1" outline="0" fieldPosition="0">
        <references count="4">
          <reference field="3" count="1" selected="0">
            <x v="0"/>
          </reference>
          <reference field="5" count="3">
            <x v="0"/>
            <x v="1"/>
            <x v="2"/>
          </reference>
          <reference field="15" count="1" selected="0">
            <x v="7"/>
          </reference>
          <reference field="16" count="1" selected="0">
            <x v="1"/>
          </reference>
        </references>
      </pivotArea>
    </format>
    <format dxfId="24934">
      <pivotArea dataOnly="0" labelOnly="1" outline="0" fieldPosition="0">
        <references count="4">
          <reference field="3" count="1" selected="0">
            <x v="1"/>
          </reference>
          <reference field="5" count="0"/>
          <reference field="15" count="1" selected="0">
            <x v="7"/>
          </reference>
          <reference field="16" count="1" selected="0">
            <x v="1"/>
          </reference>
        </references>
      </pivotArea>
    </format>
    <format dxfId="24935">
      <pivotArea dataOnly="0" labelOnly="1" outline="0" fieldPosition="0">
        <references count="4">
          <reference field="3" count="1" selected="0">
            <x v="2"/>
          </reference>
          <reference field="5" count="3">
            <x v="0"/>
            <x v="1"/>
            <x v="2"/>
          </reference>
          <reference field="15" count="1" selected="0">
            <x v="7"/>
          </reference>
          <reference field="16" count="1" selected="0">
            <x v="1"/>
          </reference>
        </references>
      </pivotArea>
    </format>
    <format dxfId="24936">
      <pivotArea dataOnly="0" labelOnly="1" outline="0" fieldPosition="0">
        <references count="4">
          <reference field="3" count="1" selected="0">
            <x v="3"/>
          </reference>
          <reference field="5" count="2">
            <x v="0"/>
            <x v="2"/>
          </reference>
          <reference field="15" count="1" selected="0">
            <x v="7"/>
          </reference>
          <reference field="16" count="1" selected="0">
            <x v="1"/>
          </reference>
        </references>
      </pivotArea>
    </format>
    <format dxfId="24937">
      <pivotArea dataOnly="0" labelOnly="1" outline="0" fieldPosition="0">
        <references count="4">
          <reference field="3" count="1" selected="0">
            <x v="4"/>
          </reference>
          <reference field="5" count="2">
            <x v="0"/>
            <x v="2"/>
          </reference>
          <reference field="15" count="1" selected="0">
            <x v="7"/>
          </reference>
          <reference field="16" count="1" selected="0">
            <x v="1"/>
          </reference>
        </references>
      </pivotArea>
    </format>
    <format dxfId="24938">
      <pivotArea dataOnly="0" labelOnly="1" outline="0" fieldPosition="0">
        <references count="4">
          <reference field="3" count="1" selected="0">
            <x v="0"/>
          </reference>
          <reference field="5" count="1">
            <x v="0"/>
          </reference>
          <reference field="15" count="1" selected="0">
            <x v="8"/>
          </reference>
          <reference field="16" count="1" selected="0">
            <x v="1"/>
          </reference>
        </references>
      </pivotArea>
    </format>
    <format dxfId="24939">
      <pivotArea dataOnly="0" labelOnly="1" outline="0" fieldPosition="0">
        <references count="4">
          <reference field="3" count="1" selected="0">
            <x v="1"/>
          </reference>
          <reference field="5" count="2">
            <x v="1"/>
            <x v="2"/>
          </reference>
          <reference field="15" count="1" selected="0">
            <x v="8"/>
          </reference>
          <reference field="16" count="1" selected="0">
            <x v="1"/>
          </reference>
        </references>
      </pivotArea>
    </format>
    <format dxfId="24940">
      <pivotArea dataOnly="0" labelOnly="1" outline="0" fieldPosition="0">
        <references count="4">
          <reference field="3" count="1" selected="0">
            <x v="2"/>
          </reference>
          <reference field="5" count="3">
            <x v="0"/>
            <x v="1"/>
            <x v="2"/>
          </reference>
          <reference field="15" count="1" selected="0">
            <x v="8"/>
          </reference>
          <reference field="16" count="1" selected="0">
            <x v="1"/>
          </reference>
        </references>
      </pivotArea>
    </format>
    <format dxfId="24941">
      <pivotArea dataOnly="0" labelOnly="1" outline="0" fieldPosition="0">
        <references count="4">
          <reference field="3" count="1" selected="0">
            <x v="3"/>
          </reference>
          <reference field="5" count="2">
            <x v="0"/>
            <x v="2"/>
          </reference>
          <reference field="15" count="1" selected="0">
            <x v="8"/>
          </reference>
          <reference field="16" count="1" selected="0">
            <x v="1"/>
          </reference>
        </references>
      </pivotArea>
    </format>
    <format dxfId="24942">
      <pivotArea dataOnly="0" labelOnly="1" outline="0" fieldPosition="0">
        <references count="4">
          <reference field="3" count="1" selected="0">
            <x v="4"/>
          </reference>
          <reference field="5" count="0"/>
          <reference field="15" count="1" selected="0">
            <x v="8"/>
          </reference>
          <reference field="16" count="1" selected="0">
            <x v="1"/>
          </reference>
        </references>
      </pivotArea>
    </format>
    <format dxfId="24943">
      <pivotArea dataOnly="0" labelOnly="1" outline="0" fieldPosition="0">
        <references count="4">
          <reference field="3" count="1" selected="0">
            <x v="0"/>
          </reference>
          <reference field="5" count="1">
            <x v="1"/>
          </reference>
          <reference field="15" count="1" selected="0">
            <x v="9"/>
          </reference>
          <reference field="16" count="1" selected="0">
            <x v="1"/>
          </reference>
        </references>
      </pivotArea>
    </format>
    <format dxfId="24944">
      <pivotArea dataOnly="0" labelOnly="1" outline="0" fieldPosition="0">
        <references count="4">
          <reference field="3" count="1" selected="0">
            <x v="1"/>
          </reference>
          <reference field="5" count="3">
            <x v="0"/>
            <x v="1"/>
            <x v="2"/>
          </reference>
          <reference field="15" count="1" selected="0">
            <x v="9"/>
          </reference>
          <reference field="16" count="1" selected="0">
            <x v="1"/>
          </reference>
        </references>
      </pivotArea>
    </format>
    <format dxfId="24945">
      <pivotArea dataOnly="0" labelOnly="1" outline="0" fieldPosition="0">
        <references count="4">
          <reference field="3" count="1" selected="0">
            <x v="2"/>
          </reference>
          <reference field="5" count="3">
            <x v="0"/>
            <x v="1"/>
            <x v="3"/>
          </reference>
          <reference field="15" count="1" selected="0">
            <x v="9"/>
          </reference>
          <reference field="16" count="1" selected="0">
            <x v="1"/>
          </reference>
        </references>
      </pivotArea>
    </format>
    <format dxfId="24946">
      <pivotArea dataOnly="0" labelOnly="1" outline="0" fieldPosition="0">
        <references count="4">
          <reference field="3" count="1" selected="0">
            <x v="3"/>
          </reference>
          <reference field="5" count="2">
            <x v="0"/>
            <x v="1"/>
          </reference>
          <reference field="15" count="1" selected="0">
            <x v="9"/>
          </reference>
          <reference field="16" count="1" selected="0">
            <x v="1"/>
          </reference>
        </references>
      </pivotArea>
    </format>
    <format dxfId="24947">
      <pivotArea dataOnly="0" labelOnly="1" outline="0" fieldPosition="0">
        <references count="4">
          <reference field="3" count="1" selected="0">
            <x v="4"/>
          </reference>
          <reference field="5" count="3">
            <x v="0"/>
            <x v="1"/>
            <x v="2"/>
          </reference>
          <reference field="15" count="1" selected="0">
            <x v="9"/>
          </reference>
          <reference field="16" count="1" selected="0">
            <x v="1"/>
          </reference>
        </references>
      </pivotArea>
    </format>
    <format dxfId="24948">
      <pivotArea dataOnly="0" labelOnly="1" outline="0" fieldPosition="0">
        <references count="4">
          <reference field="3" count="1" selected="0">
            <x v="0"/>
          </reference>
          <reference field="5" count="2">
            <x v="0"/>
            <x v="1"/>
          </reference>
          <reference field="15" count="1" selected="0">
            <x v="10"/>
          </reference>
          <reference field="16" count="1" selected="0">
            <x v="1"/>
          </reference>
        </references>
      </pivotArea>
    </format>
    <format dxfId="24949">
      <pivotArea dataOnly="0" labelOnly="1" outline="0" fieldPosition="0">
        <references count="4">
          <reference field="3" count="1" selected="0">
            <x v="1"/>
          </reference>
          <reference field="5" count="2">
            <x v="0"/>
            <x v="1"/>
          </reference>
          <reference field="15" count="1" selected="0">
            <x v="10"/>
          </reference>
          <reference field="16" count="1" selected="0">
            <x v="1"/>
          </reference>
        </references>
      </pivotArea>
    </format>
    <format dxfId="24950">
      <pivotArea dataOnly="0" labelOnly="1" outline="0" fieldPosition="0">
        <references count="4">
          <reference field="3" count="1" selected="0">
            <x v="2"/>
          </reference>
          <reference field="5" count="3">
            <x v="0"/>
            <x v="1"/>
            <x v="2"/>
          </reference>
          <reference field="15" count="1" selected="0">
            <x v="10"/>
          </reference>
          <reference field="16" count="1" selected="0">
            <x v="1"/>
          </reference>
        </references>
      </pivotArea>
    </format>
    <format dxfId="24951">
      <pivotArea dataOnly="0" labelOnly="1" outline="0" fieldPosition="0">
        <references count="4">
          <reference field="3" count="1" selected="0">
            <x v="3"/>
          </reference>
          <reference field="5" count="2">
            <x v="0"/>
            <x v="1"/>
          </reference>
          <reference field="15" count="1" selected="0">
            <x v="10"/>
          </reference>
          <reference field="16" count="1" selected="0">
            <x v="1"/>
          </reference>
        </references>
      </pivotArea>
    </format>
    <format dxfId="24952">
      <pivotArea dataOnly="0" labelOnly="1" outline="0" fieldPosition="0">
        <references count="4">
          <reference field="3" count="1" selected="0">
            <x v="4"/>
          </reference>
          <reference field="5" count="3">
            <x v="0"/>
            <x v="1"/>
            <x v="2"/>
          </reference>
          <reference field="15" count="1" selected="0">
            <x v="10"/>
          </reference>
          <reference field="16" count="1" selected="0">
            <x v="1"/>
          </reference>
        </references>
      </pivotArea>
    </format>
    <format dxfId="24953">
      <pivotArea dataOnly="0" labelOnly="1" outline="0" fieldPosition="0">
        <references count="4">
          <reference field="3" count="1" selected="0">
            <x v="1"/>
          </reference>
          <reference field="5" count="3">
            <x v="0"/>
            <x v="1"/>
            <x v="2"/>
          </reference>
          <reference field="15" count="1" selected="0">
            <x v="11"/>
          </reference>
          <reference field="16" count="1" selected="0">
            <x v="1"/>
          </reference>
        </references>
      </pivotArea>
    </format>
    <format dxfId="24954">
      <pivotArea dataOnly="0" labelOnly="1" outline="0" fieldPosition="0">
        <references count="4">
          <reference field="3" count="1" selected="0">
            <x v="2"/>
          </reference>
          <reference field="5" count="0"/>
          <reference field="15" count="1" selected="0">
            <x v="11"/>
          </reference>
          <reference field="16" count="1" selected="0">
            <x v="1"/>
          </reference>
        </references>
      </pivotArea>
    </format>
    <format dxfId="24955">
      <pivotArea dataOnly="0" labelOnly="1" outline="0" fieldPosition="0">
        <references count="4">
          <reference field="3" count="1" selected="0">
            <x v="3"/>
          </reference>
          <reference field="5" count="3">
            <x v="0"/>
            <x v="1"/>
            <x v="3"/>
          </reference>
          <reference field="15" count="1" selected="0">
            <x v="11"/>
          </reference>
          <reference field="16" count="1" selected="0">
            <x v="1"/>
          </reference>
        </references>
      </pivotArea>
    </format>
    <format dxfId="24956">
      <pivotArea dataOnly="0" labelOnly="1" outline="0" fieldPosition="0">
        <references count="4">
          <reference field="3" count="1" selected="0">
            <x v="4"/>
          </reference>
          <reference field="5" count="0"/>
          <reference field="15" count="1" selected="0">
            <x v="11"/>
          </reference>
          <reference field="16" count="1" selected="0">
            <x v="1"/>
          </reference>
        </references>
      </pivotArea>
    </format>
    <format dxfId="24957">
      <pivotArea dataOnly="0" labelOnly="1" outline="0" fieldPosition="0">
        <references count="4">
          <reference field="3" count="1" selected="0">
            <x v="0"/>
          </reference>
          <reference field="5" count="2">
            <x v="0"/>
            <x v="1"/>
          </reference>
          <reference field="15" count="1" selected="0">
            <x v="0"/>
          </reference>
          <reference field="16" count="1" selected="0">
            <x v="2"/>
          </reference>
        </references>
      </pivotArea>
    </format>
    <format dxfId="24958">
      <pivotArea dataOnly="0" labelOnly="1" outline="0" fieldPosition="0">
        <references count="4">
          <reference field="3" count="1" selected="0">
            <x v="1"/>
          </reference>
          <reference field="5" count="0"/>
          <reference field="15" count="1" selected="0">
            <x v="0"/>
          </reference>
          <reference field="16" count="1" selected="0">
            <x v="2"/>
          </reference>
        </references>
      </pivotArea>
    </format>
    <format dxfId="24959">
      <pivotArea dataOnly="0" labelOnly="1" outline="0" fieldPosition="0">
        <references count="4">
          <reference field="3" count="1" selected="0">
            <x v="2"/>
          </reference>
          <reference field="5" count="0"/>
          <reference field="15" count="1" selected="0">
            <x v="0"/>
          </reference>
          <reference field="16" count="1" selected="0">
            <x v="2"/>
          </reference>
        </references>
      </pivotArea>
    </format>
    <format dxfId="24960">
      <pivotArea dataOnly="0" labelOnly="1" outline="0" fieldPosition="0">
        <references count="4">
          <reference field="3" count="1" selected="0">
            <x v="3"/>
          </reference>
          <reference field="5" count="3">
            <x v="0"/>
            <x v="1"/>
            <x v="2"/>
          </reference>
          <reference field="15" count="1" selected="0">
            <x v="0"/>
          </reference>
          <reference field="16" count="1" selected="0">
            <x v="2"/>
          </reference>
        </references>
      </pivotArea>
    </format>
    <format dxfId="24961">
      <pivotArea dataOnly="0" labelOnly="1" outline="0" fieldPosition="0">
        <references count="4">
          <reference field="3" count="1" selected="0">
            <x v="4"/>
          </reference>
          <reference field="5" count="3">
            <x v="0"/>
            <x v="1"/>
            <x v="3"/>
          </reference>
          <reference field="15" count="1" selected="0">
            <x v="0"/>
          </reference>
          <reference field="16" count="1" selected="0">
            <x v="2"/>
          </reference>
        </references>
      </pivotArea>
    </format>
    <format dxfId="24962">
      <pivotArea dataOnly="0" labelOnly="1" outline="0" fieldPosition="0">
        <references count="4">
          <reference field="3" count="1" selected="0">
            <x v="0"/>
          </reference>
          <reference field="5" count="1">
            <x v="0"/>
          </reference>
          <reference field="15" count="1" selected="0">
            <x v="1"/>
          </reference>
          <reference field="16" count="1" selected="0">
            <x v="2"/>
          </reference>
        </references>
      </pivotArea>
    </format>
    <format dxfId="24963">
      <pivotArea dataOnly="0" labelOnly="1" outline="0" fieldPosition="0">
        <references count="4">
          <reference field="3" count="1" selected="0">
            <x v="1"/>
          </reference>
          <reference field="5" count="2">
            <x v="1"/>
            <x v="2"/>
          </reference>
          <reference field="15" count="1" selected="0">
            <x v="1"/>
          </reference>
          <reference field="16" count="1" selected="0">
            <x v="2"/>
          </reference>
        </references>
      </pivotArea>
    </format>
    <format dxfId="24964">
      <pivotArea dataOnly="0" labelOnly="1" outline="0" fieldPosition="0">
        <references count="4">
          <reference field="3" count="1" selected="0">
            <x v="2"/>
          </reference>
          <reference field="5" count="2">
            <x v="0"/>
            <x v="1"/>
          </reference>
          <reference field="15" count="1" selected="0">
            <x v="1"/>
          </reference>
          <reference field="16" count="1" selected="0">
            <x v="2"/>
          </reference>
        </references>
      </pivotArea>
    </format>
    <format dxfId="24965">
      <pivotArea dataOnly="0" labelOnly="1" outline="0" fieldPosition="0">
        <references count="4">
          <reference field="3" count="1" selected="0">
            <x v="3"/>
          </reference>
          <reference field="5" count="3">
            <x v="0"/>
            <x v="1"/>
            <x v="3"/>
          </reference>
          <reference field="15" count="1" selected="0">
            <x v="1"/>
          </reference>
          <reference field="16" count="1" selected="0">
            <x v="2"/>
          </reference>
        </references>
      </pivotArea>
    </format>
    <format dxfId="24966">
      <pivotArea dataOnly="0" labelOnly="1" outline="0" fieldPosition="0">
        <references count="4">
          <reference field="3" count="1" selected="0">
            <x v="4"/>
          </reference>
          <reference field="5" count="3">
            <x v="0"/>
            <x v="1"/>
            <x v="2"/>
          </reference>
          <reference field="15" count="1" selected="0">
            <x v="1"/>
          </reference>
          <reference field="16" count="1" selected="0">
            <x v="2"/>
          </reference>
        </references>
      </pivotArea>
    </format>
    <format dxfId="24967">
      <pivotArea dataOnly="0" labelOnly="1" outline="0" fieldPosition="0">
        <references count="4">
          <reference field="3" count="1" selected="0">
            <x v="0"/>
          </reference>
          <reference field="5" count="1">
            <x v="0"/>
          </reference>
          <reference field="15" count="1" selected="0">
            <x v="2"/>
          </reference>
          <reference field="16" count="1" selected="0">
            <x v="2"/>
          </reference>
        </references>
      </pivotArea>
    </format>
    <format dxfId="24968">
      <pivotArea dataOnly="0" labelOnly="1" outline="0" fieldPosition="0">
        <references count="4">
          <reference field="3" count="1" selected="0">
            <x v="1"/>
          </reference>
          <reference field="5" count="2">
            <x v="1"/>
            <x v="2"/>
          </reference>
          <reference field="15" count="1" selected="0">
            <x v="2"/>
          </reference>
          <reference field="16" count="1" selected="0">
            <x v="2"/>
          </reference>
        </references>
      </pivotArea>
    </format>
    <format dxfId="24969">
      <pivotArea dataOnly="0" labelOnly="1" outline="0" fieldPosition="0">
        <references count="4">
          <reference field="3" count="1" selected="0">
            <x v="2"/>
          </reference>
          <reference field="5" count="2">
            <x v="0"/>
            <x v="3"/>
          </reference>
          <reference field="15" count="1" selected="0">
            <x v="2"/>
          </reference>
          <reference field="16" count="1" selected="0">
            <x v="2"/>
          </reference>
        </references>
      </pivotArea>
    </format>
    <format dxfId="24970">
      <pivotArea dataOnly="0" labelOnly="1" outline="0" fieldPosition="0">
        <references count="4">
          <reference field="3" count="1" selected="0">
            <x v="3"/>
          </reference>
          <reference field="5" count="1">
            <x v="0"/>
          </reference>
          <reference field="15" count="1" selected="0">
            <x v="2"/>
          </reference>
          <reference field="16" count="1" selected="0">
            <x v="2"/>
          </reference>
        </references>
      </pivotArea>
    </format>
    <format dxfId="24971">
      <pivotArea dataOnly="0" labelOnly="1" outline="0" fieldPosition="0">
        <references count="4">
          <reference field="3" count="1" selected="0">
            <x v="4"/>
          </reference>
          <reference field="5" count="2">
            <x v="1"/>
            <x v="2"/>
          </reference>
          <reference field="15" count="1" selected="0">
            <x v="2"/>
          </reference>
          <reference field="16" count="1" selected="0">
            <x v="2"/>
          </reference>
        </references>
      </pivotArea>
    </format>
    <format dxfId="24972">
      <pivotArea dataOnly="0" labelOnly="1" outline="0" fieldPosition="0">
        <references count="4">
          <reference field="3" count="1" selected="0">
            <x v="0"/>
          </reference>
          <reference field="5" count="2">
            <x v="0"/>
            <x v="1"/>
          </reference>
          <reference field="15" count="1" selected="0">
            <x v="3"/>
          </reference>
          <reference field="16" count="1" selected="0">
            <x v="2"/>
          </reference>
        </references>
      </pivotArea>
    </format>
    <format dxfId="24973">
      <pivotArea dataOnly="0" labelOnly="1" outline="0" fieldPosition="0">
        <references count="4">
          <reference field="3" count="1" selected="0">
            <x v="1"/>
          </reference>
          <reference field="5" count="0"/>
          <reference field="15" count="1" selected="0">
            <x v="3"/>
          </reference>
          <reference field="16" count="1" selected="0">
            <x v="2"/>
          </reference>
        </references>
      </pivotArea>
    </format>
    <format dxfId="24974">
      <pivotArea dataOnly="0" labelOnly="1" outline="0" fieldPosition="0">
        <references count="4">
          <reference field="3" count="1" selected="0">
            <x v="2"/>
          </reference>
          <reference field="5" count="2">
            <x v="0"/>
            <x v="1"/>
          </reference>
          <reference field="15" count="1" selected="0">
            <x v="3"/>
          </reference>
          <reference field="16" count="1" selected="0">
            <x v="2"/>
          </reference>
        </references>
      </pivotArea>
    </format>
    <format dxfId="24975">
      <pivotArea dataOnly="0" labelOnly="1" outline="0" fieldPosition="0">
        <references count="4">
          <reference field="3" count="1" selected="0">
            <x v="3"/>
          </reference>
          <reference field="5" count="2">
            <x v="0"/>
            <x v="1"/>
          </reference>
          <reference field="15" count="1" selected="0">
            <x v="3"/>
          </reference>
          <reference field="16" count="1" selected="0">
            <x v="2"/>
          </reference>
        </references>
      </pivotArea>
    </format>
    <format dxfId="24976">
      <pivotArea dataOnly="0" labelOnly="1" outline="0" fieldPosition="0">
        <references count="4">
          <reference field="3" count="1" selected="0">
            <x v="4"/>
          </reference>
          <reference field="5" count="3">
            <x v="0"/>
            <x v="1"/>
            <x v="2"/>
          </reference>
          <reference field="15" count="1" selected="0">
            <x v="3"/>
          </reference>
          <reference field="16" count="1" selected="0">
            <x v="2"/>
          </reference>
        </references>
      </pivotArea>
    </format>
    <format dxfId="24977">
      <pivotArea dataOnly="0" labelOnly="1" outline="0" fieldPosition="0">
        <references count="4">
          <reference field="3" count="1" selected="0">
            <x v="0"/>
          </reference>
          <reference field="5" count="1">
            <x v="0"/>
          </reference>
          <reference field="15" count="1" selected="0">
            <x v="4"/>
          </reference>
          <reference field="16" count="1" selected="0">
            <x v="2"/>
          </reference>
        </references>
      </pivotArea>
    </format>
    <format dxfId="24978">
      <pivotArea dataOnly="0" labelOnly="1" outline="0" fieldPosition="0">
        <references count="4">
          <reference field="3" count="1" selected="0">
            <x v="1"/>
          </reference>
          <reference field="5" count="3">
            <x v="1"/>
            <x v="2"/>
            <x v="3"/>
          </reference>
          <reference field="15" count="1" selected="0">
            <x v="4"/>
          </reference>
          <reference field="16" count="1" selected="0">
            <x v="2"/>
          </reference>
        </references>
      </pivotArea>
    </format>
    <format dxfId="24979">
      <pivotArea dataOnly="0" labelOnly="1" outline="0" fieldPosition="0">
        <references count="4">
          <reference field="3" count="1" selected="0">
            <x v="2"/>
          </reference>
          <reference field="5" count="2">
            <x v="0"/>
            <x v="1"/>
          </reference>
          <reference field="15" count="1" selected="0">
            <x v="4"/>
          </reference>
          <reference field="16" count="1" selected="0">
            <x v="2"/>
          </reference>
        </references>
      </pivotArea>
    </format>
    <format dxfId="24980">
      <pivotArea dataOnly="0" labelOnly="1" outline="0" fieldPosition="0">
        <references count="4">
          <reference field="3" count="1" selected="0">
            <x v="3"/>
          </reference>
          <reference field="5" count="1">
            <x v="0"/>
          </reference>
          <reference field="15" count="1" selected="0">
            <x v="4"/>
          </reference>
          <reference field="16" count="1" selected="0">
            <x v="2"/>
          </reference>
        </references>
      </pivotArea>
    </format>
    <format dxfId="24981">
      <pivotArea dataOnly="0" labelOnly="1" outline="0" fieldPosition="0">
        <references count="4">
          <reference field="3" count="1" selected="0">
            <x v="4"/>
          </reference>
          <reference field="5" count="3">
            <x v="1"/>
            <x v="2"/>
            <x v="3"/>
          </reference>
          <reference field="15" count="1" selected="0">
            <x v="4"/>
          </reference>
          <reference field="16" count="1" selected="0">
            <x v="2"/>
          </reference>
        </references>
      </pivotArea>
    </format>
    <format dxfId="24982">
      <pivotArea dataOnly="0" labelOnly="1" outline="0" fieldPosition="0">
        <references count="4">
          <reference field="3" count="1" selected="0">
            <x v="0"/>
          </reference>
          <reference field="5" count="1">
            <x v="0"/>
          </reference>
          <reference field="15" count="1" selected="0">
            <x v="5"/>
          </reference>
          <reference field="16" count="1" selected="0">
            <x v="2"/>
          </reference>
        </references>
      </pivotArea>
    </format>
    <format dxfId="24983">
      <pivotArea dataOnly="0" labelOnly="1" outline="0" fieldPosition="0">
        <references count="4">
          <reference field="3" count="1" selected="0">
            <x v="1"/>
          </reference>
          <reference field="5" count="2">
            <x v="1"/>
            <x v="2"/>
          </reference>
          <reference field="15" count="1" selected="0">
            <x v="5"/>
          </reference>
          <reference field="16" count="1" selected="0">
            <x v="2"/>
          </reference>
        </references>
      </pivotArea>
    </format>
    <format dxfId="24984">
      <pivotArea dataOnly="0" labelOnly="1" outline="0" fieldPosition="0">
        <references count="4">
          <reference field="3" count="1" selected="0">
            <x v="2"/>
          </reference>
          <reference field="5" count="3">
            <x v="0"/>
            <x v="1"/>
            <x v="3"/>
          </reference>
          <reference field="15" count="1" selected="0">
            <x v="5"/>
          </reference>
          <reference field="16" count="1" selected="0">
            <x v="2"/>
          </reference>
        </references>
      </pivotArea>
    </format>
    <format dxfId="24985">
      <pivotArea dataOnly="0" labelOnly="1" outline="0" fieldPosition="0">
        <references count="4">
          <reference field="3" count="1" selected="0">
            <x v="3"/>
          </reference>
          <reference field="5" count="3">
            <x v="0"/>
            <x v="2"/>
            <x v="3"/>
          </reference>
          <reference field="15" count="1" selected="0">
            <x v="5"/>
          </reference>
          <reference field="16" count="1" selected="0">
            <x v="2"/>
          </reference>
        </references>
      </pivotArea>
    </format>
    <format dxfId="24986">
      <pivotArea dataOnly="0" labelOnly="1" outline="0" fieldPosition="0">
        <references count="4">
          <reference field="3" count="1" selected="0">
            <x v="4"/>
          </reference>
          <reference field="5" count="3">
            <x v="0"/>
            <x v="1"/>
            <x v="3"/>
          </reference>
          <reference field="15" count="1" selected="0">
            <x v="5"/>
          </reference>
          <reference field="16" count="1" selected="0">
            <x v="2"/>
          </reference>
        </references>
      </pivotArea>
    </format>
    <format dxfId="24987">
      <pivotArea dataOnly="0" labelOnly="1" outline="0" fieldPosition="0">
        <references count="4">
          <reference field="3" count="1" selected="0">
            <x v="0"/>
          </reference>
          <reference field="5" count="2">
            <x v="0"/>
            <x v="1"/>
          </reference>
          <reference field="15" count="1" selected="0">
            <x v="6"/>
          </reference>
          <reference field="16" count="1" selected="0">
            <x v="2"/>
          </reference>
        </references>
      </pivotArea>
    </format>
    <format dxfId="24988">
      <pivotArea dataOnly="0" labelOnly="1" outline="0" fieldPosition="0">
        <references count="4">
          <reference field="3" count="1" selected="0">
            <x v="1"/>
          </reference>
          <reference field="5" count="3">
            <x v="0"/>
            <x v="1"/>
            <x v="2"/>
          </reference>
          <reference field="15" count="1" selected="0">
            <x v="6"/>
          </reference>
          <reference field="16" count="1" selected="0">
            <x v="2"/>
          </reference>
        </references>
      </pivotArea>
    </format>
    <format dxfId="24989">
      <pivotArea dataOnly="0" labelOnly="1" outline="0" fieldPosition="0">
        <references count="4">
          <reference field="3" count="1" selected="0">
            <x v="2"/>
          </reference>
          <reference field="5" count="3">
            <x v="0"/>
            <x v="1"/>
            <x v="2"/>
          </reference>
          <reference field="15" count="1" selected="0">
            <x v="6"/>
          </reference>
          <reference field="16" count="1" selected="0">
            <x v="2"/>
          </reference>
        </references>
      </pivotArea>
    </format>
    <format dxfId="24990">
      <pivotArea dataOnly="0" labelOnly="1" outline="0" fieldPosition="0">
        <references count="4">
          <reference field="3" count="1" selected="0">
            <x v="3"/>
          </reference>
          <reference field="5" count="0"/>
          <reference field="15" count="1" selected="0">
            <x v="6"/>
          </reference>
          <reference field="16" count="1" selected="0">
            <x v="2"/>
          </reference>
        </references>
      </pivotArea>
    </format>
    <format dxfId="24991">
      <pivotArea dataOnly="0" labelOnly="1" outline="0" fieldPosition="0">
        <references count="4">
          <reference field="3" count="1" selected="0">
            <x v="4"/>
          </reference>
          <reference field="5" count="3">
            <x v="0"/>
            <x v="1"/>
            <x v="2"/>
          </reference>
          <reference field="15" count="1" selected="0">
            <x v="6"/>
          </reference>
          <reference field="16" count="1" selected="0">
            <x v="2"/>
          </reference>
        </references>
      </pivotArea>
    </format>
    <format dxfId="24992">
      <pivotArea dataOnly="0" labelOnly="1" outline="0" fieldPosition="0">
        <references count="4">
          <reference field="3" count="1" selected="0">
            <x v="0"/>
          </reference>
          <reference field="5" count="1">
            <x v="0"/>
          </reference>
          <reference field="15" count="1" selected="0">
            <x v="7"/>
          </reference>
          <reference field="16" count="1" selected="0">
            <x v="2"/>
          </reference>
        </references>
      </pivotArea>
    </format>
    <format dxfId="24993">
      <pivotArea dataOnly="0" labelOnly="1" outline="0" fieldPosition="0">
        <references count="4">
          <reference field="3" count="1" selected="0">
            <x v="1"/>
          </reference>
          <reference field="5" count="2">
            <x v="1"/>
            <x v="2"/>
          </reference>
          <reference field="15" count="1" selected="0">
            <x v="7"/>
          </reference>
          <reference field="16" count="1" selected="0">
            <x v="2"/>
          </reference>
        </references>
      </pivotArea>
    </format>
    <format dxfId="24994">
      <pivotArea dataOnly="0" labelOnly="1" outline="0" fieldPosition="0">
        <references count="4">
          <reference field="3" count="1" selected="0">
            <x v="2"/>
          </reference>
          <reference field="5" count="0"/>
          <reference field="15" count="1" selected="0">
            <x v="7"/>
          </reference>
          <reference field="16" count="1" selected="0">
            <x v="2"/>
          </reference>
        </references>
      </pivotArea>
    </format>
    <format dxfId="24995">
      <pivotArea dataOnly="0" labelOnly="1" outline="0" fieldPosition="0">
        <references count="4">
          <reference field="3" count="1" selected="0">
            <x v="3"/>
          </reference>
          <reference field="5" count="2">
            <x v="0"/>
            <x v="1"/>
          </reference>
          <reference field="15" count="1" selected="0">
            <x v="7"/>
          </reference>
          <reference field="16" count="1" selected="0">
            <x v="2"/>
          </reference>
        </references>
      </pivotArea>
    </format>
    <format dxfId="24996">
      <pivotArea dataOnly="0" labelOnly="1" outline="0" fieldPosition="0">
        <references count="4">
          <reference field="3" count="1" selected="0">
            <x v="4"/>
          </reference>
          <reference field="5" count="2">
            <x v="0"/>
            <x v="1"/>
          </reference>
          <reference field="15" count="1" selected="0">
            <x v="7"/>
          </reference>
          <reference field="16" count="1" selected="0">
            <x v="2"/>
          </reference>
        </references>
      </pivotArea>
    </format>
    <format dxfId="24997">
      <pivotArea dataOnly="0" labelOnly="1" outline="0" fieldPosition="0">
        <references count="4">
          <reference field="3" count="1" selected="0">
            <x v="0"/>
          </reference>
          <reference field="5" count="2">
            <x v="2"/>
            <x v="3"/>
          </reference>
          <reference field="15" count="1" selected="0">
            <x v="8"/>
          </reference>
          <reference field="16" count="1" selected="0">
            <x v="2"/>
          </reference>
        </references>
      </pivotArea>
    </format>
    <format dxfId="24998">
      <pivotArea dataOnly="0" labelOnly="1" outline="0" fieldPosition="0">
        <references count="4">
          <reference field="3" count="1" selected="0">
            <x v="1"/>
          </reference>
          <reference field="5" count="0"/>
          <reference field="15" count="1" selected="0">
            <x v="8"/>
          </reference>
          <reference field="16" count="1" selected="0">
            <x v="2"/>
          </reference>
        </references>
      </pivotArea>
    </format>
    <format dxfId="24999">
      <pivotArea dataOnly="0" labelOnly="1" outline="0" fieldPosition="0">
        <references count="4">
          <reference field="3" count="1" selected="0">
            <x v="2"/>
          </reference>
          <reference field="5" count="0"/>
          <reference field="15" count="1" selected="0">
            <x v="8"/>
          </reference>
          <reference field="16" count="1" selected="0">
            <x v="2"/>
          </reference>
        </references>
      </pivotArea>
    </format>
    <format dxfId="25000">
      <pivotArea dataOnly="0" labelOnly="1" outline="0" fieldPosition="0">
        <references count="4">
          <reference field="3" count="1" selected="0">
            <x v="3"/>
          </reference>
          <reference field="5" count="3">
            <x v="0"/>
            <x v="2"/>
            <x v="3"/>
          </reference>
          <reference field="15" count="1" selected="0">
            <x v="8"/>
          </reference>
          <reference field="16" count="1" selected="0">
            <x v="2"/>
          </reference>
        </references>
      </pivotArea>
    </format>
    <format dxfId="25001">
      <pivotArea dataOnly="0" labelOnly="1" outline="0" fieldPosition="0">
        <references count="4">
          <reference field="3" count="1" selected="0">
            <x v="4"/>
          </reference>
          <reference field="5" count="2">
            <x v="0"/>
            <x v="3"/>
          </reference>
          <reference field="15" count="1" selected="0">
            <x v="8"/>
          </reference>
          <reference field="16" count="1" selected="0">
            <x v="2"/>
          </reference>
        </references>
      </pivotArea>
    </format>
    <format dxfId="25002">
      <pivotArea dataOnly="0" labelOnly="1" outline="0" fieldPosition="0">
        <references count="4">
          <reference field="3" count="1" selected="0">
            <x v="0"/>
          </reference>
          <reference field="5" count="1">
            <x v="0"/>
          </reference>
          <reference field="15" count="1" selected="0">
            <x v="9"/>
          </reference>
          <reference field="16" count="1" selected="0">
            <x v="2"/>
          </reference>
        </references>
      </pivotArea>
    </format>
    <format dxfId="25003">
      <pivotArea dataOnly="0" labelOnly="1" outline="0" fieldPosition="0">
        <references count="4">
          <reference field="3" count="1" selected="0">
            <x v="1"/>
          </reference>
          <reference field="5" count="2">
            <x v="1"/>
            <x v="3"/>
          </reference>
          <reference field="15" count="1" selected="0">
            <x v="9"/>
          </reference>
          <reference field="16" count="1" selected="0">
            <x v="2"/>
          </reference>
        </references>
      </pivotArea>
    </format>
    <format dxfId="25004">
      <pivotArea dataOnly="0" labelOnly="1" outline="0" fieldPosition="0">
        <references count="4">
          <reference field="3" count="1" selected="0">
            <x v="2"/>
          </reference>
          <reference field="5" count="3">
            <x v="0"/>
            <x v="1"/>
            <x v="2"/>
          </reference>
          <reference field="15" count="1" selected="0">
            <x v="9"/>
          </reference>
          <reference field="16" count="1" selected="0">
            <x v="2"/>
          </reference>
        </references>
      </pivotArea>
    </format>
    <format dxfId="25005">
      <pivotArea dataOnly="0" labelOnly="1" outline="0" fieldPosition="0">
        <references count="4">
          <reference field="3" count="1" selected="0">
            <x v="3"/>
          </reference>
          <reference field="5" count="2">
            <x v="0"/>
            <x v="1"/>
          </reference>
          <reference field="15" count="1" selected="0">
            <x v="9"/>
          </reference>
          <reference field="16" count="1" selected="0">
            <x v="2"/>
          </reference>
        </references>
      </pivotArea>
    </format>
    <format dxfId="25006">
      <pivotArea dataOnly="0" labelOnly="1" outline="0" fieldPosition="0">
        <references count="4">
          <reference field="3" count="1" selected="0">
            <x v="4"/>
          </reference>
          <reference field="5" count="3">
            <x v="0"/>
            <x v="1"/>
            <x v="2"/>
          </reference>
          <reference field="15" count="1" selected="0">
            <x v="9"/>
          </reference>
          <reference field="16" count="1" selected="0">
            <x v="2"/>
          </reference>
        </references>
      </pivotArea>
    </format>
    <format dxfId="25007">
      <pivotArea dataOnly="0" labelOnly="1" outline="0" fieldPosition="0">
        <references count="4">
          <reference field="3" count="1" selected="0">
            <x v="0"/>
          </reference>
          <reference field="5" count="1">
            <x v="0"/>
          </reference>
          <reference field="15" count="1" selected="0">
            <x v="10"/>
          </reference>
          <reference field="16" count="1" selected="0">
            <x v="2"/>
          </reference>
        </references>
      </pivotArea>
    </format>
    <format dxfId="25008">
      <pivotArea dataOnly="0" labelOnly="1" outline="0" fieldPosition="0">
        <references count="4">
          <reference field="3" count="1" selected="0">
            <x v="1"/>
          </reference>
          <reference field="5" count="3">
            <x v="1"/>
            <x v="2"/>
            <x v="3"/>
          </reference>
          <reference field="15" count="1" selected="0">
            <x v="10"/>
          </reference>
          <reference field="16" count="1" selected="0">
            <x v="2"/>
          </reference>
        </references>
      </pivotArea>
    </format>
    <format dxfId="25009">
      <pivotArea dataOnly="0" labelOnly="1" outline="0" fieldPosition="0">
        <references count="4">
          <reference field="3" count="1" selected="0">
            <x v="2"/>
          </reference>
          <reference field="5" count="2">
            <x v="0"/>
            <x v="1"/>
          </reference>
          <reference field="15" count="1" selected="0">
            <x v="10"/>
          </reference>
          <reference field="16" count="1" selected="0">
            <x v="2"/>
          </reference>
        </references>
      </pivotArea>
    </format>
    <format dxfId="25010">
      <pivotArea dataOnly="0" labelOnly="1" outline="0" fieldPosition="0">
        <references count="4">
          <reference field="3" count="1" selected="0">
            <x v="3"/>
          </reference>
          <reference field="5" count="0"/>
          <reference field="15" count="1" selected="0">
            <x v="10"/>
          </reference>
          <reference field="16" count="1" selected="0">
            <x v="2"/>
          </reference>
        </references>
      </pivotArea>
    </format>
    <format dxfId="25011">
      <pivotArea dataOnly="0" labelOnly="1" outline="0" fieldPosition="0">
        <references count="4">
          <reference field="3" count="1" selected="0">
            <x v="4"/>
          </reference>
          <reference field="5" count="3">
            <x v="0"/>
            <x v="1"/>
            <x v="2"/>
          </reference>
          <reference field="15" count="1" selected="0">
            <x v="10"/>
          </reference>
          <reference field="16" count="1" selected="0">
            <x v="2"/>
          </reference>
        </references>
      </pivotArea>
    </format>
    <format dxfId="25012">
      <pivotArea dataOnly="0" labelOnly="1" outline="0" fieldPosition="0">
        <references count="4">
          <reference field="3" count="1" selected="0">
            <x v="0"/>
          </reference>
          <reference field="5" count="1">
            <x v="0"/>
          </reference>
          <reference field="15" count="1" selected="0">
            <x v="11"/>
          </reference>
          <reference field="16" count="1" selected="0">
            <x v="2"/>
          </reference>
        </references>
      </pivotArea>
    </format>
    <format dxfId="25013">
      <pivotArea dataOnly="0" labelOnly="1" outline="0" fieldPosition="0">
        <references count="4">
          <reference field="3" count="1" selected="0">
            <x v="1"/>
          </reference>
          <reference field="5" count="3">
            <x v="1"/>
            <x v="2"/>
            <x v="3"/>
          </reference>
          <reference field="15" count="1" selected="0">
            <x v="11"/>
          </reference>
          <reference field="16" count="1" selected="0">
            <x v="2"/>
          </reference>
        </references>
      </pivotArea>
    </format>
    <format dxfId="25014">
      <pivotArea dataOnly="0" labelOnly="1" outline="0" fieldPosition="0">
        <references count="4">
          <reference field="3" count="1" selected="0">
            <x v="2"/>
          </reference>
          <reference field="5" count="2">
            <x v="0"/>
            <x v="2"/>
          </reference>
          <reference field="15" count="1" selected="0">
            <x v="11"/>
          </reference>
          <reference field="16" count="1" selected="0">
            <x v="2"/>
          </reference>
        </references>
      </pivotArea>
    </format>
    <format dxfId="25015">
      <pivotArea dataOnly="0" labelOnly="1" outline="0" fieldPosition="0">
        <references count="4">
          <reference field="3" count="1" selected="0">
            <x v="3"/>
          </reference>
          <reference field="5" count="2">
            <x v="0"/>
            <x v="2"/>
          </reference>
          <reference field="15" count="1" selected="0">
            <x v="11"/>
          </reference>
          <reference field="16" count="1" selected="0">
            <x v="2"/>
          </reference>
        </references>
      </pivotArea>
    </format>
    <format dxfId="25016">
      <pivotArea dataOnly="0" labelOnly="1" outline="0" fieldPosition="0">
        <references count="4">
          <reference field="3" count="1" selected="0">
            <x v="4"/>
          </reference>
          <reference field="5" count="2">
            <x v="0"/>
            <x v="1"/>
          </reference>
          <reference field="15" count="1" selected="0">
            <x v="11"/>
          </reference>
          <reference field="16" count="1" selected="0">
            <x v="2"/>
          </reference>
        </references>
      </pivotArea>
    </format>
    <format dxfId="25017">
      <pivotArea dataOnly="0" labelOnly="1" outline="0" fieldPosition="0">
        <references count="4">
          <reference field="3" count="1" selected="0">
            <x v="1"/>
          </reference>
          <reference field="5" count="0"/>
          <reference field="15" count="1" selected="0">
            <x v="0"/>
          </reference>
          <reference field="16" count="1" selected="0">
            <x v="3"/>
          </reference>
        </references>
      </pivotArea>
    </format>
    <format dxfId="25018">
      <pivotArea dataOnly="0" labelOnly="1" outline="0" fieldPosition="0">
        <references count="4">
          <reference field="3" count="1" selected="0">
            <x v="2"/>
          </reference>
          <reference field="5" count="3">
            <x v="0"/>
            <x v="1"/>
            <x v="3"/>
          </reference>
          <reference field="15" count="1" selected="0">
            <x v="0"/>
          </reference>
          <reference field="16" count="1" selected="0">
            <x v="3"/>
          </reference>
        </references>
      </pivotArea>
    </format>
    <format dxfId="25019">
      <pivotArea dataOnly="0" labelOnly="1" outline="0" fieldPosition="0">
        <references count="4">
          <reference field="3" count="1" selected="0">
            <x v="3"/>
          </reference>
          <reference field="5" count="3">
            <x v="0"/>
            <x v="1"/>
            <x v="2"/>
          </reference>
          <reference field="15" count="1" selected="0">
            <x v="0"/>
          </reference>
          <reference field="16" count="1" selected="0">
            <x v="3"/>
          </reference>
        </references>
      </pivotArea>
    </format>
    <format dxfId="25020">
      <pivotArea dataOnly="0" labelOnly="1" outline="0" fieldPosition="0">
        <references count="4">
          <reference field="3" count="1" selected="0">
            <x v="4"/>
          </reference>
          <reference field="5" count="3">
            <x v="0"/>
            <x v="1"/>
            <x v="2"/>
          </reference>
          <reference field="15" count="1" selected="0">
            <x v="0"/>
          </reference>
          <reference field="16" count="1" selected="0">
            <x v="3"/>
          </reference>
        </references>
      </pivotArea>
    </format>
    <format dxfId="25021">
      <pivotArea dataOnly="0" labelOnly="1" outline="0" fieldPosition="0">
        <references count="4">
          <reference field="3" count="1" selected="0">
            <x v="0"/>
          </reference>
          <reference field="5" count="2">
            <x v="0"/>
            <x v="2"/>
          </reference>
          <reference field="15" count="1" selected="0">
            <x v="1"/>
          </reference>
          <reference field="16" count="1" selected="0">
            <x v="3"/>
          </reference>
        </references>
      </pivotArea>
    </format>
    <format dxfId="25022">
      <pivotArea dataOnly="0" labelOnly="1" outline="0" fieldPosition="0">
        <references count="4">
          <reference field="3" count="1" selected="0">
            <x v="1"/>
          </reference>
          <reference field="5" count="0"/>
          <reference field="15" count="1" selected="0">
            <x v="1"/>
          </reference>
          <reference field="16" count="1" selected="0">
            <x v="3"/>
          </reference>
        </references>
      </pivotArea>
    </format>
    <format dxfId="25023">
      <pivotArea dataOnly="0" labelOnly="1" outline="0" fieldPosition="0">
        <references count="4">
          <reference field="3" count="1" selected="0">
            <x v="2"/>
          </reference>
          <reference field="5" count="3">
            <x v="0"/>
            <x v="1"/>
            <x v="3"/>
          </reference>
          <reference field="15" count="1" selected="0">
            <x v="1"/>
          </reference>
          <reference field="16" count="1" selected="0">
            <x v="3"/>
          </reference>
        </references>
      </pivotArea>
    </format>
    <format dxfId="25024">
      <pivotArea dataOnly="0" labelOnly="1" outline="0" fieldPosition="0">
        <references count="4">
          <reference field="3" count="1" selected="0">
            <x v="3"/>
          </reference>
          <reference field="5" count="3">
            <x v="0"/>
            <x v="1"/>
            <x v="2"/>
          </reference>
          <reference field="15" count="1" selected="0">
            <x v="1"/>
          </reference>
          <reference field="16" count="1" selected="0">
            <x v="3"/>
          </reference>
        </references>
      </pivotArea>
    </format>
    <format dxfId="25025">
      <pivotArea dataOnly="0" labelOnly="1" outline="0" fieldPosition="0">
        <references count="4">
          <reference field="3" count="1" selected="0">
            <x v="4"/>
          </reference>
          <reference field="5" count="3">
            <x v="0"/>
            <x v="1"/>
            <x v="2"/>
          </reference>
          <reference field="15" count="1" selected="0">
            <x v="1"/>
          </reference>
          <reference field="16" count="1" selected="0">
            <x v="3"/>
          </reference>
        </references>
      </pivotArea>
    </format>
    <format dxfId="25026">
      <pivotArea dataOnly="0" labelOnly="1" outline="0" fieldPosition="0">
        <references count="4">
          <reference field="3" count="1" selected="0">
            <x v="0"/>
          </reference>
          <reference field="5" count="1">
            <x v="0"/>
          </reference>
          <reference field="15" count="1" selected="0">
            <x v="2"/>
          </reference>
          <reference field="16" count="1" selected="0">
            <x v="3"/>
          </reference>
        </references>
      </pivotArea>
    </format>
    <format dxfId="25027">
      <pivotArea dataOnly="0" labelOnly="1" outline="0" fieldPosition="0">
        <references count="4">
          <reference field="3" count="1" selected="0">
            <x v="1"/>
          </reference>
          <reference field="5" count="3">
            <x v="1"/>
            <x v="2"/>
            <x v="3"/>
          </reference>
          <reference field="15" count="1" selected="0">
            <x v="2"/>
          </reference>
          <reference field="16" count="1" selected="0">
            <x v="3"/>
          </reference>
        </references>
      </pivotArea>
    </format>
    <format dxfId="25028">
      <pivotArea dataOnly="0" labelOnly="1" outline="0" fieldPosition="0">
        <references count="4">
          <reference field="3" count="1" selected="0">
            <x v="2"/>
          </reference>
          <reference field="5" count="3">
            <x v="0"/>
            <x v="1"/>
            <x v="3"/>
          </reference>
          <reference field="15" count="1" selected="0">
            <x v="2"/>
          </reference>
          <reference field="16" count="1" selected="0">
            <x v="3"/>
          </reference>
        </references>
      </pivotArea>
    </format>
    <format dxfId="25029">
      <pivotArea dataOnly="0" labelOnly="1" outline="0" fieldPosition="0">
        <references count="4">
          <reference field="3" count="1" selected="0">
            <x v="3"/>
          </reference>
          <reference field="5" count="0"/>
          <reference field="15" count="1" selected="0">
            <x v="2"/>
          </reference>
          <reference field="16" count="1" selected="0">
            <x v="3"/>
          </reference>
        </references>
      </pivotArea>
    </format>
    <format dxfId="25030">
      <pivotArea dataOnly="0" labelOnly="1" outline="0" fieldPosition="0">
        <references count="4">
          <reference field="3" count="1" selected="0">
            <x v="4"/>
          </reference>
          <reference field="5" count="1">
            <x v="0"/>
          </reference>
          <reference field="15" count="1" selected="0">
            <x v="2"/>
          </reference>
          <reference field="16" count="1" selected="0">
            <x v="3"/>
          </reference>
        </references>
      </pivotArea>
    </format>
    <format dxfId="25031">
      <pivotArea dataOnly="0" labelOnly="1" outline="0" fieldPosition="0">
        <references count="4">
          <reference field="3" count="1" selected="0">
            <x v="0"/>
          </reference>
          <reference field="5" count="2">
            <x v="2"/>
            <x v="3"/>
          </reference>
          <reference field="15" count="1" selected="0">
            <x v="3"/>
          </reference>
          <reference field="16" count="1" selected="0">
            <x v="3"/>
          </reference>
        </references>
      </pivotArea>
    </format>
    <format dxfId="25032">
      <pivotArea dataOnly="0" labelOnly="1" outline="0" fieldPosition="0">
        <references count="4">
          <reference field="3" count="1" selected="0">
            <x v="1"/>
          </reference>
          <reference field="5" count="3">
            <x v="0"/>
            <x v="1"/>
            <x v="3"/>
          </reference>
          <reference field="15" count="1" selected="0">
            <x v="3"/>
          </reference>
          <reference field="16" count="1" selected="0">
            <x v="3"/>
          </reference>
        </references>
      </pivotArea>
    </format>
    <format dxfId="25033">
      <pivotArea dataOnly="0" labelOnly="1" outline="0" fieldPosition="0">
        <references count="4">
          <reference field="3" count="1" selected="0">
            <x v="2"/>
          </reference>
          <reference field="5" count="3">
            <x v="0"/>
            <x v="1"/>
            <x v="2"/>
          </reference>
          <reference field="15" count="1" selected="0">
            <x v="3"/>
          </reference>
          <reference field="16" count="1" selected="0">
            <x v="3"/>
          </reference>
        </references>
      </pivotArea>
    </format>
    <format dxfId="25034">
      <pivotArea dataOnly="0" labelOnly="1" outline="0" fieldPosition="0">
        <references count="4">
          <reference field="3" count="1" selected="0">
            <x v="3"/>
          </reference>
          <reference field="5" count="2">
            <x v="0"/>
            <x v="1"/>
          </reference>
          <reference field="15" count="1" selected="0">
            <x v="3"/>
          </reference>
          <reference field="16" count="1" selected="0">
            <x v="3"/>
          </reference>
        </references>
      </pivotArea>
    </format>
    <format dxfId="25035">
      <pivotArea dataOnly="0" labelOnly="1" outline="0" fieldPosition="0">
        <references count="4">
          <reference field="3" count="1" selected="0">
            <x v="4"/>
          </reference>
          <reference field="5" count="3">
            <x v="0"/>
            <x v="1"/>
            <x v="2"/>
          </reference>
          <reference field="15" count="1" selected="0">
            <x v="3"/>
          </reference>
          <reference field="16" count="1" selected="0">
            <x v="3"/>
          </reference>
        </references>
      </pivotArea>
    </format>
    <format dxfId="25036">
      <pivotArea dataOnly="0" labelOnly="1" outline="0" fieldPosition="0">
        <references count="4">
          <reference field="3" count="1" selected="0">
            <x v="0"/>
          </reference>
          <reference field="5" count="0"/>
          <reference field="15" count="1" selected="0">
            <x v="4"/>
          </reference>
          <reference field="16" count="1" selected="0">
            <x v="3"/>
          </reference>
        </references>
      </pivotArea>
    </format>
    <format dxfId="25037">
      <pivotArea dataOnly="0" labelOnly="1" outline="0" fieldPosition="0">
        <references count="4">
          <reference field="3" count="1" selected="0">
            <x v="1"/>
          </reference>
          <reference field="5" count="0"/>
          <reference field="15" count="1" selected="0">
            <x v="4"/>
          </reference>
          <reference field="16" count="1" selected="0">
            <x v="3"/>
          </reference>
        </references>
      </pivotArea>
    </format>
    <format dxfId="25038">
      <pivotArea dataOnly="0" labelOnly="1" outline="0" fieldPosition="0">
        <references count="4">
          <reference field="3" count="1" selected="0">
            <x v="2"/>
          </reference>
          <reference field="5" count="2">
            <x v="0"/>
            <x v="2"/>
          </reference>
          <reference field="15" count="1" selected="0">
            <x v="4"/>
          </reference>
          <reference field="16" count="1" selected="0">
            <x v="3"/>
          </reference>
        </references>
      </pivotArea>
    </format>
    <format dxfId="25039">
      <pivotArea dataOnly="0" labelOnly="1" outline="0" fieldPosition="0">
        <references count="4">
          <reference field="3" count="1" selected="0">
            <x v="3"/>
          </reference>
          <reference field="5" count="2">
            <x v="0"/>
            <x v="1"/>
          </reference>
          <reference field="15" count="1" selected="0">
            <x v="4"/>
          </reference>
          <reference field="16" count="1" selected="0">
            <x v="3"/>
          </reference>
        </references>
      </pivotArea>
    </format>
    <format dxfId="25040">
      <pivotArea dataOnly="0" labelOnly="1" outline="0" fieldPosition="0">
        <references count="4">
          <reference field="3" count="1" selected="0">
            <x v="4"/>
          </reference>
          <reference field="5" count="0"/>
          <reference field="15" count="1" selected="0">
            <x v="4"/>
          </reference>
          <reference field="16" count="1" selected="0">
            <x v="3"/>
          </reference>
        </references>
      </pivotArea>
    </format>
    <format dxfId="25041">
      <pivotArea dataOnly="0" labelOnly="1" outline="0" fieldPosition="0">
        <references count="4">
          <reference field="3" count="1" selected="0">
            <x v="0"/>
          </reference>
          <reference field="5" count="1">
            <x v="1"/>
          </reference>
          <reference field="15" count="1" selected="0">
            <x v="5"/>
          </reference>
          <reference field="16" count="1" selected="0">
            <x v="3"/>
          </reference>
        </references>
      </pivotArea>
    </format>
    <format dxfId="25042">
      <pivotArea dataOnly="0" labelOnly="1" outline="0" fieldPosition="0">
        <references count="4">
          <reference field="3" count="1" selected="0">
            <x v="1"/>
          </reference>
          <reference field="5" count="0"/>
          <reference field="15" count="1" selected="0">
            <x v="5"/>
          </reference>
          <reference field="16" count="1" selected="0">
            <x v="3"/>
          </reference>
        </references>
      </pivotArea>
    </format>
    <format dxfId="25043">
      <pivotArea dataOnly="0" labelOnly="1" outline="0" fieldPosition="0">
        <references count="4">
          <reference field="3" count="1" selected="0">
            <x v="2"/>
          </reference>
          <reference field="5" count="3">
            <x v="0"/>
            <x v="1"/>
            <x v="2"/>
          </reference>
          <reference field="15" count="1" selected="0">
            <x v="5"/>
          </reference>
          <reference field="16" count="1" selected="0">
            <x v="3"/>
          </reference>
        </references>
      </pivotArea>
    </format>
    <format dxfId="25044">
      <pivotArea dataOnly="0" labelOnly="1" outline="0" fieldPosition="0">
        <references count="4">
          <reference field="3" count="1" selected="0">
            <x v="3"/>
          </reference>
          <reference field="5" count="2">
            <x v="0"/>
            <x v="1"/>
          </reference>
          <reference field="15" count="1" selected="0">
            <x v="5"/>
          </reference>
          <reference field="16" count="1" selected="0">
            <x v="3"/>
          </reference>
        </references>
      </pivotArea>
    </format>
    <format dxfId="25045">
      <pivotArea dataOnly="0" labelOnly="1" outline="0" fieldPosition="0">
        <references count="4">
          <reference field="3" count="1" selected="0">
            <x v="4"/>
          </reference>
          <reference field="5" count="3">
            <x v="0"/>
            <x v="1"/>
            <x v="2"/>
          </reference>
          <reference field="15" count="1" selected="0">
            <x v="5"/>
          </reference>
          <reference field="16" count="1" selected="0">
            <x v="3"/>
          </reference>
        </references>
      </pivotArea>
    </format>
    <format dxfId="25046">
      <pivotArea dataOnly="0" labelOnly="1" outline="0" fieldPosition="0">
        <references count="5">
          <reference field="3" count="1" selected="0">
            <x v="0"/>
          </reference>
          <reference field="5" count="1" selected="0">
            <x v="0"/>
          </reference>
          <reference field="8" count="1">
            <x v="1"/>
          </reference>
          <reference field="15" count="1" selected="0">
            <x v="0"/>
          </reference>
          <reference field="16" count="1" selected="0">
            <x v="0"/>
          </reference>
        </references>
      </pivotArea>
    </format>
    <format dxfId="25047">
      <pivotArea dataOnly="0" labelOnly="1" outline="0" fieldPosition="0">
        <references count="5">
          <reference field="3" count="1" selected="0">
            <x v="0"/>
          </reference>
          <reference field="5" count="1" selected="0">
            <x v="2"/>
          </reference>
          <reference field="8" count="1">
            <x v="3"/>
          </reference>
          <reference field="15" count="1" selected="0">
            <x v="0"/>
          </reference>
          <reference field="16" count="1" selected="0">
            <x v="0"/>
          </reference>
        </references>
      </pivotArea>
    </format>
    <format dxfId="25048">
      <pivotArea dataOnly="0" labelOnly="1" outline="0" fieldPosition="0">
        <references count="5">
          <reference field="3" count="1" selected="0">
            <x v="1"/>
          </reference>
          <reference field="5" count="1" selected="0">
            <x v="0"/>
          </reference>
          <reference field="8" count="3">
            <x v="1"/>
            <x v="3"/>
            <x v="4"/>
          </reference>
          <reference field="15" count="1" selected="0">
            <x v="0"/>
          </reference>
          <reference field="16" count="1" selected="0">
            <x v="0"/>
          </reference>
        </references>
      </pivotArea>
    </format>
    <format dxfId="25049">
      <pivotArea dataOnly="0" labelOnly="1" outline="0" fieldPosition="0">
        <references count="5">
          <reference field="3" count="1" selected="0">
            <x v="1"/>
          </reference>
          <reference field="5" count="1" selected="0">
            <x v="1"/>
          </reference>
          <reference field="8" count="3">
            <x v="1"/>
            <x v="2"/>
            <x v="3"/>
          </reference>
          <reference field="15" count="1" selected="0">
            <x v="0"/>
          </reference>
          <reference field="16" count="1" selected="0">
            <x v="0"/>
          </reference>
        </references>
      </pivotArea>
    </format>
    <format dxfId="25050">
      <pivotArea dataOnly="0" labelOnly="1" outline="0" fieldPosition="0">
        <references count="5">
          <reference field="3" count="1" selected="0">
            <x v="1"/>
          </reference>
          <reference field="5" count="1" selected="0">
            <x v="2"/>
          </reference>
          <reference field="8" count="1">
            <x v="0"/>
          </reference>
          <reference field="15" count="1" selected="0">
            <x v="0"/>
          </reference>
          <reference field="16" count="1" selected="0">
            <x v="0"/>
          </reference>
        </references>
      </pivotArea>
    </format>
    <format dxfId="25051">
      <pivotArea dataOnly="0" labelOnly="1" outline="0" fieldPosition="0">
        <references count="5">
          <reference field="3" count="1" selected="0">
            <x v="1"/>
          </reference>
          <reference field="5" count="1" selected="0">
            <x v="3"/>
          </reference>
          <reference field="8" count="2">
            <x v="1"/>
            <x v="2"/>
          </reference>
          <reference field="15" count="1" selected="0">
            <x v="0"/>
          </reference>
          <reference field="16" count="1" selected="0">
            <x v="0"/>
          </reference>
        </references>
      </pivotArea>
    </format>
    <format dxfId="25052">
      <pivotArea dataOnly="0" labelOnly="1" outline="0" fieldPosition="0">
        <references count="5">
          <reference field="3" count="1" selected="0">
            <x v="2"/>
          </reference>
          <reference field="5" count="1" selected="0">
            <x v="0"/>
          </reference>
          <reference field="8" count="1">
            <x v="4"/>
          </reference>
          <reference field="15" count="1" selected="0">
            <x v="0"/>
          </reference>
          <reference field="16" count="1" selected="0">
            <x v="0"/>
          </reference>
        </references>
      </pivotArea>
    </format>
    <format dxfId="25053">
      <pivotArea dataOnly="0" labelOnly="1" outline="0" fieldPosition="0">
        <references count="5">
          <reference field="3" count="1" selected="0">
            <x v="2"/>
          </reference>
          <reference field="5" count="1" selected="0">
            <x v="1"/>
          </reference>
          <reference field="8" count="2">
            <x v="0"/>
            <x v="4"/>
          </reference>
          <reference field="15" count="1" selected="0">
            <x v="0"/>
          </reference>
          <reference field="16" count="1" selected="0">
            <x v="0"/>
          </reference>
        </references>
      </pivotArea>
    </format>
    <format dxfId="25054">
      <pivotArea dataOnly="0" labelOnly="1" outline="0" fieldPosition="0">
        <references count="5">
          <reference field="3" count="1" selected="0">
            <x v="2"/>
          </reference>
          <reference field="5" count="1" selected="0">
            <x v="2"/>
          </reference>
          <reference field="8" count="3">
            <x v="0"/>
            <x v="3"/>
            <x v="4"/>
          </reference>
          <reference field="15" count="1" selected="0">
            <x v="0"/>
          </reference>
          <reference field="16" count="1" selected="0">
            <x v="0"/>
          </reference>
        </references>
      </pivotArea>
    </format>
    <format dxfId="25055">
      <pivotArea dataOnly="0" labelOnly="1" outline="0" fieldPosition="0">
        <references count="5">
          <reference field="3" count="1" selected="0">
            <x v="2"/>
          </reference>
          <reference field="5" count="1" selected="0">
            <x v="3"/>
          </reference>
          <reference field="8" count="1">
            <x v="3"/>
          </reference>
          <reference field="15" count="1" selected="0">
            <x v="0"/>
          </reference>
          <reference field="16" count="1" selected="0">
            <x v="0"/>
          </reference>
        </references>
      </pivotArea>
    </format>
    <format dxfId="25056">
      <pivotArea dataOnly="0" labelOnly="1" outline="0" fieldPosition="0">
        <references count="5">
          <reference field="3" count="1" selected="0">
            <x v="3"/>
          </reference>
          <reference field="5" count="1" selected="0">
            <x v="0"/>
          </reference>
          <reference field="8" count="2">
            <x v="0"/>
            <x v="2"/>
          </reference>
          <reference field="15" count="1" selected="0">
            <x v="0"/>
          </reference>
          <reference field="16" count="1" selected="0">
            <x v="0"/>
          </reference>
        </references>
      </pivotArea>
    </format>
    <format dxfId="25057">
      <pivotArea dataOnly="0" labelOnly="1" outline="0" fieldPosition="0">
        <references count="5">
          <reference field="3" count="1" selected="0">
            <x v="3"/>
          </reference>
          <reference field="5" count="1" selected="0">
            <x v="2"/>
          </reference>
          <reference field="8" count="1">
            <x v="1"/>
          </reference>
          <reference field="15" count="1" selected="0">
            <x v="0"/>
          </reference>
          <reference field="16" count="1" selected="0">
            <x v="0"/>
          </reference>
        </references>
      </pivotArea>
    </format>
    <format dxfId="25058">
      <pivotArea dataOnly="0" labelOnly="1" outline="0" fieldPosition="0">
        <references count="5">
          <reference field="3" count="1" selected="0">
            <x v="4"/>
          </reference>
          <reference field="5" count="1" selected="0">
            <x v="0"/>
          </reference>
          <reference field="8" count="3">
            <x v="0"/>
            <x v="2"/>
            <x v="3"/>
          </reference>
          <reference field="15" count="1" selected="0">
            <x v="0"/>
          </reference>
          <reference field="16" count="1" selected="0">
            <x v="0"/>
          </reference>
        </references>
      </pivotArea>
    </format>
    <format dxfId="25059">
      <pivotArea dataOnly="0" labelOnly="1" outline="0" fieldPosition="0">
        <references count="5">
          <reference field="3" count="1" selected="0">
            <x v="4"/>
          </reference>
          <reference field="5" count="1" selected="0">
            <x v="1"/>
          </reference>
          <reference field="8" count="3">
            <x v="0"/>
            <x v="1"/>
            <x v="2"/>
          </reference>
          <reference field="15" count="1" selected="0">
            <x v="0"/>
          </reference>
          <reference field="16" count="1" selected="0">
            <x v="0"/>
          </reference>
        </references>
      </pivotArea>
    </format>
    <format dxfId="25060">
      <pivotArea dataOnly="0" labelOnly="1" outline="0" fieldPosition="0">
        <references count="5">
          <reference field="3" count="1" selected="0">
            <x v="4"/>
          </reference>
          <reference field="5" count="1" selected="0">
            <x v="2"/>
          </reference>
          <reference field="8" count="2">
            <x v="1"/>
            <x v="4"/>
          </reference>
          <reference field="15" count="1" selected="0">
            <x v="0"/>
          </reference>
          <reference field="16" count="1" selected="0">
            <x v="0"/>
          </reference>
        </references>
      </pivotArea>
    </format>
    <format dxfId="25061">
      <pivotArea dataOnly="0" labelOnly="1" outline="0" fieldPosition="0">
        <references count="5">
          <reference field="3" count="1" selected="0">
            <x v="4"/>
          </reference>
          <reference field="5" count="1" selected="0">
            <x v="3"/>
          </reference>
          <reference field="8" count="1">
            <x v="4"/>
          </reference>
          <reference field="15" count="1" selected="0">
            <x v="0"/>
          </reference>
          <reference field="16" count="1" selected="0">
            <x v="0"/>
          </reference>
        </references>
      </pivotArea>
    </format>
    <format dxfId="25062">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0"/>
          </reference>
        </references>
      </pivotArea>
    </format>
    <format dxfId="25063">
      <pivotArea dataOnly="0" labelOnly="1" outline="0" fieldPosition="0">
        <references count="5">
          <reference field="3" count="1" selected="0">
            <x v="0"/>
          </reference>
          <reference field="5" count="1" selected="0">
            <x v="2"/>
          </reference>
          <reference field="8" count="1">
            <x v="3"/>
          </reference>
          <reference field="15" count="1" selected="0">
            <x v="1"/>
          </reference>
          <reference field="16" count="1" selected="0">
            <x v="0"/>
          </reference>
        </references>
      </pivotArea>
    </format>
    <format dxfId="25064">
      <pivotArea dataOnly="0" labelOnly="1" outline="0" fieldPosition="0">
        <references count="5">
          <reference field="3" count="1" selected="0">
            <x v="1"/>
          </reference>
          <reference field="5" count="1" selected="0">
            <x v="0"/>
          </reference>
          <reference field="8" count="0"/>
          <reference field="15" count="1" selected="0">
            <x v="1"/>
          </reference>
          <reference field="16" count="1" selected="0">
            <x v="0"/>
          </reference>
        </references>
      </pivotArea>
    </format>
    <format dxfId="25065">
      <pivotArea dataOnly="0" labelOnly="1" outline="0" fieldPosition="0">
        <references count="5">
          <reference field="3" count="1" selected="0">
            <x v="1"/>
          </reference>
          <reference field="5" count="1" selected="0">
            <x v="1"/>
          </reference>
          <reference field="8" count="0"/>
          <reference field="15" count="1" selected="0">
            <x v="1"/>
          </reference>
          <reference field="16" count="1" selected="0">
            <x v="0"/>
          </reference>
        </references>
      </pivotArea>
    </format>
    <format dxfId="25066">
      <pivotArea dataOnly="0" labelOnly="1" outline="0" fieldPosition="0">
        <references count="5">
          <reference field="3" count="1" selected="0">
            <x v="1"/>
          </reference>
          <reference field="5" count="1" selected="0">
            <x v="2"/>
          </reference>
          <reference field="8" count="2">
            <x v="1"/>
            <x v="2"/>
          </reference>
          <reference field="15" count="1" selected="0">
            <x v="1"/>
          </reference>
          <reference field="16" count="1" selected="0">
            <x v="0"/>
          </reference>
        </references>
      </pivotArea>
    </format>
    <format dxfId="25067">
      <pivotArea dataOnly="0" labelOnly="1" outline="0" fieldPosition="0">
        <references count="5">
          <reference field="3" count="1" selected="0">
            <x v="1"/>
          </reference>
          <reference field="5" count="1" selected="0">
            <x v="3"/>
          </reference>
          <reference field="8" count="1">
            <x v="2"/>
          </reference>
          <reference field="15" count="1" selected="0">
            <x v="1"/>
          </reference>
          <reference field="16" count="1" selected="0">
            <x v="0"/>
          </reference>
        </references>
      </pivotArea>
    </format>
    <format dxfId="25068">
      <pivotArea dataOnly="0" labelOnly="1" outline="0" fieldPosition="0">
        <references count="5">
          <reference field="3" count="1" selected="0">
            <x v="2"/>
          </reference>
          <reference field="5" count="1" selected="0">
            <x v="0"/>
          </reference>
          <reference field="8" count="1">
            <x v="0"/>
          </reference>
          <reference field="15" count="1" selected="0">
            <x v="1"/>
          </reference>
          <reference field="16" count="1" selected="0">
            <x v="0"/>
          </reference>
        </references>
      </pivotArea>
    </format>
    <format dxfId="25069">
      <pivotArea dataOnly="0" labelOnly="1" outline="0" fieldPosition="0">
        <references count="5">
          <reference field="3" count="1" selected="0">
            <x v="2"/>
          </reference>
          <reference field="5" count="1" selected="0">
            <x v="1"/>
          </reference>
          <reference field="8" count="2">
            <x v="1"/>
            <x v="4"/>
          </reference>
          <reference field="15" count="1" selected="0">
            <x v="1"/>
          </reference>
          <reference field="16" count="1" selected="0">
            <x v="0"/>
          </reference>
        </references>
      </pivotArea>
    </format>
    <format dxfId="25070">
      <pivotArea dataOnly="0" labelOnly="1" outline="0" fieldPosition="0">
        <references count="5">
          <reference field="3" count="1" selected="0">
            <x v="2"/>
          </reference>
          <reference field="5" count="1" selected="0">
            <x v="2"/>
          </reference>
          <reference field="8" count="1">
            <x v="0"/>
          </reference>
          <reference field="15" count="1" selected="0">
            <x v="1"/>
          </reference>
          <reference field="16" count="1" selected="0">
            <x v="0"/>
          </reference>
        </references>
      </pivotArea>
    </format>
    <format dxfId="25071">
      <pivotArea dataOnly="0" labelOnly="1" outline="0" fieldPosition="0">
        <references count="5">
          <reference field="3" count="1" selected="0">
            <x v="3"/>
          </reference>
          <reference field="5" count="1" selected="0">
            <x v="0"/>
          </reference>
          <reference field="8" count="1">
            <x v="3"/>
          </reference>
          <reference field="15" count="1" selected="0">
            <x v="1"/>
          </reference>
          <reference field="16" count="1" selected="0">
            <x v="0"/>
          </reference>
        </references>
      </pivotArea>
    </format>
    <format dxfId="25072">
      <pivotArea dataOnly="0" labelOnly="1" outline="0" fieldPosition="0">
        <references count="5">
          <reference field="3" count="1" selected="0">
            <x v="3"/>
          </reference>
          <reference field="5" count="1" selected="0">
            <x v="1"/>
          </reference>
          <reference field="8" count="1">
            <x v="2"/>
          </reference>
          <reference field="15" count="1" selected="0">
            <x v="1"/>
          </reference>
          <reference field="16" count="1" selected="0">
            <x v="0"/>
          </reference>
        </references>
      </pivotArea>
    </format>
    <format dxfId="25073">
      <pivotArea dataOnly="0" labelOnly="1" outline="0" fieldPosition="0">
        <references count="5">
          <reference field="3" count="1" selected="0">
            <x v="4"/>
          </reference>
          <reference field="5" count="1" selected="0">
            <x v="0"/>
          </reference>
          <reference field="8" count="3">
            <x v="0"/>
            <x v="2"/>
            <x v="4"/>
          </reference>
          <reference field="15" count="1" selected="0">
            <x v="1"/>
          </reference>
          <reference field="16" count="1" selected="0">
            <x v="0"/>
          </reference>
        </references>
      </pivotArea>
    </format>
    <format dxfId="25074">
      <pivotArea dataOnly="0" labelOnly="1" outline="0" fieldPosition="0">
        <references count="5">
          <reference field="3" count="1" selected="0">
            <x v="4"/>
          </reference>
          <reference field="5" count="1" selected="0">
            <x v="1"/>
          </reference>
          <reference field="8" count="2">
            <x v="0"/>
            <x v="3"/>
          </reference>
          <reference field="15" count="1" selected="0">
            <x v="1"/>
          </reference>
          <reference field="16" count="1" selected="0">
            <x v="0"/>
          </reference>
        </references>
      </pivotArea>
    </format>
    <format dxfId="25075">
      <pivotArea dataOnly="0" labelOnly="1" outline="0" fieldPosition="0">
        <references count="5">
          <reference field="3" count="1" selected="0">
            <x v="4"/>
          </reference>
          <reference field="5" count="1" selected="0">
            <x v="3"/>
          </reference>
          <reference field="8" count="1">
            <x v="0"/>
          </reference>
          <reference field="15" count="1" selected="0">
            <x v="1"/>
          </reference>
          <reference field="16" count="1" selected="0">
            <x v="0"/>
          </reference>
        </references>
      </pivotArea>
    </format>
    <format dxfId="25076">
      <pivotArea dataOnly="0" labelOnly="1" outline="0" fieldPosition="0">
        <references count="5">
          <reference field="3" count="1" selected="0">
            <x v="0"/>
          </reference>
          <reference field="5" count="1" selected="0">
            <x v="0"/>
          </reference>
          <reference field="8" count="2">
            <x v="2"/>
            <x v="4"/>
          </reference>
          <reference field="15" count="1" selected="0">
            <x v="2"/>
          </reference>
          <reference field="16" count="1" selected="0">
            <x v="0"/>
          </reference>
        </references>
      </pivotArea>
    </format>
    <format dxfId="25077">
      <pivotArea dataOnly="0" labelOnly="1" outline="0" fieldPosition="0">
        <references count="5">
          <reference field="3" count="1" selected="0">
            <x v="0"/>
          </reference>
          <reference field="5" count="1" selected="0">
            <x v="1"/>
          </reference>
          <reference field="8" count="1">
            <x v="2"/>
          </reference>
          <reference field="15" count="1" selected="0">
            <x v="2"/>
          </reference>
          <reference field="16" count="1" selected="0">
            <x v="0"/>
          </reference>
        </references>
      </pivotArea>
    </format>
    <format dxfId="25078">
      <pivotArea dataOnly="0" labelOnly="1" outline="0" fieldPosition="0">
        <references count="5">
          <reference field="3" count="1" selected="0">
            <x v="0"/>
          </reference>
          <reference field="5" count="1" selected="0">
            <x v="2"/>
          </reference>
          <reference field="8" count="1">
            <x v="0"/>
          </reference>
          <reference field="15" count="1" selected="0">
            <x v="2"/>
          </reference>
          <reference field="16" count="1" selected="0">
            <x v="0"/>
          </reference>
        </references>
      </pivotArea>
    </format>
    <format dxfId="25079">
      <pivotArea dataOnly="0" labelOnly="1" outline="0" fieldPosition="0">
        <references count="5">
          <reference field="3" count="1" selected="0">
            <x v="1"/>
          </reference>
          <reference field="5" count="1" selected="0">
            <x v="0"/>
          </reference>
          <reference field="8" count="4">
            <x v="0"/>
            <x v="1"/>
            <x v="2"/>
            <x v="3"/>
          </reference>
          <reference field="15" count="1" selected="0">
            <x v="2"/>
          </reference>
          <reference field="16" count="1" selected="0">
            <x v="0"/>
          </reference>
        </references>
      </pivotArea>
    </format>
    <format dxfId="25080">
      <pivotArea dataOnly="0" labelOnly="1" outline="0" fieldPosition="0">
        <references count="5">
          <reference field="3" count="1" selected="0">
            <x v="1"/>
          </reference>
          <reference field="5" count="1" selected="0">
            <x v="1"/>
          </reference>
          <reference field="8" count="3">
            <x v="0"/>
            <x v="1"/>
            <x v="3"/>
          </reference>
          <reference field="15" count="1" selected="0">
            <x v="2"/>
          </reference>
          <reference field="16" count="1" selected="0">
            <x v="0"/>
          </reference>
        </references>
      </pivotArea>
    </format>
    <format dxfId="25081">
      <pivotArea dataOnly="0" labelOnly="1" outline="0" fieldPosition="0">
        <references count="5">
          <reference field="3" count="1" selected="0">
            <x v="1"/>
          </reference>
          <reference field="5" count="1" selected="0">
            <x v="2"/>
          </reference>
          <reference field="8" count="2">
            <x v="2"/>
            <x v="4"/>
          </reference>
          <reference field="15" count="1" selected="0">
            <x v="2"/>
          </reference>
          <reference field="16" count="1" selected="0">
            <x v="0"/>
          </reference>
        </references>
      </pivotArea>
    </format>
    <format dxfId="25082">
      <pivotArea dataOnly="0" labelOnly="1" outline="0" fieldPosition="0">
        <references count="5">
          <reference field="3" count="1" selected="0">
            <x v="2"/>
          </reference>
          <reference field="5" count="1" selected="0">
            <x v="0"/>
          </reference>
          <reference field="8" count="2">
            <x v="2"/>
            <x v="4"/>
          </reference>
          <reference field="15" count="1" selected="0">
            <x v="2"/>
          </reference>
          <reference field="16" count="1" selected="0">
            <x v="0"/>
          </reference>
        </references>
      </pivotArea>
    </format>
    <format dxfId="25083">
      <pivotArea dataOnly="0" labelOnly="1" outline="0" fieldPosition="0">
        <references count="5">
          <reference field="3" count="1" selected="0">
            <x v="2"/>
          </reference>
          <reference field="5" count="1" selected="0">
            <x v="3"/>
          </reference>
          <reference field="8" count="1">
            <x v="2"/>
          </reference>
          <reference field="15" count="1" selected="0">
            <x v="2"/>
          </reference>
          <reference field="16" count="1" selected="0">
            <x v="0"/>
          </reference>
        </references>
      </pivotArea>
    </format>
    <format dxfId="25084">
      <pivotArea dataOnly="0" labelOnly="1" outline="0" fieldPosition="0">
        <references count="5">
          <reference field="3" count="1" selected="0">
            <x v="3"/>
          </reference>
          <reference field="5" count="1" selected="0">
            <x v="0"/>
          </reference>
          <reference field="8" count="1">
            <x v="3"/>
          </reference>
          <reference field="15" count="1" selected="0">
            <x v="2"/>
          </reference>
          <reference field="16" count="1" selected="0">
            <x v="0"/>
          </reference>
        </references>
      </pivotArea>
    </format>
    <format dxfId="25085">
      <pivotArea dataOnly="0" labelOnly="1" outline="0" fieldPosition="0">
        <references count="5">
          <reference field="3" count="1" selected="0">
            <x v="3"/>
          </reference>
          <reference field="5" count="1" selected="0">
            <x v="1"/>
          </reference>
          <reference field="8" count="1">
            <x v="3"/>
          </reference>
          <reference field="15" count="1" selected="0">
            <x v="2"/>
          </reference>
          <reference field="16" count="1" selected="0">
            <x v="0"/>
          </reference>
        </references>
      </pivotArea>
    </format>
    <format dxfId="25086">
      <pivotArea dataOnly="0" labelOnly="1" outline="0" fieldPosition="0">
        <references count="5">
          <reference field="3" count="1" selected="0">
            <x v="3"/>
          </reference>
          <reference field="5" count="1" selected="0">
            <x v="3"/>
          </reference>
          <reference field="8" count="1">
            <x v="2"/>
          </reference>
          <reference field="15" count="1" selected="0">
            <x v="2"/>
          </reference>
          <reference field="16" count="1" selected="0">
            <x v="0"/>
          </reference>
        </references>
      </pivotArea>
    </format>
    <format dxfId="25087">
      <pivotArea dataOnly="0" labelOnly="1" outline="0" fieldPosition="0">
        <references count="5">
          <reference field="3" count="1" selected="0">
            <x v="4"/>
          </reference>
          <reference field="5" count="1" selected="0">
            <x v="0"/>
          </reference>
          <reference field="8" count="4">
            <x v="0"/>
            <x v="2"/>
            <x v="3"/>
            <x v="4"/>
          </reference>
          <reference field="15" count="1" selected="0">
            <x v="2"/>
          </reference>
          <reference field="16" count="1" selected="0">
            <x v="0"/>
          </reference>
        </references>
      </pivotArea>
    </format>
    <format dxfId="25088">
      <pivotArea dataOnly="0" labelOnly="1" outline="0" fieldPosition="0">
        <references count="5">
          <reference field="3" count="1" selected="0">
            <x v="4"/>
          </reference>
          <reference field="5" count="1" selected="0">
            <x v="1"/>
          </reference>
          <reference field="8" count="3">
            <x v="1"/>
            <x v="2"/>
            <x v="3"/>
          </reference>
          <reference field="15" count="1" selected="0">
            <x v="2"/>
          </reference>
          <reference field="16" count="1" selected="0">
            <x v="0"/>
          </reference>
        </references>
      </pivotArea>
    </format>
    <format dxfId="25089">
      <pivotArea dataOnly="0" labelOnly="1" outline="0" fieldPosition="0">
        <references count="5">
          <reference field="3" count="1" selected="0">
            <x v="4"/>
          </reference>
          <reference field="5" count="1" selected="0">
            <x v="2"/>
          </reference>
          <reference field="8" count="2">
            <x v="2"/>
            <x v="4"/>
          </reference>
          <reference field="15" count="1" selected="0">
            <x v="2"/>
          </reference>
          <reference field="16" count="1" selected="0">
            <x v="0"/>
          </reference>
        </references>
      </pivotArea>
    </format>
    <format dxfId="25090">
      <pivotArea dataOnly="0" labelOnly="1" outline="0" fieldPosition="0">
        <references count="5">
          <reference field="3" count="1" selected="0">
            <x v="0"/>
          </reference>
          <reference field="5" count="1" selected="0">
            <x v="0"/>
          </reference>
          <reference field="8" count="1">
            <x v="0"/>
          </reference>
          <reference field="15" count="1" selected="0">
            <x v="3"/>
          </reference>
          <reference field="16" count="1" selected="0">
            <x v="0"/>
          </reference>
        </references>
      </pivotArea>
    </format>
    <format dxfId="25091">
      <pivotArea dataOnly="0" labelOnly="1" outline="0" fieldPosition="0">
        <references count="5">
          <reference field="3" count="1" selected="0">
            <x v="0"/>
          </reference>
          <reference field="5" count="1" selected="0">
            <x v="1"/>
          </reference>
          <reference field="8" count="1">
            <x v="0"/>
          </reference>
          <reference field="15" count="1" selected="0">
            <x v="3"/>
          </reference>
          <reference field="16" count="1" selected="0">
            <x v="0"/>
          </reference>
        </references>
      </pivotArea>
    </format>
    <format dxfId="25092">
      <pivotArea dataOnly="0" labelOnly="1" outline="0" fieldPosition="0">
        <references count="5">
          <reference field="3" count="1" selected="0">
            <x v="0"/>
          </reference>
          <reference field="5" count="1" selected="0">
            <x v="2"/>
          </reference>
          <reference field="8" count="1">
            <x v="0"/>
          </reference>
          <reference field="15" count="1" selected="0">
            <x v="3"/>
          </reference>
          <reference field="16" count="1" selected="0">
            <x v="0"/>
          </reference>
        </references>
      </pivotArea>
    </format>
    <format dxfId="25093">
      <pivotArea dataOnly="0" labelOnly="1" outline="0" fieldPosition="0">
        <references count="5">
          <reference field="3" count="1" selected="0">
            <x v="1"/>
          </reference>
          <reference field="5" count="1" selected="0">
            <x v="0"/>
          </reference>
          <reference field="8" count="4">
            <x v="0"/>
            <x v="1"/>
            <x v="2"/>
            <x v="3"/>
          </reference>
          <reference field="15" count="1" selected="0">
            <x v="3"/>
          </reference>
          <reference field="16" count="1" selected="0">
            <x v="0"/>
          </reference>
        </references>
      </pivotArea>
    </format>
    <format dxfId="25094">
      <pivotArea dataOnly="0" labelOnly="1" outline="0" fieldPosition="0">
        <references count="5">
          <reference field="3" count="1" selected="0">
            <x v="1"/>
          </reference>
          <reference field="5" count="1" selected="0">
            <x v="1"/>
          </reference>
          <reference field="8" count="3">
            <x v="0"/>
            <x v="2"/>
            <x v="4"/>
          </reference>
          <reference field="15" count="1" selected="0">
            <x v="3"/>
          </reference>
          <reference field="16" count="1" selected="0">
            <x v="0"/>
          </reference>
        </references>
      </pivotArea>
    </format>
    <format dxfId="25095">
      <pivotArea dataOnly="0" labelOnly="1" outline="0" fieldPosition="0">
        <references count="5">
          <reference field="3" count="1" selected="0">
            <x v="1"/>
          </reference>
          <reference field="5" count="1" selected="0">
            <x v="2"/>
          </reference>
          <reference field="8" count="2">
            <x v="1"/>
            <x v="4"/>
          </reference>
          <reference field="15" count="1" selected="0">
            <x v="3"/>
          </reference>
          <reference field="16" count="1" selected="0">
            <x v="0"/>
          </reference>
        </references>
      </pivotArea>
    </format>
    <format dxfId="25096">
      <pivotArea dataOnly="0" labelOnly="1" outline="0" fieldPosition="0">
        <references count="5">
          <reference field="3" count="1" selected="0">
            <x v="2"/>
          </reference>
          <reference field="5" count="1" selected="0">
            <x v="0"/>
          </reference>
          <reference field="8" count="2">
            <x v="2"/>
            <x v="3"/>
          </reference>
          <reference field="15" count="1" selected="0">
            <x v="3"/>
          </reference>
          <reference field="16" count="1" selected="0">
            <x v="0"/>
          </reference>
        </references>
      </pivotArea>
    </format>
    <format dxfId="25097">
      <pivotArea dataOnly="0" labelOnly="1" outline="0" fieldPosition="0">
        <references count="5">
          <reference field="3" count="1" selected="0">
            <x v="2"/>
          </reference>
          <reference field="5" count="1" selected="0">
            <x v="1"/>
          </reference>
          <reference field="8" count="1">
            <x v="3"/>
          </reference>
          <reference field="15" count="1" selected="0">
            <x v="3"/>
          </reference>
          <reference field="16" count="1" selected="0">
            <x v="0"/>
          </reference>
        </references>
      </pivotArea>
    </format>
    <format dxfId="25098">
      <pivotArea dataOnly="0" labelOnly="1" outline="0" fieldPosition="0">
        <references count="5">
          <reference field="3" count="1" selected="0">
            <x v="3"/>
          </reference>
          <reference field="5" count="1" selected="0">
            <x v="0"/>
          </reference>
          <reference field="8" count="1">
            <x v="0"/>
          </reference>
          <reference field="15" count="1" selected="0">
            <x v="3"/>
          </reference>
          <reference field="16" count="1" selected="0">
            <x v="0"/>
          </reference>
        </references>
      </pivotArea>
    </format>
    <format dxfId="25099">
      <pivotArea dataOnly="0" labelOnly="1" outline="0" fieldPosition="0">
        <references count="5">
          <reference field="3" count="1" selected="0">
            <x v="3"/>
          </reference>
          <reference field="5" count="1" selected="0">
            <x v="1"/>
          </reference>
          <reference field="8" count="4">
            <x v="0"/>
            <x v="1"/>
            <x v="3"/>
            <x v="4"/>
          </reference>
          <reference field="15" count="1" selected="0">
            <x v="3"/>
          </reference>
          <reference field="16" count="1" selected="0">
            <x v="0"/>
          </reference>
        </references>
      </pivotArea>
    </format>
    <format dxfId="25100">
      <pivotArea dataOnly="0" labelOnly="1" outline="0" fieldPosition="0">
        <references count="5">
          <reference field="3" count="1" selected="0">
            <x v="3"/>
          </reference>
          <reference field="5" count="1" selected="0">
            <x v="2"/>
          </reference>
          <reference field="8" count="1">
            <x v="1"/>
          </reference>
          <reference field="15" count="1" selected="0">
            <x v="3"/>
          </reference>
          <reference field="16" count="1" selected="0">
            <x v="0"/>
          </reference>
        </references>
      </pivotArea>
    </format>
    <format dxfId="25101">
      <pivotArea dataOnly="0" labelOnly="1" outline="0" fieldPosition="0">
        <references count="5">
          <reference field="3" count="1" selected="0">
            <x v="4"/>
          </reference>
          <reference field="5" count="1" selected="0">
            <x v="0"/>
          </reference>
          <reference field="8" count="4">
            <x v="1"/>
            <x v="2"/>
            <x v="3"/>
            <x v="4"/>
          </reference>
          <reference field="15" count="1" selected="0">
            <x v="3"/>
          </reference>
          <reference field="16" count="1" selected="0">
            <x v="0"/>
          </reference>
        </references>
      </pivotArea>
    </format>
    <format dxfId="25102">
      <pivotArea dataOnly="0" labelOnly="1" outline="0" fieldPosition="0">
        <references count="5">
          <reference field="3" count="1" selected="0">
            <x v="4"/>
          </reference>
          <reference field="5" count="1" selected="0">
            <x v="1"/>
          </reference>
          <reference field="8" count="2">
            <x v="0"/>
            <x v="3"/>
          </reference>
          <reference field="15" count="1" selected="0">
            <x v="3"/>
          </reference>
          <reference field="16" count="1" selected="0">
            <x v="0"/>
          </reference>
        </references>
      </pivotArea>
    </format>
    <format dxfId="25103">
      <pivotArea dataOnly="0" labelOnly="1" outline="0" fieldPosition="0">
        <references count="5">
          <reference field="3" count="1" selected="0">
            <x v="4"/>
          </reference>
          <reference field="5" count="1" selected="0">
            <x v="2"/>
          </reference>
          <reference field="8" count="1">
            <x v="1"/>
          </reference>
          <reference field="15" count="1" selected="0">
            <x v="3"/>
          </reference>
          <reference field="16" count="1" selected="0">
            <x v="0"/>
          </reference>
        </references>
      </pivotArea>
    </format>
    <format dxfId="25104">
      <pivotArea dataOnly="0" labelOnly="1" outline="0" fieldPosition="0">
        <references count="5">
          <reference field="3" count="1" selected="0">
            <x v="4"/>
          </reference>
          <reference field="5" count="1" selected="0">
            <x v="3"/>
          </reference>
          <reference field="8" count="1">
            <x v="1"/>
          </reference>
          <reference field="15" count="1" selected="0">
            <x v="3"/>
          </reference>
          <reference field="16" count="1" selected="0">
            <x v="0"/>
          </reference>
        </references>
      </pivotArea>
    </format>
    <format dxfId="25105">
      <pivotArea dataOnly="0" labelOnly="1" outline="0" fieldPosition="0">
        <references count="5">
          <reference field="3" count="1" selected="0">
            <x v="0"/>
          </reference>
          <reference field="5" count="1" selected="0">
            <x v="1"/>
          </reference>
          <reference field="8" count="1">
            <x v="4"/>
          </reference>
          <reference field="15" count="1" selected="0">
            <x v="4"/>
          </reference>
          <reference field="16" count="1" selected="0">
            <x v="0"/>
          </reference>
        </references>
      </pivotArea>
    </format>
    <format dxfId="25106">
      <pivotArea dataOnly="0" labelOnly="1" outline="0" fieldPosition="0">
        <references count="5">
          <reference field="3" count="1" selected="0">
            <x v="1"/>
          </reference>
          <reference field="5" count="1" selected="0">
            <x v="0"/>
          </reference>
          <reference field="8" count="4">
            <x v="0"/>
            <x v="1"/>
            <x v="2"/>
            <x v="4"/>
          </reference>
          <reference field="15" count="1" selected="0">
            <x v="4"/>
          </reference>
          <reference field="16" count="1" selected="0">
            <x v="0"/>
          </reference>
        </references>
      </pivotArea>
    </format>
    <format dxfId="25107">
      <pivotArea dataOnly="0" labelOnly="1" outline="0" fieldPosition="0">
        <references count="5">
          <reference field="3" count="1" selected="0">
            <x v="1"/>
          </reference>
          <reference field="5" count="1" selected="0">
            <x v="1"/>
          </reference>
          <reference field="8" count="2">
            <x v="0"/>
            <x v="2"/>
          </reference>
          <reference field="15" count="1" selected="0">
            <x v="4"/>
          </reference>
          <reference field="16" count="1" selected="0">
            <x v="0"/>
          </reference>
        </references>
      </pivotArea>
    </format>
    <format dxfId="25108">
      <pivotArea dataOnly="0" labelOnly="1" outline="0" fieldPosition="0">
        <references count="5">
          <reference field="3" count="1" selected="0">
            <x v="1"/>
          </reference>
          <reference field="5" count="1" selected="0">
            <x v="2"/>
          </reference>
          <reference field="8" count="1">
            <x v="3"/>
          </reference>
          <reference field="15" count="1" selected="0">
            <x v="4"/>
          </reference>
          <reference field="16" count="1" selected="0">
            <x v="0"/>
          </reference>
        </references>
      </pivotArea>
    </format>
    <format dxfId="25109">
      <pivotArea dataOnly="0" labelOnly="1" outline="0" fieldPosition="0">
        <references count="5">
          <reference field="3" count="1" selected="0">
            <x v="1"/>
          </reference>
          <reference field="5" count="1" selected="0">
            <x v="3"/>
          </reference>
          <reference field="8" count="1">
            <x v="1"/>
          </reference>
          <reference field="15" count="1" selected="0">
            <x v="4"/>
          </reference>
          <reference field="16" count="1" selected="0">
            <x v="0"/>
          </reference>
        </references>
      </pivotArea>
    </format>
    <format dxfId="25110">
      <pivotArea dataOnly="0" labelOnly="1" outline="0" fieldPosition="0">
        <references count="5">
          <reference field="3" count="1" selected="0">
            <x v="2"/>
          </reference>
          <reference field="5" count="1" selected="0">
            <x v="0"/>
          </reference>
          <reference field="8" count="3">
            <x v="1"/>
            <x v="2"/>
            <x v="4"/>
          </reference>
          <reference field="15" count="1" selected="0">
            <x v="4"/>
          </reference>
          <reference field="16" count="1" selected="0">
            <x v="0"/>
          </reference>
        </references>
      </pivotArea>
    </format>
    <format dxfId="25111">
      <pivotArea dataOnly="0" labelOnly="1" outline="0" fieldPosition="0">
        <references count="5">
          <reference field="3" count="1" selected="0">
            <x v="2"/>
          </reference>
          <reference field="5" count="1" selected="0">
            <x v="2"/>
          </reference>
          <reference field="8" count="2">
            <x v="0"/>
            <x v="2"/>
          </reference>
          <reference field="15" count="1" selected="0">
            <x v="4"/>
          </reference>
          <reference field="16" count="1" selected="0">
            <x v="0"/>
          </reference>
        </references>
      </pivotArea>
    </format>
    <format dxfId="25112">
      <pivotArea dataOnly="0" labelOnly="1" outline="0" fieldPosition="0">
        <references count="5">
          <reference field="3" count="1" selected="0">
            <x v="3"/>
          </reference>
          <reference field="5" count="1" selected="0">
            <x v="0"/>
          </reference>
          <reference field="8" count="4">
            <x v="0"/>
            <x v="1"/>
            <x v="2"/>
            <x v="3"/>
          </reference>
          <reference field="15" count="1" selected="0">
            <x v="4"/>
          </reference>
          <reference field="16" count="1" selected="0">
            <x v="0"/>
          </reference>
        </references>
      </pivotArea>
    </format>
    <format dxfId="25113">
      <pivotArea dataOnly="0" labelOnly="1" outline="0" fieldPosition="0">
        <references count="5">
          <reference field="3" count="1" selected="0">
            <x v="4"/>
          </reference>
          <reference field="5" count="1" selected="0">
            <x v="0"/>
          </reference>
          <reference field="8" count="3">
            <x v="1"/>
            <x v="2"/>
            <x v="3"/>
          </reference>
          <reference field="15" count="1" selected="0">
            <x v="4"/>
          </reference>
          <reference field="16" count="1" selected="0">
            <x v="0"/>
          </reference>
        </references>
      </pivotArea>
    </format>
    <format dxfId="25114">
      <pivotArea dataOnly="0" labelOnly="1" outline="0" fieldPosition="0">
        <references count="5">
          <reference field="3" count="1" selected="0">
            <x v="4"/>
          </reference>
          <reference field="5" count="1" selected="0">
            <x v="1"/>
          </reference>
          <reference field="8" count="3">
            <x v="0"/>
            <x v="2"/>
            <x v="3"/>
          </reference>
          <reference field="15" count="1" selected="0">
            <x v="4"/>
          </reference>
          <reference field="16" count="1" selected="0">
            <x v="0"/>
          </reference>
        </references>
      </pivotArea>
    </format>
    <format dxfId="25115">
      <pivotArea dataOnly="0" labelOnly="1" outline="0" fieldPosition="0">
        <references count="5">
          <reference field="3" count="1" selected="0">
            <x v="4"/>
          </reference>
          <reference field="5" count="1" selected="0">
            <x v="2"/>
          </reference>
          <reference field="8" count="3">
            <x v="1"/>
            <x v="2"/>
            <x v="4"/>
          </reference>
          <reference field="15" count="1" selected="0">
            <x v="4"/>
          </reference>
          <reference field="16" count="1" selected="0">
            <x v="0"/>
          </reference>
        </references>
      </pivotArea>
    </format>
    <format dxfId="25116">
      <pivotArea dataOnly="0" labelOnly="1" outline="0" fieldPosition="0">
        <references count="5">
          <reference field="3" count="1" selected="0">
            <x v="4"/>
          </reference>
          <reference field="5" count="1" selected="0">
            <x v="3"/>
          </reference>
          <reference field="8" count="1">
            <x v="0"/>
          </reference>
          <reference field="15" count="1" selected="0">
            <x v="4"/>
          </reference>
          <reference field="16" count="1" selected="0">
            <x v="0"/>
          </reference>
        </references>
      </pivotArea>
    </format>
    <format dxfId="25117">
      <pivotArea dataOnly="0" labelOnly="1" outline="0" fieldPosition="0">
        <references count="5">
          <reference field="3" count="1" selected="0">
            <x v="0"/>
          </reference>
          <reference field="5" count="1" selected="0">
            <x v="0"/>
          </reference>
          <reference field="8" count="2">
            <x v="0"/>
            <x v="4"/>
          </reference>
          <reference field="15" count="1" selected="0">
            <x v="5"/>
          </reference>
          <reference field="16" count="1" selected="0">
            <x v="0"/>
          </reference>
        </references>
      </pivotArea>
    </format>
    <format dxfId="25118">
      <pivotArea dataOnly="0" labelOnly="1" outline="0" fieldPosition="0">
        <references count="5">
          <reference field="3" count="1" selected="0">
            <x v="0"/>
          </reference>
          <reference field="5" count="1" selected="0">
            <x v="1"/>
          </reference>
          <reference field="8" count="1">
            <x v="1"/>
          </reference>
          <reference field="15" count="1" selected="0">
            <x v="5"/>
          </reference>
          <reference field="16" count="1" selected="0">
            <x v="0"/>
          </reference>
        </references>
      </pivotArea>
    </format>
    <format dxfId="25119">
      <pivotArea dataOnly="0" labelOnly="1" outline="0" fieldPosition="0">
        <references count="5">
          <reference field="3" count="1" selected="0">
            <x v="0"/>
          </reference>
          <reference field="5" count="1" selected="0">
            <x v="3"/>
          </reference>
          <reference field="8" count="1">
            <x v="0"/>
          </reference>
          <reference field="15" count="1" selected="0">
            <x v="5"/>
          </reference>
          <reference field="16" count="1" selected="0">
            <x v="0"/>
          </reference>
        </references>
      </pivotArea>
    </format>
    <format dxfId="25120">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0"/>
          </reference>
        </references>
      </pivotArea>
    </format>
    <format dxfId="25121">
      <pivotArea dataOnly="0" labelOnly="1" outline="0" fieldPosition="0">
        <references count="5">
          <reference field="3" count="1" selected="0">
            <x v="1"/>
          </reference>
          <reference field="5" count="1" selected="0">
            <x v="1"/>
          </reference>
          <reference field="8" count="3">
            <x v="0"/>
            <x v="3"/>
            <x v="4"/>
          </reference>
          <reference field="15" count="1" selected="0">
            <x v="5"/>
          </reference>
          <reference field="16" count="1" selected="0">
            <x v="0"/>
          </reference>
        </references>
      </pivotArea>
    </format>
    <format dxfId="25122">
      <pivotArea dataOnly="0" labelOnly="1" outline="0" fieldPosition="0">
        <references count="5">
          <reference field="3" count="1" selected="0">
            <x v="1"/>
          </reference>
          <reference field="5" count="1" selected="0">
            <x v="2"/>
          </reference>
          <reference field="8" count="1">
            <x v="4"/>
          </reference>
          <reference field="15" count="1" selected="0">
            <x v="5"/>
          </reference>
          <reference field="16" count="1" selected="0">
            <x v="0"/>
          </reference>
        </references>
      </pivotArea>
    </format>
    <format dxfId="25123">
      <pivotArea dataOnly="0" labelOnly="1" outline="0" fieldPosition="0">
        <references count="5">
          <reference field="3" count="1" selected="0">
            <x v="1"/>
          </reference>
          <reference field="5" count="1" selected="0">
            <x v="3"/>
          </reference>
          <reference field="8" count="1">
            <x v="1"/>
          </reference>
          <reference field="15" count="1" selected="0">
            <x v="5"/>
          </reference>
          <reference field="16" count="1" selected="0">
            <x v="0"/>
          </reference>
        </references>
      </pivotArea>
    </format>
    <format dxfId="25124">
      <pivotArea dataOnly="0" labelOnly="1" outline="0" fieldPosition="0">
        <references count="5">
          <reference field="3" count="1" selected="0">
            <x v="2"/>
          </reference>
          <reference field="5" count="1" selected="0">
            <x v="0"/>
          </reference>
          <reference field="8" count="2">
            <x v="1"/>
            <x v="4"/>
          </reference>
          <reference field="15" count="1" selected="0">
            <x v="5"/>
          </reference>
          <reference field="16" count="1" selected="0">
            <x v="0"/>
          </reference>
        </references>
      </pivotArea>
    </format>
    <format dxfId="25125">
      <pivotArea dataOnly="0" labelOnly="1" outline="0" fieldPosition="0">
        <references count="5">
          <reference field="3" count="1" selected="0">
            <x v="2"/>
          </reference>
          <reference field="5" count="1" selected="0">
            <x v="1"/>
          </reference>
          <reference field="8" count="2">
            <x v="1"/>
            <x v="2"/>
          </reference>
          <reference field="15" count="1" selected="0">
            <x v="5"/>
          </reference>
          <reference field="16" count="1" selected="0">
            <x v="0"/>
          </reference>
        </references>
      </pivotArea>
    </format>
    <format dxfId="25126">
      <pivotArea dataOnly="0" labelOnly="1" outline="0" fieldPosition="0">
        <references count="5">
          <reference field="3" count="1" selected="0">
            <x v="2"/>
          </reference>
          <reference field="5" count="1" selected="0">
            <x v="3"/>
          </reference>
          <reference field="8" count="2">
            <x v="0"/>
            <x v="3"/>
          </reference>
          <reference field="15" count="1" selected="0">
            <x v="5"/>
          </reference>
          <reference field="16" count="1" selected="0">
            <x v="0"/>
          </reference>
        </references>
      </pivotArea>
    </format>
    <format dxfId="25127">
      <pivotArea dataOnly="0" labelOnly="1" outline="0" fieldPosition="0">
        <references count="5">
          <reference field="3" count="1" selected="0">
            <x v="3"/>
          </reference>
          <reference field="5" count="1" selected="0">
            <x v="0"/>
          </reference>
          <reference field="8" count="1">
            <x v="0"/>
          </reference>
          <reference field="15" count="1" selected="0">
            <x v="5"/>
          </reference>
          <reference field="16" count="1" selected="0">
            <x v="0"/>
          </reference>
        </references>
      </pivotArea>
    </format>
    <format dxfId="25128">
      <pivotArea dataOnly="0" labelOnly="1" outline="0" fieldPosition="0">
        <references count="5">
          <reference field="3" count="1" selected="0">
            <x v="3"/>
          </reference>
          <reference field="5" count="1" selected="0">
            <x v="1"/>
          </reference>
          <reference field="8" count="3">
            <x v="0"/>
            <x v="2"/>
            <x v="4"/>
          </reference>
          <reference field="15" count="1" selected="0">
            <x v="5"/>
          </reference>
          <reference field="16" count="1" selected="0">
            <x v="0"/>
          </reference>
        </references>
      </pivotArea>
    </format>
    <format dxfId="25129">
      <pivotArea dataOnly="0" labelOnly="1" outline="0" fieldPosition="0">
        <references count="5">
          <reference field="3" count="1" selected="0">
            <x v="3"/>
          </reference>
          <reference field="5" count="1" selected="0">
            <x v="2"/>
          </reference>
          <reference field="8" count="2">
            <x v="3"/>
            <x v="4"/>
          </reference>
          <reference field="15" count="1" selected="0">
            <x v="5"/>
          </reference>
          <reference field="16" count="1" selected="0">
            <x v="0"/>
          </reference>
        </references>
      </pivotArea>
    </format>
    <format dxfId="25130">
      <pivotArea dataOnly="0" labelOnly="1" outline="0" fieldPosition="0">
        <references count="5">
          <reference field="3" count="1" selected="0">
            <x v="4"/>
          </reference>
          <reference field="5" count="1" selected="0">
            <x v="0"/>
          </reference>
          <reference field="8" count="3">
            <x v="0"/>
            <x v="2"/>
            <x v="4"/>
          </reference>
          <reference field="15" count="1" selected="0">
            <x v="5"/>
          </reference>
          <reference field="16" count="1" selected="0">
            <x v="0"/>
          </reference>
        </references>
      </pivotArea>
    </format>
    <format dxfId="25131">
      <pivotArea dataOnly="0" labelOnly="1" outline="0" fieldPosition="0">
        <references count="5">
          <reference field="3" count="1" selected="0">
            <x v="4"/>
          </reference>
          <reference field="5" count="1" selected="0">
            <x v="1"/>
          </reference>
          <reference field="8" count="1">
            <x v="1"/>
          </reference>
          <reference field="15" count="1" selected="0">
            <x v="5"/>
          </reference>
          <reference field="16" count="1" selected="0">
            <x v="0"/>
          </reference>
        </references>
      </pivotArea>
    </format>
    <format dxfId="25132">
      <pivotArea dataOnly="0" labelOnly="1" outline="0" fieldPosition="0">
        <references count="5">
          <reference field="3" count="1" selected="0">
            <x v="4"/>
          </reference>
          <reference field="5" count="1" selected="0">
            <x v="2"/>
          </reference>
          <reference field="8" count="3">
            <x v="1"/>
            <x v="3"/>
            <x v="4"/>
          </reference>
          <reference field="15" count="1" selected="0">
            <x v="5"/>
          </reference>
          <reference field="16" count="1" selected="0">
            <x v="0"/>
          </reference>
        </references>
      </pivotArea>
    </format>
    <format dxfId="25133">
      <pivotArea dataOnly="0" labelOnly="1" outline="0" fieldPosition="0">
        <references count="5">
          <reference field="3" count="1" selected="0">
            <x v="0"/>
          </reference>
          <reference field="5" count="1" selected="0">
            <x v="0"/>
          </reference>
          <reference field="8" count="1">
            <x v="0"/>
          </reference>
          <reference field="15" count="1" selected="0">
            <x v="6"/>
          </reference>
          <reference field="16" count="1" selected="0">
            <x v="0"/>
          </reference>
        </references>
      </pivotArea>
    </format>
    <format dxfId="25134">
      <pivotArea dataOnly="0" labelOnly="1" outline="0" fieldPosition="0">
        <references count="5">
          <reference field="3" count="1" selected="0">
            <x v="0"/>
          </reference>
          <reference field="5" count="1" selected="0">
            <x v="1"/>
          </reference>
          <reference field="8" count="1">
            <x v="4"/>
          </reference>
          <reference field="15" count="1" selected="0">
            <x v="6"/>
          </reference>
          <reference field="16" count="1" selected="0">
            <x v="0"/>
          </reference>
        </references>
      </pivotArea>
    </format>
    <format dxfId="25135">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0"/>
          </reference>
        </references>
      </pivotArea>
    </format>
    <format dxfId="25136">
      <pivotArea dataOnly="0" labelOnly="1" outline="0" fieldPosition="0">
        <references count="5">
          <reference field="3" count="1" selected="0">
            <x v="1"/>
          </reference>
          <reference field="5" count="1" selected="0">
            <x v="1"/>
          </reference>
          <reference field="8" count="4">
            <x v="0"/>
            <x v="2"/>
            <x v="3"/>
            <x v="4"/>
          </reference>
          <reference field="15" count="1" selected="0">
            <x v="6"/>
          </reference>
          <reference field="16" count="1" selected="0">
            <x v="0"/>
          </reference>
        </references>
      </pivotArea>
    </format>
    <format dxfId="25137">
      <pivotArea dataOnly="0" labelOnly="1" outline="0" fieldPosition="0">
        <references count="5">
          <reference field="3" count="1" selected="0">
            <x v="1"/>
          </reference>
          <reference field="5" count="1" selected="0">
            <x v="2"/>
          </reference>
          <reference field="8" count="1">
            <x v="0"/>
          </reference>
          <reference field="15" count="1" selected="0">
            <x v="6"/>
          </reference>
          <reference field="16" count="1" selected="0">
            <x v="0"/>
          </reference>
        </references>
      </pivotArea>
    </format>
    <format dxfId="25138">
      <pivotArea dataOnly="0" labelOnly="1" outline="0" fieldPosition="0">
        <references count="5">
          <reference field="3" count="1" selected="0">
            <x v="2"/>
          </reference>
          <reference field="5" count="1" selected="0">
            <x v="0"/>
          </reference>
          <reference field="8" count="0"/>
          <reference field="15" count="1" selected="0">
            <x v="6"/>
          </reference>
          <reference field="16" count="1" selected="0">
            <x v="0"/>
          </reference>
        </references>
      </pivotArea>
    </format>
    <format dxfId="25139">
      <pivotArea dataOnly="0" labelOnly="1" outline="0" fieldPosition="0">
        <references count="5">
          <reference field="3" count="1" selected="0">
            <x v="2"/>
          </reference>
          <reference field="5" count="1" selected="0">
            <x v="1"/>
          </reference>
          <reference field="8" count="1">
            <x v="0"/>
          </reference>
          <reference field="15" count="1" selected="0">
            <x v="6"/>
          </reference>
          <reference field="16" count="1" selected="0">
            <x v="0"/>
          </reference>
        </references>
      </pivotArea>
    </format>
    <format dxfId="25140">
      <pivotArea dataOnly="0" labelOnly="1" outline="0" fieldPosition="0">
        <references count="5">
          <reference field="3" count="1" selected="0">
            <x v="2"/>
          </reference>
          <reference field="5" count="1" selected="0">
            <x v="3"/>
          </reference>
          <reference field="8" count="1">
            <x v="1"/>
          </reference>
          <reference field="15" count="1" selected="0">
            <x v="6"/>
          </reference>
          <reference field="16" count="1" selected="0">
            <x v="0"/>
          </reference>
        </references>
      </pivotArea>
    </format>
    <format dxfId="25141">
      <pivotArea dataOnly="0" labelOnly="1" outline="0" fieldPosition="0">
        <references count="5">
          <reference field="3" count="1" selected="0">
            <x v="3"/>
          </reference>
          <reference field="5" count="1" selected="0">
            <x v="0"/>
          </reference>
          <reference field="8" count="3">
            <x v="0"/>
            <x v="2"/>
            <x v="4"/>
          </reference>
          <reference field="15" count="1" selected="0">
            <x v="6"/>
          </reference>
          <reference field="16" count="1" selected="0">
            <x v="0"/>
          </reference>
        </references>
      </pivotArea>
    </format>
    <format dxfId="25142">
      <pivotArea dataOnly="0" labelOnly="1" outline="0" fieldPosition="0">
        <references count="5">
          <reference field="3" count="1" selected="0">
            <x v="3"/>
          </reference>
          <reference field="5" count="1" selected="0">
            <x v="1"/>
          </reference>
          <reference field="8" count="2">
            <x v="3"/>
            <x v="4"/>
          </reference>
          <reference field="15" count="1" selected="0">
            <x v="6"/>
          </reference>
          <reference field="16" count="1" selected="0">
            <x v="0"/>
          </reference>
        </references>
      </pivotArea>
    </format>
    <format dxfId="25143">
      <pivotArea dataOnly="0" labelOnly="1" outline="0" fieldPosition="0">
        <references count="5">
          <reference field="3" count="1" selected="0">
            <x v="3"/>
          </reference>
          <reference field="5" count="1" selected="0">
            <x v="2"/>
          </reference>
          <reference field="8" count="2">
            <x v="2"/>
            <x v="3"/>
          </reference>
          <reference field="15" count="1" selected="0">
            <x v="6"/>
          </reference>
          <reference field="16" count="1" selected="0">
            <x v="0"/>
          </reference>
        </references>
      </pivotArea>
    </format>
    <format dxfId="25144">
      <pivotArea dataOnly="0" labelOnly="1" outline="0" fieldPosition="0">
        <references count="5">
          <reference field="3" count="1" selected="0">
            <x v="3"/>
          </reference>
          <reference field="5" count="1" selected="0">
            <x v="3"/>
          </reference>
          <reference field="8" count="2">
            <x v="1"/>
            <x v="2"/>
          </reference>
          <reference field="15" count="1" selected="0">
            <x v="6"/>
          </reference>
          <reference field="16" count="1" selected="0">
            <x v="0"/>
          </reference>
        </references>
      </pivotArea>
    </format>
    <format dxfId="25145">
      <pivotArea dataOnly="0" labelOnly="1" outline="0" fieldPosition="0">
        <references count="5">
          <reference field="3" count="1" selected="0">
            <x v="4"/>
          </reference>
          <reference field="5" count="1" selected="0">
            <x v="0"/>
          </reference>
          <reference field="8" count="0"/>
          <reference field="15" count="1" selected="0">
            <x v="6"/>
          </reference>
          <reference field="16" count="1" selected="0">
            <x v="0"/>
          </reference>
        </references>
      </pivotArea>
    </format>
    <format dxfId="25146">
      <pivotArea dataOnly="0" labelOnly="1" outline="0" fieldPosition="0">
        <references count="5">
          <reference field="3" count="1" selected="0">
            <x v="4"/>
          </reference>
          <reference field="5" count="1" selected="0">
            <x v="2"/>
          </reference>
          <reference field="8" count="1">
            <x v="2"/>
          </reference>
          <reference field="15" count="1" selected="0">
            <x v="6"/>
          </reference>
          <reference field="16" count="1" selected="0">
            <x v="0"/>
          </reference>
        </references>
      </pivotArea>
    </format>
    <format dxfId="25147">
      <pivotArea dataOnly="0" labelOnly="1" outline="0" fieldPosition="0">
        <references count="5">
          <reference field="3" count="1" selected="0">
            <x v="0"/>
          </reference>
          <reference field="5" count="1" selected="0">
            <x v="0"/>
          </reference>
          <reference field="8" count="2">
            <x v="0"/>
            <x v="1"/>
          </reference>
          <reference field="15" count="1" selected="0">
            <x v="7"/>
          </reference>
          <reference field="16" count="1" selected="0">
            <x v="0"/>
          </reference>
        </references>
      </pivotArea>
    </format>
    <format dxfId="25148">
      <pivotArea dataOnly="0" labelOnly="1" outline="0" fieldPosition="0">
        <references count="5">
          <reference field="3" count="1" selected="0">
            <x v="0"/>
          </reference>
          <reference field="5" count="1" selected="0">
            <x v="1"/>
          </reference>
          <reference field="8" count="1">
            <x v="1"/>
          </reference>
          <reference field="15" count="1" selected="0">
            <x v="7"/>
          </reference>
          <reference field="16" count="1" selected="0">
            <x v="0"/>
          </reference>
        </references>
      </pivotArea>
    </format>
    <format dxfId="25149">
      <pivotArea dataOnly="0" labelOnly="1" outline="0" fieldPosition="0">
        <references count="5">
          <reference field="3" count="1" selected="0">
            <x v="1"/>
          </reference>
          <reference field="5" count="1" selected="0">
            <x v="0"/>
          </reference>
          <reference field="8" count="0"/>
          <reference field="15" count="1" selected="0">
            <x v="7"/>
          </reference>
          <reference field="16" count="1" selected="0">
            <x v="0"/>
          </reference>
        </references>
      </pivotArea>
    </format>
    <format dxfId="25150">
      <pivotArea dataOnly="0" labelOnly="1" outline="0" fieldPosition="0">
        <references count="5">
          <reference field="3" count="1" selected="0">
            <x v="1"/>
          </reference>
          <reference field="5" count="1" selected="0">
            <x v="1"/>
          </reference>
          <reference field="8" count="3">
            <x v="1"/>
            <x v="2"/>
            <x v="3"/>
          </reference>
          <reference field="15" count="1" selected="0">
            <x v="7"/>
          </reference>
          <reference field="16" count="1" selected="0">
            <x v="0"/>
          </reference>
        </references>
      </pivotArea>
    </format>
    <format dxfId="25151">
      <pivotArea dataOnly="0" labelOnly="1" outline="0" fieldPosition="0">
        <references count="5">
          <reference field="3" count="1" selected="0">
            <x v="1"/>
          </reference>
          <reference field="5" count="1" selected="0">
            <x v="2"/>
          </reference>
          <reference field="8" count="3">
            <x v="0"/>
            <x v="1"/>
            <x v="3"/>
          </reference>
          <reference field="15" count="1" selected="0">
            <x v="7"/>
          </reference>
          <reference field="16" count="1" selected="0">
            <x v="0"/>
          </reference>
        </references>
      </pivotArea>
    </format>
    <format dxfId="25152">
      <pivotArea dataOnly="0" labelOnly="1" outline="0" fieldPosition="0">
        <references count="5">
          <reference field="3" count="1" selected="0">
            <x v="1"/>
          </reference>
          <reference field="5" count="1" selected="0">
            <x v="3"/>
          </reference>
          <reference field="8" count="1">
            <x v="1"/>
          </reference>
          <reference field="15" count="1" selected="0">
            <x v="7"/>
          </reference>
          <reference field="16" count="1" selected="0">
            <x v="0"/>
          </reference>
        </references>
      </pivotArea>
    </format>
    <format dxfId="25153">
      <pivotArea dataOnly="0" labelOnly="1" outline="0" fieldPosition="0">
        <references count="5">
          <reference field="3" count="1" selected="0">
            <x v="2"/>
          </reference>
          <reference field="5" count="1" selected="0">
            <x v="0"/>
          </reference>
          <reference field="8" count="3">
            <x v="1"/>
            <x v="2"/>
            <x v="3"/>
          </reference>
          <reference field="15" count="1" selected="0">
            <x v="7"/>
          </reference>
          <reference field="16" count="1" selected="0">
            <x v="0"/>
          </reference>
        </references>
      </pivotArea>
    </format>
    <format dxfId="25154">
      <pivotArea dataOnly="0" labelOnly="1" outline="0" fieldPosition="0">
        <references count="5">
          <reference field="3" count="1" selected="0">
            <x v="2"/>
          </reference>
          <reference field="5" count="1" selected="0">
            <x v="1"/>
          </reference>
          <reference field="8" count="1">
            <x v="4"/>
          </reference>
          <reference field="15" count="1" selected="0">
            <x v="7"/>
          </reference>
          <reference field="16" count="1" selected="0">
            <x v="0"/>
          </reference>
        </references>
      </pivotArea>
    </format>
    <format dxfId="25155">
      <pivotArea dataOnly="0" labelOnly="1" outline="0" fieldPosition="0">
        <references count="5">
          <reference field="3" count="1" selected="0">
            <x v="3"/>
          </reference>
          <reference field="5" count="1" selected="0">
            <x v="0"/>
          </reference>
          <reference field="8" count="2">
            <x v="0"/>
            <x v="1"/>
          </reference>
          <reference field="15" count="1" selected="0">
            <x v="7"/>
          </reference>
          <reference field="16" count="1" selected="0">
            <x v="0"/>
          </reference>
        </references>
      </pivotArea>
    </format>
    <format dxfId="25156">
      <pivotArea dataOnly="0" labelOnly="1" outline="0" fieldPosition="0">
        <references count="5">
          <reference field="3" count="1" selected="0">
            <x v="3"/>
          </reference>
          <reference field="5" count="1" selected="0">
            <x v="1"/>
          </reference>
          <reference field="8" count="1">
            <x v="1"/>
          </reference>
          <reference field="15" count="1" selected="0">
            <x v="7"/>
          </reference>
          <reference field="16" count="1" selected="0">
            <x v="0"/>
          </reference>
        </references>
      </pivotArea>
    </format>
    <format dxfId="25157">
      <pivotArea dataOnly="0" labelOnly="1" outline="0" fieldPosition="0">
        <references count="5">
          <reference field="3" count="1" selected="0">
            <x v="4"/>
          </reference>
          <reference field="5" count="1" selected="0">
            <x v="0"/>
          </reference>
          <reference field="8" count="2">
            <x v="1"/>
            <x v="3"/>
          </reference>
          <reference field="15" count="1" selected="0">
            <x v="7"/>
          </reference>
          <reference field="16" count="1" selected="0">
            <x v="0"/>
          </reference>
        </references>
      </pivotArea>
    </format>
    <format dxfId="25158">
      <pivotArea dataOnly="0" labelOnly="1" outline="0" fieldPosition="0">
        <references count="5">
          <reference field="3" count="1" selected="0">
            <x v="4"/>
          </reference>
          <reference field="5" count="1" selected="0">
            <x v="1"/>
          </reference>
          <reference field="8" count="4">
            <x v="0"/>
            <x v="2"/>
            <x v="3"/>
            <x v="4"/>
          </reference>
          <reference field="15" count="1" selected="0">
            <x v="7"/>
          </reference>
          <reference field="16" count="1" selected="0">
            <x v="0"/>
          </reference>
        </references>
      </pivotArea>
    </format>
    <format dxfId="25159">
      <pivotArea dataOnly="0" labelOnly="1" outline="0" fieldPosition="0">
        <references count="5">
          <reference field="3" count="1" selected="0">
            <x v="4"/>
          </reference>
          <reference field="5" count="1" selected="0">
            <x v="2"/>
          </reference>
          <reference field="8" count="1">
            <x v="3"/>
          </reference>
          <reference field="15" count="1" selected="0">
            <x v="7"/>
          </reference>
          <reference field="16" count="1" selected="0">
            <x v="0"/>
          </reference>
        </references>
      </pivotArea>
    </format>
    <format dxfId="25160">
      <pivotArea dataOnly="0" labelOnly="1" outline="0" fieldPosition="0">
        <references count="5">
          <reference field="3" count="1" selected="0">
            <x v="0"/>
          </reference>
          <reference field="5" count="1" selected="0">
            <x v="0"/>
          </reference>
          <reference field="8" count="2">
            <x v="1"/>
            <x v="2"/>
          </reference>
          <reference field="15" count="1" selected="0">
            <x v="8"/>
          </reference>
          <reference field="16" count="1" selected="0">
            <x v="0"/>
          </reference>
        </references>
      </pivotArea>
    </format>
    <format dxfId="25161">
      <pivotArea dataOnly="0" labelOnly="1" outline="0" fieldPosition="0">
        <references count="5">
          <reference field="3" count="1" selected="0">
            <x v="0"/>
          </reference>
          <reference field="5" count="1" selected="0">
            <x v="1"/>
          </reference>
          <reference field="8" count="1">
            <x v="2"/>
          </reference>
          <reference field="15" count="1" selected="0">
            <x v="8"/>
          </reference>
          <reference field="16" count="1" selected="0">
            <x v="0"/>
          </reference>
        </references>
      </pivotArea>
    </format>
    <format dxfId="25162">
      <pivotArea dataOnly="0" labelOnly="1" outline="0" fieldPosition="0">
        <references count="5">
          <reference field="3" count="1" selected="0">
            <x v="1"/>
          </reference>
          <reference field="5" count="1" selected="0">
            <x v="0"/>
          </reference>
          <reference field="8" count="4">
            <x v="0"/>
            <x v="1"/>
            <x v="2"/>
            <x v="4"/>
          </reference>
          <reference field="15" count="1" selected="0">
            <x v="8"/>
          </reference>
          <reference field="16" count="1" selected="0">
            <x v="0"/>
          </reference>
        </references>
      </pivotArea>
    </format>
    <format dxfId="25163">
      <pivotArea dataOnly="0" labelOnly="1" outline="0" fieldPosition="0">
        <references count="5">
          <reference field="3" count="1" selected="0">
            <x v="1"/>
          </reference>
          <reference field="5" count="1" selected="0">
            <x v="1"/>
          </reference>
          <reference field="8" count="0"/>
          <reference field="15" count="1" selected="0">
            <x v="8"/>
          </reference>
          <reference field="16" count="1" selected="0">
            <x v="0"/>
          </reference>
        </references>
      </pivotArea>
    </format>
    <format dxfId="25164">
      <pivotArea dataOnly="0" labelOnly="1" outline="0" fieldPosition="0">
        <references count="5">
          <reference field="3" count="1" selected="0">
            <x v="1"/>
          </reference>
          <reference field="5" count="1" selected="0">
            <x v="2"/>
          </reference>
          <reference field="8" count="3">
            <x v="1"/>
            <x v="2"/>
            <x v="3"/>
          </reference>
          <reference field="15" count="1" selected="0">
            <x v="8"/>
          </reference>
          <reference field="16" count="1" selected="0">
            <x v="0"/>
          </reference>
        </references>
      </pivotArea>
    </format>
    <format dxfId="25165">
      <pivotArea dataOnly="0" labelOnly="1" outline="0" fieldPosition="0">
        <references count="5">
          <reference field="3" count="1" selected="0">
            <x v="2"/>
          </reference>
          <reference field="5" count="1" selected="0">
            <x v="0"/>
          </reference>
          <reference field="8" count="1">
            <x v="2"/>
          </reference>
          <reference field="15" count="1" selected="0">
            <x v="8"/>
          </reference>
          <reference field="16" count="1" selected="0">
            <x v="0"/>
          </reference>
        </references>
      </pivotArea>
    </format>
    <format dxfId="25166">
      <pivotArea dataOnly="0" labelOnly="1" outline="0" fieldPosition="0">
        <references count="5">
          <reference field="3" count="1" selected="0">
            <x v="2"/>
          </reference>
          <reference field="5" count="1" selected="0">
            <x v="1"/>
          </reference>
          <reference field="8" count="1">
            <x v="0"/>
          </reference>
          <reference field="15" count="1" selected="0">
            <x v="8"/>
          </reference>
          <reference field="16" count="1" selected="0">
            <x v="0"/>
          </reference>
        </references>
      </pivotArea>
    </format>
    <format dxfId="25167">
      <pivotArea dataOnly="0" labelOnly="1" outline="0" fieldPosition="0">
        <references count="5">
          <reference field="3" count="1" selected="0">
            <x v="2"/>
          </reference>
          <reference field="5" count="1" selected="0">
            <x v="3"/>
          </reference>
          <reference field="8" count="1">
            <x v="4"/>
          </reference>
          <reference field="15" count="1" selected="0">
            <x v="8"/>
          </reference>
          <reference field="16" count="1" selected="0">
            <x v="0"/>
          </reference>
        </references>
      </pivotArea>
    </format>
    <format dxfId="25168">
      <pivotArea dataOnly="0" labelOnly="1" outline="0" fieldPosition="0">
        <references count="5">
          <reference field="3" count="1" selected="0">
            <x v="3"/>
          </reference>
          <reference field="5" count="1" selected="0">
            <x v="1"/>
          </reference>
          <reference field="8" count="1">
            <x v="4"/>
          </reference>
          <reference field="15" count="1" selected="0">
            <x v="8"/>
          </reference>
          <reference field="16" count="1" selected="0">
            <x v="0"/>
          </reference>
        </references>
      </pivotArea>
    </format>
    <format dxfId="25169">
      <pivotArea dataOnly="0" labelOnly="1" outline="0" fieldPosition="0">
        <references count="5">
          <reference field="3" count="1" selected="0">
            <x v="4"/>
          </reference>
          <reference field="5" count="1" selected="0">
            <x v="0"/>
          </reference>
          <reference field="8" count="3">
            <x v="0"/>
            <x v="2"/>
            <x v="3"/>
          </reference>
          <reference field="15" count="1" selected="0">
            <x v="8"/>
          </reference>
          <reference field="16" count="1" selected="0">
            <x v="0"/>
          </reference>
        </references>
      </pivotArea>
    </format>
    <format dxfId="25170">
      <pivotArea dataOnly="0" labelOnly="1" outline="0" fieldPosition="0">
        <references count="5">
          <reference field="3" count="1" selected="0">
            <x v="4"/>
          </reference>
          <reference field="5" count="1" selected="0">
            <x v="1"/>
          </reference>
          <reference field="8" count="3">
            <x v="0"/>
            <x v="3"/>
            <x v="4"/>
          </reference>
          <reference field="15" count="1" selected="0">
            <x v="8"/>
          </reference>
          <reference field="16" count="1" selected="0">
            <x v="0"/>
          </reference>
        </references>
      </pivotArea>
    </format>
    <format dxfId="25171">
      <pivotArea dataOnly="0" labelOnly="1" outline="0" fieldPosition="0">
        <references count="5">
          <reference field="3" count="1" selected="0">
            <x v="4"/>
          </reference>
          <reference field="5" count="1" selected="0">
            <x v="2"/>
          </reference>
          <reference field="8" count="2">
            <x v="3"/>
            <x v="4"/>
          </reference>
          <reference field="15" count="1" selected="0">
            <x v="8"/>
          </reference>
          <reference field="16" count="1" selected="0">
            <x v="0"/>
          </reference>
        </references>
      </pivotArea>
    </format>
    <format dxfId="25172">
      <pivotArea dataOnly="0" labelOnly="1" outline="0" fieldPosition="0">
        <references count="5">
          <reference field="3" count="1" selected="0">
            <x v="0"/>
          </reference>
          <reference field="5" count="1" selected="0">
            <x v="0"/>
          </reference>
          <reference field="8" count="1">
            <x v="1"/>
          </reference>
          <reference field="15" count="1" selected="0">
            <x v="9"/>
          </reference>
          <reference field="16" count="1" selected="0">
            <x v="0"/>
          </reference>
        </references>
      </pivotArea>
    </format>
    <format dxfId="25173">
      <pivotArea dataOnly="0" labelOnly="1" outline="0" fieldPosition="0">
        <references count="5">
          <reference field="3" count="1" selected="0">
            <x v="1"/>
          </reference>
          <reference field="5" count="1" selected="0">
            <x v="0"/>
          </reference>
          <reference field="8" count="3">
            <x v="1"/>
            <x v="2"/>
            <x v="4"/>
          </reference>
          <reference field="15" count="1" selected="0">
            <x v="9"/>
          </reference>
          <reference field="16" count="1" selected="0">
            <x v="0"/>
          </reference>
        </references>
      </pivotArea>
    </format>
    <format dxfId="25174">
      <pivotArea dataOnly="0" labelOnly="1" outline="0" fieldPosition="0">
        <references count="5">
          <reference field="3" count="1" selected="0">
            <x v="1"/>
          </reference>
          <reference field="5" count="1" selected="0">
            <x v="1"/>
          </reference>
          <reference field="8" count="3">
            <x v="0"/>
            <x v="1"/>
            <x v="2"/>
          </reference>
          <reference field="15" count="1" selected="0">
            <x v="9"/>
          </reference>
          <reference field="16" count="1" selected="0">
            <x v="0"/>
          </reference>
        </references>
      </pivotArea>
    </format>
    <format dxfId="25175">
      <pivotArea dataOnly="0" labelOnly="1" outline="0" fieldPosition="0">
        <references count="5">
          <reference field="3" count="1" selected="0">
            <x v="1"/>
          </reference>
          <reference field="5" count="1" selected="0">
            <x v="2"/>
          </reference>
          <reference field="8" count="2">
            <x v="3"/>
            <x v="4"/>
          </reference>
          <reference field="15" count="1" selected="0">
            <x v="9"/>
          </reference>
          <reference field="16" count="1" selected="0">
            <x v="0"/>
          </reference>
        </references>
      </pivotArea>
    </format>
    <format dxfId="25176">
      <pivotArea dataOnly="0" labelOnly="1" outline="0" fieldPosition="0">
        <references count="5">
          <reference field="3" count="1" selected="0">
            <x v="2"/>
          </reference>
          <reference field="5" count="1" selected="0">
            <x v="0"/>
          </reference>
          <reference field="8" count="1">
            <x v="0"/>
          </reference>
          <reference field="15" count="1" selected="0">
            <x v="9"/>
          </reference>
          <reference field="16" count="1" selected="0">
            <x v="0"/>
          </reference>
        </references>
      </pivotArea>
    </format>
    <format dxfId="25177">
      <pivotArea dataOnly="0" labelOnly="1" outline="0" fieldPosition="0">
        <references count="5">
          <reference field="3" count="1" selected="0">
            <x v="2"/>
          </reference>
          <reference field="5" count="1" selected="0">
            <x v="1"/>
          </reference>
          <reference field="8" count="1">
            <x v="1"/>
          </reference>
          <reference field="15" count="1" selected="0">
            <x v="9"/>
          </reference>
          <reference field="16" count="1" selected="0">
            <x v="0"/>
          </reference>
        </references>
      </pivotArea>
    </format>
    <format dxfId="25178">
      <pivotArea dataOnly="0" labelOnly="1" outline="0" fieldPosition="0">
        <references count="5">
          <reference field="3" count="1" selected="0">
            <x v="2"/>
          </reference>
          <reference field="5" count="1" selected="0">
            <x v="2"/>
          </reference>
          <reference field="8" count="1">
            <x v="4"/>
          </reference>
          <reference field="15" count="1" selected="0">
            <x v="9"/>
          </reference>
          <reference field="16" count="1" selected="0">
            <x v="0"/>
          </reference>
        </references>
      </pivotArea>
    </format>
    <format dxfId="25179">
      <pivotArea dataOnly="0" labelOnly="1" outline="0" fieldPosition="0">
        <references count="5">
          <reference field="3" count="1" selected="0">
            <x v="3"/>
          </reference>
          <reference field="5" count="1" selected="0">
            <x v="0"/>
          </reference>
          <reference field="8" count="1">
            <x v="1"/>
          </reference>
          <reference field="15" count="1" selected="0">
            <x v="9"/>
          </reference>
          <reference field="16" count="1" selected="0">
            <x v="0"/>
          </reference>
        </references>
      </pivotArea>
    </format>
    <format dxfId="25180">
      <pivotArea dataOnly="0" labelOnly="1" outline="0" fieldPosition="0">
        <references count="5">
          <reference field="3" count="1" selected="0">
            <x v="3"/>
          </reference>
          <reference field="5" count="1" selected="0">
            <x v="1"/>
          </reference>
          <reference field="8" count="2">
            <x v="2"/>
            <x v="3"/>
          </reference>
          <reference field="15" count="1" selected="0">
            <x v="9"/>
          </reference>
          <reference field="16" count="1" selected="0">
            <x v="0"/>
          </reference>
        </references>
      </pivotArea>
    </format>
    <format dxfId="25181">
      <pivotArea dataOnly="0" labelOnly="1" outline="0" fieldPosition="0">
        <references count="5">
          <reference field="3" count="1" selected="0">
            <x v="4"/>
          </reference>
          <reference field="5" count="1" selected="0">
            <x v="0"/>
          </reference>
          <reference field="8" count="3">
            <x v="0"/>
            <x v="2"/>
            <x v="4"/>
          </reference>
          <reference field="15" count="1" selected="0">
            <x v="9"/>
          </reference>
          <reference field="16" count="1" selected="0">
            <x v="0"/>
          </reference>
        </references>
      </pivotArea>
    </format>
    <format dxfId="25182">
      <pivotArea dataOnly="0" labelOnly="1" outline="0" fieldPosition="0">
        <references count="5">
          <reference field="3" count="1" selected="0">
            <x v="4"/>
          </reference>
          <reference field="5" count="1" selected="0">
            <x v="1"/>
          </reference>
          <reference field="8" count="2">
            <x v="1"/>
            <x v="2"/>
          </reference>
          <reference field="15" count="1" selected="0">
            <x v="9"/>
          </reference>
          <reference field="16" count="1" selected="0">
            <x v="0"/>
          </reference>
        </references>
      </pivotArea>
    </format>
    <format dxfId="25183">
      <pivotArea dataOnly="0" labelOnly="1" outline="0" fieldPosition="0">
        <references count="5">
          <reference field="3" count="1" selected="0">
            <x v="4"/>
          </reference>
          <reference field="5" count="1" selected="0">
            <x v="2"/>
          </reference>
          <reference field="8" count="1">
            <x v="4"/>
          </reference>
          <reference field="15" count="1" selected="0">
            <x v="9"/>
          </reference>
          <reference field="16" count="1" selected="0">
            <x v="0"/>
          </reference>
        </references>
      </pivotArea>
    </format>
    <format dxfId="25184">
      <pivotArea dataOnly="0" labelOnly="1" outline="0" fieldPosition="0">
        <references count="5">
          <reference field="3" count="1" selected="0">
            <x v="4"/>
          </reference>
          <reference field="5" count="1" selected="0">
            <x v="3"/>
          </reference>
          <reference field="8" count="2">
            <x v="1"/>
            <x v="3"/>
          </reference>
          <reference field="15" count="1" selected="0">
            <x v="9"/>
          </reference>
          <reference field="16" count="1" selected="0">
            <x v="0"/>
          </reference>
        </references>
      </pivotArea>
    </format>
    <format dxfId="25185">
      <pivotArea dataOnly="0" labelOnly="1" outline="0" fieldPosition="0">
        <references count="5">
          <reference field="3" count="1" selected="0">
            <x v="0"/>
          </reference>
          <reference field="5" count="1" selected="0">
            <x v="0"/>
          </reference>
          <reference field="8" count="1">
            <x v="4"/>
          </reference>
          <reference field="15" count="1" selected="0">
            <x v="10"/>
          </reference>
          <reference field="16" count="1" selected="0">
            <x v="0"/>
          </reference>
        </references>
      </pivotArea>
    </format>
    <format dxfId="25186">
      <pivotArea dataOnly="0" labelOnly="1" outline="0" fieldPosition="0">
        <references count="5">
          <reference field="3" count="1" selected="0">
            <x v="0"/>
          </reference>
          <reference field="5" count="1" selected="0">
            <x v="2"/>
          </reference>
          <reference field="8" count="2">
            <x v="0"/>
            <x v="2"/>
          </reference>
          <reference field="15" count="1" selected="0">
            <x v="10"/>
          </reference>
          <reference field="16" count="1" selected="0">
            <x v="0"/>
          </reference>
        </references>
      </pivotArea>
    </format>
    <format dxfId="25187">
      <pivotArea dataOnly="0" labelOnly="1" outline="0" fieldPosition="0">
        <references count="5">
          <reference field="3" count="1" selected="0">
            <x v="1"/>
          </reference>
          <reference field="5" count="1" selected="0">
            <x v="0"/>
          </reference>
          <reference field="8" count="0"/>
          <reference field="15" count="1" selected="0">
            <x v="10"/>
          </reference>
          <reference field="16" count="1" selected="0">
            <x v="0"/>
          </reference>
        </references>
      </pivotArea>
    </format>
    <format dxfId="25188">
      <pivotArea dataOnly="0" labelOnly="1" outline="0" fieldPosition="0">
        <references count="5">
          <reference field="3" count="1" selected="0">
            <x v="1"/>
          </reference>
          <reference field="5" count="1" selected="0">
            <x v="1"/>
          </reference>
          <reference field="8" count="1">
            <x v="1"/>
          </reference>
          <reference field="15" count="1" selected="0">
            <x v="10"/>
          </reference>
          <reference field="16" count="1" selected="0">
            <x v="0"/>
          </reference>
        </references>
      </pivotArea>
    </format>
    <format dxfId="25189">
      <pivotArea dataOnly="0" labelOnly="1" outline="0" fieldPosition="0">
        <references count="5">
          <reference field="3" count="1" selected="0">
            <x v="1"/>
          </reference>
          <reference field="5" count="1" selected="0">
            <x v="2"/>
          </reference>
          <reference field="8" count="4">
            <x v="1"/>
            <x v="2"/>
            <x v="3"/>
            <x v="4"/>
          </reference>
          <reference field="15" count="1" selected="0">
            <x v="10"/>
          </reference>
          <reference field="16" count="1" selected="0">
            <x v="0"/>
          </reference>
        </references>
      </pivotArea>
    </format>
    <format dxfId="25190">
      <pivotArea dataOnly="0" labelOnly="1" outline="0" fieldPosition="0">
        <references count="5">
          <reference field="3" count="1" selected="0">
            <x v="2"/>
          </reference>
          <reference field="5" count="1" selected="0">
            <x v="0"/>
          </reference>
          <reference field="8" count="4">
            <x v="0"/>
            <x v="1"/>
            <x v="3"/>
            <x v="4"/>
          </reference>
          <reference field="15" count="1" selected="0">
            <x v="10"/>
          </reference>
          <reference field="16" count="1" selected="0">
            <x v="0"/>
          </reference>
        </references>
      </pivotArea>
    </format>
    <format dxfId="25191">
      <pivotArea dataOnly="0" labelOnly="1" outline="0" fieldPosition="0">
        <references count="5">
          <reference field="3" count="1" selected="0">
            <x v="2"/>
          </reference>
          <reference field="5" count="1" selected="0">
            <x v="1"/>
          </reference>
          <reference field="8" count="3">
            <x v="0"/>
            <x v="1"/>
            <x v="4"/>
          </reference>
          <reference field="15" count="1" selected="0">
            <x v="10"/>
          </reference>
          <reference field="16" count="1" selected="0">
            <x v="0"/>
          </reference>
        </references>
      </pivotArea>
    </format>
    <format dxfId="25192">
      <pivotArea dataOnly="0" labelOnly="1" outline="0" fieldPosition="0">
        <references count="5">
          <reference field="3" count="1" selected="0">
            <x v="2"/>
          </reference>
          <reference field="5" count="1" selected="0">
            <x v="2"/>
          </reference>
          <reference field="8" count="1">
            <x v="1"/>
          </reference>
          <reference field="15" count="1" selected="0">
            <x v="10"/>
          </reference>
          <reference field="16" count="1" selected="0">
            <x v="0"/>
          </reference>
        </references>
      </pivotArea>
    </format>
    <format dxfId="25193">
      <pivotArea dataOnly="0" labelOnly="1" outline="0" fieldPosition="0">
        <references count="5">
          <reference field="3" count="1" selected="0">
            <x v="3"/>
          </reference>
          <reference field="5" count="1" selected="0">
            <x v="0"/>
          </reference>
          <reference field="8" count="3">
            <x v="0"/>
            <x v="1"/>
            <x v="3"/>
          </reference>
          <reference field="15" count="1" selected="0">
            <x v="10"/>
          </reference>
          <reference field="16" count="1" selected="0">
            <x v="0"/>
          </reference>
        </references>
      </pivotArea>
    </format>
    <format dxfId="25194">
      <pivotArea dataOnly="0" labelOnly="1" outline="0" fieldPosition="0">
        <references count="5">
          <reference field="3" count="1" selected="0">
            <x v="3"/>
          </reference>
          <reference field="5" count="1" selected="0">
            <x v="1"/>
          </reference>
          <reference field="8" count="2">
            <x v="0"/>
            <x v="3"/>
          </reference>
          <reference field="15" count="1" selected="0">
            <x v="10"/>
          </reference>
          <reference field="16" count="1" selected="0">
            <x v="0"/>
          </reference>
        </references>
      </pivotArea>
    </format>
    <format dxfId="25195">
      <pivotArea dataOnly="0" labelOnly="1" outline="0" fieldPosition="0">
        <references count="5">
          <reference field="3" count="1" selected="0">
            <x v="3"/>
          </reference>
          <reference field="5" count="1" selected="0">
            <x v="2"/>
          </reference>
          <reference field="8" count="1">
            <x v="3"/>
          </reference>
          <reference field="15" count="1" selected="0">
            <x v="10"/>
          </reference>
          <reference field="16" count="1" selected="0">
            <x v="0"/>
          </reference>
        </references>
      </pivotArea>
    </format>
    <format dxfId="25196">
      <pivotArea dataOnly="0" labelOnly="1" outline="0" fieldPosition="0">
        <references count="5">
          <reference field="3" count="1" selected="0">
            <x v="4"/>
          </reference>
          <reference field="5" count="1" selected="0">
            <x v="0"/>
          </reference>
          <reference field="8" count="3">
            <x v="1"/>
            <x v="3"/>
            <x v="4"/>
          </reference>
          <reference field="15" count="1" selected="0">
            <x v="10"/>
          </reference>
          <reference field="16" count="1" selected="0">
            <x v="0"/>
          </reference>
        </references>
      </pivotArea>
    </format>
    <format dxfId="25197">
      <pivotArea dataOnly="0" labelOnly="1" outline="0" fieldPosition="0">
        <references count="5">
          <reference field="3" count="1" selected="0">
            <x v="4"/>
          </reference>
          <reference field="5" count="1" selected="0">
            <x v="1"/>
          </reference>
          <reference field="8" count="2">
            <x v="1"/>
            <x v="4"/>
          </reference>
          <reference field="15" count="1" selected="0">
            <x v="10"/>
          </reference>
          <reference field="16" count="1" selected="0">
            <x v="0"/>
          </reference>
        </references>
      </pivotArea>
    </format>
    <format dxfId="25198">
      <pivotArea dataOnly="0" labelOnly="1" outline="0" fieldPosition="0">
        <references count="5">
          <reference field="3" count="1" selected="0">
            <x v="0"/>
          </reference>
          <reference field="5" count="1" selected="0">
            <x v="0"/>
          </reference>
          <reference field="8" count="3">
            <x v="0"/>
            <x v="1"/>
            <x v="3"/>
          </reference>
          <reference field="15" count="1" selected="0">
            <x v="11"/>
          </reference>
          <reference field="16" count="1" selected="0">
            <x v="0"/>
          </reference>
        </references>
      </pivotArea>
    </format>
    <format dxfId="25199">
      <pivotArea dataOnly="0" labelOnly="1" outline="0" fieldPosition="0">
        <references count="5">
          <reference field="3" count="1" selected="0">
            <x v="0"/>
          </reference>
          <reference field="5" count="1" selected="0">
            <x v="1"/>
          </reference>
          <reference field="8" count="1">
            <x v="2"/>
          </reference>
          <reference field="15" count="1" selected="0">
            <x v="11"/>
          </reference>
          <reference field="16" count="1" selected="0">
            <x v="0"/>
          </reference>
        </references>
      </pivotArea>
    </format>
    <format dxfId="25200">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0"/>
          </reference>
        </references>
      </pivotArea>
    </format>
    <format dxfId="25201">
      <pivotArea dataOnly="0" labelOnly="1" outline="0" fieldPosition="0">
        <references count="5">
          <reference field="3" count="1" selected="0">
            <x v="1"/>
          </reference>
          <reference field="5" count="1" selected="0">
            <x v="1"/>
          </reference>
          <reference field="8" count="2">
            <x v="1"/>
            <x v="2"/>
          </reference>
          <reference field="15" count="1" selected="0">
            <x v="11"/>
          </reference>
          <reference field="16" count="1" selected="0">
            <x v="0"/>
          </reference>
        </references>
      </pivotArea>
    </format>
    <format dxfId="25202">
      <pivotArea dataOnly="0" labelOnly="1" outline="0" fieldPosition="0">
        <references count="5">
          <reference field="3" count="1" selected="0">
            <x v="1"/>
          </reference>
          <reference field="5" count="1" selected="0">
            <x v="2"/>
          </reference>
          <reference field="8" count="2">
            <x v="1"/>
            <x v="3"/>
          </reference>
          <reference field="15" count="1" selected="0">
            <x v="11"/>
          </reference>
          <reference field="16" count="1" selected="0">
            <x v="0"/>
          </reference>
        </references>
      </pivotArea>
    </format>
    <format dxfId="25203">
      <pivotArea dataOnly="0" labelOnly="1" outline="0" fieldPosition="0">
        <references count="5">
          <reference field="3" count="1" selected="0">
            <x v="1"/>
          </reference>
          <reference field="5" count="1" selected="0">
            <x v="3"/>
          </reference>
          <reference field="8" count="2">
            <x v="2"/>
            <x v="3"/>
          </reference>
          <reference field="15" count="1" selected="0">
            <x v="11"/>
          </reference>
          <reference field="16" count="1" selected="0">
            <x v="0"/>
          </reference>
        </references>
      </pivotArea>
    </format>
    <format dxfId="25204">
      <pivotArea dataOnly="0" labelOnly="1" outline="0" fieldPosition="0">
        <references count="5">
          <reference field="3" count="1" selected="0">
            <x v="2"/>
          </reference>
          <reference field="5" count="1" selected="0">
            <x v="0"/>
          </reference>
          <reference field="8" count="2">
            <x v="0"/>
            <x v="4"/>
          </reference>
          <reference field="15" count="1" selected="0">
            <x v="11"/>
          </reference>
          <reference field="16" count="1" selected="0">
            <x v="0"/>
          </reference>
        </references>
      </pivotArea>
    </format>
    <format dxfId="25205">
      <pivotArea dataOnly="0" labelOnly="1" outline="0" fieldPosition="0">
        <references count="5">
          <reference field="3" count="1" selected="0">
            <x v="2"/>
          </reference>
          <reference field="5" count="1" selected="0">
            <x v="1"/>
          </reference>
          <reference field="8" count="1">
            <x v="0"/>
          </reference>
          <reference field="15" count="1" selected="0">
            <x v="11"/>
          </reference>
          <reference field="16" count="1" selected="0">
            <x v="0"/>
          </reference>
        </references>
      </pivotArea>
    </format>
    <format dxfId="25206">
      <pivotArea dataOnly="0" labelOnly="1" outline="0" fieldPosition="0">
        <references count="5">
          <reference field="3" count="1" selected="0">
            <x v="2"/>
          </reference>
          <reference field="5" count="1" selected="0">
            <x v="2"/>
          </reference>
          <reference field="8" count="1">
            <x v="3"/>
          </reference>
          <reference field="15" count="1" selected="0">
            <x v="11"/>
          </reference>
          <reference field="16" count="1" selected="0">
            <x v="0"/>
          </reference>
        </references>
      </pivotArea>
    </format>
    <format dxfId="25207">
      <pivotArea dataOnly="0" labelOnly="1" outline="0" fieldPosition="0">
        <references count="5">
          <reference field="3" count="1" selected="0">
            <x v="3"/>
          </reference>
          <reference field="5" count="1" selected="0">
            <x v="1"/>
          </reference>
          <reference field="8" count="1">
            <x v="4"/>
          </reference>
          <reference field="15" count="1" selected="0">
            <x v="11"/>
          </reference>
          <reference field="16" count="1" selected="0">
            <x v="0"/>
          </reference>
        </references>
      </pivotArea>
    </format>
    <format dxfId="25208">
      <pivotArea dataOnly="0" labelOnly="1" outline="0" fieldPosition="0">
        <references count="5">
          <reference field="3" count="1" selected="0">
            <x v="4"/>
          </reference>
          <reference field="5" count="1" selected="0">
            <x v="0"/>
          </reference>
          <reference field="8" count="4">
            <x v="1"/>
            <x v="2"/>
            <x v="3"/>
            <x v="4"/>
          </reference>
          <reference field="15" count="1" selected="0">
            <x v="11"/>
          </reference>
          <reference field="16" count="1" selected="0">
            <x v="0"/>
          </reference>
        </references>
      </pivotArea>
    </format>
    <format dxfId="25209">
      <pivotArea dataOnly="0" labelOnly="1" outline="0" fieldPosition="0">
        <references count="5">
          <reference field="3" count="1" selected="0">
            <x v="4"/>
          </reference>
          <reference field="5" count="1" selected="0">
            <x v="1"/>
          </reference>
          <reference field="8" count="3">
            <x v="0"/>
            <x v="1"/>
            <x v="3"/>
          </reference>
          <reference field="15" count="1" selected="0">
            <x v="11"/>
          </reference>
          <reference field="16" count="1" selected="0">
            <x v="0"/>
          </reference>
        </references>
      </pivotArea>
    </format>
    <format dxfId="25210">
      <pivotArea dataOnly="0" labelOnly="1" outline="0" fieldPosition="0">
        <references count="5">
          <reference field="3" count="1" selected="0">
            <x v="4"/>
          </reference>
          <reference field="5" count="1" selected="0">
            <x v="2"/>
          </reference>
          <reference field="8" count="1">
            <x v="2"/>
          </reference>
          <reference field="15" count="1" selected="0">
            <x v="11"/>
          </reference>
          <reference field="16" count="1" selected="0">
            <x v="0"/>
          </reference>
        </references>
      </pivotArea>
    </format>
    <format dxfId="25211">
      <pivotArea dataOnly="0" labelOnly="1" outline="0" fieldPosition="0">
        <references count="5">
          <reference field="3" count="1" selected="0">
            <x v="4"/>
          </reference>
          <reference field="5" count="1" selected="0">
            <x v="3"/>
          </reference>
          <reference field="8" count="1">
            <x v="0"/>
          </reference>
          <reference field="15" count="1" selected="0">
            <x v="11"/>
          </reference>
          <reference field="16" count="1" selected="0">
            <x v="0"/>
          </reference>
        </references>
      </pivotArea>
    </format>
    <format dxfId="25212">
      <pivotArea dataOnly="0" labelOnly="1" outline="0" fieldPosition="0">
        <references count="5">
          <reference field="3" count="1" selected="0">
            <x v="0"/>
          </reference>
          <reference field="5" count="1" selected="0">
            <x v="0"/>
          </reference>
          <reference field="8" count="3">
            <x v="2"/>
            <x v="3"/>
            <x v="4"/>
          </reference>
          <reference field="15" count="1" selected="0">
            <x v="0"/>
          </reference>
          <reference field="16" count="1" selected="0">
            <x v="1"/>
          </reference>
        </references>
      </pivotArea>
    </format>
    <format dxfId="25213">
      <pivotArea dataOnly="0" labelOnly="1" outline="0" fieldPosition="0">
        <references count="5">
          <reference field="3" count="1" selected="0">
            <x v="0"/>
          </reference>
          <reference field="5" count="1" selected="0">
            <x v="1"/>
          </reference>
          <reference field="8" count="1">
            <x v="0"/>
          </reference>
          <reference field="15" count="1" selected="0">
            <x v="0"/>
          </reference>
          <reference field="16" count="1" selected="0">
            <x v="1"/>
          </reference>
        </references>
      </pivotArea>
    </format>
    <format dxfId="25214">
      <pivotArea dataOnly="0" labelOnly="1" outline="0" fieldPosition="0">
        <references count="5">
          <reference field="3" count="1" selected="0">
            <x v="1"/>
          </reference>
          <reference field="5" count="1" selected="0">
            <x v="0"/>
          </reference>
          <reference field="8" count="4">
            <x v="0"/>
            <x v="2"/>
            <x v="3"/>
            <x v="4"/>
          </reference>
          <reference field="15" count="1" selected="0">
            <x v="0"/>
          </reference>
          <reference field="16" count="1" selected="0">
            <x v="1"/>
          </reference>
        </references>
      </pivotArea>
    </format>
    <format dxfId="25215">
      <pivotArea dataOnly="0" labelOnly="1" outline="0" fieldPosition="0">
        <references count="5">
          <reference field="3" count="1" selected="0">
            <x v="1"/>
          </reference>
          <reference field="5" count="1" selected="0">
            <x v="1"/>
          </reference>
          <reference field="8" count="3">
            <x v="1"/>
            <x v="2"/>
            <x v="4"/>
          </reference>
          <reference field="15" count="1" selected="0">
            <x v="0"/>
          </reference>
          <reference field="16" count="1" selected="0">
            <x v="1"/>
          </reference>
        </references>
      </pivotArea>
    </format>
    <format dxfId="25216">
      <pivotArea dataOnly="0" labelOnly="1" outline="0" fieldPosition="0">
        <references count="5">
          <reference field="3" count="1" selected="0">
            <x v="1"/>
          </reference>
          <reference field="5" count="1" selected="0">
            <x v="2"/>
          </reference>
          <reference field="8" count="2">
            <x v="1"/>
            <x v="2"/>
          </reference>
          <reference field="15" count="1" selected="0">
            <x v="0"/>
          </reference>
          <reference field="16" count="1" selected="0">
            <x v="1"/>
          </reference>
        </references>
      </pivotArea>
    </format>
    <format dxfId="25217">
      <pivotArea dataOnly="0" labelOnly="1" outline="0" fieldPosition="0">
        <references count="5">
          <reference field="3" count="1" selected="0">
            <x v="2"/>
          </reference>
          <reference field="5" count="1" selected="0">
            <x v="0"/>
          </reference>
          <reference field="8" count="3">
            <x v="1"/>
            <x v="3"/>
            <x v="4"/>
          </reference>
          <reference field="15" count="1" selected="0">
            <x v="0"/>
          </reference>
          <reference field="16" count="1" selected="0">
            <x v="1"/>
          </reference>
        </references>
      </pivotArea>
    </format>
    <format dxfId="25218">
      <pivotArea dataOnly="0" labelOnly="1" outline="0" fieldPosition="0">
        <references count="5">
          <reference field="3" count="1" selected="0">
            <x v="2"/>
          </reference>
          <reference field="5" count="1" selected="0">
            <x v="2"/>
          </reference>
          <reference field="8" count="1">
            <x v="0"/>
          </reference>
          <reference field="15" count="1" selected="0">
            <x v="0"/>
          </reference>
          <reference field="16" count="1" selected="0">
            <x v="1"/>
          </reference>
        </references>
      </pivotArea>
    </format>
    <format dxfId="25219">
      <pivotArea dataOnly="0" labelOnly="1" outline="0" fieldPosition="0">
        <references count="5">
          <reference field="3" count="1" selected="0">
            <x v="3"/>
          </reference>
          <reference field="5" count="1" selected="0">
            <x v="0"/>
          </reference>
          <reference field="8" count="1">
            <x v="3"/>
          </reference>
          <reference field="15" count="1" selected="0">
            <x v="0"/>
          </reference>
          <reference field="16" count="1" selected="0">
            <x v="1"/>
          </reference>
        </references>
      </pivotArea>
    </format>
    <format dxfId="25220">
      <pivotArea dataOnly="0" labelOnly="1" outline="0" fieldPosition="0">
        <references count="5">
          <reference field="3" count="1" selected="0">
            <x v="3"/>
          </reference>
          <reference field="5" count="1" selected="0">
            <x v="2"/>
          </reference>
          <reference field="8" count="2">
            <x v="2"/>
            <x v="3"/>
          </reference>
          <reference field="15" count="1" selected="0">
            <x v="0"/>
          </reference>
          <reference field="16" count="1" selected="0">
            <x v="1"/>
          </reference>
        </references>
      </pivotArea>
    </format>
    <format dxfId="25221">
      <pivotArea dataOnly="0" labelOnly="1" outline="0" fieldPosition="0">
        <references count="5">
          <reference field="3" count="1" selected="0">
            <x v="4"/>
          </reference>
          <reference field="5" count="1" selected="0">
            <x v="0"/>
          </reference>
          <reference field="8" count="3">
            <x v="0"/>
            <x v="1"/>
            <x v="2"/>
          </reference>
          <reference field="15" count="1" selected="0">
            <x v="0"/>
          </reference>
          <reference field="16" count="1" selected="0">
            <x v="1"/>
          </reference>
        </references>
      </pivotArea>
    </format>
    <format dxfId="25222">
      <pivotArea dataOnly="0" labelOnly="1" outline="0" fieldPosition="0">
        <references count="5">
          <reference field="3" count="1" selected="0">
            <x v="4"/>
          </reference>
          <reference field="5" count="1" selected="0">
            <x v="1"/>
          </reference>
          <reference field="8" count="1">
            <x v="3"/>
          </reference>
          <reference field="15" count="1" selected="0">
            <x v="0"/>
          </reference>
          <reference field="16" count="1" selected="0">
            <x v="1"/>
          </reference>
        </references>
      </pivotArea>
    </format>
    <format dxfId="25223">
      <pivotArea dataOnly="0" labelOnly="1" outline="0" fieldPosition="0">
        <references count="5">
          <reference field="3" count="1" selected="0">
            <x v="4"/>
          </reference>
          <reference field="5" count="1" selected="0">
            <x v="2"/>
          </reference>
          <reference field="8" count="2">
            <x v="1"/>
            <x v="2"/>
          </reference>
          <reference field="15" count="1" selected="0">
            <x v="0"/>
          </reference>
          <reference field="16" count="1" selected="0">
            <x v="1"/>
          </reference>
        </references>
      </pivotArea>
    </format>
    <format dxfId="25224">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1"/>
          </reference>
        </references>
      </pivotArea>
    </format>
    <format dxfId="25225">
      <pivotArea dataOnly="0" labelOnly="1" outline="0" fieldPosition="0">
        <references count="5">
          <reference field="3" count="1" selected="0">
            <x v="1"/>
          </reference>
          <reference field="5" count="1" selected="0">
            <x v="0"/>
          </reference>
          <reference field="8" count="4">
            <x v="1"/>
            <x v="2"/>
            <x v="3"/>
            <x v="4"/>
          </reference>
          <reference field="15" count="1" selected="0">
            <x v="1"/>
          </reference>
          <reference field="16" count="1" selected="0">
            <x v="1"/>
          </reference>
        </references>
      </pivotArea>
    </format>
    <format dxfId="25226">
      <pivotArea dataOnly="0" labelOnly="1" outline="0" fieldPosition="0">
        <references count="5">
          <reference field="3" count="1" selected="0">
            <x v="1"/>
          </reference>
          <reference field="5" count="1" selected="0">
            <x v="1"/>
          </reference>
          <reference field="8" count="2">
            <x v="2"/>
            <x v="4"/>
          </reference>
          <reference field="15" count="1" selected="0">
            <x v="1"/>
          </reference>
          <reference field="16" count="1" selected="0">
            <x v="1"/>
          </reference>
        </references>
      </pivotArea>
    </format>
    <format dxfId="25227">
      <pivotArea dataOnly="0" labelOnly="1" outline="0" fieldPosition="0">
        <references count="5">
          <reference field="3" count="1" selected="0">
            <x v="1"/>
          </reference>
          <reference field="5" count="1" selected="0">
            <x v="2"/>
          </reference>
          <reference field="8" count="2">
            <x v="0"/>
            <x v="3"/>
          </reference>
          <reference field="15" count="1" selected="0">
            <x v="1"/>
          </reference>
          <reference field="16" count="1" selected="0">
            <x v="1"/>
          </reference>
        </references>
      </pivotArea>
    </format>
    <format dxfId="25228">
      <pivotArea dataOnly="0" labelOnly="1" outline="0" fieldPosition="0">
        <references count="5">
          <reference field="3" count="1" selected="0">
            <x v="1"/>
          </reference>
          <reference field="5" count="1" selected="0">
            <x v="3"/>
          </reference>
          <reference field="8" count="1">
            <x v="2"/>
          </reference>
          <reference field="15" count="1" selected="0">
            <x v="1"/>
          </reference>
          <reference field="16" count="1" selected="0">
            <x v="1"/>
          </reference>
        </references>
      </pivotArea>
    </format>
    <format dxfId="25229">
      <pivotArea dataOnly="0" labelOnly="1" outline="0" fieldPosition="0">
        <references count="5">
          <reference field="3" count="1" selected="0">
            <x v="2"/>
          </reference>
          <reference field="5" count="1" selected="0">
            <x v="0"/>
          </reference>
          <reference field="8" count="4">
            <x v="0"/>
            <x v="1"/>
            <x v="2"/>
            <x v="4"/>
          </reference>
          <reference field="15" count="1" selected="0">
            <x v="1"/>
          </reference>
          <reference field="16" count="1" selected="0">
            <x v="1"/>
          </reference>
        </references>
      </pivotArea>
    </format>
    <format dxfId="25230">
      <pivotArea dataOnly="0" labelOnly="1" outline="0" fieldPosition="0">
        <references count="5">
          <reference field="3" count="1" selected="0">
            <x v="3"/>
          </reference>
          <reference field="5" count="1" selected="0">
            <x v="0"/>
          </reference>
          <reference field="8" count="2">
            <x v="3"/>
            <x v="4"/>
          </reference>
          <reference field="15" count="1" selected="0">
            <x v="1"/>
          </reference>
          <reference field="16" count="1" selected="0">
            <x v="1"/>
          </reference>
        </references>
      </pivotArea>
    </format>
    <format dxfId="25231">
      <pivotArea dataOnly="0" labelOnly="1" outline="0" fieldPosition="0">
        <references count="5">
          <reference field="3" count="1" selected="0">
            <x v="3"/>
          </reference>
          <reference field="5" count="1" selected="0">
            <x v="1"/>
          </reference>
          <reference field="8" count="1">
            <x v="0"/>
          </reference>
          <reference field="15" count="1" selected="0">
            <x v="1"/>
          </reference>
          <reference field="16" count="1" selected="0">
            <x v="1"/>
          </reference>
        </references>
      </pivotArea>
    </format>
    <format dxfId="25232">
      <pivotArea dataOnly="0" labelOnly="1" outline="0" fieldPosition="0">
        <references count="5">
          <reference field="3" count="1" selected="0">
            <x v="4"/>
          </reference>
          <reference field="5" count="1" selected="0">
            <x v="0"/>
          </reference>
          <reference field="8" count="3">
            <x v="1"/>
            <x v="2"/>
            <x v="4"/>
          </reference>
          <reference field="15" count="1" selected="0">
            <x v="1"/>
          </reference>
          <reference field="16" count="1" selected="0">
            <x v="1"/>
          </reference>
        </references>
      </pivotArea>
    </format>
    <format dxfId="25233">
      <pivotArea dataOnly="0" labelOnly="1" outline="0" fieldPosition="0">
        <references count="5">
          <reference field="3" count="1" selected="0">
            <x v="4"/>
          </reference>
          <reference field="5" count="1" selected="0">
            <x v="1"/>
          </reference>
          <reference field="8" count="2">
            <x v="0"/>
            <x v="2"/>
          </reference>
          <reference field="15" count="1" selected="0">
            <x v="1"/>
          </reference>
          <reference field="16" count="1" selected="0">
            <x v="1"/>
          </reference>
        </references>
      </pivotArea>
    </format>
    <format dxfId="25234">
      <pivotArea dataOnly="0" labelOnly="1" outline="0" fieldPosition="0">
        <references count="5">
          <reference field="3" count="1" selected="0">
            <x v="4"/>
          </reference>
          <reference field="5" count="1" selected="0">
            <x v="2"/>
          </reference>
          <reference field="8" count="1">
            <x v="0"/>
          </reference>
          <reference field="15" count="1" selected="0">
            <x v="1"/>
          </reference>
          <reference field="16" count="1" selected="0">
            <x v="1"/>
          </reference>
        </references>
      </pivotArea>
    </format>
    <format dxfId="25235">
      <pivotArea dataOnly="0" labelOnly="1" outline="0" fieldPosition="0">
        <references count="5">
          <reference field="3" count="1" selected="0">
            <x v="4"/>
          </reference>
          <reference field="5" count="1" selected="0">
            <x v="3"/>
          </reference>
          <reference field="8" count="1">
            <x v="2"/>
          </reference>
          <reference field="15" count="1" selected="0">
            <x v="1"/>
          </reference>
          <reference field="16" count="1" selected="0">
            <x v="1"/>
          </reference>
        </references>
      </pivotArea>
    </format>
    <format dxfId="25236">
      <pivotArea dataOnly="0" labelOnly="1" outline="0" fieldPosition="0">
        <references count="5">
          <reference field="3" count="1" selected="0">
            <x v="0"/>
          </reference>
          <reference field="5" count="1" selected="0">
            <x v="0"/>
          </reference>
          <reference field="8" count="3">
            <x v="0"/>
            <x v="2"/>
            <x v="3"/>
          </reference>
          <reference field="15" count="1" selected="0">
            <x v="2"/>
          </reference>
          <reference field="16" count="1" selected="0">
            <x v="1"/>
          </reference>
        </references>
      </pivotArea>
    </format>
    <format dxfId="25237">
      <pivotArea dataOnly="0" labelOnly="1" outline="0" fieldPosition="0">
        <references count="5">
          <reference field="3" count="1" selected="0">
            <x v="0"/>
          </reference>
          <reference field="5" count="1" selected="0">
            <x v="1"/>
          </reference>
          <reference field="8" count="1">
            <x v="4"/>
          </reference>
          <reference field="15" count="1" selected="0">
            <x v="2"/>
          </reference>
          <reference field="16" count="1" selected="0">
            <x v="1"/>
          </reference>
        </references>
      </pivotArea>
    </format>
    <format dxfId="25238">
      <pivotArea dataOnly="0" labelOnly="1" outline="0" fieldPosition="0">
        <references count="5">
          <reference field="3" count="1" selected="0">
            <x v="0"/>
          </reference>
          <reference field="5" count="1" selected="0">
            <x v="2"/>
          </reference>
          <reference field="8" count="1">
            <x v="3"/>
          </reference>
          <reference field="15" count="1" selected="0">
            <x v="2"/>
          </reference>
          <reference field="16" count="1" selected="0">
            <x v="1"/>
          </reference>
        </references>
      </pivotArea>
    </format>
    <format dxfId="25239">
      <pivotArea dataOnly="0" labelOnly="1" outline="0" fieldPosition="0">
        <references count="5">
          <reference field="3" count="1" selected="0">
            <x v="1"/>
          </reference>
          <reference field="5" count="1" selected="0">
            <x v="0"/>
          </reference>
          <reference field="8" count="0"/>
          <reference field="15" count="1" selected="0">
            <x v="2"/>
          </reference>
          <reference field="16" count="1" selected="0">
            <x v="1"/>
          </reference>
        </references>
      </pivotArea>
    </format>
    <format dxfId="25240">
      <pivotArea dataOnly="0" labelOnly="1" outline="0" fieldPosition="0">
        <references count="5">
          <reference field="3" count="1" selected="0">
            <x v="1"/>
          </reference>
          <reference field="5" count="1" selected="0">
            <x v="1"/>
          </reference>
          <reference field="8" count="0"/>
          <reference field="15" count="1" selected="0">
            <x v="2"/>
          </reference>
          <reference field="16" count="1" selected="0">
            <x v="1"/>
          </reference>
        </references>
      </pivotArea>
    </format>
    <format dxfId="25241">
      <pivotArea dataOnly="0" labelOnly="1" outline="0" fieldPosition="0">
        <references count="5">
          <reference field="3" count="1" selected="0">
            <x v="1"/>
          </reference>
          <reference field="5" count="1" selected="0">
            <x v="2"/>
          </reference>
          <reference field="8" count="3">
            <x v="0"/>
            <x v="2"/>
            <x v="3"/>
          </reference>
          <reference field="15" count="1" selected="0">
            <x v="2"/>
          </reference>
          <reference field="16" count="1" selected="0">
            <x v="1"/>
          </reference>
        </references>
      </pivotArea>
    </format>
    <format dxfId="25242">
      <pivotArea dataOnly="0" labelOnly="1" outline="0" fieldPosition="0">
        <references count="5">
          <reference field="3" count="1" selected="0">
            <x v="1"/>
          </reference>
          <reference field="5" count="1" selected="0">
            <x v="3"/>
          </reference>
          <reference field="8" count="1">
            <x v="4"/>
          </reference>
          <reference field="15" count="1" selected="0">
            <x v="2"/>
          </reference>
          <reference field="16" count="1" selected="0">
            <x v="1"/>
          </reference>
        </references>
      </pivotArea>
    </format>
    <format dxfId="25243">
      <pivotArea dataOnly="0" labelOnly="1" outline="0" fieldPosition="0">
        <references count="5">
          <reference field="3" count="1" selected="0">
            <x v="2"/>
          </reference>
          <reference field="5" count="1" selected="0">
            <x v="0"/>
          </reference>
          <reference field="8" count="2">
            <x v="3"/>
            <x v="4"/>
          </reference>
          <reference field="15" count="1" selected="0">
            <x v="2"/>
          </reference>
          <reference field="16" count="1" selected="0">
            <x v="1"/>
          </reference>
        </references>
      </pivotArea>
    </format>
    <format dxfId="25244">
      <pivotArea dataOnly="0" labelOnly="1" outline="0" fieldPosition="0">
        <references count="5">
          <reference field="3" count="1" selected="0">
            <x v="2"/>
          </reference>
          <reference field="5" count="1" selected="0">
            <x v="1"/>
          </reference>
          <reference field="8" count="1">
            <x v="2"/>
          </reference>
          <reference field="15" count="1" selected="0">
            <x v="2"/>
          </reference>
          <reference field="16" count="1" selected="0">
            <x v="1"/>
          </reference>
        </references>
      </pivotArea>
    </format>
    <format dxfId="25245">
      <pivotArea dataOnly="0" labelOnly="1" outline="0" fieldPosition="0">
        <references count="5">
          <reference field="3" count="1" selected="0">
            <x v="2"/>
          </reference>
          <reference field="5" count="1" selected="0">
            <x v="2"/>
          </reference>
          <reference field="8" count="1">
            <x v="2"/>
          </reference>
          <reference field="15" count="1" selected="0">
            <x v="2"/>
          </reference>
          <reference field="16" count="1" selected="0">
            <x v="1"/>
          </reference>
        </references>
      </pivotArea>
    </format>
    <format dxfId="25246">
      <pivotArea dataOnly="0" labelOnly="1" outline="0" fieldPosition="0">
        <references count="5">
          <reference field="3" count="1" selected="0">
            <x v="2"/>
          </reference>
          <reference field="5" count="1" selected="0">
            <x v="3"/>
          </reference>
          <reference field="8" count="1">
            <x v="4"/>
          </reference>
          <reference field="15" count="1" selected="0">
            <x v="2"/>
          </reference>
          <reference field="16" count="1" selected="0">
            <x v="1"/>
          </reference>
        </references>
      </pivotArea>
    </format>
    <format dxfId="25247">
      <pivotArea dataOnly="0" labelOnly="1" outline="0" fieldPosition="0">
        <references count="5">
          <reference field="3" count="1" selected="0">
            <x v="3"/>
          </reference>
          <reference field="5" count="1" selected="0">
            <x v="0"/>
          </reference>
          <reference field="8" count="1">
            <x v="1"/>
          </reference>
          <reference field="15" count="1" selected="0">
            <x v="2"/>
          </reference>
          <reference field="16" count="1" selected="0">
            <x v="1"/>
          </reference>
        </references>
      </pivotArea>
    </format>
    <format dxfId="25248">
      <pivotArea dataOnly="0" labelOnly="1" outline="0" fieldPosition="0">
        <references count="5">
          <reference field="3" count="1" selected="0">
            <x v="3"/>
          </reference>
          <reference field="5" count="1" selected="0">
            <x v="1"/>
          </reference>
          <reference field="8" count="3">
            <x v="0"/>
            <x v="1"/>
            <x v="3"/>
          </reference>
          <reference field="15" count="1" selected="0">
            <x v="2"/>
          </reference>
          <reference field="16" count="1" selected="0">
            <x v="1"/>
          </reference>
        </references>
      </pivotArea>
    </format>
    <format dxfId="25249">
      <pivotArea dataOnly="0" labelOnly="1" outline="0" fieldPosition="0">
        <references count="5">
          <reference field="3" count="1" selected="0">
            <x v="4"/>
          </reference>
          <reference field="5" count="1" selected="0">
            <x v="0"/>
          </reference>
          <reference field="8" count="4">
            <x v="0"/>
            <x v="2"/>
            <x v="3"/>
            <x v="4"/>
          </reference>
          <reference field="15" count="1" selected="0">
            <x v="2"/>
          </reference>
          <reference field="16" count="1" selected="0">
            <x v="1"/>
          </reference>
        </references>
      </pivotArea>
    </format>
    <format dxfId="25250">
      <pivotArea dataOnly="0" labelOnly="1" outline="0" fieldPosition="0">
        <references count="5">
          <reference field="3" count="1" selected="0">
            <x v="4"/>
          </reference>
          <reference field="5" count="1" selected="0">
            <x v="2"/>
          </reference>
          <reference field="8" count="2">
            <x v="1"/>
            <x v="4"/>
          </reference>
          <reference field="15" count="1" selected="0">
            <x v="2"/>
          </reference>
          <reference field="16" count="1" selected="0">
            <x v="1"/>
          </reference>
        </references>
      </pivotArea>
    </format>
    <format dxfId="25251">
      <pivotArea dataOnly="0" labelOnly="1" outline="0" fieldPosition="0">
        <references count="5">
          <reference field="3" count="1" selected="0">
            <x v="0"/>
          </reference>
          <reference field="5" count="1" selected="0">
            <x v="0"/>
          </reference>
          <reference field="8" count="3">
            <x v="0"/>
            <x v="2"/>
            <x v="3"/>
          </reference>
          <reference field="15" count="1" selected="0">
            <x v="3"/>
          </reference>
          <reference field="16" count="1" selected="0">
            <x v="1"/>
          </reference>
        </references>
      </pivotArea>
    </format>
    <format dxfId="25252">
      <pivotArea dataOnly="0" labelOnly="1" outline="0" fieldPosition="0">
        <references count="5">
          <reference field="3" count="1" selected="0">
            <x v="0"/>
          </reference>
          <reference field="5" count="1" selected="0">
            <x v="1"/>
          </reference>
          <reference field="8" count="1">
            <x v="2"/>
          </reference>
          <reference field="15" count="1" selected="0">
            <x v="3"/>
          </reference>
          <reference field="16" count="1" selected="0">
            <x v="1"/>
          </reference>
        </references>
      </pivotArea>
    </format>
    <format dxfId="25253">
      <pivotArea dataOnly="0" labelOnly="1" outline="0" fieldPosition="0">
        <references count="5">
          <reference field="3" count="1" selected="0">
            <x v="0"/>
          </reference>
          <reference field="5" count="1" selected="0">
            <x v="2"/>
          </reference>
          <reference field="8" count="1">
            <x v="4"/>
          </reference>
          <reference field="15" count="1" selected="0">
            <x v="3"/>
          </reference>
          <reference field="16" count="1" selected="0">
            <x v="1"/>
          </reference>
        </references>
      </pivotArea>
    </format>
    <format dxfId="25254">
      <pivotArea dataOnly="0" labelOnly="1" outline="0" fieldPosition="0">
        <references count="5">
          <reference field="3" count="1" selected="0">
            <x v="1"/>
          </reference>
          <reference field="5" count="1" selected="0">
            <x v="0"/>
          </reference>
          <reference field="8" count="0"/>
          <reference field="15" count="1" selected="0">
            <x v="3"/>
          </reference>
          <reference field="16" count="1" selected="0">
            <x v="1"/>
          </reference>
        </references>
      </pivotArea>
    </format>
    <format dxfId="25255">
      <pivotArea dataOnly="0" labelOnly="1" outline="0" fieldPosition="0">
        <references count="5">
          <reference field="3" count="1" selected="0">
            <x v="1"/>
          </reference>
          <reference field="5" count="1" selected="0">
            <x v="1"/>
          </reference>
          <reference field="8" count="3">
            <x v="0"/>
            <x v="1"/>
            <x v="3"/>
          </reference>
          <reference field="15" count="1" selected="0">
            <x v="3"/>
          </reference>
          <reference field="16" count="1" selected="0">
            <x v="1"/>
          </reference>
        </references>
      </pivotArea>
    </format>
    <format dxfId="25256">
      <pivotArea dataOnly="0" labelOnly="1" outline="0" fieldPosition="0">
        <references count="5">
          <reference field="3" count="1" selected="0">
            <x v="1"/>
          </reference>
          <reference field="5" count="1" selected="0">
            <x v="2"/>
          </reference>
          <reference field="8" count="3">
            <x v="0"/>
            <x v="1"/>
            <x v="2"/>
          </reference>
          <reference field="15" count="1" selected="0">
            <x v="3"/>
          </reference>
          <reference field="16" count="1" selected="0">
            <x v="1"/>
          </reference>
        </references>
      </pivotArea>
    </format>
    <format dxfId="25257">
      <pivotArea dataOnly="0" labelOnly="1" outline="0" fieldPosition="0">
        <references count="5">
          <reference field="3" count="1" selected="0">
            <x v="2"/>
          </reference>
          <reference field="5" count="1" selected="0">
            <x v="0"/>
          </reference>
          <reference field="8" count="2">
            <x v="2"/>
            <x v="3"/>
          </reference>
          <reference field="15" count="1" selected="0">
            <x v="3"/>
          </reference>
          <reference field="16" count="1" selected="0">
            <x v="1"/>
          </reference>
        </references>
      </pivotArea>
    </format>
    <format dxfId="25258">
      <pivotArea dataOnly="0" labelOnly="1" outline="0" fieldPosition="0">
        <references count="5">
          <reference field="3" count="1" selected="0">
            <x v="2"/>
          </reference>
          <reference field="5" count="1" selected="0">
            <x v="1"/>
          </reference>
          <reference field="8" count="1">
            <x v="2"/>
          </reference>
          <reference field="15" count="1" selected="0">
            <x v="3"/>
          </reference>
          <reference field="16" count="1" selected="0">
            <x v="1"/>
          </reference>
        </references>
      </pivotArea>
    </format>
    <format dxfId="25259">
      <pivotArea dataOnly="0" labelOnly="1" outline="0" fieldPosition="0">
        <references count="5">
          <reference field="3" count="1" selected="0">
            <x v="2"/>
          </reference>
          <reference field="5" count="1" selected="0">
            <x v="2"/>
          </reference>
          <reference field="8" count="1">
            <x v="1"/>
          </reference>
          <reference field="15" count="1" selected="0">
            <x v="3"/>
          </reference>
          <reference field="16" count="1" selected="0">
            <x v="1"/>
          </reference>
        </references>
      </pivotArea>
    </format>
    <format dxfId="25260">
      <pivotArea dataOnly="0" labelOnly="1" outline="0" fieldPosition="0">
        <references count="5">
          <reference field="3" count="1" selected="0">
            <x v="3"/>
          </reference>
          <reference field="5" count="1" selected="0">
            <x v="1"/>
          </reference>
          <reference field="8" count="1">
            <x v="3"/>
          </reference>
          <reference field="15" count="1" selected="0">
            <x v="3"/>
          </reference>
          <reference field="16" count="1" selected="0">
            <x v="1"/>
          </reference>
        </references>
      </pivotArea>
    </format>
    <format dxfId="25261">
      <pivotArea dataOnly="0" labelOnly="1" outline="0" fieldPosition="0">
        <references count="5">
          <reference field="3" count="1" selected="0">
            <x v="4"/>
          </reference>
          <reference field="5" count="1" selected="0">
            <x v="0"/>
          </reference>
          <reference field="8" count="2">
            <x v="0"/>
            <x v="3"/>
          </reference>
          <reference field="15" count="1" selected="0">
            <x v="3"/>
          </reference>
          <reference field="16" count="1" selected="0">
            <x v="1"/>
          </reference>
        </references>
      </pivotArea>
    </format>
    <format dxfId="25262">
      <pivotArea dataOnly="0" labelOnly="1" outline="0" fieldPosition="0">
        <references count="5">
          <reference field="3" count="1" selected="0">
            <x v="4"/>
          </reference>
          <reference field="5" count="1" selected="0">
            <x v="1"/>
          </reference>
          <reference field="8" count="1">
            <x v="0"/>
          </reference>
          <reference field="15" count="1" selected="0">
            <x v="3"/>
          </reference>
          <reference field="16" count="1" selected="0">
            <x v="1"/>
          </reference>
        </references>
      </pivotArea>
    </format>
    <format dxfId="25263">
      <pivotArea dataOnly="0" labelOnly="1" outline="0" fieldPosition="0">
        <references count="5">
          <reference field="3" count="1" selected="0">
            <x v="0"/>
          </reference>
          <reference field="5" count="1" selected="0">
            <x v="2"/>
          </reference>
          <reference field="8" count="1">
            <x v="0"/>
          </reference>
          <reference field="15" count="1" selected="0">
            <x v="4"/>
          </reference>
          <reference field="16" count="1" selected="0">
            <x v="1"/>
          </reference>
        </references>
      </pivotArea>
    </format>
    <format dxfId="25264">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1"/>
          </reference>
        </references>
      </pivotArea>
    </format>
    <format dxfId="25265">
      <pivotArea dataOnly="0" labelOnly="1" outline="0" fieldPosition="0">
        <references count="5">
          <reference field="3" count="1" selected="0">
            <x v="1"/>
          </reference>
          <reference field="5" count="1" selected="0">
            <x v="1"/>
          </reference>
          <reference field="8" count="3">
            <x v="1"/>
            <x v="2"/>
            <x v="3"/>
          </reference>
          <reference field="15" count="1" selected="0">
            <x v="4"/>
          </reference>
          <reference field="16" count="1" selected="0">
            <x v="1"/>
          </reference>
        </references>
      </pivotArea>
    </format>
    <format dxfId="25266">
      <pivotArea dataOnly="0" labelOnly="1" outline="0" fieldPosition="0">
        <references count="5">
          <reference field="3" count="1" selected="0">
            <x v="1"/>
          </reference>
          <reference field="5" count="1" selected="0">
            <x v="2"/>
          </reference>
          <reference field="8" count="4">
            <x v="0"/>
            <x v="1"/>
            <x v="2"/>
            <x v="3"/>
          </reference>
          <reference field="15" count="1" selected="0">
            <x v="4"/>
          </reference>
          <reference field="16" count="1" selected="0">
            <x v="1"/>
          </reference>
        </references>
      </pivotArea>
    </format>
    <format dxfId="25267">
      <pivotArea dataOnly="0" labelOnly="1" outline="0" fieldPosition="0">
        <references count="5">
          <reference field="3" count="1" selected="0">
            <x v="2"/>
          </reference>
          <reference field="5" count="1" selected="0">
            <x v="0"/>
          </reference>
          <reference field="8" count="2">
            <x v="3"/>
            <x v="4"/>
          </reference>
          <reference field="15" count="1" selected="0">
            <x v="4"/>
          </reference>
          <reference field="16" count="1" selected="0">
            <x v="1"/>
          </reference>
        </references>
      </pivotArea>
    </format>
    <format dxfId="25268">
      <pivotArea dataOnly="0" labelOnly="1" outline="0" fieldPosition="0">
        <references count="5">
          <reference field="3" count="1" selected="0">
            <x v="2"/>
          </reference>
          <reference field="5" count="1" selected="0">
            <x v="1"/>
          </reference>
          <reference field="8" count="4">
            <x v="0"/>
            <x v="1"/>
            <x v="3"/>
            <x v="4"/>
          </reference>
          <reference field="15" count="1" selected="0">
            <x v="4"/>
          </reference>
          <reference field="16" count="1" selected="0">
            <x v="1"/>
          </reference>
        </references>
      </pivotArea>
    </format>
    <format dxfId="25269">
      <pivotArea dataOnly="0" labelOnly="1" outline="0" fieldPosition="0">
        <references count="5">
          <reference field="3" count="1" selected="0">
            <x v="2"/>
          </reference>
          <reference field="5" count="1" selected="0">
            <x v="2"/>
          </reference>
          <reference field="8" count="1">
            <x v="0"/>
          </reference>
          <reference field="15" count="1" selected="0">
            <x v="4"/>
          </reference>
          <reference field="16" count="1" selected="0">
            <x v="1"/>
          </reference>
        </references>
      </pivotArea>
    </format>
    <format dxfId="25270">
      <pivotArea dataOnly="0" labelOnly="1" outline="0" fieldPosition="0">
        <references count="5">
          <reference field="3" count="1" selected="0">
            <x v="3"/>
          </reference>
          <reference field="5" count="1" selected="0">
            <x v="0"/>
          </reference>
          <reference field="8" count="3">
            <x v="0"/>
            <x v="1"/>
            <x v="3"/>
          </reference>
          <reference field="15" count="1" selected="0">
            <x v="4"/>
          </reference>
          <reference field="16" count="1" selected="0">
            <x v="1"/>
          </reference>
        </references>
      </pivotArea>
    </format>
    <format dxfId="25271">
      <pivotArea dataOnly="0" labelOnly="1" outline="0" fieldPosition="0">
        <references count="5">
          <reference field="3" count="1" selected="0">
            <x v="3"/>
          </reference>
          <reference field="5" count="1" selected="0">
            <x v="1"/>
          </reference>
          <reference field="8" count="1">
            <x v="3"/>
          </reference>
          <reference field="15" count="1" selected="0">
            <x v="4"/>
          </reference>
          <reference field="16" count="1" selected="0">
            <x v="1"/>
          </reference>
        </references>
      </pivotArea>
    </format>
    <format dxfId="25272">
      <pivotArea dataOnly="0" labelOnly="1" outline="0" fieldPosition="0">
        <references count="5">
          <reference field="3" count="1" selected="0">
            <x v="3"/>
          </reference>
          <reference field="5" count="1" selected="0">
            <x v="2"/>
          </reference>
          <reference field="8" count="1">
            <x v="4"/>
          </reference>
          <reference field="15" count="1" selected="0">
            <x v="4"/>
          </reference>
          <reference field="16" count="1" selected="0">
            <x v="1"/>
          </reference>
        </references>
      </pivotArea>
    </format>
    <format dxfId="25273">
      <pivotArea dataOnly="0" labelOnly="1" outline="0" fieldPosition="0">
        <references count="5">
          <reference field="3" count="1" selected="0">
            <x v="4"/>
          </reference>
          <reference field="5" count="1" selected="0">
            <x v="0"/>
          </reference>
          <reference field="8" count="3">
            <x v="0"/>
            <x v="2"/>
            <x v="3"/>
          </reference>
          <reference field="15" count="1" selected="0">
            <x v="4"/>
          </reference>
          <reference field="16" count="1" selected="0">
            <x v="1"/>
          </reference>
        </references>
      </pivotArea>
    </format>
    <format dxfId="25274">
      <pivotArea dataOnly="0" labelOnly="1" outline="0" fieldPosition="0">
        <references count="5">
          <reference field="3" count="1" selected="0">
            <x v="4"/>
          </reference>
          <reference field="5" count="1" selected="0">
            <x v="1"/>
          </reference>
          <reference field="8" count="2">
            <x v="2"/>
            <x v="4"/>
          </reference>
          <reference field="15" count="1" selected="0">
            <x v="4"/>
          </reference>
          <reference field="16" count="1" selected="0">
            <x v="1"/>
          </reference>
        </references>
      </pivotArea>
    </format>
    <format dxfId="25275">
      <pivotArea dataOnly="0" labelOnly="1" outline="0" fieldPosition="0">
        <references count="5">
          <reference field="3" count="1" selected="0">
            <x v="4"/>
          </reference>
          <reference field="5" count="1" selected="0">
            <x v="2"/>
          </reference>
          <reference field="8" count="1">
            <x v="1"/>
          </reference>
          <reference field="15" count="1" selected="0">
            <x v="4"/>
          </reference>
          <reference field="16" count="1" selected="0">
            <x v="1"/>
          </reference>
        </references>
      </pivotArea>
    </format>
    <format dxfId="25276">
      <pivotArea dataOnly="0" labelOnly="1" outline="0" fieldPosition="0">
        <references count="5">
          <reference field="3" count="1" selected="0">
            <x v="0"/>
          </reference>
          <reference field="5" count="1" selected="0">
            <x v="0"/>
          </reference>
          <reference field="8" count="1">
            <x v="3"/>
          </reference>
          <reference field="15" count="1" selected="0">
            <x v="5"/>
          </reference>
          <reference field="16" count="1" selected="0">
            <x v="1"/>
          </reference>
        </references>
      </pivotArea>
    </format>
    <format dxfId="25277">
      <pivotArea dataOnly="0" labelOnly="1" outline="0" fieldPosition="0">
        <references count="5">
          <reference field="3" count="1" selected="0">
            <x v="0"/>
          </reference>
          <reference field="5" count="1" selected="0">
            <x v="2"/>
          </reference>
          <reference field="8" count="1">
            <x v="2"/>
          </reference>
          <reference field="15" count="1" selected="0">
            <x v="5"/>
          </reference>
          <reference field="16" count="1" selected="0">
            <x v="1"/>
          </reference>
        </references>
      </pivotArea>
    </format>
    <format dxfId="25278">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1"/>
          </reference>
        </references>
      </pivotArea>
    </format>
    <format dxfId="25279">
      <pivotArea dataOnly="0" labelOnly="1" outline="0" fieldPosition="0">
        <references count="5">
          <reference field="3" count="1" selected="0">
            <x v="1"/>
          </reference>
          <reference field="5" count="1" selected="0">
            <x v="1"/>
          </reference>
          <reference field="8" count="0"/>
          <reference field="15" count="1" selected="0">
            <x v="5"/>
          </reference>
          <reference field="16" count="1" selected="0">
            <x v="1"/>
          </reference>
        </references>
      </pivotArea>
    </format>
    <format dxfId="25280">
      <pivotArea dataOnly="0" labelOnly="1" outline="0" fieldPosition="0">
        <references count="5">
          <reference field="3" count="1" selected="0">
            <x v="1"/>
          </reference>
          <reference field="5" count="1" selected="0">
            <x v="2"/>
          </reference>
          <reference field="8" count="3">
            <x v="1"/>
            <x v="2"/>
            <x v="3"/>
          </reference>
          <reference field="15" count="1" selected="0">
            <x v="5"/>
          </reference>
          <reference field="16" count="1" selected="0">
            <x v="1"/>
          </reference>
        </references>
      </pivotArea>
    </format>
    <format dxfId="25281">
      <pivotArea dataOnly="0" labelOnly="1" outline="0" fieldPosition="0">
        <references count="5">
          <reference field="3" count="1" selected="0">
            <x v="1"/>
          </reference>
          <reference field="5" count="1" selected="0">
            <x v="3"/>
          </reference>
          <reference field="8" count="1">
            <x v="2"/>
          </reference>
          <reference field="15" count="1" selected="0">
            <x v="5"/>
          </reference>
          <reference field="16" count="1" selected="0">
            <x v="1"/>
          </reference>
        </references>
      </pivotArea>
    </format>
    <format dxfId="25282">
      <pivotArea dataOnly="0" labelOnly="1" outline="0" fieldPosition="0">
        <references count="5">
          <reference field="3" count="1" selected="0">
            <x v="2"/>
          </reference>
          <reference field="5" count="1" selected="0">
            <x v="0"/>
          </reference>
          <reference field="8" count="3">
            <x v="1"/>
            <x v="2"/>
            <x v="3"/>
          </reference>
          <reference field="15" count="1" selected="0">
            <x v="5"/>
          </reference>
          <reference field="16" count="1" selected="0">
            <x v="1"/>
          </reference>
        </references>
      </pivotArea>
    </format>
    <format dxfId="25283">
      <pivotArea dataOnly="0" labelOnly="1" outline="0" fieldPosition="0">
        <references count="5">
          <reference field="3" count="1" selected="0">
            <x v="2"/>
          </reference>
          <reference field="5" count="1" selected="0">
            <x v="1"/>
          </reference>
          <reference field="8" count="1">
            <x v="1"/>
          </reference>
          <reference field="15" count="1" selected="0">
            <x v="5"/>
          </reference>
          <reference field="16" count="1" selected="0">
            <x v="1"/>
          </reference>
        </references>
      </pivotArea>
    </format>
    <format dxfId="25284">
      <pivotArea dataOnly="0" labelOnly="1" outline="0" fieldPosition="0">
        <references count="5">
          <reference field="3" count="1" selected="0">
            <x v="2"/>
          </reference>
          <reference field="5" count="1" selected="0">
            <x v="2"/>
          </reference>
          <reference field="8" count="1">
            <x v="1"/>
          </reference>
          <reference field="15" count="1" selected="0">
            <x v="5"/>
          </reference>
          <reference field="16" count="1" selected="0">
            <x v="1"/>
          </reference>
        </references>
      </pivotArea>
    </format>
    <format dxfId="25285">
      <pivotArea dataOnly="0" labelOnly="1" outline="0" fieldPosition="0">
        <references count="5">
          <reference field="3" count="1" selected="0">
            <x v="3"/>
          </reference>
          <reference field="5" count="1" selected="0">
            <x v="0"/>
          </reference>
          <reference field="8" count="1">
            <x v="4"/>
          </reference>
          <reference field="15" count="1" selected="0">
            <x v="5"/>
          </reference>
          <reference field="16" count="1" selected="0">
            <x v="1"/>
          </reference>
        </references>
      </pivotArea>
    </format>
    <format dxfId="25286">
      <pivotArea dataOnly="0" labelOnly="1" outline="0" fieldPosition="0">
        <references count="5">
          <reference field="3" count="1" selected="0">
            <x v="3"/>
          </reference>
          <reference field="5" count="1" selected="0">
            <x v="2"/>
          </reference>
          <reference field="8" count="1">
            <x v="4"/>
          </reference>
          <reference field="15" count="1" selected="0">
            <x v="5"/>
          </reference>
          <reference field="16" count="1" selected="0">
            <x v="1"/>
          </reference>
        </references>
      </pivotArea>
    </format>
    <format dxfId="25287">
      <pivotArea dataOnly="0" labelOnly="1" outline="0" fieldPosition="0">
        <references count="5">
          <reference field="3" count="1" selected="0">
            <x v="4"/>
          </reference>
          <reference field="5" count="1" selected="0">
            <x v="0"/>
          </reference>
          <reference field="8" count="4">
            <x v="0"/>
            <x v="2"/>
            <x v="3"/>
            <x v="4"/>
          </reference>
          <reference field="15" count="1" selected="0">
            <x v="5"/>
          </reference>
          <reference field="16" count="1" selected="0">
            <x v="1"/>
          </reference>
        </references>
      </pivotArea>
    </format>
    <format dxfId="25288">
      <pivotArea dataOnly="0" labelOnly="1" outline="0" fieldPosition="0">
        <references count="5">
          <reference field="3" count="1" selected="0">
            <x v="4"/>
          </reference>
          <reference field="5" count="1" selected="0">
            <x v="1"/>
          </reference>
          <reference field="8" count="2">
            <x v="2"/>
            <x v="3"/>
          </reference>
          <reference field="15" count="1" selected="0">
            <x v="5"/>
          </reference>
          <reference field="16" count="1" selected="0">
            <x v="1"/>
          </reference>
        </references>
      </pivotArea>
    </format>
    <format dxfId="25289">
      <pivotArea dataOnly="0" labelOnly="1" outline="0" fieldPosition="0">
        <references count="5">
          <reference field="3" count="1" selected="0">
            <x v="0"/>
          </reference>
          <reference field="5" count="1" selected="0">
            <x v="0"/>
          </reference>
          <reference field="8" count="3">
            <x v="0"/>
            <x v="2"/>
            <x v="4"/>
          </reference>
          <reference field="15" count="1" selected="0">
            <x v="6"/>
          </reference>
          <reference field="16" count="1" selected="0">
            <x v="1"/>
          </reference>
        </references>
      </pivotArea>
    </format>
    <format dxfId="25290">
      <pivotArea dataOnly="0" labelOnly="1" outline="0" fieldPosition="0">
        <references count="5">
          <reference field="3" count="1" selected="0">
            <x v="0"/>
          </reference>
          <reference field="5" count="1" selected="0">
            <x v="1"/>
          </reference>
          <reference field="8" count="1">
            <x v="3"/>
          </reference>
          <reference field="15" count="1" selected="0">
            <x v="6"/>
          </reference>
          <reference field="16" count="1" selected="0">
            <x v="1"/>
          </reference>
        </references>
      </pivotArea>
    </format>
    <format dxfId="25291">
      <pivotArea dataOnly="0" labelOnly="1" outline="0" fieldPosition="0">
        <references count="5">
          <reference field="3" count="1" selected="0">
            <x v="0"/>
          </reference>
          <reference field="5" count="1" selected="0">
            <x v="2"/>
          </reference>
          <reference field="8" count="1">
            <x v="4"/>
          </reference>
          <reference field="15" count="1" selected="0">
            <x v="6"/>
          </reference>
          <reference field="16" count="1" selected="0">
            <x v="1"/>
          </reference>
        </references>
      </pivotArea>
    </format>
    <format dxfId="25292">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1"/>
          </reference>
        </references>
      </pivotArea>
    </format>
    <format dxfId="25293">
      <pivotArea dataOnly="0" labelOnly="1" outline="0" fieldPosition="0">
        <references count="5">
          <reference field="3" count="1" selected="0">
            <x v="1"/>
          </reference>
          <reference field="5" count="1" selected="0">
            <x v="1"/>
          </reference>
          <reference field="8" count="1">
            <x v="4"/>
          </reference>
          <reference field="15" count="1" selected="0">
            <x v="6"/>
          </reference>
          <reference field="16" count="1" selected="0">
            <x v="1"/>
          </reference>
        </references>
      </pivotArea>
    </format>
    <format dxfId="25294">
      <pivotArea dataOnly="0" labelOnly="1" outline="0" fieldPosition="0">
        <references count="5">
          <reference field="3" count="1" selected="0">
            <x v="1"/>
          </reference>
          <reference field="5" count="1" selected="0">
            <x v="2"/>
          </reference>
          <reference field="8" count="2">
            <x v="1"/>
            <x v="2"/>
          </reference>
          <reference field="15" count="1" selected="0">
            <x v="6"/>
          </reference>
          <reference field="16" count="1" selected="0">
            <x v="1"/>
          </reference>
        </references>
      </pivotArea>
    </format>
    <format dxfId="25295">
      <pivotArea dataOnly="0" labelOnly="1" outline="0" fieldPosition="0">
        <references count="5">
          <reference field="3" count="1" selected="0">
            <x v="1"/>
          </reference>
          <reference field="5" count="1" selected="0">
            <x v="3"/>
          </reference>
          <reference field="8" count="1">
            <x v="0"/>
          </reference>
          <reference field="15" count="1" selected="0">
            <x v="6"/>
          </reference>
          <reference field="16" count="1" selected="0">
            <x v="1"/>
          </reference>
        </references>
      </pivotArea>
    </format>
    <format dxfId="25296">
      <pivotArea dataOnly="0" labelOnly="1" outline="0" fieldPosition="0">
        <references count="5">
          <reference field="3" count="1" selected="0">
            <x v="2"/>
          </reference>
          <reference field="5" count="1" selected="0">
            <x v="0"/>
          </reference>
          <reference field="8" count="2">
            <x v="1"/>
            <x v="4"/>
          </reference>
          <reference field="15" count="1" selected="0">
            <x v="6"/>
          </reference>
          <reference field="16" count="1" selected="0">
            <x v="1"/>
          </reference>
        </references>
      </pivotArea>
    </format>
    <format dxfId="25297">
      <pivotArea dataOnly="0" labelOnly="1" outline="0" fieldPosition="0">
        <references count="5">
          <reference field="3" count="1" selected="0">
            <x v="2"/>
          </reference>
          <reference field="5" count="1" selected="0">
            <x v="1"/>
          </reference>
          <reference field="8" count="1">
            <x v="1"/>
          </reference>
          <reference field="15" count="1" selected="0">
            <x v="6"/>
          </reference>
          <reference field="16" count="1" selected="0">
            <x v="1"/>
          </reference>
        </references>
      </pivotArea>
    </format>
    <format dxfId="25298">
      <pivotArea dataOnly="0" labelOnly="1" outline="0" fieldPosition="0">
        <references count="5">
          <reference field="3" count="1" selected="0">
            <x v="2"/>
          </reference>
          <reference field="5" count="1" selected="0">
            <x v="3"/>
          </reference>
          <reference field="8" count="1">
            <x v="0"/>
          </reference>
          <reference field="15" count="1" selected="0">
            <x v="6"/>
          </reference>
          <reference field="16" count="1" selected="0">
            <x v="1"/>
          </reference>
        </references>
      </pivotArea>
    </format>
    <format dxfId="25299">
      <pivotArea dataOnly="0" labelOnly="1" outline="0" fieldPosition="0">
        <references count="5">
          <reference field="3" count="1" selected="0">
            <x v="3"/>
          </reference>
          <reference field="5" count="1" selected="0">
            <x v="0"/>
          </reference>
          <reference field="8" count="1">
            <x v="3"/>
          </reference>
          <reference field="15" count="1" selected="0">
            <x v="6"/>
          </reference>
          <reference field="16" count="1" selected="0">
            <x v="1"/>
          </reference>
        </references>
      </pivotArea>
    </format>
    <format dxfId="25300">
      <pivotArea dataOnly="0" labelOnly="1" outline="0" fieldPosition="0">
        <references count="5">
          <reference field="3" count="1" selected="0">
            <x v="3"/>
          </reference>
          <reference field="5" count="1" selected="0">
            <x v="1"/>
          </reference>
          <reference field="8" count="1">
            <x v="3"/>
          </reference>
          <reference field="15" count="1" selected="0">
            <x v="6"/>
          </reference>
          <reference field="16" count="1" selected="0">
            <x v="1"/>
          </reference>
        </references>
      </pivotArea>
    </format>
    <format dxfId="25301">
      <pivotArea dataOnly="0" labelOnly="1" outline="0" fieldPosition="0">
        <references count="5">
          <reference field="3" count="1" selected="0">
            <x v="3"/>
          </reference>
          <reference field="5" count="1" selected="0">
            <x v="2"/>
          </reference>
          <reference field="8" count="1">
            <x v="0"/>
          </reference>
          <reference field="15" count="1" selected="0">
            <x v="6"/>
          </reference>
          <reference field="16" count="1" selected="0">
            <x v="1"/>
          </reference>
        </references>
      </pivotArea>
    </format>
    <format dxfId="25302">
      <pivotArea dataOnly="0" labelOnly="1" outline="0" fieldPosition="0">
        <references count="5">
          <reference field="3" count="1" selected="0">
            <x v="4"/>
          </reference>
          <reference field="5" count="1" selected="0">
            <x v="0"/>
          </reference>
          <reference field="8" count="3">
            <x v="0"/>
            <x v="1"/>
            <x v="4"/>
          </reference>
          <reference field="15" count="1" selected="0">
            <x v="6"/>
          </reference>
          <reference field="16" count="1" selected="0">
            <x v="1"/>
          </reference>
        </references>
      </pivotArea>
    </format>
    <format dxfId="25303">
      <pivotArea dataOnly="0" labelOnly="1" outline="0" fieldPosition="0">
        <references count="5">
          <reference field="3" count="1" selected="0">
            <x v="4"/>
          </reference>
          <reference field="5" count="1" selected="0">
            <x v="1"/>
          </reference>
          <reference field="8" count="1">
            <x v="4"/>
          </reference>
          <reference field="15" count="1" selected="0">
            <x v="6"/>
          </reference>
          <reference field="16" count="1" selected="0">
            <x v="1"/>
          </reference>
        </references>
      </pivotArea>
    </format>
    <format dxfId="25304">
      <pivotArea dataOnly="0" labelOnly="1" outline="0" fieldPosition="0">
        <references count="5">
          <reference field="3" count="1" selected="0">
            <x v="0"/>
          </reference>
          <reference field="5" count="1" selected="0">
            <x v="0"/>
          </reference>
          <reference field="8" count="2">
            <x v="2"/>
            <x v="3"/>
          </reference>
          <reference field="15" count="1" selected="0">
            <x v="7"/>
          </reference>
          <reference field="16" count="1" selected="0">
            <x v="1"/>
          </reference>
        </references>
      </pivotArea>
    </format>
    <format dxfId="25305">
      <pivotArea dataOnly="0" labelOnly="1" outline="0" fieldPosition="0">
        <references count="5">
          <reference field="3" count="1" selected="0">
            <x v="0"/>
          </reference>
          <reference field="5" count="1" selected="0">
            <x v="1"/>
          </reference>
          <reference field="8" count="2">
            <x v="2"/>
            <x v="4"/>
          </reference>
          <reference field="15" count="1" selected="0">
            <x v="7"/>
          </reference>
          <reference field="16" count="1" selected="0">
            <x v="1"/>
          </reference>
        </references>
      </pivotArea>
    </format>
    <format dxfId="25306">
      <pivotArea dataOnly="0" labelOnly="1" outline="0" fieldPosition="0">
        <references count="5">
          <reference field="3" count="1" selected="0">
            <x v="0"/>
          </reference>
          <reference field="5" count="1" selected="0">
            <x v="2"/>
          </reference>
          <reference field="8" count="1">
            <x v="4"/>
          </reference>
          <reference field="15" count="1" selected="0">
            <x v="7"/>
          </reference>
          <reference field="16" count="1" selected="0">
            <x v="1"/>
          </reference>
        </references>
      </pivotArea>
    </format>
    <format dxfId="25307">
      <pivotArea dataOnly="0" labelOnly="1" outline="0" fieldPosition="0">
        <references count="5">
          <reference field="3" count="1" selected="0">
            <x v="1"/>
          </reference>
          <reference field="5" count="1" selected="0">
            <x v="0"/>
          </reference>
          <reference field="8" count="4">
            <x v="0"/>
            <x v="1"/>
            <x v="2"/>
            <x v="3"/>
          </reference>
          <reference field="15" count="1" selected="0">
            <x v="7"/>
          </reference>
          <reference field="16" count="1" selected="0">
            <x v="1"/>
          </reference>
        </references>
      </pivotArea>
    </format>
    <format dxfId="25308">
      <pivotArea dataOnly="0" labelOnly="1" outline="0" fieldPosition="0">
        <references count="5">
          <reference field="3" count="1" selected="0">
            <x v="1"/>
          </reference>
          <reference field="5" count="1" selected="0">
            <x v="1"/>
          </reference>
          <reference field="8" count="3">
            <x v="0"/>
            <x v="1"/>
            <x v="2"/>
          </reference>
          <reference field="15" count="1" selected="0">
            <x v="7"/>
          </reference>
          <reference field="16" count="1" selected="0">
            <x v="1"/>
          </reference>
        </references>
      </pivotArea>
    </format>
    <format dxfId="25309">
      <pivotArea dataOnly="0" labelOnly="1" outline="0" fieldPosition="0">
        <references count="5">
          <reference field="3" count="1" selected="0">
            <x v="1"/>
          </reference>
          <reference field="5" count="1" selected="0">
            <x v="2"/>
          </reference>
          <reference field="8" count="1">
            <x v="1"/>
          </reference>
          <reference field="15" count="1" selected="0">
            <x v="7"/>
          </reference>
          <reference field="16" count="1" selected="0">
            <x v="1"/>
          </reference>
        </references>
      </pivotArea>
    </format>
    <format dxfId="25310">
      <pivotArea dataOnly="0" labelOnly="1" outline="0" fieldPosition="0">
        <references count="5">
          <reference field="3" count="1" selected="0">
            <x v="1"/>
          </reference>
          <reference field="5" count="1" selected="0">
            <x v="3"/>
          </reference>
          <reference field="8" count="3">
            <x v="1"/>
            <x v="2"/>
            <x v="4"/>
          </reference>
          <reference field="15" count="1" selected="0">
            <x v="7"/>
          </reference>
          <reference field="16" count="1" selected="0">
            <x v="1"/>
          </reference>
        </references>
      </pivotArea>
    </format>
    <format dxfId="25311">
      <pivotArea dataOnly="0" labelOnly="1" outline="0" fieldPosition="0">
        <references count="5">
          <reference field="3" count="1" selected="0">
            <x v="2"/>
          </reference>
          <reference field="5" count="1" selected="0">
            <x v="0"/>
          </reference>
          <reference field="8" count="3">
            <x v="1"/>
            <x v="2"/>
            <x v="4"/>
          </reference>
          <reference field="15" count="1" selected="0">
            <x v="7"/>
          </reference>
          <reference field="16" count="1" selected="0">
            <x v="1"/>
          </reference>
        </references>
      </pivotArea>
    </format>
    <format dxfId="25312">
      <pivotArea dataOnly="0" labelOnly="1" outline="0" fieldPosition="0">
        <references count="5">
          <reference field="3" count="1" selected="0">
            <x v="2"/>
          </reference>
          <reference field="5" count="1" selected="0">
            <x v="1"/>
          </reference>
          <reference field="8" count="1">
            <x v="1"/>
          </reference>
          <reference field="15" count="1" selected="0">
            <x v="7"/>
          </reference>
          <reference field="16" count="1" selected="0">
            <x v="1"/>
          </reference>
        </references>
      </pivotArea>
    </format>
    <format dxfId="25313">
      <pivotArea dataOnly="0" labelOnly="1" outline="0" fieldPosition="0">
        <references count="5">
          <reference field="3" count="1" selected="0">
            <x v="2"/>
          </reference>
          <reference field="5" count="1" selected="0">
            <x v="2"/>
          </reference>
          <reference field="8" count="1">
            <x v="4"/>
          </reference>
          <reference field="15" count="1" selected="0">
            <x v="7"/>
          </reference>
          <reference field="16" count="1" selected="0">
            <x v="1"/>
          </reference>
        </references>
      </pivotArea>
    </format>
    <format dxfId="25314">
      <pivotArea dataOnly="0" labelOnly="1" outline="0" fieldPosition="0">
        <references count="5">
          <reference field="3" count="1" selected="0">
            <x v="3"/>
          </reference>
          <reference field="5" count="1" selected="0">
            <x v="0"/>
          </reference>
          <reference field="8" count="1">
            <x v="3"/>
          </reference>
          <reference field="15" count="1" selected="0">
            <x v="7"/>
          </reference>
          <reference field="16" count="1" selected="0">
            <x v="1"/>
          </reference>
        </references>
      </pivotArea>
    </format>
    <format dxfId="25315">
      <pivotArea dataOnly="0" labelOnly="1" outline="0" fieldPosition="0">
        <references count="5">
          <reference field="3" count="1" selected="0">
            <x v="3"/>
          </reference>
          <reference field="5" count="1" selected="0">
            <x v="2"/>
          </reference>
          <reference field="8" count="1">
            <x v="0"/>
          </reference>
          <reference field="15" count="1" selected="0">
            <x v="7"/>
          </reference>
          <reference field="16" count="1" selected="0">
            <x v="1"/>
          </reference>
        </references>
      </pivotArea>
    </format>
    <format dxfId="25316">
      <pivotArea dataOnly="0" labelOnly="1" outline="0" fieldPosition="0">
        <references count="5">
          <reference field="3" count="1" selected="0">
            <x v="4"/>
          </reference>
          <reference field="5" count="1" selected="0">
            <x v="0"/>
          </reference>
          <reference field="8" count="0"/>
          <reference field="15" count="1" selected="0">
            <x v="7"/>
          </reference>
          <reference field="16" count="1" selected="0">
            <x v="1"/>
          </reference>
        </references>
      </pivotArea>
    </format>
    <format dxfId="25317">
      <pivotArea dataOnly="0" labelOnly="1" outline="0" fieldPosition="0">
        <references count="5">
          <reference field="3" count="1" selected="0">
            <x v="4"/>
          </reference>
          <reference field="5" count="1" selected="0">
            <x v="2"/>
          </reference>
          <reference field="8" count="1">
            <x v="0"/>
          </reference>
          <reference field="15" count="1" selected="0">
            <x v="7"/>
          </reference>
          <reference field="16" count="1" selected="0">
            <x v="1"/>
          </reference>
        </references>
      </pivotArea>
    </format>
    <format dxfId="25318">
      <pivotArea dataOnly="0" labelOnly="1" outline="0" fieldPosition="0">
        <references count="5">
          <reference field="3" count="1" selected="0">
            <x v="0"/>
          </reference>
          <reference field="5" count="1" selected="0">
            <x v="0"/>
          </reference>
          <reference field="8" count="3">
            <x v="0"/>
            <x v="2"/>
            <x v="4"/>
          </reference>
          <reference field="15" count="1" selected="0">
            <x v="8"/>
          </reference>
          <reference field="16" count="1" selected="0">
            <x v="1"/>
          </reference>
        </references>
      </pivotArea>
    </format>
    <format dxfId="25319">
      <pivotArea dataOnly="0" labelOnly="1" outline="0" fieldPosition="0">
        <references count="5">
          <reference field="3" count="1" selected="0">
            <x v="1"/>
          </reference>
          <reference field="5" count="1" selected="0">
            <x v="0"/>
          </reference>
          <reference field="8" count="0"/>
          <reference field="15" count="1" selected="0">
            <x v="8"/>
          </reference>
          <reference field="16" count="1" selected="0">
            <x v="1"/>
          </reference>
        </references>
      </pivotArea>
    </format>
    <format dxfId="25320">
      <pivotArea dataOnly="0" labelOnly="1" outline="0" fieldPosition="0">
        <references count="5">
          <reference field="3" count="1" selected="0">
            <x v="1"/>
          </reference>
          <reference field="5" count="1" selected="0">
            <x v="1"/>
          </reference>
          <reference field="8" count="2">
            <x v="0"/>
            <x v="2"/>
          </reference>
          <reference field="15" count="1" selected="0">
            <x v="8"/>
          </reference>
          <reference field="16" count="1" selected="0">
            <x v="1"/>
          </reference>
        </references>
      </pivotArea>
    </format>
    <format dxfId="25321">
      <pivotArea dataOnly="0" labelOnly="1" outline="0" fieldPosition="0">
        <references count="5">
          <reference field="3" count="1" selected="0">
            <x v="1"/>
          </reference>
          <reference field="5" count="1" selected="0">
            <x v="2"/>
          </reference>
          <reference field="8" count="1">
            <x v="2"/>
          </reference>
          <reference field="15" count="1" selected="0">
            <x v="8"/>
          </reference>
          <reference field="16" count="1" selected="0">
            <x v="1"/>
          </reference>
        </references>
      </pivotArea>
    </format>
    <format dxfId="25322">
      <pivotArea dataOnly="0" labelOnly="1" outline="0" fieldPosition="0">
        <references count="5">
          <reference field="3" count="1" selected="0">
            <x v="2"/>
          </reference>
          <reference field="5" count="1" selected="0">
            <x v="0"/>
          </reference>
          <reference field="8" count="4">
            <x v="1"/>
            <x v="2"/>
            <x v="3"/>
            <x v="4"/>
          </reference>
          <reference field="15" count="1" selected="0">
            <x v="8"/>
          </reference>
          <reference field="16" count="1" selected="0">
            <x v="1"/>
          </reference>
        </references>
      </pivotArea>
    </format>
    <format dxfId="25323">
      <pivotArea dataOnly="0" labelOnly="1" outline="0" fieldPosition="0">
        <references count="5">
          <reference field="3" count="1" selected="0">
            <x v="2"/>
          </reference>
          <reference field="5" count="1" selected="0">
            <x v="1"/>
          </reference>
          <reference field="8" count="2">
            <x v="1"/>
            <x v="2"/>
          </reference>
          <reference field="15" count="1" selected="0">
            <x v="8"/>
          </reference>
          <reference field="16" count="1" selected="0">
            <x v="1"/>
          </reference>
        </references>
      </pivotArea>
    </format>
    <format dxfId="25324">
      <pivotArea dataOnly="0" labelOnly="1" outline="0" fieldPosition="0">
        <references count="5">
          <reference field="3" count="1" selected="0">
            <x v="2"/>
          </reference>
          <reference field="5" count="1" selected="0">
            <x v="2"/>
          </reference>
          <reference field="8" count="2">
            <x v="1"/>
            <x v="2"/>
          </reference>
          <reference field="15" count="1" selected="0">
            <x v="8"/>
          </reference>
          <reference field="16" count="1" selected="0">
            <x v="1"/>
          </reference>
        </references>
      </pivotArea>
    </format>
    <format dxfId="25325">
      <pivotArea dataOnly="0" labelOnly="1" outline="0" fieldPosition="0">
        <references count="5">
          <reference field="3" count="1" selected="0">
            <x v="3"/>
          </reference>
          <reference field="5" count="1" selected="0">
            <x v="0"/>
          </reference>
          <reference field="8" count="4">
            <x v="0"/>
            <x v="1"/>
            <x v="2"/>
            <x v="3"/>
          </reference>
          <reference field="15" count="1" selected="0">
            <x v="8"/>
          </reference>
          <reference field="16" count="1" selected="0">
            <x v="1"/>
          </reference>
        </references>
      </pivotArea>
    </format>
    <format dxfId="25326">
      <pivotArea dataOnly="0" labelOnly="1" outline="0" fieldPosition="0">
        <references count="5">
          <reference field="3" count="1" selected="0">
            <x v="3"/>
          </reference>
          <reference field="5" count="1" selected="0">
            <x v="2"/>
          </reference>
          <reference field="8" count="1">
            <x v="4"/>
          </reference>
          <reference field="15" count="1" selected="0">
            <x v="8"/>
          </reference>
          <reference field="16" count="1" selected="0">
            <x v="1"/>
          </reference>
        </references>
      </pivotArea>
    </format>
    <format dxfId="25327">
      <pivotArea dataOnly="0" labelOnly="1" outline="0" fieldPosition="0">
        <references count="5">
          <reference field="3" count="1" selected="0">
            <x v="4"/>
          </reference>
          <reference field="5" count="1" selected="0">
            <x v="0"/>
          </reference>
          <reference field="8" count="3">
            <x v="2"/>
            <x v="3"/>
            <x v="4"/>
          </reference>
          <reference field="15" count="1" selected="0">
            <x v="8"/>
          </reference>
          <reference field="16" count="1" selected="0">
            <x v="1"/>
          </reference>
        </references>
      </pivotArea>
    </format>
    <format dxfId="25328">
      <pivotArea dataOnly="0" labelOnly="1" outline="0" fieldPosition="0">
        <references count="5">
          <reference field="3" count="1" selected="0">
            <x v="4"/>
          </reference>
          <reference field="5" count="1" selected="0">
            <x v="1"/>
          </reference>
          <reference field="8" count="2">
            <x v="1"/>
            <x v="3"/>
          </reference>
          <reference field="15" count="1" selected="0">
            <x v="8"/>
          </reference>
          <reference field="16" count="1" selected="0">
            <x v="1"/>
          </reference>
        </references>
      </pivotArea>
    </format>
    <format dxfId="25329">
      <pivotArea dataOnly="0" labelOnly="1" outline="0" fieldPosition="0">
        <references count="5">
          <reference field="3" count="1" selected="0">
            <x v="4"/>
          </reference>
          <reference field="5" count="1" selected="0">
            <x v="2"/>
          </reference>
          <reference field="8" count="1">
            <x v="1"/>
          </reference>
          <reference field="15" count="1" selected="0">
            <x v="8"/>
          </reference>
          <reference field="16" count="1" selected="0">
            <x v="1"/>
          </reference>
        </references>
      </pivotArea>
    </format>
    <format dxfId="25330">
      <pivotArea dataOnly="0" labelOnly="1" outline="0" fieldPosition="0">
        <references count="5">
          <reference field="3" count="1" selected="0">
            <x v="4"/>
          </reference>
          <reference field="5" count="1" selected="0">
            <x v="3"/>
          </reference>
          <reference field="8" count="1">
            <x v="1"/>
          </reference>
          <reference field="15" count="1" selected="0">
            <x v="8"/>
          </reference>
          <reference field="16" count="1" selected="0">
            <x v="1"/>
          </reference>
        </references>
      </pivotArea>
    </format>
    <format dxfId="25331">
      <pivotArea dataOnly="0" labelOnly="1" outline="0" fieldPosition="0">
        <references count="5">
          <reference field="3" count="1" selected="0">
            <x v="0"/>
          </reference>
          <reference field="5" count="1" selected="0">
            <x v="1"/>
          </reference>
          <reference field="8" count="1">
            <x v="4"/>
          </reference>
          <reference field="15" count="1" selected="0">
            <x v="9"/>
          </reference>
          <reference field="16" count="1" selected="0">
            <x v="1"/>
          </reference>
        </references>
      </pivotArea>
    </format>
    <format dxfId="25332">
      <pivotArea dataOnly="0" labelOnly="1" outline="0" fieldPosition="0">
        <references count="5">
          <reference field="3" count="1" selected="0">
            <x v="1"/>
          </reference>
          <reference field="5" count="1" selected="0">
            <x v="0"/>
          </reference>
          <reference field="8" count="3">
            <x v="0"/>
            <x v="1"/>
            <x v="2"/>
          </reference>
          <reference field="15" count="1" selected="0">
            <x v="9"/>
          </reference>
          <reference field="16" count="1" selected="0">
            <x v="1"/>
          </reference>
        </references>
      </pivotArea>
    </format>
    <format dxfId="25333">
      <pivotArea dataOnly="0" labelOnly="1" outline="0" fieldPosition="0">
        <references count="5">
          <reference field="3" count="1" selected="0">
            <x v="1"/>
          </reference>
          <reference field="5" count="1" selected="0">
            <x v="1"/>
          </reference>
          <reference field="8" count="3">
            <x v="0"/>
            <x v="1"/>
            <x v="2"/>
          </reference>
          <reference field="15" count="1" selected="0">
            <x v="9"/>
          </reference>
          <reference field="16" count="1" selected="0">
            <x v="1"/>
          </reference>
        </references>
      </pivotArea>
    </format>
    <format dxfId="25334">
      <pivotArea dataOnly="0" labelOnly="1" outline="0" fieldPosition="0">
        <references count="5">
          <reference field="3" count="1" selected="0">
            <x v="1"/>
          </reference>
          <reference field="5" count="1" selected="0">
            <x v="2"/>
          </reference>
          <reference field="8" count="2">
            <x v="2"/>
            <x v="3"/>
          </reference>
          <reference field="15" count="1" selected="0">
            <x v="9"/>
          </reference>
          <reference field="16" count="1" selected="0">
            <x v="1"/>
          </reference>
        </references>
      </pivotArea>
    </format>
    <format dxfId="25335">
      <pivotArea dataOnly="0" labelOnly="1" outline="0" fieldPosition="0">
        <references count="5">
          <reference field="3" count="1" selected="0">
            <x v="2"/>
          </reference>
          <reference field="5" count="1" selected="0">
            <x v="0"/>
          </reference>
          <reference field="8" count="4">
            <x v="1"/>
            <x v="2"/>
            <x v="3"/>
            <x v="4"/>
          </reference>
          <reference field="15" count="1" selected="0">
            <x v="9"/>
          </reference>
          <reference field="16" count="1" selected="0">
            <x v="1"/>
          </reference>
        </references>
      </pivotArea>
    </format>
    <format dxfId="25336">
      <pivotArea dataOnly="0" labelOnly="1" outline="0" fieldPosition="0">
        <references count="5">
          <reference field="3" count="1" selected="0">
            <x v="2"/>
          </reference>
          <reference field="5" count="1" selected="0">
            <x v="1"/>
          </reference>
          <reference field="8" count="4">
            <x v="0"/>
            <x v="2"/>
            <x v="3"/>
            <x v="4"/>
          </reference>
          <reference field="15" count="1" selected="0">
            <x v="9"/>
          </reference>
          <reference field="16" count="1" selected="0">
            <x v="1"/>
          </reference>
        </references>
      </pivotArea>
    </format>
    <format dxfId="25337">
      <pivotArea dataOnly="0" labelOnly="1" outline="0" fieldPosition="0">
        <references count="5">
          <reference field="3" count="1" selected="0">
            <x v="2"/>
          </reference>
          <reference field="5" count="1" selected="0">
            <x v="3"/>
          </reference>
          <reference field="8" count="2">
            <x v="0"/>
            <x v="2"/>
          </reference>
          <reference field="15" count="1" selected="0">
            <x v="9"/>
          </reference>
          <reference field="16" count="1" selected="0">
            <x v="1"/>
          </reference>
        </references>
      </pivotArea>
    </format>
    <format dxfId="25338">
      <pivotArea dataOnly="0" labelOnly="1" outline="0" fieldPosition="0">
        <references count="5">
          <reference field="3" count="1" selected="0">
            <x v="3"/>
          </reference>
          <reference field="5" count="1" selected="0">
            <x v="0"/>
          </reference>
          <reference field="8" count="1">
            <x v="2"/>
          </reference>
          <reference field="15" count="1" selected="0">
            <x v="9"/>
          </reference>
          <reference field="16" count="1" selected="0">
            <x v="1"/>
          </reference>
        </references>
      </pivotArea>
    </format>
    <format dxfId="25339">
      <pivotArea dataOnly="0" labelOnly="1" outline="0" fieldPosition="0">
        <references count="5">
          <reference field="3" count="1" selected="0">
            <x v="3"/>
          </reference>
          <reference field="5" count="1" selected="0">
            <x v="1"/>
          </reference>
          <reference field="8" count="1">
            <x v="3"/>
          </reference>
          <reference field="15" count="1" selected="0">
            <x v="9"/>
          </reference>
          <reference field="16" count="1" selected="0">
            <x v="1"/>
          </reference>
        </references>
      </pivotArea>
    </format>
    <format dxfId="25340">
      <pivotArea dataOnly="0" labelOnly="1" outline="0" fieldPosition="0">
        <references count="5">
          <reference field="3" count="1" selected="0">
            <x v="4"/>
          </reference>
          <reference field="5" count="1" selected="0">
            <x v="0"/>
          </reference>
          <reference field="8" count="4">
            <x v="1"/>
            <x v="2"/>
            <x v="3"/>
            <x v="4"/>
          </reference>
          <reference field="15" count="1" selected="0">
            <x v="9"/>
          </reference>
          <reference field="16" count="1" selected="0">
            <x v="1"/>
          </reference>
        </references>
      </pivotArea>
    </format>
    <format dxfId="25341">
      <pivotArea dataOnly="0" labelOnly="1" outline="0" fieldPosition="0">
        <references count="5">
          <reference field="3" count="1" selected="0">
            <x v="4"/>
          </reference>
          <reference field="5" count="1" selected="0">
            <x v="1"/>
          </reference>
          <reference field="8" count="1">
            <x v="0"/>
          </reference>
          <reference field="15" count="1" selected="0">
            <x v="9"/>
          </reference>
          <reference field="16" count="1" selected="0">
            <x v="1"/>
          </reference>
        </references>
      </pivotArea>
    </format>
    <format dxfId="25342">
      <pivotArea dataOnly="0" labelOnly="1" outline="0" fieldPosition="0">
        <references count="5">
          <reference field="3" count="1" selected="0">
            <x v="4"/>
          </reference>
          <reference field="5" count="1" selected="0">
            <x v="2"/>
          </reference>
          <reference field="8" count="1">
            <x v="0"/>
          </reference>
          <reference field="15" count="1" selected="0">
            <x v="9"/>
          </reference>
          <reference field="16" count="1" selected="0">
            <x v="1"/>
          </reference>
        </references>
      </pivotArea>
    </format>
    <format dxfId="25343">
      <pivotArea dataOnly="0" labelOnly="1" outline="0" fieldPosition="0">
        <references count="5">
          <reference field="3" count="1" selected="0">
            <x v="0"/>
          </reference>
          <reference field="5" count="1" selected="0">
            <x v="0"/>
          </reference>
          <reference field="8" count="1">
            <x v="2"/>
          </reference>
          <reference field="15" count="1" selected="0">
            <x v="10"/>
          </reference>
          <reference field="16" count="1" selected="0">
            <x v="1"/>
          </reference>
        </references>
      </pivotArea>
    </format>
    <format dxfId="25344">
      <pivotArea dataOnly="0" labelOnly="1" outline="0" fieldPosition="0">
        <references count="5">
          <reference field="3" count="1" selected="0">
            <x v="0"/>
          </reference>
          <reference field="5" count="1" selected="0">
            <x v="1"/>
          </reference>
          <reference field="8" count="2">
            <x v="1"/>
            <x v="2"/>
          </reference>
          <reference field="15" count="1" selected="0">
            <x v="10"/>
          </reference>
          <reference field="16" count="1" selected="0">
            <x v="1"/>
          </reference>
        </references>
      </pivotArea>
    </format>
    <format dxfId="25345">
      <pivotArea dataOnly="0" labelOnly="1" outline="0" fieldPosition="0">
        <references count="5">
          <reference field="3" count="1" selected="0">
            <x v="1"/>
          </reference>
          <reference field="5" count="1" selected="0">
            <x v="0"/>
          </reference>
          <reference field="8" count="4">
            <x v="0"/>
            <x v="1"/>
            <x v="2"/>
            <x v="3"/>
          </reference>
          <reference field="15" count="1" selected="0">
            <x v="10"/>
          </reference>
          <reference field="16" count="1" selected="0">
            <x v="1"/>
          </reference>
        </references>
      </pivotArea>
    </format>
    <format dxfId="25346">
      <pivotArea dataOnly="0" labelOnly="1" outline="0" fieldPosition="0">
        <references count="5">
          <reference field="3" count="1" selected="0">
            <x v="1"/>
          </reference>
          <reference field="5" count="1" selected="0">
            <x v="1"/>
          </reference>
          <reference field="8" count="4">
            <x v="1"/>
            <x v="2"/>
            <x v="3"/>
            <x v="4"/>
          </reference>
          <reference field="15" count="1" selected="0">
            <x v="10"/>
          </reference>
          <reference field="16" count="1" selected="0">
            <x v="1"/>
          </reference>
        </references>
      </pivotArea>
    </format>
    <format dxfId="25347">
      <pivotArea dataOnly="0" labelOnly="1" outline="0" fieldPosition="0">
        <references count="5">
          <reference field="3" count="1" selected="0">
            <x v="2"/>
          </reference>
          <reference field="5" count="1" selected="0">
            <x v="0"/>
          </reference>
          <reference field="8" count="4">
            <x v="0"/>
            <x v="2"/>
            <x v="3"/>
            <x v="4"/>
          </reference>
          <reference field="15" count="1" selected="0">
            <x v="10"/>
          </reference>
          <reference field="16" count="1" selected="0">
            <x v="1"/>
          </reference>
        </references>
      </pivotArea>
    </format>
    <format dxfId="25348">
      <pivotArea dataOnly="0" labelOnly="1" outline="0" fieldPosition="0">
        <references count="5">
          <reference field="3" count="1" selected="0">
            <x v="2"/>
          </reference>
          <reference field="5" count="1" selected="0">
            <x v="1"/>
          </reference>
          <reference field="8" count="1">
            <x v="4"/>
          </reference>
          <reference field="15" count="1" selected="0">
            <x v="10"/>
          </reference>
          <reference field="16" count="1" selected="0">
            <x v="1"/>
          </reference>
        </references>
      </pivotArea>
    </format>
    <format dxfId="25349">
      <pivotArea dataOnly="0" labelOnly="1" outline="0" fieldPosition="0">
        <references count="5">
          <reference field="3" count="1" selected="0">
            <x v="2"/>
          </reference>
          <reference field="5" count="1" selected="0">
            <x v="2"/>
          </reference>
          <reference field="8" count="1">
            <x v="2"/>
          </reference>
          <reference field="15" count="1" selected="0">
            <x v="10"/>
          </reference>
          <reference field="16" count="1" selected="0">
            <x v="1"/>
          </reference>
        </references>
      </pivotArea>
    </format>
    <format dxfId="25350">
      <pivotArea dataOnly="0" labelOnly="1" outline="0" fieldPosition="0">
        <references count="5">
          <reference field="3" count="1" selected="0">
            <x v="3"/>
          </reference>
          <reference field="5" count="1" selected="0">
            <x v="0"/>
          </reference>
          <reference field="8" count="2">
            <x v="1"/>
            <x v="4"/>
          </reference>
          <reference field="15" count="1" selected="0">
            <x v="10"/>
          </reference>
          <reference field="16" count="1" selected="0">
            <x v="1"/>
          </reference>
        </references>
      </pivotArea>
    </format>
    <format dxfId="25351">
      <pivotArea dataOnly="0" labelOnly="1" outline="0" fieldPosition="0">
        <references count="5">
          <reference field="3" count="1" selected="0">
            <x v="3"/>
          </reference>
          <reference field="5" count="1" selected="0">
            <x v="1"/>
          </reference>
          <reference field="8" count="2">
            <x v="1"/>
            <x v="2"/>
          </reference>
          <reference field="15" count="1" selected="0">
            <x v="10"/>
          </reference>
          <reference field="16" count="1" selected="0">
            <x v="1"/>
          </reference>
        </references>
      </pivotArea>
    </format>
    <format dxfId="25352">
      <pivotArea dataOnly="0" labelOnly="1" outline="0" fieldPosition="0">
        <references count="5">
          <reference field="3" count="1" selected="0">
            <x v="4"/>
          </reference>
          <reference field="5" count="1" selected="0">
            <x v="0"/>
          </reference>
          <reference field="8" count="2">
            <x v="2"/>
            <x v="3"/>
          </reference>
          <reference field="15" count="1" selected="0">
            <x v="10"/>
          </reference>
          <reference field="16" count="1" selected="0">
            <x v="1"/>
          </reference>
        </references>
      </pivotArea>
    </format>
    <format dxfId="25353">
      <pivotArea dataOnly="0" labelOnly="1" outline="0" fieldPosition="0">
        <references count="5">
          <reference field="3" count="1" selected="0">
            <x v="4"/>
          </reference>
          <reference field="5" count="1" selected="0">
            <x v="1"/>
          </reference>
          <reference field="8" count="2">
            <x v="3"/>
            <x v="4"/>
          </reference>
          <reference field="15" count="1" selected="0">
            <x v="10"/>
          </reference>
          <reference field="16" count="1" selected="0">
            <x v="1"/>
          </reference>
        </references>
      </pivotArea>
    </format>
    <format dxfId="25354">
      <pivotArea dataOnly="0" labelOnly="1" outline="0" fieldPosition="0">
        <references count="5">
          <reference field="3" count="1" selected="0">
            <x v="4"/>
          </reference>
          <reference field="5" count="1" selected="0">
            <x v="2"/>
          </reference>
          <reference field="8" count="3">
            <x v="0"/>
            <x v="2"/>
            <x v="4"/>
          </reference>
          <reference field="15" count="1" selected="0">
            <x v="10"/>
          </reference>
          <reference field="16" count="1" selected="0">
            <x v="1"/>
          </reference>
        </references>
      </pivotArea>
    </format>
    <format dxfId="25355">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1"/>
          </reference>
        </references>
      </pivotArea>
    </format>
    <format dxfId="25356">
      <pivotArea dataOnly="0" labelOnly="1" outline="0" fieldPosition="0">
        <references count="5">
          <reference field="3" count="1" selected="0">
            <x v="1"/>
          </reference>
          <reference field="5" count="1" selected="0">
            <x v="1"/>
          </reference>
          <reference field="8" count="3">
            <x v="0"/>
            <x v="1"/>
            <x v="4"/>
          </reference>
          <reference field="15" count="1" selected="0">
            <x v="11"/>
          </reference>
          <reference field="16" count="1" selected="0">
            <x v="1"/>
          </reference>
        </references>
      </pivotArea>
    </format>
    <format dxfId="25357">
      <pivotArea dataOnly="0" labelOnly="1" outline="0" fieldPosition="0">
        <references count="5">
          <reference field="3" count="1" selected="0">
            <x v="1"/>
          </reference>
          <reference field="5" count="1" selected="0">
            <x v="2"/>
          </reference>
          <reference field="8" count="2">
            <x v="1"/>
            <x v="3"/>
          </reference>
          <reference field="15" count="1" selected="0">
            <x v="11"/>
          </reference>
          <reference field="16" count="1" selected="0">
            <x v="1"/>
          </reference>
        </references>
      </pivotArea>
    </format>
    <format dxfId="25358">
      <pivotArea dataOnly="0" labelOnly="1" outline="0" fieldPosition="0">
        <references count="5">
          <reference field="3" count="1" selected="0">
            <x v="2"/>
          </reference>
          <reference field="5" count="1" selected="0">
            <x v="0"/>
          </reference>
          <reference field="8" count="3">
            <x v="0"/>
            <x v="1"/>
            <x v="2"/>
          </reference>
          <reference field="15" count="1" selected="0">
            <x v="11"/>
          </reference>
          <reference field="16" count="1" selected="0">
            <x v="1"/>
          </reference>
        </references>
      </pivotArea>
    </format>
    <format dxfId="25359">
      <pivotArea dataOnly="0" labelOnly="1" outline="0" fieldPosition="0">
        <references count="5">
          <reference field="3" count="1" selected="0">
            <x v="2"/>
          </reference>
          <reference field="5" count="1" selected="0">
            <x v="1"/>
          </reference>
          <reference field="8" count="1">
            <x v="3"/>
          </reference>
          <reference field="15" count="1" selected="0">
            <x v="11"/>
          </reference>
          <reference field="16" count="1" selected="0">
            <x v="1"/>
          </reference>
        </references>
      </pivotArea>
    </format>
    <format dxfId="25360">
      <pivotArea dataOnly="0" labelOnly="1" outline="0" fieldPosition="0">
        <references count="5">
          <reference field="3" count="1" selected="0">
            <x v="2"/>
          </reference>
          <reference field="5" count="1" selected="0">
            <x v="2"/>
          </reference>
          <reference field="8" count="2">
            <x v="2"/>
            <x v="3"/>
          </reference>
          <reference field="15" count="1" selected="0">
            <x v="11"/>
          </reference>
          <reference field="16" count="1" selected="0">
            <x v="1"/>
          </reference>
        </references>
      </pivotArea>
    </format>
    <format dxfId="25361">
      <pivotArea dataOnly="0" labelOnly="1" outline="0" fieldPosition="0">
        <references count="5">
          <reference field="3" count="1" selected="0">
            <x v="2"/>
          </reference>
          <reference field="5" count="1" selected="0">
            <x v="3"/>
          </reference>
          <reference field="8" count="1">
            <x v="2"/>
          </reference>
          <reference field="15" count="1" selected="0">
            <x v="11"/>
          </reference>
          <reference field="16" count="1" selected="0">
            <x v="1"/>
          </reference>
        </references>
      </pivotArea>
    </format>
    <format dxfId="25362">
      <pivotArea dataOnly="0" labelOnly="1" outline="0" fieldPosition="0">
        <references count="5">
          <reference field="3" count="1" selected="0">
            <x v="3"/>
          </reference>
          <reference field="5" count="1" selected="0">
            <x v="0"/>
          </reference>
          <reference field="8" count="4">
            <x v="1"/>
            <x v="2"/>
            <x v="3"/>
            <x v="4"/>
          </reference>
          <reference field="15" count="1" selected="0">
            <x v="11"/>
          </reference>
          <reference field="16" count="1" selected="0">
            <x v="1"/>
          </reference>
        </references>
      </pivotArea>
    </format>
    <format dxfId="25363">
      <pivotArea dataOnly="0" labelOnly="1" outline="0" fieldPosition="0">
        <references count="5">
          <reference field="3" count="1" selected="0">
            <x v="3"/>
          </reference>
          <reference field="5" count="1" selected="0">
            <x v="1"/>
          </reference>
          <reference field="8" count="1">
            <x v="0"/>
          </reference>
          <reference field="15" count="1" selected="0">
            <x v="11"/>
          </reference>
          <reference field="16" count="1" selected="0">
            <x v="1"/>
          </reference>
        </references>
      </pivotArea>
    </format>
    <format dxfId="25364">
      <pivotArea dataOnly="0" labelOnly="1" outline="0" fieldPosition="0">
        <references count="5">
          <reference field="3" count="1" selected="0">
            <x v="3"/>
          </reference>
          <reference field="5" count="1" selected="0">
            <x v="3"/>
          </reference>
          <reference field="8" count="1">
            <x v="1"/>
          </reference>
          <reference field="15" count="1" selected="0">
            <x v="11"/>
          </reference>
          <reference field="16" count="1" selected="0">
            <x v="1"/>
          </reference>
        </references>
      </pivotArea>
    </format>
    <format dxfId="25365">
      <pivotArea dataOnly="0" labelOnly="1" outline="0" fieldPosition="0">
        <references count="5">
          <reference field="3" count="1" selected="0">
            <x v="4"/>
          </reference>
          <reference field="5" count="1" selected="0">
            <x v="0"/>
          </reference>
          <reference field="8" count="4">
            <x v="0"/>
            <x v="2"/>
            <x v="3"/>
            <x v="4"/>
          </reference>
          <reference field="15" count="1" selected="0">
            <x v="11"/>
          </reference>
          <reference field="16" count="1" selected="0">
            <x v="1"/>
          </reference>
        </references>
      </pivotArea>
    </format>
    <format dxfId="25366">
      <pivotArea dataOnly="0" labelOnly="1" outline="0" fieldPosition="0">
        <references count="5">
          <reference field="3" count="1" selected="0">
            <x v="4"/>
          </reference>
          <reference field="5" count="1" selected="0">
            <x v="1"/>
          </reference>
          <reference field="8" count="3">
            <x v="1"/>
            <x v="3"/>
            <x v="4"/>
          </reference>
          <reference field="15" count="1" selected="0">
            <x v="11"/>
          </reference>
          <reference field="16" count="1" selected="0">
            <x v="1"/>
          </reference>
        </references>
      </pivotArea>
    </format>
    <format dxfId="25367">
      <pivotArea dataOnly="0" labelOnly="1" outline="0" fieldPosition="0">
        <references count="5">
          <reference field="3" count="1" selected="0">
            <x v="4"/>
          </reference>
          <reference field="5" count="1" selected="0">
            <x v="2"/>
          </reference>
          <reference field="8" count="1">
            <x v="0"/>
          </reference>
          <reference field="15" count="1" selected="0">
            <x v="11"/>
          </reference>
          <reference field="16" count="1" selected="0">
            <x v="1"/>
          </reference>
        </references>
      </pivotArea>
    </format>
    <format dxfId="25368">
      <pivotArea dataOnly="0" labelOnly="1" outline="0" fieldPosition="0">
        <references count="5">
          <reference field="3" count="1" selected="0">
            <x v="4"/>
          </reference>
          <reference field="5" count="1" selected="0">
            <x v="3"/>
          </reference>
          <reference field="8" count="1">
            <x v="3"/>
          </reference>
          <reference field="15" count="1" selected="0">
            <x v="11"/>
          </reference>
          <reference field="16" count="1" selected="0">
            <x v="1"/>
          </reference>
        </references>
      </pivotArea>
    </format>
    <format dxfId="25369">
      <pivotArea dataOnly="0" labelOnly="1" outline="0" fieldPosition="0">
        <references count="5">
          <reference field="3" count="1" selected="0">
            <x v="0"/>
          </reference>
          <reference field="5" count="1" selected="0">
            <x v="0"/>
          </reference>
          <reference field="8" count="2">
            <x v="1"/>
            <x v="4"/>
          </reference>
          <reference field="15" count="1" selected="0">
            <x v="0"/>
          </reference>
          <reference field="16" count="1" selected="0">
            <x v="2"/>
          </reference>
        </references>
      </pivotArea>
    </format>
    <format dxfId="25370">
      <pivotArea dataOnly="0" labelOnly="1" outline="0" fieldPosition="0">
        <references count="5">
          <reference field="3" count="1" selected="0">
            <x v="0"/>
          </reference>
          <reference field="5" count="1" selected="0">
            <x v="1"/>
          </reference>
          <reference field="8" count="1">
            <x v="2"/>
          </reference>
          <reference field="15" count="1" selected="0">
            <x v="0"/>
          </reference>
          <reference field="16" count="1" selected="0">
            <x v="2"/>
          </reference>
        </references>
      </pivotArea>
    </format>
    <format dxfId="25371">
      <pivotArea dataOnly="0" labelOnly="1" outline="0" fieldPosition="0">
        <references count="5">
          <reference field="3" count="1" selected="0">
            <x v="1"/>
          </reference>
          <reference field="5" count="1" selected="0">
            <x v="0"/>
          </reference>
          <reference field="8" count="4">
            <x v="0"/>
            <x v="2"/>
            <x v="3"/>
            <x v="4"/>
          </reference>
          <reference field="15" count="1" selected="0">
            <x v="0"/>
          </reference>
          <reference field="16" count="1" selected="0">
            <x v="2"/>
          </reference>
        </references>
      </pivotArea>
    </format>
    <format dxfId="25372">
      <pivotArea dataOnly="0" labelOnly="1" outline="0" fieldPosition="0">
        <references count="5">
          <reference field="3" count="1" selected="0">
            <x v="1"/>
          </reference>
          <reference field="5" count="1" selected="0">
            <x v="1"/>
          </reference>
          <reference field="8" count="2">
            <x v="0"/>
            <x v="1"/>
          </reference>
          <reference field="15" count="1" selected="0">
            <x v="0"/>
          </reference>
          <reference field="16" count="1" selected="0">
            <x v="2"/>
          </reference>
        </references>
      </pivotArea>
    </format>
    <format dxfId="25373">
      <pivotArea dataOnly="0" labelOnly="1" outline="0" fieldPosition="0">
        <references count="5">
          <reference field="3" count="1" selected="0">
            <x v="1"/>
          </reference>
          <reference field="5" count="1" selected="0">
            <x v="2"/>
          </reference>
          <reference field="8" count="4">
            <x v="1"/>
            <x v="2"/>
            <x v="3"/>
            <x v="4"/>
          </reference>
          <reference field="15" count="1" selected="0">
            <x v="0"/>
          </reference>
          <reference field="16" count="1" selected="0">
            <x v="2"/>
          </reference>
        </references>
      </pivotArea>
    </format>
    <format dxfId="25374">
      <pivotArea dataOnly="0" labelOnly="1" outline="0" fieldPosition="0">
        <references count="5">
          <reference field="3" count="1" selected="0">
            <x v="1"/>
          </reference>
          <reference field="5" count="1" selected="0">
            <x v="3"/>
          </reference>
          <reference field="8" count="1">
            <x v="2"/>
          </reference>
          <reference field="15" count="1" selected="0">
            <x v="0"/>
          </reference>
          <reference field="16" count="1" selected="0">
            <x v="2"/>
          </reference>
        </references>
      </pivotArea>
    </format>
    <format dxfId="25375">
      <pivotArea dataOnly="0" labelOnly="1" outline="0" fieldPosition="0">
        <references count="5">
          <reference field="3" count="1" selected="0">
            <x v="2"/>
          </reference>
          <reference field="5" count="1" selected="0">
            <x v="0"/>
          </reference>
          <reference field="8" count="1">
            <x v="1"/>
          </reference>
          <reference field="15" count="1" selected="0">
            <x v="0"/>
          </reference>
          <reference field="16" count="1" selected="0">
            <x v="2"/>
          </reference>
        </references>
      </pivotArea>
    </format>
    <format dxfId="25376">
      <pivotArea dataOnly="0" labelOnly="1" outline="0" fieldPosition="0">
        <references count="5">
          <reference field="3" count="1" selected="0">
            <x v="2"/>
          </reference>
          <reference field="5" count="1" selected="0">
            <x v="1"/>
          </reference>
          <reference field="8" count="1">
            <x v="2"/>
          </reference>
          <reference field="15" count="1" selected="0">
            <x v="0"/>
          </reference>
          <reference field="16" count="1" selected="0">
            <x v="2"/>
          </reference>
        </references>
      </pivotArea>
    </format>
    <format dxfId="25377">
      <pivotArea dataOnly="0" labelOnly="1" outline="0" fieldPosition="0">
        <references count="5">
          <reference field="3" count="1" selected="0">
            <x v="2"/>
          </reference>
          <reference field="5" count="1" selected="0">
            <x v="2"/>
          </reference>
          <reference field="8" count="1">
            <x v="4"/>
          </reference>
          <reference field="15" count="1" selected="0">
            <x v="0"/>
          </reference>
          <reference field="16" count="1" selected="0">
            <x v="2"/>
          </reference>
        </references>
      </pivotArea>
    </format>
    <format dxfId="25378">
      <pivotArea dataOnly="0" labelOnly="1" outline="0" fieldPosition="0">
        <references count="5">
          <reference field="3" count="1" selected="0">
            <x v="2"/>
          </reference>
          <reference field="5" count="1" selected="0">
            <x v="3"/>
          </reference>
          <reference field="8" count="1">
            <x v="4"/>
          </reference>
          <reference field="15" count="1" selected="0">
            <x v="0"/>
          </reference>
          <reference field="16" count="1" selected="0">
            <x v="2"/>
          </reference>
        </references>
      </pivotArea>
    </format>
    <format dxfId="25379">
      <pivotArea dataOnly="0" labelOnly="1" outline="0" fieldPosition="0">
        <references count="5">
          <reference field="3" count="1" selected="0">
            <x v="3"/>
          </reference>
          <reference field="5" count="1" selected="0">
            <x v="0"/>
          </reference>
          <reference field="8" count="3">
            <x v="0"/>
            <x v="1"/>
            <x v="4"/>
          </reference>
          <reference field="15" count="1" selected="0">
            <x v="0"/>
          </reference>
          <reference field="16" count="1" selected="0">
            <x v="2"/>
          </reference>
        </references>
      </pivotArea>
    </format>
    <format dxfId="25380">
      <pivotArea dataOnly="0" labelOnly="1" outline="0" fieldPosition="0">
        <references count="5">
          <reference field="3" count="1" selected="0">
            <x v="3"/>
          </reference>
          <reference field="5" count="1" selected="0">
            <x v="1"/>
          </reference>
          <reference field="8" count="1">
            <x v="4"/>
          </reference>
          <reference field="15" count="1" selected="0">
            <x v="0"/>
          </reference>
          <reference field="16" count="1" selected="0">
            <x v="2"/>
          </reference>
        </references>
      </pivotArea>
    </format>
    <format dxfId="25381">
      <pivotArea dataOnly="0" labelOnly="1" outline="0" fieldPosition="0">
        <references count="5">
          <reference field="3" count="1" selected="0">
            <x v="3"/>
          </reference>
          <reference field="5" count="1" selected="0">
            <x v="2"/>
          </reference>
          <reference field="8" count="1">
            <x v="4"/>
          </reference>
          <reference field="15" count="1" selected="0">
            <x v="0"/>
          </reference>
          <reference field="16" count="1" selected="0">
            <x v="2"/>
          </reference>
        </references>
      </pivotArea>
    </format>
    <format dxfId="25382">
      <pivotArea dataOnly="0" labelOnly="1" outline="0" fieldPosition="0">
        <references count="5">
          <reference field="3" count="1" selected="0">
            <x v="4"/>
          </reference>
          <reference field="5" count="1" selected="0">
            <x v="0"/>
          </reference>
          <reference field="8" count="4">
            <x v="1"/>
            <x v="2"/>
            <x v="3"/>
            <x v="4"/>
          </reference>
          <reference field="15" count="1" selected="0">
            <x v="0"/>
          </reference>
          <reference field="16" count="1" selected="0">
            <x v="2"/>
          </reference>
        </references>
      </pivotArea>
    </format>
    <format dxfId="25383">
      <pivotArea dataOnly="0" labelOnly="1" outline="0" fieldPosition="0">
        <references count="5">
          <reference field="3" count="1" selected="0">
            <x v="4"/>
          </reference>
          <reference field="5" count="1" selected="0">
            <x v="1"/>
          </reference>
          <reference field="8" count="1">
            <x v="2"/>
          </reference>
          <reference field="15" count="1" selected="0">
            <x v="0"/>
          </reference>
          <reference field="16" count="1" selected="0">
            <x v="2"/>
          </reference>
        </references>
      </pivotArea>
    </format>
    <format dxfId="25384">
      <pivotArea dataOnly="0" labelOnly="1" outline="0" fieldPosition="0">
        <references count="5">
          <reference field="3" count="1" selected="0">
            <x v="4"/>
          </reference>
          <reference field="5" count="1" selected="0">
            <x v="3"/>
          </reference>
          <reference field="8" count="1">
            <x v="4"/>
          </reference>
          <reference field="15" count="1" selected="0">
            <x v="0"/>
          </reference>
          <reference field="16" count="1" selected="0">
            <x v="2"/>
          </reference>
        </references>
      </pivotArea>
    </format>
    <format dxfId="25385">
      <pivotArea dataOnly="0" labelOnly="1" outline="0" fieldPosition="0">
        <references count="5">
          <reference field="3" count="1" selected="0">
            <x v="0"/>
          </reference>
          <reference field="5" count="1" selected="0">
            <x v="0"/>
          </reference>
          <reference field="8" count="2">
            <x v="0"/>
            <x v="2"/>
          </reference>
          <reference field="15" count="1" selected="0">
            <x v="1"/>
          </reference>
          <reference field="16" count="1" selected="0">
            <x v="2"/>
          </reference>
        </references>
      </pivotArea>
    </format>
    <format dxfId="25386">
      <pivotArea dataOnly="0" labelOnly="1" outline="0" fieldPosition="0">
        <references count="5">
          <reference field="3" count="1" selected="0">
            <x v="1"/>
          </reference>
          <reference field="5" count="1" selected="0">
            <x v="0"/>
          </reference>
          <reference field="8" count="0"/>
          <reference field="15" count="1" selected="0">
            <x v="1"/>
          </reference>
          <reference field="16" count="1" selected="0">
            <x v="2"/>
          </reference>
        </references>
      </pivotArea>
    </format>
    <format dxfId="25387">
      <pivotArea dataOnly="0" labelOnly="1" outline="0" fieldPosition="0">
        <references count="5">
          <reference field="3" count="1" selected="0">
            <x v="1"/>
          </reference>
          <reference field="5" count="1" selected="0">
            <x v="1"/>
          </reference>
          <reference field="8" count="2">
            <x v="1"/>
            <x v="4"/>
          </reference>
          <reference field="15" count="1" selected="0">
            <x v="1"/>
          </reference>
          <reference field="16" count="1" selected="0">
            <x v="2"/>
          </reference>
        </references>
      </pivotArea>
    </format>
    <format dxfId="25388">
      <pivotArea dataOnly="0" labelOnly="1" outline="0" fieldPosition="0">
        <references count="5">
          <reference field="3" count="1" selected="0">
            <x v="1"/>
          </reference>
          <reference field="5" count="1" selected="0">
            <x v="2"/>
          </reference>
          <reference field="8" count="1">
            <x v="0"/>
          </reference>
          <reference field="15" count="1" selected="0">
            <x v="1"/>
          </reference>
          <reference field="16" count="1" selected="0">
            <x v="2"/>
          </reference>
        </references>
      </pivotArea>
    </format>
    <format dxfId="25389">
      <pivotArea dataOnly="0" labelOnly="1" outline="0" fieldPosition="0">
        <references count="5">
          <reference field="3" count="1" selected="0">
            <x v="2"/>
          </reference>
          <reference field="5" count="1" selected="0">
            <x v="0"/>
          </reference>
          <reference field="8" count="3">
            <x v="1"/>
            <x v="3"/>
            <x v="4"/>
          </reference>
          <reference field="15" count="1" selected="0">
            <x v="1"/>
          </reference>
          <reference field="16" count="1" selected="0">
            <x v="2"/>
          </reference>
        </references>
      </pivotArea>
    </format>
    <format dxfId="25390">
      <pivotArea dataOnly="0" labelOnly="1" outline="0" fieldPosition="0">
        <references count="5">
          <reference field="3" count="1" selected="0">
            <x v="2"/>
          </reference>
          <reference field="5" count="1" selected="0">
            <x v="1"/>
          </reference>
          <reference field="8" count="1">
            <x v="1"/>
          </reference>
          <reference field="15" count="1" selected="0">
            <x v="1"/>
          </reference>
          <reference field="16" count="1" selected="0">
            <x v="2"/>
          </reference>
        </references>
      </pivotArea>
    </format>
    <format dxfId="25391">
      <pivotArea dataOnly="0" labelOnly="1" outline="0" fieldPosition="0">
        <references count="5">
          <reference field="3" count="1" selected="0">
            <x v="3"/>
          </reference>
          <reference field="5" count="1" selected="0">
            <x v="0"/>
          </reference>
          <reference field="8" count="2">
            <x v="1"/>
            <x v="4"/>
          </reference>
          <reference field="15" count="1" selected="0">
            <x v="1"/>
          </reference>
          <reference field="16" count="1" selected="0">
            <x v="2"/>
          </reference>
        </references>
      </pivotArea>
    </format>
    <format dxfId="25392">
      <pivotArea dataOnly="0" labelOnly="1" outline="0" fieldPosition="0">
        <references count="5">
          <reference field="3" count="1" selected="0">
            <x v="3"/>
          </reference>
          <reference field="5" count="1" selected="0">
            <x v="1"/>
          </reference>
          <reference field="8" count="1">
            <x v="0"/>
          </reference>
          <reference field="15" count="1" selected="0">
            <x v="1"/>
          </reference>
          <reference field="16" count="1" selected="0">
            <x v="2"/>
          </reference>
        </references>
      </pivotArea>
    </format>
    <format dxfId="25393">
      <pivotArea dataOnly="0" labelOnly="1" outline="0" fieldPosition="0">
        <references count="5">
          <reference field="3" count="1" selected="0">
            <x v="3"/>
          </reference>
          <reference field="5" count="1" selected="0">
            <x v="3"/>
          </reference>
          <reference field="8" count="1">
            <x v="2"/>
          </reference>
          <reference field="15" count="1" selected="0">
            <x v="1"/>
          </reference>
          <reference field="16" count="1" selected="0">
            <x v="2"/>
          </reference>
        </references>
      </pivotArea>
    </format>
    <format dxfId="25394">
      <pivotArea dataOnly="0" labelOnly="1" outline="0" fieldPosition="0">
        <references count="5">
          <reference field="3" count="1" selected="0">
            <x v="4"/>
          </reference>
          <reference field="5" count="1" selected="0">
            <x v="0"/>
          </reference>
          <reference field="8" count="4">
            <x v="1"/>
            <x v="2"/>
            <x v="3"/>
            <x v="4"/>
          </reference>
          <reference field="15" count="1" selected="0">
            <x v="1"/>
          </reference>
          <reference field="16" count="1" selected="0">
            <x v="2"/>
          </reference>
        </references>
      </pivotArea>
    </format>
    <format dxfId="25395">
      <pivotArea dataOnly="0" labelOnly="1" outline="0" fieldPosition="0">
        <references count="5">
          <reference field="3" count="1" selected="0">
            <x v="4"/>
          </reference>
          <reference field="5" count="1" selected="0">
            <x v="1"/>
          </reference>
          <reference field="8" count="2">
            <x v="0"/>
            <x v="2"/>
          </reference>
          <reference field="15" count="1" selected="0">
            <x v="1"/>
          </reference>
          <reference field="16" count="1" selected="0">
            <x v="2"/>
          </reference>
        </references>
      </pivotArea>
    </format>
    <format dxfId="25396">
      <pivotArea dataOnly="0" labelOnly="1" outline="0" fieldPosition="0">
        <references count="5">
          <reference field="3" count="1" selected="0">
            <x v="4"/>
          </reference>
          <reference field="5" count="1" selected="0">
            <x v="2"/>
          </reference>
          <reference field="8" count="1">
            <x v="3"/>
          </reference>
          <reference field="15" count="1" selected="0">
            <x v="1"/>
          </reference>
          <reference field="16" count="1" selected="0">
            <x v="2"/>
          </reference>
        </references>
      </pivotArea>
    </format>
    <format dxfId="25397">
      <pivotArea dataOnly="0" labelOnly="1" outline="0" fieldPosition="0">
        <references count="5">
          <reference field="3" count="1" selected="0">
            <x v="0"/>
          </reference>
          <reference field="5" count="1" selected="0">
            <x v="0"/>
          </reference>
          <reference field="8" count="2">
            <x v="0"/>
            <x v="1"/>
          </reference>
          <reference field="15" count="1" selected="0">
            <x v="2"/>
          </reference>
          <reference field="16" count="1" selected="0">
            <x v="2"/>
          </reference>
        </references>
      </pivotArea>
    </format>
    <format dxfId="25398">
      <pivotArea dataOnly="0" labelOnly="1" outline="0" fieldPosition="0">
        <references count="5">
          <reference field="3" count="1" selected="0">
            <x v="1"/>
          </reference>
          <reference field="5" count="1" selected="0">
            <x v="0"/>
          </reference>
          <reference field="8" count="0"/>
          <reference field="15" count="1" selected="0">
            <x v="2"/>
          </reference>
          <reference field="16" count="1" selected="0">
            <x v="2"/>
          </reference>
        </references>
      </pivotArea>
    </format>
    <format dxfId="25399">
      <pivotArea dataOnly="0" labelOnly="1" outline="0" fieldPosition="0">
        <references count="5">
          <reference field="3" count="1" selected="0">
            <x v="1"/>
          </reference>
          <reference field="5" count="1" selected="0">
            <x v="1"/>
          </reference>
          <reference field="8" count="1">
            <x v="1"/>
          </reference>
          <reference field="15" count="1" selected="0">
            <x v="2"/>
          </reference>
          <reference field="16" count="1" selected="0">
            <x v="2"/>
          </reference>
        </references>
      </pivotArea>
    </format>
    <format dxfId="25400">
      <pivotArea dataOnly="0" labelOnly="1" outline="0" fieldPosition="0">
        <references count="5">
          <reference field="3" count="1" selected="0">
            <x v="1"/>
          </reference>
          <reference field="5" count="1" selected="0">
            <x v="2"/>
          </reference>
          <reference field="8" count="2">
            <x v="1"/>
            <x v="3"/>
          </reference>
          <reference field="15" count="1" selected="0">
            <x v="2"/>
          </reference>
          <reference field="16" count="1" selected="0">
            <x v="2"/>
          </reference>
        </references>
      </pivotArea>
    </format>
    <format dxfId="25401">
      <pivotArea dataOnly="0" labelOnly="1" outline="0" fieldPosition="0">
        <references count="5">
          <reference field="3" count="1" selected="0">
            <x v="2"/>
          </reference>
          <reference field="5" count="1" selected="0">
            <x v="0"/>
          </reference>
          <reference field="8" count="2">
            <x v="2"/>
            <x v="4"/>
          </reference>
          <reference field="15" count="1" selected="0">
            <x v="2"/>
          </reference>
          <reference field="16" count="1" selected="0">
            <x v="2"/>
          </reference>
        </references>
      </pivotArea>
    </format>
    <format dxfId="25402">
      <pivotArea dataOnly="0" labelOnly="1" outline="0" fieldPosition="0">
        <references count="5">
          <reference field="3" count="1" selected="0">
            <x v="2"/>
          </reference>
          <reference field="5" count="1" selected="0">
            <x v="3"/>
          </reference>
          <reference field="8" count="1">
            <x v="2"/>
          </reference>
          <reference field="15" count="1" selected="0">
            <x v="2"/>
          </reference>
          <reference field="16" count="1" selected="0">
            <x v="2"/>
          </reference>
        </references>
      </pivotArea>
    </format>
    <format dxfId="25403">
      <pivotArea dataOnly="0" labelOnly="1" outline="0" fieldPosition="0">
        <references count="5">
          <reference field="3" count="1" selected="0">
            <x v="3"/>
          </reference>
          <reference field="5" count="1" selected="0">
            <x v="0"/>
          </reference>
          <reference field="8" count="2">
            <x v="0"/>
            <x v="3"/>
          </reference>
          <reference field="15" count="1" selected="0">
            <x v="2"/>
          </reference>
          <reference field="16" count="1" selected="0">
            <x v="2"/>
          </reference>
        </references>
      </pivotArea>
    </format>
    <format dxfId="25404">
      <pivotArea dataOnly="0" labelOnly="1" outline="0" fieldPosition="0">
        <references count="5">
          <reference field="3" count="1" selected="0">
            <x v="4"/>
          </reference>
          <reference field="5" count="1" selected="0">
            <x v="0"/>
          </reference>
          <reference field="8" count="4">
            <x v="1"/>
            <x v="2"/>
            <x v="3"/>
            <x v="4"/>
          </reference>
          <reference field="15" count="1" selected="0">
            <x v="2"/>
          </reference>
          <reference field="16" count="1" selected="0">
            <x v="2"/>
          </reference>
        </references>
      </pivotArea>
    </format>
    <format dxfId="25405">
      <pivotArea dataOnly="0" labelOnly="1" outline="0" fieldPosition="0">
        <references count="5">
          <reference field="3" count="1" selected="0">
            <x v="4"/>
          </reference>
          <reference field="5" count="1" selected="0">
            <x v="1"/>
          </reference>
          <reference field="8" count="3">
            <x v="1"/>
            <x v="2"/>
            <x v="4"/>
          </reference>
          <reference field="15" count="1" selected="0">
            <x v="2"/>
          </reference>
          <reference field="16" count="1" selected="0">
            <x v="2"/>
          </reference>
        </references>
      </pivotArea>
    </format>
    <format dxfId="25406">
      <pivotArea dataOnly="0" labelOnly="1" outline="0" fieldPosition="0">
        <references count="5">
          <reference field="3" count="1" selected="0">
            <x v="4"/>
          </reference>
          <reference field="5" count="1" selected="0">
            <x v="2"/>
          </reference>
          <reference field="8" count="1">
            <x v="4"/>
          </reference>
          <reference field="15" count="1" selected="0">
            <x v="2"/>
          </reference>
          <reference field="16" count="1" selected="0">
            <x v="2"/>
          </reference>
        </references>
      </pivotArea>
    </format>
    <format dxfId="25407">
      <pivotArea dataOnly="0" labelOnly="1" outline="0" fieldPosition="0">
        <references count="5">
          <reference field="3" count="1" selected="0">
            <x v="0"/>
          </reference>
          <reference field="5" count="1" selected="0">
            <x v="0"/>
          </reference>
          <reference field="8" count="2">
            <x v="0"/>
            <x v="3"/>
          </reference>
          <reference field="15" count="1" selected="0">
            <x v="3"/>
          </reference>
          <reference field="16" count="1" selected="0">
            <x v="2"/>
          </reference>
        </references>
      </pivotArea>
    </format>
    <format dxfId="25408">
      <pivotArea dataOnly="0" labelOnly="1" outline="0" fieldPosition="0">
        <references count="5">
          <reference field="3" count="1" selected="0">
            <x v="0"/>
          </reference>
          <reference field="5" count="1" selected="0">
            <x v="1"/>
          </reference>
          <reference field="8" count="2">
            <x v="1"/>
            <x v="4"/>
          </reference>
          <reference field="15" count="1" selected="0">
            <x v="3"/>
          </reference>
          <reference field="16" count="1" selected="0">
            <x v="2"/>
          </reference>
        </references>
      </pivotArea>
    </format>
    <format dxfId="25409">
      <pivotArea dataOnly="0" labelOnly="1" outline="0" fieldPosition="0">
        <references count="5">
          <reference field="3" count="1" selected="0">
            <x v="1"/>
          </reference>
          <reference field="5" count="1" selected="0">
            <x v="0"/>
          </reference>
          <reference field="8" count="0"/>
          <reference field="15" count="1" selected="0">
            <x v="3"/>
          </reference>
          <reference field="16" count="1" selected="0">
            <x v="2"/>
          </reference>
        </references>
      </pivotArea>
    </format>
    <format dxfId="25410">
      <pivotArea dataOnly="0" labelOnly="1" outline="0" fieldPosition="0">
        <references count="5">
          <reference field="3" count="1" selected="0">
            <x v="1"/>
          </reference>
          <reference field="5" count="1" selected="0">
            <x v="1"/>
          </reference>
          <reference field="8" count="2">
            <x v="1"/>
            <x v="4"/>
          </reference>
          <reference field="15" count="1" selected="0">
            <x v="3"/>
          </reference>
          <reference field="16" count="1" selected="0">
            <x v="2"/>
          </reference>
        </references>
      </pivotArea>
    </format>
    <format dxfId="25411">
      <pivotArea dataOnly="0" labelOnly="1" outline="0" fieldPosition="0">
        <references count="5">
          <reference field="3" count="1" selected="0">
            <x v="1"/>
          </reference>
          <reference field="5" count="1" selected="0">
            <x v="2"/>
          </reference>
          <reference field="8" count="2">
            <x v="0"/>
            <x v="4"/>
          </reference>
          <reference field="15" count="1" selected="0">
            <x v="3"/>
          </reference>
          <reference field="16" count="1" selected="0">
            <x v="2"/>
          </reference>
        </references>
      </pivotArea>
    </format>
    <format dxfId="25412">
      <pivotArea dataOnly="0" labelOnly="1" outline="0" fieldPosition="0">
        <references count="5">
          <reference field="3" count="1" selected="0">
            <x v="1"/>
          </reference>
          <reference field="5" count="1" selected="0">
            <x v="3"/>
          </reference>
          <reference field="8" count="2">
            <x v="0"/>
            <x v="1"/>
          </reference>
          <reference field="15" count="1" selected="0">
            <x v="3"/>
          </reference>
          <reference field="16" count="1" selected="0">
            <x v="2"/>
          </reference>
        </references>
      </pivotArea>
    </format>
    <format dxfId="25413">
      <pivotArea dataOnly="0" labelOnly="1" outline="0" fieldPosition="0">
        <references count="5">
          <reference field="3" count="1" selected="0">
            <x v="2"/>
          </reference>
          <reference field="5" count="1" selected="0">
            <x v="0"/>
          </reference>
          <reference field="8" count="4">
            <x v="0"/>
            <x v="1"/>
            <x v="3"/>
            <x v="4"/>
          </reference>
          <reference field="15" count="1" selected="0">
            <x v="3"/>
          </reference>
          <reference field="16" count="1" selected="0">
            <x v="2"/>
          </reference>
        </references>
      </pivotArea>
    </format>
    <format dxfId="25414">
      <pivotArea dataOnly="0" labelOnly="1" outline="0" fieldPosition="0">
        <references count="5">
          <reference field="3" count="1" selected="0">
            <x v="2"/>
          </reference>
          <reference field="5" count="1" selected="0">
            <x v="1"/>
          </reference>
          <reference field="8" count="2">
            <x v="0"/>
            <x v="2"/>
          </reference>
          <reference field="15" count="1" selected="0">
            <x v="3"/>
          </reference>
          <reference field="16" count="1" selected="0">
            <x v="2"/>
          </reference>
        </references>
      </pivotArea>
    </format>
    <format dxfId="25415">
      <pivotArea dataOnly="0" labelOnly="1" outline="0" fieldPosition="0">
        <references count="5">
          <reference field="3" count="1" selected="0">
            <x v="3"/>
          </reference>
          <reference field="5" count="1" selected="0">
            <x v="0"/>
          </reference>
          <reference field="8" count="2">
            <x v="2"/>
            <x v="3"/>
          </reference>
          <reference field="15" count="1" selected="0">
            <x v="3"/>
          </reference>
          <reference field="16" count="1" selected="0">
            <x v="2"/>
          </reference>
        </references>
      </pivotArea>
    </format>
    <format dxfId="25416">
      <pivotArea dataOnly="0" labelOnly="1" outline="0" fieldPosition="0">
        <references count="5">
          <reference field="3" count="1" selected="0">
            <x v="3"/>
          </reference>
          <reference field="5" count="1" selected="0">
            <x v="1"/>
          </reference>
          <reference field="8" count="1">
            <x v="2"/>
          </reference>
          <reference field="15" count="1" selected="0">
            <x v="3"/>
          </reference>
          <reference field="16" count="1" selected="0">
            <x v="2"/>
          </reference>
        </references>
      </pivotArea>
    </format>
    <format dxfId="25417">
      <pivotArea dataOnly="0" labelOnly="1" outline="0" fieldPosition="0">
        <references count="5">
          <reference field="3" count="1" selected="0">
            <x v="4"/>
          </reference>
          <reference field="5" count="1" selected="0">
            <x v="0"/>
          </reference>
          <reference field="8" count="0"/>
          <reference field="15" count="1" selected="0">
            <x v="3"/>
          </reference>
          <reference field="16" count="1" selected="0">
            <x v="2"/>
          </reference>
        </references>
      </pivotArea>
    </format>
    <format dxfId="25418">
      <pivotArea dataOnly="0" labelOnly="1" outline="0" fieldPosition="0">
        <references count="5">
          <reference field="3" count="1" selected="0">
            <x v="4"/>
          </reference>
          <reference field="5" count="1" selected="0">
            <x v="1"/>
          </reference>
          <reference field="8" count="2">
            <x v="0"/>
            <x v="3"/>
          </reference>
          <reference field="15" count="1" selected="0">
            <x v="3"/>
          </reference>
          <reference field="16" count="1" selected="0">
            <x v="2"/>
          </reference>
        </references>
      </pivotArea>
    </format>
    <format dxfId="25419">
      <pivotArea dataOnly="0" labelOnly="1" outline="0" fieldPosition="0">
        <references count="5">
          <reference field="3" count="1" selected="0">
            <x v="4"/>
          </reference>
          <reference field="5" count="1" selected="0">
            <x v="2"/>
          </reference>
          <reference field="8" count="1">
            <x v="1"/>
          </reference>
          <reference field="15" count="1" selected="0">
            <x v="3"/>
          </reference>
          <reference field="16" count="1" selected="0">
            <x v="2"/>
          </reference>
        </references>
      </pivotArea>
    </format>
    <format dxfId="25420">
      <pivotArea dataOnly="0" labelOnly="1" outline="0" fieldPosition="0">
        <references count="5">
          <reference field="3" count="1" selected="0">
            <x v="0"/>
          </reference>
          <reference field="5" count="1" selected="0">
            <x v="0"/>
          </reference>
          <reference field="8" count="1">
            <x v="0"/>
          </reference>
          <reference field="15" count="1" selected="0">
            <x v="4"/>
          </reference>
          <reference field="16" count="1" selected="0">
            <x v="2"/>
          </reference>
        </references>
      </pivotArea>
    </format>
    <format dxfId="25421">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2"/>
          </reference>
        </references>
      </pivotArea>
    </format>
    <format dxfId="25422">
      <pivotArea dataOnly="0" labelOnly="1" outline="0" fieldPosition="0">
        <references count="5">
          <reference field="3" count="1" selected="0">
            <x v="1"/>
          </reference>
          <reference field="5" count="1" selected="0">
            <x v="1"/>
          </reference>
          <reference field="8" count="3">
            <x v="0"/>
            <x v="2"/>
            <x v="4"/>
          </reference>
          <reference field="15" count="1" selected="0">
            <x v="4"/>
          </reference>
          <reference field="16" count="1" selected="0">
            <x v="2"/>
          </reference>
        </references>
      </pivotArea>
    </format>
    <format dxfId="25423">
      <pivotArea dataOnly="0" labelOnly="1" outline="0" fieldPosition="0">
        <references count="5">
          <reference field="3" count="1" selected="0">
            <x v="1"/>
          </reference>
          <reference field="5" count="1" selected="0">
            <x v="2"/>
          </reference>
          <reference field="8" count="0"/>
          <reference field="15" count="1" selected="0">
            <x v="4"/>
          </reference>
          <reference field="16" count="1" selected="0">
            <x v="2"/>
          </reference>
        </references>
      </pivotArea>
    </format>
    <format dxfId="25424">
      <pivotArea dataOnly="0" labelOnly="1" outline="0" fieldPosition="0">
        <references count="5">
          <reference field="3" count="1" selected="0">
            <x v="1"/>
          </reference>
          <reference field="5" count="1" selected="0">
            <x v="3"/>
          </reference>
          <reference field="8" count="1">
            <x v="1"/>
          </reference>
          <reference field="15" count="1" selected="0">
            <x v="4"/>
          </reference>
          <reference field="16" count="1" selected="0">
            <x v="2"/>
          </reference>
        </references>
      </pivotArea>
    </format>
    <format dxfId="25425">
      <pivotArea dataOnly="0" labelOnly="1" outline="0" fieldPosition="0">
        <references count="5">
          <reference field="3" count="1" selected="0">
            <x v="2"/>
          </reference>
          <reference field="5" count="1" selected="0">
            <x v="0"/>
          </reference>
          <reference field="8" count="3">
            <x v="0"/>
            <x v="3"/>
            <x v="4"/>
          </reference>
          <reference field="15" count="1" selected="0">
            <x v="4"/>
          </reference>
          <reference field="16" count="1" selected="0">
            <x v="2"/>
          </reference>
        </references>
      </pivotArea>
    </format>
    <format dxfId="25426">
      <pivotArea dataOnly="0" labelOnly="1" outline="0" fieldPosition="0">
        <references count="5">
          <reference field="3" count="1" selected="0">
            <x v="2"/>
          </reference>
          <reference field="5" count="1" selected="0">
            <x v="1"/>
          </reference>
          <reference field="8" count="1">
            <x v="0"/>
          </reference>
          <reference field="15" count="1" selected="0">
            <x v="4"/>
          </reference>
          <reference field="16" count="1" selected="0">
            <x v="2"/>
          </reference>
        </references>
      </pivotArea>
    </format>
    <format dxfId="25427">
      <pivotArea dataOnly="0" labelOnly="1" outline="0" fieldPosition="0">
        <references count="5">
          <reference field="3" count="1" selected="0">
            <x v="3"/>
          </reference>
          <reference field="5" count="1" selected="0">
            <x v="0"/>
          </reference>
          <reference field="8" count="2">
            <x v="3"/>
            <x v="4"/>
          </reference>
          <reference field="15" count="1" selected="0">
            <x v="4"/>
          </reference>
          <reference field="16" count="1" selected="0">
            <x v="2"/>
          </reference>
        </references>
      </pivotArea>
    </format>
    <format dxfId="25428">
      <pivotArea dataOnly="0" labelOnly="1" outline="0" fieldPosition="0">
        <references count="5">
          <reference field="3" count="1" selected="0">
            <x v="4"/>
          </reference>
          <reference field="5" count="1" selected="0">
            <x v="0"/>
          </reference>
          <reference field="8" count="3">
            <x v="0"/>
            <x v="1"/>
            <x v="3"/>
          </reference>
          <reference field="15" count="1" selected="0">
            <x v="4"/>
          </reference>
          <reference field="16" count="1" selected="0">
            <x v="2"/>
          </reference>
        </references>
      </pivotArea>
    </format>
    <format dxfId="25429">
      <pivotArea dataOnly="0" labelOnly="1" outline="0" fieldPosition="0">
        <references count="5">
          <reference field="3" count="1" selected="0">
            <x v="4"/>
          </reference>
          <reference field="5" count="1" selected="0">
            <x v="1"/>
          </reference>
          <reference field="8" count="1">
            <x v="4"/>
          </reference>
          <reference field="15" count="1" selected="0">
            <x v="4"/>
          </reference>
          <reference field="16" count="1" selected="0">
            <x v="2"/>
          </reference>
        </references>
      </pivotArea>
    </format>
    <format dxfId="25430">
      <pivotArea dataOnly="0" labelOnly="1" outline="0" fieldPosition="0">
        <references count="5">
          <reference field="3" count="1" selected="0">
            <x v="4"/>
          </reference>
          <reference field="5" count="1" selected="0">
            <x v="2"/>
          </reference>
          <reference field="8" count="1">
            <x v="1"/>
          </reference>
          <reference field="15" count="1" selected="0">
            <x v="4"/>
          </reference>
          <reference field="16" count="1" selected="0">
            <x v="2"/>
          </reference>
        </references>
      </pivotArea>
    </format>
    <format dxfId="25431">
      <pivotArea dataOnly="0" labelOnly="1" outline="0" fieldPosition="0">
        <references count="5">
          <reference field="3" count="1" selected="0">
            <x v="4"/>
          </reference>
          <reference field="5" count="1" selected="0">
            <x v="3"/>
          </reference>
          <reference field="8" count="1">
            <x v="4"/>
          </reference>
          <reference field="15" count="1" selected="0">
            <x v="4"/>
          </reference>
          <reference field="16" count="1" selected="0">
            <x v="2"/>
          </reference>
        </references>
      </pivotArea>
    </format>
    <format dxfId="25432">
      <pivotArea dataOnly="0" labelOnly="1" outline="0" fieldPosition="0">
        <references count="5">
          <reference field="3" count="1" selected="0">
            <x v="0"/>
          </reference>
          <reference field="5" count="1" selected="0">
            <x v="0"/>
          </reference>
          <reference field="8" count="1">
            <x v="0"/>
          </reference>
          <reference field="15" count="1" selected="0">
            <x v="5"/>
          </reference>
          <reference field="16" count="1" selected="0">
            <x v="2"/>
          </reference>
        </references>
      </pivotArea>
    </format>
    <format dxfId="25433">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2"/>
          </reference>
        </references>
      </pivotArea>
    </format>
    <format dxfId="25434">
      <pivotArea dataOnly="0" labelOnly="1" outline="0" fieldPosition="0">
        <references count="5">
          <reference field="3" count="1" selected="0">
            <x v="1"/>
          </reference>
          <reference field="5" count="1" selected="0">
            <x v="1"/>
          </reference>
          <reference field="8" count="3">
            <x v="0"/>
            <x v="3"/>
            <x v="4"/>
          </reference>
          <reference field="15" count="1" selected="0">
            <x v="5"/>
          </reference>
          <reference field="16" count="1" selected="0">
            <x v="2"/>
          </reference>
        </references>
      </pivotArea>
    </format>
    <format dxfId="25435">
      <pivotArea dataOnly="0" labelOnly="1" outline="0" fieldPosition="0">
        <references count="5">
          <reference field="3" count="1" selected="0">
            <x v="1"/>
          </reference>
          <reference field="5" count="1" selected="0">
            <x v="2"/>
          </reference>
          <reference field="8" count="3">
            <x v="0"/>
            <x v="1"/>
            <x v="2"/>
          </reference>
          <reference field="15" count="1" selected="0">
            <x v="5"/>
          </reference>
          <reference field="16" count="1" selected="0">
            <x v="2"/>
          </reference>
        </references>
      </pivotArea>
    </format>
    <format dxfId="25436">
      <pivotArea dataOnly="0" labelOnly="1" outline="0" fieldPosition="0">
        <references count="5">
          <reference field="3" count="1" selected="0">
            <x v="2"/>
          </reference>
          <reference field="5" count="1" selected="0">
            <x v="0"/>
          </reference>
          <reference field="8" count="4">
            <x v="0"/>
            <x v="1"/>
            <x v="3"/>
            <x v="4"/>
          </reference>
          <reference field="15" count="1" selected="0">
            <x v="5"/>
          </reference>
          <reference field="16" count="1" selected="0">
            <x v="2"/>
          </reference>
        </references>
      </pivotArea>
    </format>
    <format dxfId="25437">
      <pivotArea dataOnly="0" labelOnly="1" outline="0" fieldPosition="0">
        <references count="5">
          <reference field="3" count="1" selected="0">
            <x v="2"/>
          </reference>
          <reference field="5" count="1" selected="0">
            <x v="1"/>
          </reference>
          <reference field="8" count="2">
            <x v="3"/>
            <x v="4"/>
          </reference>
          <reference field="15" count="1" selected="0">
            <x v="5"/>
          </reference>
          <reference field="16" count="1" selected="0">
            <x v="2"/>
          </reference>
        </references>
      </pivotArea>
    </format>
    <format dxfId="25438">
      <pivotArea dataOnly="0" labelOnly="1" outline="0" fieldPosition="0">
        <references count="5">
          <reference field="3" count="1" selected="0">
            <x v="2"/>
          </reference>
          <reference field="5" count="1" selected="0">
            <x v="3"/>
          </reference>
          <reference field="8" count="1">
            <x v="2"/>
          </reference>
          <reference field="15" count="1" selected="0">
            <x v="5"/>
          </reference>
          <reference field="16" count="1" selected="0">
            <x v="2"/>
          </reference>
        </references>
      </pivotArea>
    </format>
    <format dxfId="25439">
      <pivotArea dataOnly="0" labelOnly="1" outline="0" fieldPosition="0">
        <references count="5">
          <reference field="3" count="1" selected="0">
            <x v="3"/>
          </reference>
          <reference field="5" count="1" selected="0">
            <x v="0"/>
          </reference>
          <reference field="8" count="3">
            <x v="1"/>
            <x v="3"/>
            <x v="4"/>
          </reference>
          <reference field="15" count="1" selected="0">
            <x v="5"/>
          </reference>
          <reference field="16" count="1" selected="0">
            <x v="2"/>
          </reference>
        </references>
      </pivotArea>
    </format>
    <format dxfId="25440">
      <pivotArea dataOnly="0" labelOnly="1" outline="0" fieldPosition="0">
        <references count="5">
          <reference field="3" count="1" selected="0">
            <x v="3"/>
          </reference>
          <reference field="5" count="1" selected="0">
            <x v="2"/>
          </reference>
          <reference field="8" count="1">
            <x v="2"/>
          </reference>
          <reference field="15" count="1" selected="0">
            <x v="5"/>
          </reference>
          <reference field="16" count="1" selected="0">
            <x v="2"/>
          </reference>
        </references>
      </pivotArea>
    </format>
    <format dxfId="25441">
      <pivotArea dataOnly="0" labelOnly="1" outline="0" fieldPosition="0">
        <references count="5">
          <reference field="3" count="1" selected="0">
            <x v="3"/>
          </reference>
          <reference field="5" count="1" selected="0">
            <x v="3"/>
          </reference>
          <reference field="8" count="1">
            <x v="3"/>
          </reference>
          <reference field="15" count="1" selected="0">
            <x v="5"/>
          </reference>
          <reference field="16" count="1" selected="0">
            <x v="2"/>
          </reference>
        </references>
      </pivotArea>
    </format>
    <format dxfId="25442">
      <pivotArea dataOnly="0" labelOnly="1" outline="0" fieldPosition="0">
        <references count="5">
          <reference field="3" count="1" selected="0">
            <x v="4"/>
          </reference>
          <reference field="5" count="1" selected="0">
            <x v="0"/>
          </reference>
          <reference field="8" count="4">
            <x v="1"/>
            <x v="2"/>
            <x v="3"/>
            <x v="4"/>
          </reference>
          <reference field="15" count="1" selected="0">
            <x v="5"/>
          </reference>
          <reference field="16" count="1" selected="0">
            <x v="2"/>
          </reference>
        </references>
      </pivotArea>
    </format>
    <format dxfId="25443">
      <pivotArea dataOnly="0" labelOnly="1" outline="0" fieldPosition="0">
        <references count="5">
          <reference field="3" count="1" selected="0">
            <x v="4"/>
          </reference>
          <reference field="5" count="1" selected="0">
            <x v="1"/>
          </reference>
          <reference field="8" count="2">
            <x v="1"/>
            <x v="4"/>
          </reference>
          <reference field="15" count="1" selected="0">
            <x v="5"/>
          </reference>
          <reference field="16" count="1" selected="0">
            <x v="2"/>
          </reference>
        </references>
      </pivotArea>
    </format>
    <format dxfId="25444">
      <pivotArea dataOnly="0" labelOnly="1" outline="0" fieldPosition="0">
        <references count="5">
          <reference field="3" count="1" selected="0">
            <x v="4"/>
          </reference>
          <reference field="5" count="1" selected="0">
            <x v="3"/>
          </reference>
          <reference field="8" count="1">
            <x v="3"/>
          </reference>
          <reference field="15" count="1" selected="0">
            <x v="5"/>
          </reference>
          <reference field="16" count="1" selected="0">
            <x v="2"/>
          </reference>
        </references>
      </pivotArea>
    </format>
    <format dxfId="25445">
      <pivotArea dataOnly="0" labelOnly="1" outline="0" fieldPosition="0">
        <references count="5">
          <reference field="3" count="1" selected="0">
            <x v="0"/>
          </reference>
          <reference field="5" count="1" selected="0">
            <x v="0"/>
          </reference>
          <reference field="8" count="1">
            <x v="4"/>
          </reference>
          <reference field="15" count="1" selected="0">
            <x v="6"/>
          </reference>
          <reference field="16" count="1" selected="0">
            <x v="2"/>
          </reference>
        </references>
      </pivotArea>
    </format>
    <format dxfId="25446">
      <pivotArea dataOnly="0" labelOnly="1" outline="0" fieldPosition="0">
        <references count="5">
          <reference field="3" count="1" selected="0">
            <x v="0"/>
          </reference>
          <reference field="5" count="1" selected="0">
            <x v="1"/>
          </reference>
          <reference field="8" count="1">
            <x v="0"/>
          </reference>
          <reference field="15" count="1" selected="0">
            <x v="6"/>
          </reference>
          <reference field="16" count="1" selected="0">
            <x v="2"/>
          </reference>
        </references>
      </pivotArea>
    </format>
    <format dxfId="25447">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2"/>
          </reference>
        </references>
      </pivotArea>
    </format>
    <format dxfId="25448">
      <pivotArea dataOnly="0" labelOnly="1" outline="0" fieldPosition="0">
        <references count="5">
          <reference field="3" count="1" selected="0">
            <x v="1"/>
          </reference>
          <reference field="5" count="1" selected="0">
            <x v="1"/>
          </reference>
          <reference field="8" count="4">
            <x v="1"/>
            <x v="2"/>
            <x v="3"/>
            <x v="4"/>
          </reference>
          <reference field="15" count="1" selected="0">
            <x v="6"/>
          </reference>
          <reference field="16" count="1" selected="0">
            <x v="2"/>
          </reference>
        </references>
      </pivotArea>
    </format>
    <format dxfId="25449">
      <pivotArea dataOnly="0" labelOnly="1" outline="0" fieldPosition="0">
        <references count="5">
          <reference field="3" count="1" selected="0">
            <x v="1"/>
          </reference>
          <reference field="5" count="1" selected="0">
            <x v="2"/>
          </reference>
          <reference field="8" count="3">
            <x v="0"/>
            <x v="3"/>
            <x v="4"/>
          </reference>
          <reference field="15" count="1" selected="0">
            <x v="6"/>
          </reference>
          <reference field="16" count="1" selected="0">
            <x v="2"/>
          </reference>
        </references>
      </pivotArea>
    </format>
    <format dxfId="25450">
      <pivotArea dataOnly="0" labelOnly="1" outline="0" fieldPosition="0">
        <references count="5">
          <reference field="3" count="1" selected="0">
            <x v="2"/>
          </reference>
          <reference field="5" count="1" selected="0">
            <x v="0"/>
          </reference>
          <reference field="8" count="3">
            <x v="0"/>
            <x v="1"/>
            <x v="4"/>
          </reference>
          <reference field="15" count="1" selected="0">
            <x v="6"/>
          </reference>
          <reference field="16" count="1" selected="0">
            <x v="2"/>
          </reference>
        </references>
      </pivotArea>
    </format>
    <format dxfId="25451">
      <pivotArea dataOnly="0" labelOnly="1" outline="0" fieldPosition="0">
        <references count="5">
          <reference field="3" count="1" selected="0">
            <x v="2"/>
          </reference>
          <reference field="5" count="1" selected="0">
            <x v="1"/>
          </reference>
          <reference field="8" count="2">
            <x v="1"/>
            <x v="2"/>
          </reference>
          <reference field="15" count="1" selected="0">
            <x v="6"/>
          </reference>
          <reference field="16" count="1" selected="0">
            <x v="2"/>
          </reference>
        </references>
      </pivotArea>
    </format>
    <format dxfId="25452">
      <pivotArea dataOnly="0" labelOnly="1" outline="0" fieldPosition="0">
        <references count="5">
          <reference field="3" count="1" selected="0">
            <x v="2"/>
          </reference>
          <reference field="5" count="1" selected="0">
            <x v="2"/>
          </reference>
          <reference field="8" count="3">
            <x v="1"/>
            <x v="2"/>
            <x v="3"/>
          </reference>
          <reference field="15" count="1" selected="0">
            <x v="6"/>
          </reference>
          <reference field="16" count="1" selected="0">
            <x v="2"/>
          </reference>
        </references>
      </pivotArea>
    </format>
    <format dxfId="25453">
      <pivotArea dataOnly="0" labelOnly="1" outline="0" fieldPosition="0">
        <references count="5">
          <reference field="3" count="1" selected="0">
            <x v="3"/>
          </reference>
          <reference field="5" count="1" selected="0">
            <x v="0"/>
          </reference>
          <reference field="8" count="1">
            <x v="3"/>
          </reference>
          <reference field="15" count="1" selected="0">
            <x v="6"/>
          </reference>
          <reference field="16" count="1" selected="0">
            <x v="2"/>
          </reference>
        </references>
      </pivotArea>
    </format>
    <format dxfId="25454">
      <pivotArea dataOnly="0" labelOnly="1" outline="0" fieldPosition="0">
        <references count="5">
          <reference field="3" count="1" selected="0">
            <x v="3"/>
          </reference>
          <reference field="5" count="1" selected="0">
            <x v="1"/>
          </reference>
          <reference field="8" count="1">
            <x v="2"/>
          </reference>
          <reference field="15" count="1" selected="0">
            <x v="6"/>
          </reference>
          <reference field="16" count="1" selected="0">
            <x v="2"/>
          </reference>
        </references>
      </pivotArea>
    </format>
    <format dxfId="25455">
      <pivotArea dataOnly="0" labelOnly="1" outline="0" fieldPosition="0">
        <references count="5">
          <reference field="3" count="1" selected="0">
            <x v="3"/>
          </reference>
          <reference field="5" count="1" selected="0">
            <x v="2"/>
          </reference>
          <reference field="8" count="1">
            <x v="0"/>
          </reference>
          <reference field="15" count="1" selected="0">
            <x v="6"/>
          </reference>
          <reference field="16" count="1" selected="0">
            <x v="2"/>
          </reference>
        </references>
      </pivotArea>
    </format>
    <format dxfId="25456">
      <pivotArea dataOnly="0" labelOnly="1" outline="0" fieldPosition="0">
        <references count="5">
          <reference field="3" count="1" selected="0">
            <x v="3"/>
          </reference>
          <reference field="5" count="1" selected="0">
            <x v="3"/>
          </reference>
          <reference field="8" count="1">
            <x v="0"/>
          </reference>
          <reference field="15" count="1" selected="0">
            <x v="6"/>
          </reference>
          <reference field="16" count="1" selected="0">
            <x v="2"/>
          </reference>
        </references>
      </pivotArea>
    </format>
    <format dxfId="25457">
      <pivotArea dataOnly="0" labelOnly="1" outline="0" fieldPosition="0">
        <references count="5">
          <reference field="3" count="1" selected="0">
            <x v="4"/>
          </reference>
          <reference field="5" count="1" selected="0">
            <x v="0"/>
          </reference>
          <reference field="8" count="2">
            <x v="0"/>
            <x v="2"/>
          </reference>
          <reference field="15" count="1" selected="0">
            <x v="6"/>
          </reference>
          <reference field="16" count="1" selected="0">
            <x v="2"/>
          </reference>
        </references>
      </pivotArea>
    </format>
    <format dxfId="25458">
      <pivotArea dataOnly="0" labelOnly="1" outline="0" fieldPosition="0">
        <references count="5">
          <reference field="3" count="1" selected="0">
            <x v="4"/>
          </reference>
          <reference field="5" count="1" selected="0">
            <x v="1"/>
          </reference>
          <reference field="8" count="2">
            <x v="1"/>
            <x v="3"/>
          </reference>
          <reference field="15" count="1" selected="0">
            <x v="6"/>
          </reference>
          <reference field="16" count="1" selected="0">
            <x v="2"/>
          </reference>
        </references>
      </pivotArea>
    </format>
    <format dxfId="25459">
      <pivotArea dataOnly="0" labelOnly="1" outline="0" fieldPosition="0">
        <references count="5">
          <reference field="3" count="1" selected="0">
            <x v="4"/>
          </reference>
          <reference field="5" count="1" selected="0">
            <x v="2"/>
          </reference>
          <reference field="8" count="1">
            <x v="4"/>
          </reference>
          <reference field="15" count="1" selected="0">
            <x v="6"/>
          </reference>
          <reference field="16" count="1" selected="0">
            <x v="2"/>
          </reference>
        </references>
      </pivotArea>
    </format>
    <format dxfId="25460">
      <pivotArea dataOnly="0" labelOnly="1" outline="0" fieldPosition="0">
        <references count="5">
          <reference field="3" count="1" selected="0">
            <x v="0"/>
          </reference>
          <reference field="5" count="1" selected="0">
            <x v="0"/>
          </reference>
          <reference field="8" count="2">
            <x v="1"/>
            <x v="3"/>
          </reference>
          <reference field="15" count="1" selected="0">
            <x v="7"/>
          </reference>
          <reference field="16" count="1" selected="0">
            <x v="2"/>
          </reference>
        </references>
      </pivotArea>
    </format>
    <format dxfId="25461">
      <pivotArea dataOnly="0" labelOnly="1" outline="0" fieldPosition="0">
        <references count="5">
          <reference field="3" count="1" selected="0">
            <x v="1"/>
          </reference>
          <reference field="5" count="1" selected="0">
            <x v="0"/>
          </reference>
          <reference field="8" count="3">
            <x v="0"/>
            <x v="1"/>
            <x v="2"/>
          </reference>
          <reference field="15" count="1" selected="0">
            <x v="7"/>
          </reference>
          <reference field="16" count="1" selected="0">
            <x v="2"/>
          </reference>
        </references>
      </pivotArea>
    </format>
    <format dxfId="25462">
      <pivotArea dataOnly="0" labelOnly="1" outline="0" fieldPosition="0">
        <references count="5">
          <reference field="3" count="1" selected="0">
            <x v="1"/>
          </reference>
          <reference field="5" count="1" selected="0">
            <x v="1"/>
          </reference>
          <reference field="8" count="3">
            <x v="0"/>
            <x v="1"/>
            <x v="3"/>
          </reference>
          <reference field="15" count="1" selected="0">
            <x v="7"/>
          </reference>
          <reference field="16" count="1" selected="0">
            <x v="2"/>
          </reference>
        </references>
      </pivotArea>
    </format>
    <format dxfId="25463">
      <pivotArea dataOnly="0" labelOnly="1" outline="0" fieldPosition="0">
        <references count="5">
          <reference field="3" count="1" selected="0">
            <x v="1"/>
          </reference>
          <reference field="5" count="1" selected="0">
            <x v="2"/>
          </reference>
          <reference field="8" count="1">
            <x v="4"/>
          </reference>
          <reference field="15" count="1" selected="0">
            <x v="7"/>
          </reference>
          <reference field="16" count="1" selected="0">
            <x v="2"/>
          </reference>
        </references>
      </pivotArea>
    </format>
    <format dxfId="25464">
      <pivotArea dataOnly="0" labelOnly="1" outline="0" fieldPosition="0">
        <references count="5">
          <reference field="3" count="1" selected="0">
            <x v="2"/>
          </reference>
          <reference field="5" count="1" selected="0">
            <x v="0"/>
          </reference>
          <reference field="8" count="3">
            <x v="0"/>
            <x v="2"/>
            <x v="3"/>
          </reference>
          <reference field="15" count="1" selected="0">
            <x v="7"/>
          </reference>
          <reference field="16" count="1" selected="0">
            <x v="2"/>
          </reference>
        </references>
      </pivotArea>
    </format>
    <format dxfId="25465">
      <pivotArea dataOnly="0" labelOnly="1" outline="0" fieldPosition="0">
        <references count="5">
          <reference field="3" count="1" selected="0">
            <x v="2"/>
          </reference>
          <reference field="5" count="1" selected="0">
            <x v="1"/>
          </reference>
          <reference field="8" count="2">
            <x v="1"/>
            <x v="3"/>
          </reference>
          <reference field="15" count="1" selected="0">
            <x v="7"/>
          </reference>
          <reference field="16" count="1" selected="0">
            <x v="2"/>
          </reference>
        </references>
      </pivotArea>
    </format>
    <format dxfId="25466">
      <pivotArea dataOnly="0" labelOnly="1" outline="0" fieldPosition="0">
        <references count="5">
          <reference field="3" count="1" selected="0">
            <x v="2"/>
          </reference>
          <reference field="5" count="1" selected="0">
            <x v="2"/>
          </reference>
          <reference field="8" count="1">
            <x v="0"/>
          </reference>
          <reference field="15" count="1" selected="0">
            <x v="7"/>
          </reference>
          <reference field="16" count="1" selected="0">
            <x v="2"/>
          </reference>
        </references>
      </pivotArea>
    </format>
    <format dxfId="25467">
      <pivotArea dataOnly="0" labelOnly="1" outline="0" fieldPosition="0">
        <references count="5">
          <reference field="3" count="1" selected="0">
            <x v="2"/>
          </reference>
          <reference field="5" count="1" selected="0">
            <x v="3"/>
          </reference>
          <reference field="8" count="1">
            <x v="4"/>
          </reference>
          <reference field="15" count="1" selected="0">
            <x v="7"/>
          </reference>
          <reference field="16" count="1" selected="0">
            <x v="2"/>
          </reference>
        </references>
      </pivotArea>
    </format>
    <format dxfId="25468">
      <pivotArea dataOnly="0" labelOnly="1" outline="0" fieldPosition="0">
        <references count="5">
          <reference field="3" count="1" selected="0">
            <x v="3"/>
          </reference>
          <reference field="5" count="1" selected="0">
            <x v="0"/>
          </reference>
          <reference field="8" count="2">
            <x v="0"/>
            <x v="1"/>
          </reference>
          <reference field="15" count="1" selected="0">
            <x v="7"/>
          </reference>
          <reference field="16" count="1" selected="0">
            <x v="2"/>
          </reference>
        </references>
      </pivotArea>
    </format>
    <format dxfId="25469">
      <pivotArea dataOnly="0" labelOnly="1" outline="0" fieldPosition="0">
        <references count="5">
          <reference field="3" count="1" selected="0">
            <x v="3"/>
          </reference>
          <reference field="5" count="1" selected="0">
            <x v="1"/>
          </reference>
          <reference field="8" count="3">
            <x v="0"/>
            <x v="1"/>
            <x v="3"/>
          </reference>
          <reference field="15" count="1" selected="0">
            <x v="7"/>
          </reference>
          <reference field="16" count="1" selected="0">
            <x v="2"/>
          </reference>
        </references>
      </pivotArea>
    </format>
    <format dxfId="25470">
      <pivotArea dataOnly="0" labelOnly="1" outline="0" fieldPosition="0">
        <references count="5">
          <reference field="3" count="1" selected="0">
            <x v="4"/>
          </reference>
          <reference field="5" count="1" selected="0">
            <x v="0"/>
          </reference>
          <reference field="8" count="3">
            <x v="1"/>
            <x v="3"/>
            <x v="4"/>
          </reference>
          <reference field="15" count="1" selected="0">
            <x v="7"/>
          </reference>
          <reference field="16" count="1" selected="0">
            <x v="2"/>
          </reference>
        </references>
      </pivotArea>
    </format>
    <format dxfId="25471">
      <pivotArea dataOnly="0" labelOnly="1" outline="0" fieldPosition="0">
        <references count="5">
          <reference field="3" count="1" selected="0">
            <x v="4"/>
          </reference>
          <reference field="5" count="1" selected="0">
            <x v="1"/>
          </reference>
          <reference field="8" count="1">
            <x v="4"/>
          </reference>
          <reference field="15" count="1" selected="0">
            <x v="7"/>
          </reference>
          <reference field="16" count="1" selected="0">
            <x v="2"/>
          </reference>
        </references>
      </pivotArea>
    </format>
    <format dxfId="25472">
      <pivotArea dataOnly="0" labelOnly="1" outline="0" fieldPosition="0">
        <references count="5">
          <reference field="3" count="1" selected="0">
            <x v="0"/>
          </reference>
          <reference field="5" count="1" selected="0">
            <x v="2"/>
          </reference>
          <reference field="8" count="2">
            <x v="3"/>
            <x v="4"/>
          </reference>
          <reference field="15" count="1" selected="0">
            <x v="8"/>
          </reference>
          <reference field="16" count="1" selected="0">
            <x v="2"/>
          </reference>
        </references>
      </pivotArea>
    </format>
    <format dxfId="25473">
      <pivotArea dataOnly="0" labelOnly="1" outline="0" fieldPosition="0">
        <references count="5">
          <reference field="3" count="1" selected="0">
            <x v="0"/>
          </reference>
          <reference field="5" count="1" selected="0">
            <x v="3"/>
          </reference>
          <reference field="8" count="1">
            <x v="4"/>
          </reference>
          <reference field="15" count="1" selected="0">
            <x v="8"/>
          </reference>
          <reference field="16" count="1" selected="0">
            <x v="2"/>
          </reference>
        </references>
      </pivotArea>
    </format>
    <format dxfId="25474">
      <pivotArea dataOnly="0" labelOnly="1" outline="0" fieldPosition="0">
        <references count="5">
          <reference field="3" count="1" selected="0">
            <x v="1"/>
          </reference>
          <reference field="5" count="1" selected="0">
            <x v="0"/>
          </reference>
          <reference field="8" count="2">
            <x v="0"/>
            <x v="3"/>
          </reference>
          <reference field="15" count="1" selected="0">
            <x v="8"/>
          </reference>
          <reference field="16" count="1" selected="0">
            <x v="2"/>
          </reference>
        </references>
      </pivotArea>
    </format>
    <format dxfId="25475">
      <pivotArea dataOnly="0" labelOnly="1" outline="0" fieldPosition="0">
        <references count="5">
          <reference field="3" count="1" selected="0">
            <x v="1"/>
          </reference>
          <reference field="5" count="1" selected="0">
            <x v="1"/>
          </reference>
          <reference field="8" count="2">
            <x v="0"/>
            <x v="1"/>
          </reference>
          <reference field="15" count="1" selected="0">
            <x v="8"/>
          </reference>
          <reference field="16" count="1" selected="0">
            <x v="2"/>
          </reference>
        </references>
      </pivotArea>
    </format>
    <format dxfId="25476">
      <pivotArea dataOnly="0" labelOnly="1" outline="0" fieldPosition="0">
        <references count="5">
          <reference field="3" count="1" selected="0">
            <x v="1"/>
          </reference>
          <reference field="5" count="1" selected="0">
            <x v="2"/>
          </reference>
          <reference field="8" count="1">
            <x v="1"/>
          </reference>
          <reference field="15" count="1" selected="0">
            <x v="8"/>
          </reference>
          <reference field="16" count="1" selected="0">
            <x v="2"/>
          </reference>
        </references>
      </pivotArea>
    </format>
    <format dxfId="25477">
      <pivotArea dataOnly="0" labelOnly="1" outline="0" fieldPosition="0">
        <references count="5">
          <reference field="3" count="1" selected="0">
            <x v="1"/>
          </reference>
          <reference field="5" count="1" selected="0">
            <x v="3"/>
          </reference>
          <reference field="8" count="2">
            <x v="1"/>
            <x v="4"/>
          </reference>
          <reference field="15" count="1" selected="0">
            <x v="8"/>
          </reference>
          <reference field="16" count="1" selected="0">
            <x v="2"/>
          </reference>
        </references>
      </pivotArea>
    </format>
    <format dxfId="25478">
      <pivotArea dataOnly="0" labelOnly="1" outline="0" fieldPosition="0">
        <references count="5">
          <reference field="3" count="1" selected="0">
            <x v="2"/>
          </reference>
          <reference field="5" count="1" selected="0">
            <x v="0"/>
          </reference>
          <reference field="8" count="3">
            <x v="1"/>
            <x v="3"/>
            <x v="4"/>
          </reference>
          <reference field="15" count="1" selected="0">
            <x v="8"/>
          </reference>
          <reference field="16" count="1" selected="0">
            <x v="2"/>
          </reference>
        </references>
      </pivotArea>
    </format>
    <format dxfId="25479">
      <pivotArea dataOnly="0" labelOnly="1" outline="0" fieldPosition="0">
        <references count="5">
          <reference field="3" count="1" selected="0">
            <x v="2"/>
          </reference>
          <reference field="5" count="1" selected="0">
            <x v="1"/>
          </reference>
          <reference field="8" count="3">
            <x v="0"/>
            <x v="1"/>
            <x v="2"/>
          </reference>
          <reference field="15" count="1" selected="0">
            <x v="8"/>
          </reference>
          <reference field="16" count="1" selected="0">
            <x v="2"/>
          </reference>
        </references>
      </pivotArea>
    </format>
    <format dxfId="25480">
      <pivotArea dataOnly="0" labelOnly="1" outline="0" fieldPosition="0">
        <references count="5">
          <reference field="3" count="1" selected="0">
            <x v="2"/>
          </reference>
          <reference field="5" count="1" selected="0">
            <x v="2"/>
          </reference>
          <reference field="8" count="2">
            <x v="1"/>
            <x v="2"/>
          </reference>
          <reference field="15" count="1" selected="0">
            <x v="8"/>
          </reference>
          <reference field="16" count="1" selected="0">
            <x v="2"/>
          </reference>
        </references>
      </pivotArea>
    </format>
    <format dxfId="25481">
      <pivotArea dataOnly="0" labelOnly="1" outline="0" fieldPosition="0">
        <references count="5">
          <reference field="3" count="1" selected="0">
            <x v="2"/>
          </reference>
          <reference field="5" count="1" selected="0">
            <x v="3"/>
          </reference>
          <reference field="8" count="1">
            <x v="4"/>
          </reference>
          <reference field="15" count="1" selected="0">
            <x v="8"/>
          </reference>
          <reference field="16" count="1" selected="0">
            <x v="2"/>
          </reference>
        </references>
      </pivotArea>
    </format>
    <format dxfId="25482">
      <pivotArea dataOnly="0" labelOnly="1" outline="0" fieldPosition="0">
        <references count="5">
          <reference field="3" count="1" selected="0">
            <x v="3"/>
          </reference>
          <reference field="5" count="1" selected="0">
            <x v="0"/>
          </reference>
          <reference field="8" count="2">
            <x v="1"/>
            <x v="2"/>
          </reference>
          <reference field="15" count="1" selected="0">
            <x v="8"/>
          </reference>
          <reference field="16" count="1" selected="0">
            <x v="2"/>
          </reference>
        </references>
      </pivotArea>
    </format>
    <format dxfId="25483">
      <pivotArea dataOnly="0" labelOnly="1" outline="0" fieldPosition="0">
        <references count="5">
          <reference field="3" count="1" selected="0">
            <x v="3"/>
          </reference>
          <reference field="5" count="1" selected="0">
            <x v="2"/>
          </reference>
          <reference field="8" count="1">
            <x v="1"/>
          </reference>
          <reference field="15" count="1" selected="0">
            <x v="8"/>
          </reference>
          <reference field="16" count="1" selected="0">
            <x v="2"/>
          </reference>
        </references>
      </pivotArea>
    </format>
    <format dxfId="25484">
      <pivotArea dataOnly="0" labelOnly="1" outline="0" fieldPosition="0">
        <references count="5">
          <reference field="3" count="1" selected="0">
            <x v="3"/>
          </reference>
          <reference field="5" count="1" selected="0">
            <x v="3"/>
          </reference>
          <reference field="8" count="1">
            <x v="1"/>
          </reference>
          <reference field="15" count="1" selected="0">
            <x v="8"/>
          </reference>
          <reference field="16" count="1" selected="0">
            <x v="2"/>
          </reference>
        </references>
      </pivotArea>
    </format>
    <format dxfId="25485">
      <pivotArea dataOnly="0" labelOnly="1" outline="0" fieldPosition="0">
        <references count="5">
          <reference field="3" count="1" selected="0">
            <x v="4"/>
          </reference>
          <reference field="5" count="1" selected="0">
            <x v="0"/>
          </reference>
          <reference field="8" count="3">
            <x v="0"/>
            <x v="1"/>
            <x v="2"/>
          </reference>
          <reference field="15" count="1" selected="0">
            <x v="8"/>
          </reference>
          <reference field="16" count="1" selected="0">
            <x v="2"/>
          </reference>
        </references>
      </pivotArea>
    </format>
    <format dxfId="25486">
      <pivotArea dataOnly="0" labelOnly="1" outline="0" fieldPosition="0">
        <references count="5">
          <reference field="3" count="1" selected="0">
            <x v="4"/>
          </reference>
          <reference field="5" count="1" selected="0">
            <x v="3"/>
          </reference>
          <reference field="8" count="1">
            <x v="1"/>
          </reference>
          <reference field="15" count="1" selected="0">
            <x v="8"/>
          </reference>
          <reference field="16" count="1" selected="0">
            <x v="2"/>
          </reference>
        </references>
      </pivotArea>
    </format>
    <format dxfId="25487">
      <pivotArea dataOnly="0" labelOnly="1" outline="0" fieldPosition="0">
        <references count="5">
          <reference field="3" count="1" selected="0">
            <x v="0"/>
          </reference>
          <reference field="5" count="1" selected="0">
            <x v="0"/>
          </reference>
          <reference field="8" count="1">
            <x v="0"/>
          </reference>
          <reference field="15" count="1" selected="0">
            <x v="9"/>
          </reference>
          <reference field="16" count="1" selected="0">
            <x v="2"/>
          </reference>
        </references>
      </pivotArea>
    </format>
    <format dxfId="25488">
      <pivotArea dataOnly="0" labelOnly="1" outline="0" fieldPosition="0">
        <references count="5">
          <reference field="3" count="1" selected="0">
            <x v="1"/>
          </reference>
          <reference field="5" count="1" selected="0">
            <x v="0"/>
          </reference>
          <reference field="8" count="3">
            <x v="0"/>
            <x v="2"/>
            <x v="3"/>
          </reference>
          <reference field="15" count="1" selected="0">
            <x v="9"/>
          </reference>
          <reference field="16" count="1" selected="0">
            <x v="2"/>
          </reference>
        </references>
      </pivotArea>
    </format>
    <format dxfId="25489">
      <pivotArea dataOnly="0" labelOnly="1" outline="0" fieldPosition="0">
        <references count="5">
          <reference field="3" count="1" selected="0">
            <x v="1"/>
          </reference>
          <reference field="5" count="1" selected="0">
            <x v="1"/>
          </reference>
          <reference field="8" count="4">
            <x v="0"/>
            <x v="1"/>
            <x v="2"/>
            <x v="4"/>
          </reference>
          <reference field="15" count="1" selected="0">
            <x v="9"/>
          </reference>
          <reference field="16" count="1" selected="0">
            <x v="2"/>
          </reference>
        </references>
      </pivotArea>
    </format>
    <format dxfId="25490">
      <pivotArea dataOnly="0" labelOnly="1" outline="0" fieldPosition="0">
        <references count="5">
          <reference field="3" count="1" selected="0">
            <x v="1"/>
          </reference>
          <reference field="5" count="1" selected="0">
            <x v="3"/>
          </reference>
          <reference field="8" count="1">
            <x v="1"/>
          </reference>
          <reference field="15" count="1" selected="0">
            <x v="9"/>
          </reference>
          <reference field="16" count="1" selected="0">
            <x v="2"/>
          </reference>
        </references>
      </pivotArea>
    </format>
    <format dxfId="25491">
      <pivotArea dataOnly="0" labelOnly="1" outline="0" fieldPosition="0">
        <references count="5">
          <reference field="3" count="1" selected="0">
            <x v="2"/>
          </reference>
          <reference field="5" count="1" selected="0">
            <x v="0"/>
          </reference>
          <reference field="8" count="4">
            <x v="0"/>
            <x v="1"/>
            <x v="2"/>
            <x v="3"/>
          </reference>
          <reference field="15" count="1" selected="0">
            <x v="9"/>
          </reference>
          <reference field="16" count="1" selected="0">
            <x v="2"/>
          </reference>
        </references>
      </pivotArea>
    </format>
    <format dxfId="25492">
      <pivotArea dataOnly="0" labelOnly="1" outline="0" fieldPosition="0">
        <references count="5">
          <reference field="3" count="1" selected="0">
            <x v="2"/>
          </reference>
          <reference field="5" count="1" selected="0">
            <x v="1"/>
          </reference>
          <reference field="8" count="2">
            <x v="2"/>
            <x v="4"/>
          </reference>
          <reference field="15" count="1" selected="0">
            <x v="9"/>
          </reference>
          <reference field="16" count="1" selected="0">
            <x v="2"/>
          </reference>
        </references>
      </pivotArea>
    </format>
    <format dxfId="25493">
      <pivotArea dataOnly="0" labelOnly="1" outline="0" fieldPosition="0">
        <references count="5">
          <reference field="3" count="1" selected="0">
            <x v="2"/>
          </reference>
          <reference field="5" count="1" selected="0">
            <x v="2"/>
          </reference>
          <reference field="8" count="1">
            <x v="3"/>
          </reference>
          <reference field="15" count="1" selected="0">
            <x v="9"/>
          </reference>
          <reference field="16" count="1" selected="0">
            <x v="2"/>
          </reference>
        </references>
      </pivotArea>
    </format>
    <format dxfId="25494">
      <pivotArea dataOnly="0" labelOnly="1" outline="0" fieldPosition="0">
        <references count="5">
          <reference field="3" count="1" selected="0">
            <x v="3"/>
          </reference>
          <reference field="5" count="1" selected="0">
            <x v="0"/>
          </reference>
          <reference field="8" count="1">
            <x v="3"/>
          </reference>
          <reference field="15" count="1" selected="0">
            <x v="9"/>
          </reference>
          <reference field="16" count="1" selected="0">
            <x v="2"/>
          </reference>
        </references>
      </pivotArea>
    </format>
    <format dxfId="25495">
      <pivotArea dataOnly="0" labelOnly="1" outline="0" fieldPosition="0">
        <references count="5">
          <reference field="3" count="1" selected="0">
            <x v="3"/>
          </reference>
          <reference field="5" count="1" selected="0">
            <x v="1"/>
          </reference>
          <reference field="8" count="1">
            <x v="2"/>
          </reference>
          <reference field="15" count="1" selected="0">
            <x v="9"/>
          </reference>
          <reference field="16" count="1" selected="0">
            <x v="2"/>
          </reference>
        </references>
      </pivotArea>
    </format>
    <format dxfId="25496">
      <pivotArea dataOnly="0" labelOnly="1" outline="0" fieldPosition="0">
        <references count="5">
          <reference field="3" count="1" selected="0">
            <x v="4"/>
          </reference>
          <reference field="5" count="1" selected="0">
            <x v="0"/>
          </reference>
          <reference field="8" count="4">
            <x v="1"/>
            <x v="2"/>
            <x v="3"/>
            <x v="4"/>
          </reference>
          <reference field="15" count="1" selected="0">
            <x v="9"/>
          </reference>
          <reference field="16" count="1" selected="0">
            <x v="2"/>
          </reference>
        </references>
      </pivotArea>
    </format>
    <format dxfId="25497">
      <pivotArea dataOnly="0" labelOnly="1" outline="0" fieldPosition="0">
        <references count="5">
          <reference field="3" count="1" selected="0">
            <x v="4"/>
          </reference>
          <reference field="5" count="1" selected="0">
            <x v="1"/>
          </reference>
          <reference field="8" count="3">
            <x v="1"/>
            <x v="3"/>
            <x v="4"/>
          </reference>
          <reference field="15" count="1" selected="0">
            <x v="9"/>
          </reference>
          <reference field="16" count="1" selected="0">
            <x v="2"/>
          </reference>
        </references>
      </pivotArea>
    </format>
    <format dxfId="25498">
      <pivotArea dataOnly="0" labelOnly="1" outline="0" fieldPosition="0">
        <references count="5">
          <reference field="3" count="1" selected="0">
            <x v="4"/>
          </reference>
          <reference field="5" count="1" selected="0">
            <x v="2"/>
          </reference>
          <reference field="8" count="1">
            <x v="1"/>
          </reference>
          <reference field="15" count="1" selected="0">
            <x v="9"/>
          </reference>
          <reference field="16" count="1" selected="0">
            <x v="2"/>
          </reference>
        </references>
      </pivotArea>
    </format>
    <format dxfId="25499">
      <pivotArea dataOnly="0" labelOnly="1" outline="0" fieldPosition="0">
        <references count="5">
          <reference field="3" count="1" selected="0">
            <x v="0"/>
          </reference>
          <reference field="5" count="1" selected="0">
            <x v="0"/>
          </reference>
          <reference field="8" count="1">
            <x v="3"/>
          </reference>
          <reference field="15" count="1" selected="0">
            <x v="10"/>
          </reference>
          <reference field="16" count="1" selected="0">
            <x v="2"/>
          </reference>
        </references>
      </pivotArea>
    </format>
    <format dxfId="25500">
      <pivotArea dataOnly="0" labelOnly="1" outline="0" fieldPosition="0">
        <references count="5">
          <reference field="3" count="1" selected="0">
            <x v="1"/>
          </reference>
          <reference field="5" count="1" selected="0">
            <x v="0"/>
          </reference>
          <reference field="8" count="3">
            <x v="0"/>
            <x v="1"/>
            <x v="2"/>
          </reference>
          <reference field="15" count="1" selected="0">
            <x v="10"/>
          </reference>
          <reference field="16" count="1" selected="0">
            <x v="2"/>
          </reference>
        </references>
      </pivotArea>
    </format>
    <format dxfId="25501">
      <pivotArea dataOnly="0" labelOnly="1" outline="0" fieldPosition="0">
        <references count="5">
          <reference field="3" count="1" selected="0">
            <x v="1"/>
          </reference>
          <reference field="5" count="1" selected="0">
            <x v="1"/>
          </reference>
          <reference field="8" count="1">
            <x v="4"/>
          </reference>
          <reference field="15" count="1" selected="0">
            <x v="10"/>
          </reference>
          <reference field="16" count="1" selected="0">
            <x v="2"/>
          </reference>
        </references>
      </pivotArea>
    </format>
    <format dxfId="25502">
      <pivotArea dataOnly="0" labelOnly="1" outline="0" fieldPosition="0">
        <references count="5">
          <reference field="3" count="1" selected="0">
            <x v="1"/>
          </reference>
          <reference field="5" count="1" selected="0">
            <x v="2"/>
          </reference>
          <reference field="8" count="3">
            <x v="1"/>
            <x v="2"/>
            <x v="3"/>
          </reference>
          <reference field="15" count="1" selected="0">
            <x v="10"/>
          </reference>
          <reference field="16" count="1" selected="0">
            <x v="2"/>
          </reference>
        </references>
      </pivotArea>
    </format>
    <format dxfId="25503">
      <pivotArea dataOnly="0" labelOnly="1" outline="0" fieldPosition="0">
        <references count="5">
          <reference field="3" count="1" selected="0">
            <x v="1"/>
          </reference>
          <reference field="5" count="1" selected="0">
            <x v="3"/>
          </reference>
          <reference field="8" count="1">
            <x v="4"/>
          </reference>
          <reference field="15" count="1" selected="0">
            <x v="10"/>
          </reference>
          <reference field="16" count="1" selected="0">
            <x v="2"/>
          </reference>
        </references>
      </pivotArea>
    </format>
    <format dxfId="25504">
      <pivotArea dataOnly="0" labelOnly="1" outline="0" fieldPosition="0">
        <references count="5">
          <reference field="3" count="1" selected="0">
            <x v="2"/>
          </reference>
          <reference field="5" count="1" selected="0">
            <x v="0"/>
          </reference>
          <reference field="8" count="3">
            <x v="1"/>
            <x v="2"/>
            <x v="3"/>
          </reference>
          <reference field="15" count="1" selected="0">
            <x v="10"/>
          </reference>
          <reference field="16" count="1" selected="0">
            <x v="2"/>
          </reference>
        </references>
      </pivotArea>
    </format>
    <format dxfId="25505">
      <pivotArea dataOnly="0" labelOnly="1" outline="0" fieldPosition="0">
        <references count="5">
          <reference field="3" count="1" selected="0">
            <x v="2"/>
          </reference>
          <reference field="5" count="1" selected="0">
            <x v="1"/>
          </reference>
          <reference field="8" count="1">
            <x v="3"/>
          </reference>
          <reference field="15" count="1" selected="0">
            <x v="10"/>
          </reference>
          <reference field="16" count="1" selected="0">
            <x v="2"/>
          </reference>
        </references>
      </pivotArea>
    </format>
    <format dxfId="25506">
      <pivotArea dataOnly="0" labelOnly="1" outline="0" fieldPosition="0">
        <references count="5">
          <reference field="3" count="1" selected="0">
            <x v="3"/>
          </reference>
          <reference field="5" count="1" selected="0">
            <x v="0"/>
          </reference>
          <reference field="8" count="2">
            <x v="2"/>
            <x v="3"/>
          </reference>
          <reference field="15" count="1" selected="0">
            <x v="10"/>
          </reference>
          <reference field="16" count="1" selected="0">
            <x v="2"/>
          </reference>
        </references>
      </pivotArea>
    </format>
    <format dxfId="25507">
      <pivotArea dataOnly="0" labelOnly="1" outline="0" fieldPosition="0">
        <references count="5">
          <reference field="3" count="1" selected="0">
            <x v="3"/>
          </reference>
          <reference field="5" count="1" selected="0">
            <x v="1"/>
          </reference>
          <reference field="8" count="2">
            <x v="0"/>
            <x v="1"/>
          </reference>
          <reference field="15" count="1" selected="0">
            <x v="10"/>
          </reference>
          <reference field="16" count="1" selected="0">
            <x v="2"/>
          </reference>
        </references>
      </pivotArea>
    </format>
    <format dxfId="25508">
      <pivotArea dataOnly="0" labelOnly="1" outline="0" fieldPosition="0">
        <references count="5">
          <reference field="3" count="1" selected="0">
            <x v="3"/>
          </reference>
          <reference field="5" count="1" selected="0">
            <x v="2"/>
          </reference>
          <reference field="8" count="1">
            <x v="3"/>
          </reference>
          <reference field="15" count="1" selected="0">
            <x v="10"/>
          </reference>
          <reference field="16" count="1" selected="0">
            <x v="2"/>
          </reference>
        </references>
      </pivotArea>
    </format>
    <format dxfId="25509">
      <pivotArea dataOnly="0" labelOnly="1" outline="0" fieldPosition="0">
        <references count="5">
          <reference field="3" count="1" selected="0">
            <x v="3"/>
          </reference>
          <reference field="5" count="1" selected="0">
            <x v="3"/>
          </reference>
          <reference field="8" count="1">
            <x v="3"/>
          </reference>
          <reference field="15" count="1" selected="0">
            <x v="10"/>
          </reference>
          <reference field="16" count="1" selected="0">
            <x v="2"/>
          </reference>
        </references>
      </pivotArea>
    </format>
    <format dxfId="25510">
      <pivotArea dataOnly="0" labelOnly="1" outline="0" fieldPosition="0">
        <references count="5">
          <reference field="3" count="1" selected="0">
            <x v="4"/>
          </reference>
          <reference field="5" count="1" selected="0">
            <x v="0"/>
          </reference>
          <reference field="8" count="2">
            <x v="3"/>
            <x v="4"/>
          </reference>
          <reference field="15" count="1" selected="0">
            <x v="10"/>
          </reference>
          <reference field="16" count="1" selected="0">
            <x v="2"/>
          </reference>
        </references>
      </pivotArea>
    </format>
    <format dxfId="25511">
      <pivotArea dataOnly="0" labelOnly="1" outline="0" fieldPosition="0">
        <references count="5">
          <reference field="3" count="1" selected="0">
            <x v="4"/>
          </reference>
          <reference field="5" count="1" selected="0">
            <x v="1"/>
          </reference>
          <reference field="8" count="2">
            <x v="2"/>
            <x v="4"/>
          </reference>
          <reference field="15" count="1" selected="0">
            <x v="10"/>
          </reference>
          <reference field="16" count="1" selected="0">
            <x v="2"/>
          </reference>
        </references>
      </pivotArea>
    </format>
    <format dxfId="25512">
      <pivotArea dataOnly="0" labelOnly="1" outline="0" fieldPosition="0">
        <references count="5">
          <reference field="3" count="1" selected="0">
            <x v="4"/>
          </reference>
          <reference field="5" count="1" selected="0">
            <x v="2"/>
          </reference>
          <reference field="8" count="1">
            <x v="3"/>
          </reference>
          <reference field="15" count="1" selected="0">
            <x v="10"/>
          </reference>
          <reference field="16" count="1" selected="0">
            <x v="2"/>
          </reference>
        </references>
      </pivotArea>
    </format>
    <format dxfId="25513">
      <pivotArea dataOnly="0" labelOnly="1" outline="0" fieldPosition="0">
        <references count="5">
          <reference field="3" count="1" selected="0">
            <x v="0"/>
          </reference>
          <reference field="5" count="1" selected="0">
            <x v="0"/>
          </reference>
          <reference field="8" count="2">
            <x v="2"/>
            <x v="3"/>
          </reference>
          <reference field="15" count="1" selected="0">
            <x v="11"/>
          </reference>
          <reference field="16" count="1" selected="0">
            <x v="2"/>
          </reference>
        </references>
      </pivotArea>
    </format>
    <format dxfId="25514">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2"/>
          </reference>
        </references>
      </pivotArea>
    </format>
    <format dxfId="25515">
      <pivotArea dataOnly="0" labelOnly="1" outline="0" fieldPosition="0">
        <references count="5">
          <reference field="3" count="1" selected="0">
            <x v="1"/>
          </reference>
          <reference field="5" count="1" selected="0">
            <x v="1"/>
          </reference>
          <reference field="8" count="1">
            <x v="2"/>
          </reference>
          <reference field="15" count="1" selected="0">
            <x v="11"/>
          </reference>
          <reference field="16" count="1" selected="0">
            <x v="2"/>
          </reference>
        </references>
      </pivotArea>
    </format>
    <format dxfId="25516">
      <pivotArea dataOnly="0" labelOnly="1" outline="0" fieldPosition="0">
        <references count="5">
          <reference field="3" count="1" selected="0">
            <x v="1"/>
          </reference>
          <reference field="5" count="1" selected="0">
            <x v="2"/>
          </reference>
          <reference field="8" count="1">
            <x v="0"/>
          </reference>
          <reference field="15" count="1" selected="0">
            <x v="11"/>
          </reference>
          <reference field="16" count="1" selected="0">
            <x v="2"/>
          </reference>
        </references>
      </pivotArea>
    </format>
    <format dxfId="25517">
      <pivotArea dataOnly="0" labelOnly="1" outline="0" fieldPosition="0">
        <references count="5">
          <reference field="3" count="1" selected="0">
            <x v="1"/>
          </reference>
          <reference field="5" count="1" selected="0">
            <x v="3"/>
          </reference>
          <reference field="8" count="1">
            <x v="1"/>
          </reference>
          <reference field="15" count="1" selected="0">
            <x v="11"/>
          </reference>
          <reference field="16" count="1" selected="0">
            <x v="2"/>
          </reference>
        </references>
      </pivotArea>
    </format>
    <format dxfId="25518">
      <pivotArea dataOnly="0" labelOnly="1" outline="0" fieldPosition="0">
        <references count="5">
          <reference field="3" count="1" selected="0">
            <x v="2"/>
          </reference>
          <reference field="5" count="1" selected="0">
            <x v="0"/>
          </reference>
          <reference field="8" count="3">
            <x v="0"/>
            <x v="2"/>
            <x v="3"/>
          </reference>
          <reference field="15" count="1" selected="0">
            <x v="11"/>
          </reference>
          <reference field="16" count="1" selected="0">
            <x v="2"/>
          </reference>
        </references>
      </pivotArea>
    </format>
    <format dxfId="25519">
      <pivotArea dataOnly="0" labelOnly="1" outline="0" fieldPosition="0">
        <references count="5">
          <reference field="3" count="1" selected="0">
            <x v="2"/>
          </reference>
          <reference field="5" count="1" selected="0">
            <x v="2"/>
          </reference>
          <reference field="8" count="1">
            <x v="1"/>
          </reference>
          <reference field="15" count="1" selected="0">
            <x v="11"/>
          </reference>
          <reference field="16" count="1" selected="0">
            <x v="2"/>
          </reference>
        </references>
      </pivotArea>
    </format>
    <format dxfId="25520">
      <pivotArea dataOnly="0" labelOnly="1" outline="0" fieldPosition="0">
        <references count="5">
          <reference field="3" count="1" selected="0">
            <x v="3"/>
          </reference>
          <reference field="5" count="1" selected="0">
            <x v="0"/>
          </reference>
          <reference field="8" count="2">
            <x v="1"/>
            <x v="2"/>
          </reference>
          <reference field="15" count="1" selected="0">
            <x v="11"/>
          </reference>
          <reference field="16" count="1" selected="0">
            <x v="2"/>
          </reference>
        </references>
      </pivotArea>
    </format>
    <format dxfId="25521">
      <pivotArea dataOnly="0" labelOnly="1" outline="0" fieldPosition="0">
        <references count="5">
          <reference field="3" count="1" selected="0">
            <x v="3"/>
          </reference>
          <reference field="5" count="1" selected="0">
            <x v="2"/>
          </reference>
          <reference field="8" count="1">
            <x v="0"/>
          </reference>
          <reference field="15" count="1" selected="0">
            <x v="11"/>
          </reference>
          <reference field="16" count="1" selected="0">
            <x v="2"/>
          </reference>
        </references>
      </pivotArea>
    </format>
    <format dxfId="25522">
      <pivotArea dataOnly="0" labelOnly="1" outline="0" fieldPosition="0">
        <references count="5">
          <reference field="3" count="1" selected="0">
            <x v="4"/>
          </reference>
          <reference field="5" count="1" selected="0">
            <x v="0"/>
          </reference>
          <reference field="8" count="3">
            <x v="0"/>
            <x v="1"/>
            <x v="4"/>
          </reference>
          <reference field="15" count="1" selected="0">
            <x v="11"/>
          </reference>
          <reference field="16" count="1" selected="0">
            <x v="2"/>
          </reference>
        </references>
      </pivotArea>
    </format>
    <format dxfId="25523">
      <pivotArea dataOnly="0" labelOnly="1" outline="0" fieldPosition="0">
        <references count="5">
          <reference field="3" count="1" selected="0">
            <x v="4"/>
          </reference>
          <reference field="5" count="1" selected="0">
            <x v="1"/>
          </reference>
          <reference field="8" count="1">
            <x v="2"/>
          </reference>
          <reference field="15" count="1" selected="0">
            <x v="11"/>
          </reference>
          <reference field="16" count="1" selected="0">
            <x v="2"/>
          </reference>
        </references>
      </pivotArea>
    </format>
    <format dxfId="25524">
      <pivotArea dataOnly="0" labelOnly="1" outline="0" fieldPosition="0">
        <references count="5">
          <reference field="3" count="1" selected="0">
            <x v="1"/>
          </reference>
          <reference field="5" count="1" selected="0">
            <x v="0"/>
          </reference>
          <reference field="8" count="0"/>
          <reference field="15" count="1" selected="0">
            <x v="0"/>
          </reference>
          <reference field="16" count="1" selected="0">
            <x v="3"/>
          </reference>
        </references>
      </pivotArea>
    </format>
    <format dxfId="25525">
      <pivotArea dataOnly="0" labelOnly="1" outline="0" fieldPosition="0">
        <references count="5">
          <reference field="3" count="1" selected="0">
            <x v="1"/>
          </reference>
          <reference field="5" count="1" selected="0">
            <x v="1"/>
          </reference>
          <reference field="8" count="2">
            <x v="0"/>
            <x v="3"/>
          </reference>
          <reference field="15" count="1" selected="0">
            <x v="0"/>
          </reference>
          <reference field="16" count="1" selected="0">
            <x v="3"/>
          </reference>
        </references>
      </pivotArea>
    </format>
    <format dxfId="25526">
      <pivotArea dataOnly="0" labelOnly="1" outline="0" fieldPosition="0">
        <references count="5">
          <reference field="3" count="1" selected="0">
            <x v="1"/>
          </reference>
          <reference field="5" count="1" selected="0">
            <x v="2"/>
          </reference>
          <reference field="8" count="2">
            <x v="0"/>
            <x v="3"/>
          </reference>
          <reference field="15" count="1" selected="0">
            <x v="0"/>
          </reference>
          <reference field="16" count="1" selected="0">
            <x v="3"/>
          </reference>
        </references>
      </pivotArea>
    </format>
    <format dxfId="25527">
      <pivotArea dataOnly="0" labelOnly="1" outline="0" fieldPosition="0">
        <references count="5">
          <reference field="3" count="1" selected="0">
            <x v="1"/>
          </reference>
          <reference field="5" count="1" selected="0">
            <x v="3"/>
          </reference>
          <reference field="8" count="2">
            <x v="1"/>
            <x v="2"/>
          </reference>
          <reference field="15" count="1" selected="0">
            <x v="0"/>
          </reference>
          <reference field="16" count="1" selected="0">
            <x v="3"/>
          </reference>
        </references>
      </pivotArea>
    </format>
    <format dxfId="25528">
      <pivotArea dataOnly="0" labelOnly="1" outline="0" fieldPosition="0">
        <references count="5">
          <reference field="3" count="1" selected="0">
            <x v="2"/>
          </reference>
          <reference field="5" count="1" selected="0">
            <x v="0"/>
          </reference>
          <reference field="8" count="3">
            <x v="0"/>
            <x v="1"/>
            <x v="3"/>
          </reference>
          <reference field="15" count="1" selected="0">
            <x v="0"/>
          </reference>
          <reference field="16" count="1" selected="0">
            <x v="3"/>
          </reference>
        </references>
      </pivotArea>
    </format>
    <format dxfId="25529">
      <pivotArea dataOnly="0" labelOnly="1" outline="0" fieldPosition="0">
        <references count="5">
          <reference field="3" count="1" selected="0">
            <x v="2"/>
          </reference>
          <reference field="5" count="1" selected="0">
            <x v="1"/>
          </reference>
          <reference field="8" count="1">
            <x v="0"/>
          </reference>
          <reference field="15" count="1" selected="0">
            <x v="0"/>
          </reference>
          <reference field="16" count="1" selected="0">
            <x v="3"/>
          </reference>
        </references>
      </pivotArea>
    </format>
    <format dxfId="25530">
      <pivotArea dataOnly="0" labelOnly="1" outline="0" fieldPosition="0">
        <references count="5">
          <reference field="3" count="1" selected="0">
            <x v="2"/>
          </reference>
          <reference field="5" count="1" selected="0">
            <x v="3"/>
          </reference>
          <reference field="8" count="1">
            <x v="0"/>
          </reference>
          <reference field="15" count="1" selected="0">
            <x v="0"/>
          </reference>
          <reference field="16" count="1" selected="0">
            <x v="3"/>
          </reference>
        </references>
      </pivotArea>
    </format>
    <format dxfId="25531">
      <pivotArea dataOnly="0" labelOnly="1" outline="0" fieldPosition="0">
        <references count="5">
          <reference field="3" count="1" selected="0">
            <x v="3"/>
          </reference>
          <reference field="5" count="1" selected="0">
            <x v="0"/>
          </reference>
          <reference field="8" count="2">
            <x v="1"/>
            <x v="3"/>
          </reference>
          <reference field="15" count="1" selected="0">
            <x v="0"/>
          </reference>
          <reference field="16" count="1" selected="0">
            <x v="3"/>
          </reference>
        </references>
      </pivotArea>
    </format>
    <format dxfId="25532">
      <pivotArea dataOnly="0" labelOnly="1" outline="0" fieldPosition="0">
        <references count="5">
          <reference field="3" count="1" selected="0">
            <x v="3"/>
          </reference>
          <reference field="5" count="1" selected="0">
            <x v="1"/>
          </reference>
          <reference field="8" count="1">
            <x v="0"/>
          </reference>
          <reference field="15" count="1" selected="0">
            <x v="0"/>
          </reference>
          <reference field="16" count="1" selected="0">
            <x v="3"/>
          </reference>
        </references>
      </pivotArea>
    </format>
    <format dxfId="25533">
      <pivotArea dataOnly="0" labelOnly="1" outline="0" fieldPosition="0">
        <references count="5">
          <reference field="3" count="1" selected="0">
            <x v="3"/>
          </reference>
          <reference field="5" count="1" selected="0">
            <x v="2"/>
          </reference>
          <reference field="8" count="1">
            <x v="4"/>
          </reference>
          <reference field="15" count="1" selected="0">
            <x v="0"/>
          </reference>
          <reference field="16" count="1" selected="0">
            <x v="3"/>
          </reference>
        </references>
      </pivotArea>
    </format>
    <format dxfId="25534">
      <pivotArea dataOnly="0" labelOnly="1" outline="0" fieldPosition="0">
        <references count="5">
          <reference field="3" count="1" selected="0">
            <x v="4"/>
          </reference>
          <reference field="5" count="1" selected="0">
            <x v="0"/>
          </reference>
          <reference field="8" count="3">
            <x v="2"/>
            <x v="3"/>
            <x v="4"/>
          </reference>
          <reference field="15" count="1" selected="0">
            <x v="0"/>
          </reference>
          <reference field="16" count="1" selected="0">
            <x v="3"/>
          </reference>
        </references>
      </pivotArea>
    </format>
    <format dxfId="25535">
      <pivotArea dataOnly="0" labelOnly="1" outline="0" fieldPosition="0">
        <references count="5">
          <reference field="3" count="1" selected="0">
            <x v="4"/>
          </reference>
          <reference field="5" count="1" selected="0">
            <x v="1"/>
          </reference>
          <reference field="8" count="1">
            <x v="1"/>
          </reference>
          <reference field="15" count="1" selected="0">
            <x v="0"/>
          </reference>
          <reference field="16" count="1" selected="0">
            <x v="3"/>
          </reference>
        </references>
      </pivotArea>
    </format>
    <format dxfId="25536">
      <pivotArea dataOnly="0" labelOnly="1" outline="0" fieldPosition="0">
        <references count="5">
          <reference field="3" count="1" selected="0">
            <x v="4"/>
          </reference>
          <reference field="5" count="1" selected="0">
            <x v="2"/>
          </reference>
          <reference field="8" count="2">
            <x v="0"/>
            <x v="1"/>
          </reference>
          <reference field="15" count="1" selected="0">
            <x v="0"/>
          </reference>
          <reference field="16" count="1" selected="0">
            <x v="3"/>
          </reference>
        </references>
      </pivotArea>
    </format>
    <format dxfId="25537">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3"/>
          </reference>
        </references>
      </pivotArea>
    </format>
    <format dxfId="25538">
      <pivotArea dataOnly="0" labelOnly="1" outline="0" fieldPosition="0">
        <references count="5">
          <reference field="3" count="1" selected="0">
            <x v="0"/>
          </reference>
          <reference field="5" count="1" selected="0">
            <x v="2"/>
          </reference>
          <reference field="8" count="2">
            <x v="1"/>
            <x v="2"/>
          </reference>
          <reference field="15" count="1" selected="0">
            <x v="1"/>
          </reference>
          <reference field="16" count="1" selected="0">
            <x v="3"/>
          </reference>
        </references>
      </pivotArea>
    </format>
    <format dxfId="25539">
      <pivotArea dataOnly="0" labelOnly="1" outline="0" fieldPosition="0">
        <references count="5">
          <reference field="3" count="1" selected="0">
            <x v="1"/>
          </reference>
          <reference field="5" count="1" selected="0">
            <x v="0"/>
          </reference>
          <reference field="8" count="4">
            <x v="0"/>
            <x v="1"/>
            <x v="2"/>
            <x v="4"/>
          </reference>
          <reference field="15" count="1" selected="0">
            <x v="1"/>
          </reference>
          <reference field="16" count="1" selected="0">
            <x v="3"/>
          </reference>
        </references>
      </pivotArea>
    </format>
    <format dxfId="25540">
      <pivotArea dataOnly="0" labelOnly="1" outline="0" fieldPosition="0">
        <references count="5">
          <reference field="3" count="1" selected="0">
            <x v="1"/>
          </reference>
          <reference field="5" count="1" selected="0">
            <x v="1"/>
          </reference>
          <reference field="8" count="1">
            <x v="1"/>
          </reference>
          <reference field="15" count="1" selected="0">
            <x v="1"/>
          </reference>
          <reference field="16" count="1" selected="0">
            <x v="3"/>
          </reference>
        </references>
      </pivotArea>
    </format>
    <format dxfId="25541">
      <pivotArea dataOnly="0" labelOnly="1" outline="0" fieldPosition="0">
        <references count="5">
          <reference field="3" count="1" selected="0">
            <x v="1"/>
          </reference>
          <reference field="5" count="1" selected="0">
            <x v="2"/>
          </reference>
          <reference field="8" count="1">
            <x v="1"/>
          </reference>
          <reference field="15" count="1" selected="0">
            <x v="1"/>
          </reference>
          <reference field="16" count="1" selected="0">
            <x v="3"/>
          </reference>
        </references>
      </pivotArea>
    </format>
    <format dxfId="25542">
      <pivotArea dataOnly="0" labelOnly="1" outline="0" fieldPosition="0">
        <references count="5">
          <reference field="3" count="1" selected="0">
            <x v="1"/>
          </reference>
          <reference field="5" count="1" selected="0">
            <x v="3"/>
          </reference>
          <reference field="8" count="1">
            <x v="3"/>
          </reference>
          <reference field="15" count="1" selected="0">
            <x v="1"/>
          </reference>
          <reference field="16" count="1" selected="0">
            <x v="3"/>
          </reference>
        </references>
      </pivotArea>
    </format>
    <format dxfId="25543">
      <pivotArea dataOnly="0" labelOnly="1" outline="0" fieldPosition="0">
        <references count="5">
          <reference field="3" count="1" selected="0">
            <x v="2"/>
          </reference>
          <reference field="5" count="1" selected="0">
            <x v="0"/>
          </reference>
          <reference field="8" count="4">
            <x v="0"/>
            <x v="2"/>
            <x v="3"/>
            <x v="4"/>
          </reference>
          <reference field="15" count="1" selected="0">
            <x v="1"/>
          </reference>
          <reference field="16" count="1" selected="0">
            <x v="3"/>
          </reference>
        </references>
      </pivotArea>
    </format>
    <format dxfId="25544">
      <pivotArea dataOnly="0" labelOnly="1" outline="0" fieldPosition="0">
        <references count="5">
          <reference field="3" count="1" selected="0">
            <x v="2"/>
          </reference>
          <reference field="5" count="1" selected="0">
            <x v="1"/>
          </reference>
          <reference field="8" count="3">
            <x v="0"/>
            <x v="3"/>
            <x v="4"/>
          </reference>
          <reference field="15" count="1" selected="0">
            <x v="1"/>
          </reference>
          <reference field="16" count="1" selected="0">
            <x v="3"/>
          </reference>
        </references>
      </pivotArea>
    </format>
    <format dxfId="25545">
      <pivotArea dataOnly="0" labelOnly="1" outline="0" fieldPosition="0">
        <references count="5">
          <reference field="3" count="1" selected="0">
            <x v="2"/>
          </reference>
          <reference field="5" count="1" selected="0">
            <x v="3"/>
          </reference>
          <reference field="8" count="2">
            <x v="0"/>
            <x v="3"/>
          </reference>
          <reference field="15" count="1" selected="0">
            <x v="1"/>
          </reference>
          <reference field="16" count="1" selected="0">
            <x v="3"/>
          </reference>
        </references>
      </pivotArea>
    </format>
    <format dxfId="25546">
      <pivotArea dataOnly="0" labelOnly="1" outline="0" fieldPosition="0">
        <references count="5">
          <reference field="3" count="1" selected="0">
            <x v="3"/>
          </reference>
          <reference field="5" count="1" selected="0">
            <x v="0"/>
          </reference>
          <reference field="8" count="1">
            <x v="2"/>
          </reference>
          <reference field="15" count="1" selected="0">
            <x v="1"/>
          </reference>
          <reference field="16" count="1" selected="0">
            <x v="3"/>
          </reference>
        </references>
      </pivotArea>
    </format>
    <format dxfId="25547">
      <pivotArea dataOnly="0" labelOnly="1" outline="0" fieldPosition="0">
        <references count="5">
          <reference field="3" count="1" selected="0">
            <x v="3"/>
          </reference>
          <reference field="5" count="1" selected="0">
            <x v="1"/>
          </reference>
          <reference field="8" count="2">
            <x v="3"/>
            <x v="4"/>
          </reference>
          <reference field="15" count="1" selected="0">
            <x v="1"/>
          </reference>
          <reference field="16" count="1" selected="0">
            <x v="3"/>
          </reference>
        </references>
      </pivotArea>
    </format>
    <format dxfId="25548">
      <pivotArea dataOnly="0" labelOnly="1" outline="0" fieldPosition="0">
        <references count="5">
          <reference field="3" count="1" selected="0">
            <x v="3"/>
          </reference>
          <reference field="5" count="1" selected="0">
            <x v="2"/>
          </reference>
          <reference field="8" count="1">
            <x v="3"/>
          </reference>
          <reference field="15" count="1" selected="0">
            <x v="1"/>
          </reference>
          <reference field="16" count="1" selected="0">
            <x v="3"/>
          </reference>
        </references>
      </pivotArea>
    </format>
    <format dxfId="25549">
      <pivotArea dataOnly="0" labelOnly="1" outline="0" fieldPosition="0">
        <references count="5">
          <reference field="3" count="1" selected="0">
            <x v="4"/>
          </reference>
          <reference field="5" count="1" selected="0">
            <x v="0"/>
          </reference>
          <reference field="8" count="4">
            <x v="0"/>
            <x v="1"/>
            <x v="3"/>
            <x v="4"/>
          </reference>
          <reference field="15" count="1" selected="0">
            <x v="1"/>
          </reference>
          <reference field="16" count="1" selected="0">
            <x v="3"/>
          </reference>
        </references>
      </pivotArea>
    </format>
    <format dxfId="25550">
      <pivotArea dataOnly="0" labelOnly="1" outline="0" fieldPosition="0">
        <references count="5">
          <reference field="3" count="1" selected="0">
            <x v="4"/>
          </reference>
          <reference field="5" count="1" selected="0">
            <x v="1"/>
          </reference>
          <reference field="8" count="1">
            <x v="4"/>
          </reference>
          <reference field="15" count="1" selected="0">
            <x v="1"/>
          </reference>
          <reference field="16" count="1" selected="0">
            <x v="3"/>
          </reference>
        </references>
      </pivotArea>
    </format>
    <format dxfId="25551">
      <pivotArea dataOnly="0" labelOnly="1" outline="0" fieldPosition="0">
        <references count="5">
          <reference field="3" count="1" selected="0">
            <x v="4"/>
          </reference>
          <reference field="5" count="1" selected="0">
            <x v="2"/>
          </reference>
          <reference field="8" count="1">
            <x v="0"/>
          </reference>
          <reference field="15" count="1" selected="0">
            <x v="1"/>
          </reference>
          <reference field="16" count="1" selected="0">
            <x v="3"/>
          </reference>
        </references>
      </pivotArea>
    </format>
    <format dxfId="25552">
      <pivotArea dataOnly="0" labelOnly="1" outline="0" fieldPosition="0">
        <references count="5">
          <reference field="3" count="1" selected="0">
            <x v="0"/>
          </reference>
          <reference field="5" count="1" selected="0">
            <x v="0"/>
          </reference>
          <reference field="8" count="1">
            <x v="4"/>
          </reference>
          <reference field="15" count="1" selected="0">
            <x v="2"/>
          </reference>
          <reference field="16" count="1" selected="0">
            <x v="3"/>
          </reference>
        </references>
      </pivotArea>
    </format>
    <format dxfId="25553">
      <pivotArea dataOnly="0" labelOnly="1" outline="0" fieldPosition="0">
        <references count="5">
          <reference field="3" count="1" selected="0">
            <x v="1"/>
          </reference>
          <reference field="5" count="1" selected="0">
            <x v="0"/>
          </reference>
          <reference field="8" count="4">
            <x v="0"/>
            <x v="1"/>
            <x v="3"/>
            <x v="4"/>
          </reference>
          <reference field="15" count="1" selected="0">
            <x v="2"/>
          </reference>
          <reference field="16" count="1" selected="0">
            <x v="3"/>
          </reference>
        </references>
      </pivotArea>
    </format>
    <format dxfId="25554">
      <pivotArea dataOnly="0" labelOnly="1" outline="0" fieldPosition="0">
        <references count="5">
          <reference field="3" count="1" selected="0">
            <x v="1"/>
          </reference>
          <reference field="5" count="1" selected="0">
            <x v="1"/>
          </reference>
          <reference field="8" count="3">
            <x v="0"/>
            <x v="2"/>
            <x v="4"/>
          </reference>
          <reference field="15" count="1" selected="0">
            <x v="2"/>
          </reference>
          <reference field="16" count="1" selected="0">
            <x v="3"/>
          </reference>
        </references>
      </pivotArea>
    </format>
    <format dxfId="25555">
      <pivotArea dataOnly="0" labelOnly="1" outline="0" fieldPosition="0">
        <references count="5">
          <reference field="3" count="1" selected="0">
            <x v="1"/>
          </reference>
          <reference field="5" count="1" selected="0">
            <x v="2"/>
          </reference>
          <reference field="8" count="2">
            <x v="1"/>
            <x v="3"/>
          </reference>
          <reference field="15" count="1" selected="0">
            <x v="2"/>
          </reference>
          <reference field="16" count="1" selected="0">
            <x v="3"/>
          </reference>
        </references>
      </pivotArea>
    </format>
    <format dxfId="25556">
      <pivotArea dataOnly="0" labelOnly="1" outline="0" fieldPosition="0">
        <references count="5">
          <reference field="3" count="1" selected="0">
            <x v="1"/>
          </reference>
          <reference field="5" count="1" selected="0">
            <x v="3"/>
          </reference>
          <reference field="8" count="1">
            <x v="1"/>
          </reference>
          <reference field="15" count="1" selected="0">
            <x v="2"/>
          </reference>
          <reference field="16" count="1" selected="0">
            <x v="3"/>
          </reference>
        </references>
      </pivotArea>
    </format>
    <format dxfId="25557">
      <pivotArea dataOnly="0" labelOnly="1" outline="0" fieldPosition="0">
        <references count="5">
          <reference field="3" count="1" selected="0">
            <x v="2"/>
          </reference>
          <reference field="5" count="1" selected="0">
            <x v="0"/>
          </reference>
          <reference field="8" count="3">
            <x v="0"/>
            <x v="1"/>
            <x v="2"/>
          </reference>
          <reference field="15" count="1" selected="0">
            <x v="2"/>
          </reference>
          <reference field="16" count="1" selected="0">
            <x v="3"/>
          </reference>
        </references>
      </pivotArea>
    </format>
    <format dxfId="25558">
      <pivotArea dataOnly="0" labelOnly="1" outline="0" fieldPosition="0">
        <references count="5">
          <reference field="3" count="1" selected="0">
            <x v="2"/>
          </reference>
          <reference field="5" count="1" selected="0">
            <x v="1"/>
          </reference>
          <reference field="8" count="2">
            <x v="3"/>
            <x v="4"/>
          </reference>
          <reference field="15" count="1" selected="0">
            <x v="2"/>
          </reference>
          <reference field="16" count="1" selected="0">
            <x v="3"/>
          </reference>
        </references>
      </pivotArea>
    </format>
    <format dxfId="25559">
      <pivotArea dataOnly="0" labelOnly="1" outline="0" fieldPosition="0">
        <references count="5">
          <reference field="3" count="1" selected="0">
            <x v="2"/>
          </reference>
          <reference field="5" count="1" selected="0">
            <x v="3"/>
          </reference>
          <reference field="8" count="1">
            <x v="1"/>
          </reference>
          <reference field="15" count="1" selected="0">
            <x v="2"/>
          </reference>
          <reference field="16" count="1" selected="0">
            <x v="3"/>
          </reference>
        </references>
      </pivotArea>
    </format>
    <format dxfId="25560">
      <pivotArea dataOnly="0" labelOnly="1" outline="0" fieldPosition="0">
        <references count="5">
          <reference field="3" count="1" selected="0">
            <x v="3"/>
          </reference>
          <reference field="5" count="1" selected="0">
            <x v="0"/>
          </reference>
          <reference field="8" count="3">
            <x v="1"/>
            <x v="2"/>
            <x v="4"/>
          </reference>
          <reference field="15" count="1" selected="0">
            <x v="2"/>
          </reference>
          <reference field="16" count="1" selected="0">
            <x v="3"/>
          </reference>
        </references>
      </pivotArea>
    </format>
    <format dxfId="25561">
      <pivotArea dataOnly="0" labelOnly="1" outline="0" fieldPosition="0">
        <references count="5">
          <reference field="3" count="1" selected="0">
            <x v="3"/>
          </reference>
          <reference field="5" count="1" selected="0">
            <x v="1"/>
          </reference>
          <reference field="8" count="1">
            <x v="3"/>
          </reference>
          <reference field="15" count="1" selected="0">
            <x v="2"/>
          </reference>
          <reference field="16" count="1" selected="0">
            <x v="3"/>
          </reference>
        </references>
      </pivotArea>
    </format>
    <format dxfId="25562">
      <pivotArea dataOnly="0" labelOnly="1" outline="0" fieldPosition="0">
        <references count="5">
          <reference field="3" count="1" selected="0">
            <x v="3"/>
          </reference>
          <reference field="5" count="1" selected="0">
            <x v="2"/>
          </reference>
          <reference field="8" count="1">
            <x v="3"/>
          </reference>
          <reference field="15" count="1" selected="0">
            <x v="2"/>
          </reference>
          <reference field="16" count="1" selected="0">
            <x v="3"/>
          </reference>
        </references>
      </pivotArea>
    </format>
    <format dxfId="25563">
      <pivotArea dataOnly="0" labelOnly="1" outline="0" fieldPosition="0">
        <references count="5">
          <reference field="3" count="1" selected="0">
            <x v="3"/>
          </reference>
          <reference field="5" count="1" selected="0">
            <x v="3"/>
          </reference>
          <reference field="8" count="1">
            <x v="2"/>
          </reference>
          <reference field="15" count="1" selected="0">
            <x v="2"/>
          </reference>
          <reference field="16" count="1" selected="0">
            <x v="3"/>
          </reference>
        </references>
      </pivotArea>
    </format>
    <format dxfId="25564">
      <pivotArea dataOnly="0" labelOnly="1" outline="0" fieldPosition="0">
        <references count="5">
          <reference field="3" count="1" selected="0">
            <x v="4"/>
          </reference>
          <reference field="5" count="1" selected="0">
            <x v="0"/>
          </reference>
          <reference field="8" count="1">
            <x v="2"/>
          </reference>
          <reference field="15" count="1" selected="0">
            <x v="2"/>
          </reference>
          <reference field="16" count="1" selected="0">
            <x v="3"/>
          </reference>
        </references>
      </pivotArea>
    </format>
    <format dxfId="25565">
      <pivotArea dataOnly="0" labelOnly="1" outline="0" fieldPosition="0">
        <references count="5">
          <reference field="3" count="1" selected="0">
            <x v="0"/>
          </reference>
          <reference field="5" count="1" selected="0">
            <x v="2"/>
          </reference>
          <reference field="8" count="1">
            <x v="1"/>
          </reference>
          <reference field="15" count="1" selected="0">
            <x v="3"/>
          </reference>
          <reference field="16" count="1" selected="0">
            <x v="3"/>
          </reference>
        </references>
      </pivotArea>
    </format>
    <format dxfId="25566">
      <pivotArea dataOnly="0" labelOnly="1" outline="0" fieldPosition="0">
        <references count="5">
          <reference field="3" count="1" selected="0">
            <x v="0"/>
          </reference>
          <reference field="5" count="1" selected="0">
            <x v="3"/>
          </reference>
          <reference field="8" count="1">
            <x v="3"/>
          </reference>
          <reference field="15" count="1" selected="0">
            <x v="3"/>
          </reference>
          <reference field="16" count="1" selected="0">
            <x v="3"/>
          </reference>
        </references>
      </pivotArea>
    </format>
    <format dxfId="25567">
      <pivotArea dataOnly="0" labelOnly="1" outline="0" fieldPosition="0">
        <references count="5">
          <reference field="3" count="1" selected="0">
            <x v="1"/>
          </reference>
          <reference field="5" count="1" selected="0">
            <x v="0"/>
          </reference>
          <reference field="8" count="4">
            <x v="0"/>
            <x v="1"/>
            <x v="2"/>
            <x v="4"/>
          </reference>
          <reference field="15" count="1" selected="0">
            <x v="3"/>
          </reference>
          <reference field="16" count="1" selected="0">
            <x v="3"/>
          </reference>
        </references>
      </pivotArea>
    </format>
    <format dxfId="25568">
      <pivotArea dataOnly="0" labelOnly="1" outline="0" fieldPosition="0">
        <references count="5">
          <reference field="3" count="1" selected="0">
            <x v="1"/>
          </reference>
          <reference field="5" count="1" selected="0">
            <x v="1"/>
          </reference>
          <reference field="8" count="0"/>
          <reference field="15" count="1" selected="0">
            <x v="3"/>
          </reference>
          <reference field="16" count="1" selected="0">
            <x v="3"/>
          </reference>
        </references>
      </pivotArea>
    </format>
    <format dxfId="25569">
      <pivotArea dataOnly="0" labelOnly="1" outline="0" fieldPosition="0">
        <references count="5">
          <reference field="3" count="1" selected="0">
            <x v="1"/>
          </reference>
          <reference field="5" count="1" selected="0">
            <x v="3"/>
          </reference>
          <reference field="8" count="1">
            <x v="2"/>
          </reference>
          <reference field="15" count="1" selected="0">
            <x v="3"/>
          </reference>
          <reference field="16" count="1" selected="0">
            <x v="3"/>
          </reference>
        </references>
      </pivotArea>
    </format>
    <format dxfId="25570">
      <pivotArea dataOnly="0" labelOnly="1" outline="0" fieldPosition="0">
        <references count="5">
          <reference field="3" count="1" selected="0">
            <x v="2"/>
          </reference>
          <reference field="5" count="1" selected="0">
            <x v="0"/>
          </reference>
          <reference field="8" count="4">
            <x v="0"/>
            <x v="1"/>
            <x v="3"/>
            <x v="4"/>
          </reference>
          <reference field="15" count="1" selected="0">
            <x v="3"/>
          </reference>
          <reference field="16" count="1" selected="0">
            <x v="3"/>
          </reference>
        </references>
      </pivotArea>
    </format>
    <format dxfId="25571">
      <pivotArea dataOnly="0" labelOnly="1" outline="0" fieldPosition="0">
        <references count="5">
          <reference field="3" count="1" selected="0">
            <x v="2"/>
          </reference>
          <reference field="5" count="1" selected="0">
            <x v="1"/>
          </reference>
          <reference field="8" count="1">
            <x v="2"/>
          </reference>
          <reference field="15" count="1" selected="0">
            <x v="3"/>
          </reference>
          <reference field="16" count="1" selected="0">
            <x v="3"/>
          </reference>
        </references>
      </pivotArea>
    </format>
    <format dxfId="25572">
      <pivotArea dataOnly="0" labelOnly="1" outline="0" fieldPosition="0">
        <references count="5">
          <reference field="3" count="1" selected="0">
            <x v="2"/>
          </reference>
          <reference field="5" count="1" selected="0">
            <x v="2"/>
          </reference>
          <reference field="8" count="1">
            <x v="2"/>
          </reference>
          <reference field="15" count="1" selected="0">
            <x v="3"/>
          </reference>
          <reference field="16" count="1" selected="0">
            <x v="3"/>
          </reference>
        </references>
      </pivotArea>
    </format>
    <format dxfId="25573">
      <pivotArea dataOnly="0" labelOnly="1" outline="0" fieldPosition="0">
        <references count="5">
          <reference field="3" count="1" selected="0">
            <x v="3"/>
          </reference>
          <reference field="5" count="1" selected="0">
            <x v="0"/>
          </reference>
          <reference field="8" count="1">
            <x v="2"/>
          </reference>
          <reference field="15" count="1" selected="0">
            <x v="3"/>
          </reference>
          <reference field="16" count="1" selected="0">
            <x v="3"/>
          </reference>
        </references>
      </pivotArea>
    </format>
    <format dxfId="25574">
      <pivotArea dataOnly="0" labelOnly="1" outline="0" fieldPosition="0">
        <references count="5">
          <reference field="3" count="1" selected="0">
            <x v="3"/>
          </reference>
          <reference field="5" count="1" selected="0">
            <x v="1"/>
          </reference>
          <reference field="8" count="1">
            <x v="3"/>
          </reference>
          <reference field="15" count="1" selected="0">
            <x v="3"/>
          </reference>
          <reference field="16" count="1" selected="0">
            <x v="3"/>
          </reference>
        </references>
      </pivotArea>
    </format>
    <format dxfId="25575">
      <pivotArea dataOnly="0" labelOnly="1" outline="0" fieldPosition="0">
        <references count="5">
          <reference field="3" count="1" selected="0">
            <x v="4"/>
          </reference>
          <reference field="5" count="1" selected="0">
            <x v="0"/>
          </reference>
          <reference field="8" count="2">
            <x v="0"/>
            <x v="1"/>
          </reference>
          <reference field="15" count="1" selected="0">
            <x v="3"/>
          </reference>
          <reference field="16" count="1" selected="0">
            <x v="3"/>
          </reference>
        </references>
      </pivotArea>
    </format>
    <format dxfId="25576">
      <pivotArea dataOnly="0" labelOnly="1" outline="0" fieldPosition="0">
        <references count="5">
          <reference field="3" count="1" selected="0">
            <x v="4"/>
          </reference>
          <reference field="5" count="1" selected="0">
            <x v="1"/>
          </reference>
          <reference field="8" count="3">
            <x v="0"/>
            <x v="1"/>
            <x v="3"/>
          </reference>
          <reference field="15" count="1" selected="0">
            <x v="3"/>
          </reference>
          <reference field="16" count="1" selected="0">
            <x v="3"/>
          </reference>
        </references>
      </pivotArea>
    </format>
    <format dxfId="25577">
      <pivotArea dataOnly="0" labelOnly="1" outline="0" fieldPosition="0">
        <references count="5">
          <reference field="3" count="1" selected="0">
            <x v="4"/>
          </reference>
          <reference field="5" count="1" selected="0">
            <x v="2"/>
          </reference>
          <reference field="8" count="2">
            <x v="2"/>
            <x v="3"/>
          </reference>
          <reference field="15" count="1" selected="0">
            <x v="3"/>
          </reference>
          <reference field="16" count="1" selected="0">
            <x v="3"/>
          </reference>
        </references>
      </pivotArea>
    </format>
    <format dxfId="25578">
      <pivotArea dataOnly="0" labelOnly="1" outline="0" fieldPosition="0">
        <references count="5">
          <reference field="3" count="1" selected="0">
            <x v="0"/>
          </reference>
          <reference field="5" count="1" selected="0">
            <x v="0"/>
          </reference>
          <reference field="8" count="3">
            <x v="0"/>
            <x v="3"/>
            <x v="4"/>
          </reference>
          <reference field="15" count="1" selected="0">
            <x v="4"/>
          </reference>
          <reference field="16" count="1" selected="0">
            <x v="3"/>
          </reference>
        </references>
      </pivotArea>
    </format>
    <format dxfId="25579">
      <pivotArea dataOnly="0" labelOnly="1" outline="0" fieldPosition="0">
        <references count="5">
          <reference field="3" count="1" selected="0">
            <x v="0"/>
          </reference>
          <reference field="5" count="1" selected="0">
            <x v="1"/>
          </reference>
          <reference field="8" count="1">
            <x v="3"/>
          </reference>
          <reference field="15" count="1" selected="0">
            <x v="4"/>
          </reference>
          <reference field="16" count="1" selected="0">
            <x v="3"/>
          </reference>
        </references>
      </pivotArea>
    </format>
    <format dxfId="25580">
      <pivotArea dataOnly="0" labelOnly="1" outline="0" fieldPosition="0">
        <references count="5">
          <reference field="3" count="1" selected="0">
            <x v="0"/>
          </reference>
          <reference field="5" count="1" selected="0">
            <x v="2"/>
          </reference>
          <reference field="8" count="1">
            <x v="4"/>
          </reference>
          <reference field="15" count="1" selected="0">
            <x v="4"/>
          </reference>
          <reference field="16" count="1" selected="0">
            <x v="3"/>
          </reference>
        </references>
      </pivotArea>
    </format>
    <format dxfId="25581">
      <pivotArea dataOnly="0" labelOnly="1" outline="0" fieldPosition="0">
        <references count="5">
          <reference field="3" count="1" selected="0">
            <x v="0"/>
          </reference>
          <reference field="5" count="1" selected="0">
            <x v="3"/>
          </reference>
          <reference field="8" count="1">
            <x v="3"/>
          </reference>
          <reference field="15" count="1" selected="0">
            <x v="4"/>
          </reference>
          <reference field="16" count="1" selected="0">
            <x v="3"/>
          </reference>
        </references>
      </pivotArea>
    </format>
    <format dxfId="25582">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3"/>
          </reference>
        </references>
      </pivotArea>
    </format>
    <format dxfId="25583">
      <pivotArea dataOnly="0" labelOnly="1" outline="0" fieldPosition="0">
        <references count="5">
          <reference field="3" count="1" selected="0">
            <x v="1"/>
          </reference>
          <reference field="5" count="1" selected="0">
            <x v="1"/>
          </reference>
          <reference field="8" count="4">
            <x v="0"/>
            <x v="1"/>
            <x v="3"/>
            <x v="4"/>
          </reference>
          <reference field="15" count="1" selected="0">
            <x v="4"/>
          </reference>
          <reference field="16" count="1" selected="0">
            <x v="3"/>
          </reference>
        </references>
      </pivotArea>
    </format>
    <format dxfId="25584">
      <pivotArea dataOnly="0" labelOnly="1" outline="0" fieldPosition="0">
        <references count="5">
          <reference field="3" count="1" selected="0">
            <x v="1"/>
          </reference>
          <reference field="5" count="1" selected="0">
            <x v="2"/>
          </reference>
          <reference field="8" count="3">
            <x v="0"/>
            <x v="1"/>
            <x v="2"/>
          </reference>
          <reference field="15" count="1" selected="0">
            <x v="4"/>
          </reference>
          <reference field="16" count="1" selected="0">
            <x v="3"/>
          </reference>
        </references>
      </pivotArea>
    </format>
    <format dxfId="25585">
      <pivotArea dataOnly="0" labelOnly="1" outline="0" fieldPosition="0">
        <references count="5">
          <reference field="3" count="1" selected="0">
            <x v="1"/>
          </reference>
          <reference field="5" count="1" selected="0">
            <x v="3"/>
          </reference>
          <reference field="8" count="3">
            <x v="0"/>
            <x v="2"/>
            <x v="4"/>
          </reference>
          <reference field="15" count="1" selected="0">
            <x v="4"/>
          </reference>
          <reference field="16" count="1" selected="0">
            <x v="3"/>
          </reference>
        </references>
      </pivotArea>
    </format>
    <format dxfId="25586">
      <pivotArea dataOnly="0" labelOnly="1" outline="0" fieldPosition="0">
        <references count="5">
          <reference field="3" count="1" selected="0">
            <x v="2"/>
          </reference>
          <reference field="5" count="1" selected="0">
            <x v="0"/>
          </reference>
          <reference field="8" count="3">
            <x v="1"/>
            <x v="3"/>
            <x v="4"/>
          </reference>
          <reference field="15" count="1" selected="0">
            <x v="4"/>
          </reference>
          <reference field="16" count="1" selected="0">
            <x v="3"/>
          </reference>
        </references>
      </pivotArea>
    </format>
    <format dxfId="25587">
      <pivotArea dataOnly="0" labelOnly="1" outline="0" fieldPosition="0">
        <references count="5">
          <reference field="3" count="1" selected="0">
            <x v="2"/>
          </reference>
          <reference field="5" count="1" selected="0">
            <x v="2"/>
          </reference>
          <reference field="8" count="1">
            <x v="2"/>
          </reference>
          <reference field="15" count="1" selected="0">
            <x v="4"/>
          </reference>
          <reference field="16" count="1" selected="0">
            <x v="3"/>
          </reference>
        </references>
      </pivotArea>
    </format>
    <format dxfId="25588">
      <pivotArea dataOnly="0" labelOnly="1" outline="0" fieldPosition="0">
        <references count="5">
          <reference field="3" count="1" selected="0">
            <x v="3"/>
          </reference>
          <reference field="5" count="1" selected="0">
            <x v="0"/>
          </reference>
          <reference field="8" count="3">
            <x v="1"/>
            <x v="2"/>
            <x v="3"/>
          </reference>
          <reference field="15" count="1" selected="0">
            <x v="4"/>
          </reference>
          <reference field="16" count="1" selected="0">
            <x v="3"/>
          </reference>
        </references>
      </pivotArea>
    </format>
    <format dxfId="25589">
      <pivotArea dataOnly="0" labelOnly="1" outline="0" fieldPosition="0">
        <references count="5">
          <reference field="3" count="1" selected="0">
            <x v="3"/>
          </reference>
          <reference field="5" count="1" selected="0">
            <x v="1"/>
          </reference>
          <reference field="8" count="1">
            <x v="0"/>
          </reference>
          <reference field="15" count="1" selected="0">
            <x v="4"/>
          </reference>
          <reference field="16" count="1" selected="0">
            <x v="3"/>
          </reference>
        </references>
      </pivotArea>
    </format>
    <format dxfId="25590">
      <pivotArea dataOnly="0" labelOnly="1" outline="0" fieldPosition="0">
        <references count="5">
          <reference field="3" count="1" selected="0">
            <x v="4"/>
          </reference>
          <reference field="5" count="1" selected="0">
            <x v="0"/>
          </reference>
          <reference field="8" count="4">
            <x v="0"/>
            <x v="1"/>
            <x v="3"/>
            <x v="4"/>
          </reference>
          <reference field="15" count="1" selected="0">
            <x v="4"/>
          </reference>
          <reference field="16" count="1" selected="0">
            <x v="3"/>
          </reference>
        </references>
      </pivotArea>
    </format>
    <format dxfId="25591">
      <pivotArea dataOnly="0" labelOnly="1" outline="0" fieldPosition="0">
        <references count="5">
          <reference field="3" count="1" selected="0">
            <x v="4"/>
          </reference>
          <reference field="5" count="1" selected="0">
            <x v="1"/>
          </reference>
          <reference field="8" count="1">
            <x v="0"/>
          </reference>
          <reference field="15" count="1" selected="0">
            <x v="4"/>
          </reference>
          <reference field="16" count="1" selected="0">
            <x v="3"/>
          </reference>
        </references>
      </pivotArea>
    </format>
    <format dxfId="25592">
      <pivotArea dataOnly="0" labelOnly="1" outline="0" fieldPosition="0">
        <references count="5">
          <reference field="3" count="1" selected="0">
            <x v="4"/>
          </reference>
          <reference field="5" count="1" selected="0">
            <x v="2"/>
          </reference>
          <reference field="8" count="4">
            <x v="0"/>
            <x v="1"/>
            <x v="2"/>
            <x v="4"/>
          </reference>
          <reference field="15" count="1" selected="0">
            <x v="4"/>
          </reference>
          <reference field="16" count="1" selected="0">
            <x v="3"/>
          </reference>
        </references>
      </pivotArea>
    </format>
    <format dxfId="25593">
      <pivotArea dataOnly="0" labelOnly="1" outline="0" fieldPosition="0">
        <references count="5">
          <reference field="3" count="1" selected="0">
            <x v="4"/>
          </reference>
          <reference field="5" count="1" selected="0">
            <x v="3"/>
          </reference>
          <reference field="8" count="1">
            <x v="2"/>
          </reference>
          <reference field="15" count="1" selected="0">
            <x v="4"/>
          </reference>
          <reference field="16" count="1" selected="0">
            <x v="3"/>
          </reference>
        </references>
      </pivotArea>
    </format>
    <format dxfId="25594">
      <pivotArea dataOnly="0" labelOnly="1" outline="0" fieldPosition="0">
        <references count="5">
          <reference field="3" count="1" selected="0">
            <x v="0"/>
          </reference>
          <reference field="5" count="1" selected="0">
            <x v="1"/>
          </reference>
          <reference field="8" count="1">
            <x v="2"/>
          </reference>
          <reference field="15" count="1" selected="0">
            <x v="5"/>
          </reference>
          <reference field="16" count="1" selected="0">
            <x v="3"/>
          </reference>
        </references>
      </pivotArea>
    </format>
    <format dxfId="25595">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3"/>
          </reference>
        </references>
      </pivotArea>
    </format>
    <format dxfId="25596">
      <pivotArea dataOnly="0" labelOnly="1" outline="0" fieldPosition="0">
        <references count="5">
          <reference field="3" count="1" selected="0">
            <x v="1"/>
          </reference>
          <reference field="5" count="1" selected="0">
            <x v="1"/>
          </reference>
          <reference field="8" count="3">
            <x v="1"/>
            <x v="2"/>
            <x v="3"/>
          </reference>
          <reference field="15" count="1" selected="0">
            <x v="5"/>
          </reference>
          <reference field="16" count="1" selected="0">
            <x v="3"/>
          </reference>
        </references>
      </pivotArea>
    </format>
    <format dxfId="25597">
      <pivotArea dataOnly="0" labelOnly="1" outline="0" fieldPosition="0">
        <references count="5">
          <reference field="3" count="1" selected="0">
            <x v="1"/>
          </reference>
          <reference field="5" count="1" selected="0">
            <x v="2"/>
          </reference>
          <reference field="8" count="3">
            <x v="1"/>
            <x v="3"/>
            <x v="4"/>
          </reference>
          <reference field="15" count="1" selected="0">
            <x v="5"/>
          </reference>
          <reference field="16" count="1" selected="0">
            <x v="3"/>
          </reference>
        </references>
      </pivotArea>
    </format>
    <format dxfId="25598">
      <pivotArea dataOnly="0" labelOnly="1" outline="0" fieldPosition="0">
        <references count="5">
          <reference field="3" count="1" selected="0">
            <x v="1"/>
          </reference>
          <reference field="5" count="1" selected="0">
            <x v="3"/>
          </reference>
          <reference field="8" count="2">
            <x v="3"/>
            <x v="4"/>
          </reference>
          <reference field="15" count="1" selected="0">
            <x v="5"/>
          </reference>
          <reference field="16" count="1" selected="0">
            <x v="3"/>
          </reference>
        </references>
      </pivotArea>
    </format>
    <format dxfId="25599">
      <pivotArea dataOnly="0" labelOnly="1" outline="0" fieldPosition="0">
        <references count="5">
          <reference field="3" count="1" selected="0">
            <x v="2"/>
          </reference>
          <reference field="5" count="1" selected="0">
            <x v="0"/>
          </reference>
          <reference field="8" count="3">
            <x v="2"/>
            <x v="3"/>
            <x v="4"/>
          </reference>
          <reference field="15" count="1" selected="0">
            <x v="5"/>
          </reference>
          <reference field="16" count="1" selected="0">
            <x v="3"/>
          </reference>
        </references>
      </pivotArea>
    </format>
    <format dxfId="25600">
      <pivotArea dataOnly="0" labelOnly="1" outline="0" fieldPosition="0">
        <references count="5">
          <reference field="3" count="1" selected="0">
            <x v="2"/>
          </reference>
          <reference field="5" count="1" selected="0">
            <x v="1"/>
          </reference>
          <reference field="8" count="1">
            <x v="0"/>
          </reference>
          <reference field="15" count="1" selected="0">
            <x v="5"/>
          </reference>
          <reference field="16" count="1" selected="0">
            <x v="3"/>
          </reference>
        </references>
      </pivotArea>
    </format>
    <format dxfId="25601">
      <pivotArea dataOnly="0" labelOnly="1" outline="0" fieldPosition="0">
        <references count="5">
          <reference field="3" count="1" selected="0">
            <x v="2"/>
          </reference>
          <reference field="5" count="1" selected="0">
            <x v="2"/>
          </reference>
          <reference field="8" count="2">
            <x v="0"/>
            <x v="1"/>
          </reference>
          <reference field="15" count="1" selected="0">
            <x v="5"/>
          </reference>
          <reference field="16" count="1" selected="0">
            <x v="3"/>
          </reference>
        </references>
      </pivotArea>
    </format>
    <format dxfId="25602">
      <pivotArea dataOnly="0" labelOnly="1" outline="0" fieldPosition="0">
        <references count="5">
          <reference field="3" count="1" selected="0">
            <x v="3"/>
          </reference>
          <reference field="5" count="1" selected="0">
            <x v="0"/>
          </reference>
          <reference field="8" count="3">
            <x v="0"/>
            <x v="1"/>
            <x v="2"/>
          </reference>
          <reference field="15" count="1" selected="0">
            <x v="5"/>
          </reference>
          <reference field="16" count="1" selected="0">
            <x v="3"/>
          </reference>
        </references>
      </pivotArea>
    </format>
    <format dxfId="25603">
      <pivotArea dataOnly="0" labelOnly="1" outline="0" fieldPosition="0">
        <references count="5">
          <reference field="3" count="1" selected="0">
            <x v="3"/>
          </reference>
          <reference field="5" count="1" selected="0">
            <x v="1"/>
          </reference>
          <reference field="8" count="1">
            <x v="0"/>
          </reference>
          <reference field="15" count="1" selected="0">
            <x v="5"/>
          </reference>
          <reference field="16" count="1" selected="0">
            <x v="3"/>
          </reference>
        </references>
      </pivotArea>
    </format>
    <format dxfId="25604">
      <pivotArea dataOnly="0" labelOnly="1" outline="0" fieldPosition="0">
        <references count="5">
          <reference field="3" count="1" selected="0">
            <x v="4"/>
          </reference>
          <reference field="5" count="1" selected="0">
            <x v="0"/>
          </reference>
          <reference field="8" count="4">
            <x v="1"/>
            <x v="2"/>
            <x v="3"/>
            <x v="4"/>
          </reference>
          <reference field="15" count="1" selected="0">
            <x v="5"/>
          </reference>
          <reference field="16" count="1" selected="0">
            <x v="3"/>
          </reference>
        </references>
      </pivotArea>
    </format>
    <format dxfId="25605">
      <pivotArea dataOnly="0" labelOnly="1" outline="0" fieldPosition="0">
        <references count="5">
          <reference field="3" count="1" selected="0">
            <x v="4"/>
          </reference>
          <reference field="5" count="1" selected="0">
            <x v="1"/>
          </reference>
          <reference field="8" count="3">
            <x v="0"/>
            <x v="2"/>
            <x v="4"/>
          </reference>
          <reference field="15" count="1" selected="0">
            <x v="5"/>
          </reference>
          <reference field="16" count="1" selected="0">
            <x v="3"/>
          </reference>
        </references>
      </pivotArea>
    </format>
    <format dxfId="25606">
      <pivotArea dataOnly="0" labelOnly="1" outline="0" fieldPosition="0">
        <references count="5">
          <reference field="3" count="1" selected="0">
            <x v="4"/>
          </reference>
          <reference field="5" count="1" selected="0">
            <x v="2"/>
          </reference>
          <reference field="8" count="1">
            <x v="1"/>
          </reference>
          <reference field="15" count="1" selected="0">
            <x v="5"/>
          </reference>
          <reference field="16" count="1" selected="0">
            <x v="3"/>
          </reference>
        </references>
      </pivotArea>
    </format>
    <format dxfId="25607">
      <pivotArea dataOnly="0" labelOnly="1" outline="0" axis="axisValues" fieldPosition="0"/>
    </format>
    <format dxfId="25608">
      <pivotArea type="all" dataOnly="0" outline="0" fieldPosition="0"/>
    </format>
    <format dxfId="25609">
      <pivotArea outline="0" collapsedLevelsAreSubtotals="1" fieldPosition="0"/>
    </format>
    <format dxfId="25610">
      <pivotArea field="16" type="button" dataOnly="0" labelOnly="1" outline="0" axis="axisRow" fieldPosition="0"/>
    </format>
    <format dxfId="25611">
      <pivotArea field="15" type="button" dataOnly="0" labelOnly="1" outline="0" axis="axisRow" fieldPosition="1"/>
    </format>
    <format dxfId="25612">
      <pivotArea field="3" type="button" dataOnly="0" labelOnly="1" outline="0" axis="axisRow" fieldPosition="2"/>
    </format>
    <format dxfId="25613">
      <pivotArea field="5" type="button" dataOnly="0" labelOnly="1" outline="0" axis="axisRow" fieldPosition="3"/>
    </format>
    <format dxfId="25614">
      <pivotArea field="8" type="button" dataOnly="0" labelOnly="1" outline="0" axis="axisRow" fieldPosition="4"/>
    </format>
    <format dxfId="25615">
      <pivotArea dataOnly="0" labelOnly="1" outline="0" fieldPosition="0">
        <references count="1">
          <reference field="16" count="0"/>
        </references>
      </pivotArea>
    </format>
    <format dxfId="25616">
      <pivotArea dataOnly="0" labelOnly="1" outline="0" fieldPosition="0">
        <references count="2">
          <reference field="15" count="0"/>
          <reference field="16" count="1" selected="0">
            <x v="0"/>
          </reference>
        </references>
      </pivotArea>
    </format>
    <format dxfId="25617">
      <pivotArea dataOnly="0" labelOnly="1" outline="0" fieldPosition="0">
        <references count="2">
          <reference field="15" count="0"/>
          <reference field="16" count="1" selected="0">
            <x v="1"/>
          </reference>
        </references>
      </pivotArea>
    </format>
    <format dxfId="25618">
      <pivotArea dataOnly="0" labelOnly="1" outline="0" fieldPosition="0">
        <references count="2">
          <reference field="15" count="0"/>
          <reference field="16" count="1" selected="0">
            <x v="2"/>
          </reference>
        </references>
      </pivotArea>
    </format>
    <format dxfId="25619">
      <pivotArea dataOnly="0" labelOnly="1" outline="0" fieldPosition="0">
        <references count="2">
          <reference field="15" count="6">
            <x v="0"/>
            <x v="1"/>
            <x v="2"/>
            <x v="3"/>
            <x v="4"/>
            <x v="5"/>
          </reference>
          <reference field="16" count="1" selected="0">
            <x v="3"/>
          </reference>
        </references>
      </pivotArea>
    </format>
    <format dxfId="25620">
      <pivotArea dataOnly="0" labelOnly="1" outline="0" fieldPosition="0">
        <references count="3">
          <reference field="3" count="0"/>
          <reference field="15" count="1" selected="0">
            <x v="0"/>
          </reference>
          <reference field="16" count="1" selected="0">
            <x v="0"/>
          </reference>
        </references>
      </pivotArea>
    </format>
    <format dxfId="25621">
      <pivotArea dataOnly="0" labelOnly="1" outline="0" fieldPosition="0">
        <references count="3">
          <reference field="3" count="0"/>
          <reference field="15" count="1" selected="0">
            <x v="1"/>
          </reference>
          <reference field="16" count="1" selected="0">
            <x v="0"/>
          </reference>
        </references>
      </pivotArea>
    </format>
    <format dxfId="25622">
      <pivotArea dataOnly="0" labelOnly="1" outline="0" fieldPosition="0">
        <references count="3">
          <reference field="3" count="0"/>
          <reference field="15" count="1" selected="0">
            <x v="2"/>
          </reference>
          <reference field="16" count="1" selected="0">
            <x v="0"/>
          </reference>
        </references>
      </pivotArea>
    </format>
    <format dxfId="25623">
      <pivotArea dataOnly="0" labelOnly="1" outline="0" fieldPosition="0">
        <references count="3">
          <reference field="3" count="0"/>
          <reference field="15" count="1" selected="0">
            <x v="3"/>
          </reference>
          <reference field="16" count="1" selected="0">
            <x v="0"/>
          </reference>
        </references>
      </pivotArea>
    </format>
    <format dxfId="25624">
      <pivotArea dataOnly="0" labelOnly="1" outline="0" fieldPosition="0">
        <references count="3">
          <reference field="3" count="0"/>
          <reference field="15" count="1" selected="0">
            <x v="4"/>
          </reference>
          <reference field="16" count="1" selected="0">
            <x v="0"/>
          </reference>
        </references>
      </pivotArea>
    </format>
    <format dxfId="25625">
      <pivotArea dataOnly="0" labelOnly="1" outline="0" fieldPosition="0">
        <references count="3">
          <reference field="3" count="0"/>
          <reference field="15" count="1" selected="0">
            <x v="5"/>
          </reference>
          <reference field="16" count="1" selected="0">
            <x v="0"/>
          </reference>
        </references>
      </pivotArea>
    </format>
    <format dxfId="25626">
      <pivotArea dataOnly="0" labelOnly="1" outline="0" fieldPosition="0">
        <references count="3">
          <reference field="3" count="0"/>
          <reference field="15" count="1" selected="0">
            <x v="6"/>
          </reference>
          <reference field="16" count="1" selected="0">
            <x v="0"/>
          </reference>
        </references>
      </pivotArea>
    </format>
    <format dxfId="25627">
      <pivotArea dataOnly="0" labelOnly="1" outline="0" fieldPosition="0">
        <references count="3">
          <reference field="3" count="0"/>
          <reference field="15" count="1" selected="0">
            <x v="7"/>
          </reference>
          <reference field="16" count="1" selected="0">
            <x v="0"/>
          </reference>
        </references>
      </pivotArea>
    </format>
    <format dxfId="25628">
      <pivotArea dataOnly="0" labelOnly="1" outline="0" fieldPosition="0">
        <references count="3">
          <reference field="3" count="0"/>
          <reference field="15" count="1" selected="0">
            <x v="8"/>
          </reference>
          <reference field="16" count="1" selected="0">
            <x v="0"/>
          </reference>
        </references>
      </pivotArea>
    </format>
    <format dxfId="25629">
      <pivotArea dataOnly="0" labelOnly="1" outline="0" fieldPosition="0">
        <references count="3">
          <reference field="3" count="0"/>
          <reference field="15" count="1" selected="0">
            <x v="9"/>
          </reference>
          <reference field="16" count="1" selected="0">
            <x v="0"/>
          </reference>
        </references>
      </pivotArea>
    </format>
    <format dxfId="25630">
      <pivotArea dataOnly="0" labelOnly="1" outline="0" fieldPosition="0">
        <references count="3">
          <reference field="3" count="0"/>
          <reference field="15" count="1" selected="0">
            <x v="10"/>
          </reference>
          <reference field="16" count="1" selected="0">
            <x v="0"/>
          </reference>
        </references>
      </pivotArea>
    </format>
    <format dxfId="25631">
      <pivotArea dataOnly="0" labelOnly="1" outline="0" fieldPosition="0">
        <references count="3">
          <reference field="3" count="0"/>
          <reference field="15" count="1" selected="0">
            <x v="11"/>
          </reference>
          <reference field="16" count="1" selected="0">
            <x v="0"/>
          </reference>
        </references>
      </pivotArea>
    </format>
    <format dxfId="25632">
      <pivotArea dataOnly="0" labelOnly="1" outline="0" fieldPosition="0">
        <references count="3">
          <reference field="3" count="0"/>
          <reference field="15" count="1" selected="0">
            <x v="0"/>
          </reference>
          <reference field="16" count="1" selected="0">
            <x v="1"/>
          </reference>
        </references>
      </pivotArea>
    </format>
    <format dxfId="25633">
      <pivotArea dataOnly="0" labelOnly="1" outline="0" fieldPosition="0">
        <references count="3">
          <reference field="3" count="0"/>
          <reference field="15" count="1" selected="0">
            <x v="1"/>
          </reference>
          <reference field="16" count="1" selected="0">
            <x v="1"/>
          </reference>
        </references>
      </pivotArea>
    </format>
    <format dxfId="25634">
      <pivotArea dataOnly="0" labelOnly="1" outline="0" fieldPosition="0">
        <references count="3">
          <reference field="3" count="0"/>
          <reference field="15" count="1" selected="0">
            <x v="2"/>
          </reference>
          <reference field="16" count="1" selected="0">
            <x v="1"/>
          </reference>
        </references>
      </pivotArea>
    </format>
    <format dxfId="25635">
      <pivotArea dataOnly="0" labelOnly="1" outline="0" fieldPosition="0">
        <references count="3">
          <reference field="3" count="0"/>
          <reference field="15" count="1" selected="0">
            <x v="3"/>
          </reference>
          <reference field="16" count="1" selected="0">
            <x v="1"/>
          </reference>
        </references>
      </pivotArea>
    </format>
    <format dxfId="25636">
      <pivotArea dataOnly="0" labelOnly="1" outline="0" fieldPosition="0">
        <references count="3">
          <reference field="3" count="0"/>
          <reference field="15" count="1" selected="0">
            <x v="4"/>
          </reference>
          <reference field="16" count="1" selected="0">
            <x v="1"/>
          </reference>
        </references>
      </pivotArea>
    </format>
    <format dxfId="25637">
      <pivotArea dataOnly="0" labelOnly="1" outline="0" fieldPosition="0">
        <references count="3">
          <reference field="3" count="0"/>
          <reference field="15" count="1" selected="0">
            <x v="5"/>
          </reference>
          <reference field="16" count="1" selected="0">
            <x v="1"/>
          </reference>
        </references>
      </pivotArea>
    </format>
    <format dxfId="25638">
      <pivotArea dataOnly="0" labelOnly="1" outline="0" fieldPosition="0">
        <references count="3">
          <reference field="3" count="0"/>
          <reference field="15" count="1" selected="0">
            <x v="6"/>
          </reference>
          <reference field="16" count="1" selected="0">
            <x v="1"/>
          </reference>
        </references>
      </pivotArea>
    </format>
    <format dxfId="25639">
      <pivotArea dataOnly="0" labelOnly="1" outline="0" fieldPosition="0">
        <references count="3">
          <reference field="3" count="0"/>
          <reference field="15" count="1" selected="0">
            <x v="7"/>
          </reference>
          <reference field="16" count="1" selected="0">
            <x v="1"/>
          </reference>
        </references>
      </pivotArea>
    </format>
    <format dxfId="25640">
      <pivotArea dataOnly="0" labelOnly="1" outline="0" fieldPosition="0">
        <references count="3">
          <reference field="3" count="0"/>
          <reference field="15" count="1" selected="0">
            <x v="8"/>
          </reference>
          <reference field="16" count="1" selected="0">
            <x v="1"/>
          </reference>
        </references>
      </pivotArea>
    </format>
    <format dxfId="25641">
      <pivotArea dataOnly="0" labelOnly="1" outline="0" fieldPosition="0">
        <references count="3">
          <reference field="3" count="0"/>
          <reference field="15" count="1" selected="0">
            <x v="9"/>
          </reference>
          <reference field="16" count="1" selected="0">
            <x v="1"/>
          </reference>
        </references>
      </pivotArea>
    </format>
    <format dxfId="25642">
      <pivotArea dataOnly="0" labelOnly="1" outline="0" fieldPosition="0">
        <references count="3">
          <reference field="3" count="0"/>
          <reference field="15" count="1" selected="0">
            <x v="10"/>
          </reference>
          <reference field="16" count="1" selected="0">
            <x v="1"/>
          </reference>
        </references>
      </pivotArea>
    </format>
    <format dxfId="25643">
      <pivotArea dataOnly="0" labelOnly="1" outline="0" fieldPosition="0">
        <references count="3">
          <reference field="3" count="4">
            <x v="1"/>
            <x v="2"/>
            <x v="3"/>
            <x v="4"/>
          </reference>
          <reference field="15" count="1" selected="0">
            <x v="11"/>
          </reference>
          <reference field="16" count="1" selected="0">
            <x v="1"/>
          </reference>
        </references>
      </pivotArea>
    </format>
    <format dxfId="25644">
      <pivotArea dataOnly="0" labelOnly="1" outline="0" fieldPosition="0">
        <references count="3">
          <reference field="3" count="0"/>
          <reference field="15" count="1" selected="0">
            <x v="0"/>
          </reference>
          <reference field="16" count="1" selected="0">
            <x v="2"/>
          </reference>
        </references>
      </pivotArea>
    </format>
    <format dxfId="25645">
      <pivotArea dataOnly="0" labelOnly="1" outline="0" fieldPosition="0">
        <references count="3">
          <reference field="3" count="0"/>
          <reference field="15" count="1" selected="0">
            <x v="1"/>
          </reference>
          <reference field="16" count="1" selected="0">
            <x v="2"/>
          </reference>
        </references>
      </pivotArea>
    </format>
    <format dxfId="25646">
      <pivotArea dataOnly="0" labelOnly="1" outline="0" fieldPosition="0">
        <references count="3">
          <reference field="3" count="0"/>
          <reference field="15" count="1" selected="0">
            <x v="2"/>
          </reference>
          <reference field="16" count="1" selected="0">
            <x v="2"/>
          </reference>
        </references>
      </pivotArea>
    </format>
    <format dxfId="25647">
      <pivotArea dataOnly="0" labelOnly="1" outline="0" fieldPosition="0">
        <references count="3">
          <reference field="3" count="0"/>
          <reference field="15" count="1" selected="0">
            <x v="3"/>
          </reference>
          <reference field="16" count="1" selected="0">
            <x v="2"/>
          </reference>
        </references>
      </pivotArea>
    </format>
    <format dxfId="25648">
      <pivotArea dataOnly="0" labelOnly="1" outline="0" fieldPosition="0">
        <references count="3">
          <reference field="3" count="0"/>
          <reference field="15" count="1" selected="0">
            <x v="4"/>
          </reference>
          <reference field="16" count="1" selected="0">
            <x v="2"/>
          </reference>
        </references>
      </pivotArea>
    </format>
    <format dxfId="25649">
      <pivotArea dataOnly="0" labelOnly="1" outline="0" fieldPosition="0">
        <references count="3">
          <reference field="3" count="0"/>
          <reference field="15" count="1" selected="0">
            <x v="5"/>
          </reference>
          <reference field="16" count="1" selected="0">
            <x v="2"/>
          </reference>
        </references>
      </pivotArea>
    </format>
    <format dxfId="25650">
      <pivotArea dataOnly="0" labelOnly="1" outline="0" fieldPosition="0">
        <references count="3">
          <reference field="3" count="0"/>
          <reference field="15" count="1" selected="0">
            <x v="6"/>
          </reference>
          <reference field="16" count="1" selected="0">
            <x v="2"/>
          </reference>
        </references>
      </pivotArea>
    </format>
    <format dxfId="25651">
      <pivotArea dataOnly="0" labelOnly="1" outline="0" fieldPosition="0">
        <references count="3">
          <reference field="3" count="0"/>
          <reference field="15" count="1" selected="0">
            <x v="7"/>
          </reference>
          <reference field="16" count="1" selected="0">
            <x v="2"/>
          </reference>
        </references>
      </pivotArea>
    </format>
    <format dxfId="25652">
      <pivotArea dataOnly="0" labelOnly="1" outline="0" fieldPosition="0">
        <references count="3">
          <reference field="3" count="0"/>
          <reference field="15" count="1" selected="0">
            <x v="8"/>
          </reference>
          <reference field="16" count="1" selected="0">
            <x v="2"/>
          </reference>
        </references>
      </pivotArea>
    </format>
    <format dxfId="25653">
      <pivotArea dataOnly="0" labelOnly="1" outline="0" fieldPosition="0">
        <references count="3">
          <reference field="3" count="0"/>
          <reference field="15" count="1" selected="0">
            <x v="9"/>
          </reference>
          <reference field="16" count="1" selected="0">
            <x v="2"/>
          </reference>
        </references>
      </pivotArea>
    </format>
    <format dxfId="25654">
      <pivotArea dataOnly="0" labelOnly="1" outline="0" fieldPosition="0">
        <references count="3">
          <reference field="3" count="0"/>
          <reference field="15" count="1" selected="0">
            <x v="10"/>
          </reference>
          <reference field="16" count="1" selected="0">
            <x v="2"/>
          </reference>
        </references>
      </pivotArea>
    </format>
    <format dxfId="25655">
      <pivotArea dataOnly="0" labelOnly="1" outline="0" fieldPosition="0">
        <references count="3">
          <reference field="3" count="0"/>
          <reference field="15" count="1" selected="0">
            <x v="11"/>
          </reference>
          <reference field="16" count="1" selected="0">
            <x v="2"/>
          </reference>
        </references>
      </pivotArea>
    </format>
    <format dxfId="25656">
      <pivotArea dataOnly="0" labelOnly="1" outline="0" fieldPosition="0">
        <references count="3">
          <reference field="3" count="4">
            <x v="1"/>
            <x v="2"/>
            <x v="3"/>
            <x v="4"/>
          </reference>
          <reference field="15" count="1" selected="0">
            <x v="0"/>
          </reference>
          <reference field="16" count="1" selected="0">
            <x v="3"/>
          </reference>
        </references>
      </pivotArea>
    </format>
    <format dxfId="25657">
      <pivotArea dataOnly="0" labelOnly="1" outline="0" fieldPosition="0">
        <references count="3">
          <reference field="3" count="0"/>
          <reference field="15" count="1" selected="0">
            <x v="1"/>
          </reference>
          <reference field="16" count="1" selected="0">
            <x v="3"/>
          </reference>
        </references>
      </pivotArea>
    </format>
    <format dxfId="25658">
      <pivotArea dataOnly="0" labelOnly="1" outline="0" fieldPosition="0">
        <references count="3">
          <reference field="3" count="0"/>
          <reference field="15" count="1" selected="0">
            <x v="2"/>
          </reference>
          <reference field="16" count="1" selected="0">
            <x v="3"/>
          </reference>
        </references>
      </pivotArea>
    </format>
    <format dxfId="25659">
      <pivotArea dataOnly="0" labelOnly="1" outline="0" fieldPosition="0">
        <references count="3">
          <reference field="3" count="0"/>
          <reference field="15" count="1" selected="0">
            <x v="3"/>
          </reference>
          <reference field="16" count="1" selected="0">
            <x v="3"/>
          </reference>
        </references>
      </pivotArea>
    </format>
    <format dxfId="25660">
      <pivotArea dataOnly="0" labelOnly="1" outline="0" fieldPosition="0">
        <references count="3">
          <reference field="3" count="0"/>
          <reference field="15" count="1" selected="0">
            <x v="4"/>
          </reference>
          <reference field="16" count="1" selected="0">
            <x v="3"/>
          </reference>
        </references>
      </pivotArea>
    </format>
    <format dxfId="25661">
      <pivotArea dataOnly="0" labelOnly="1" outline="0" fieldPosition="0">
        <references count="3">
          <reference field="3" count="0"/>
          <reference field="15" count="1" selected="0">
            <x v="5"/>
          </reference>
          <reference field="16" count="1" selected="0">
            <x v="3"/>
          </reference>
        </references>
      </pivotArea>
    </format>
    <format dxfId="25662">
      <pivotArea dataOnly="0" labelOnly="1" outline="0" fieldPosition="0">
        <references count="4">
          <reference field="3" count="1" selected="0">
            <x v="0"/>
          </reference>
          <reference field="5" count="2">
            <x v="0"/>
            <x v="2"/>
          </reference>
          <reference field="15" count="1" selected="0">
            <x v="0"/>
          </reference>
          <reference field="16" count="1" selected="0">
            <x v="0"/>
          </reference>
        </references>
      </pivotArea>
    </format>
    <format dxfId="25663">
      <pivotArea dataOnly="0" labelOnly="1" outline="0" fieldPosition="0">
        <references count="4">
          <reference field="3" count="1" selected="0">
            <x v="1"/>
          </reference>
          <reference field="5" count="0"/>
          <reference field="15" count="1" selected="0">
            <x v="0"/>
          </reference>
          <reference field="16" count="1" selected="0">
            <x v="0"/>
          </reference>
        </references>
      </pivotArea>
    </format>
    <format dxfId="25664">
      <pivotArea dataOnly="0" labelOnly="1" outline="0" fieldPosition="0">
        <references count="4">
          <reference field="3" count="1" selected="0">
            <x v="2"/>
          </reference>
          <reference field="5" count="0"/>
          <reference field="15" count="1" selected="0">
            <x v="0"/>
          </reference>
          <reference field="16" count="1" selected="0">
            <x v="0"/>
          </reference>
        </references>
      </pivotArea>
    </format>
    <format dxfId="25665">
      <pivotArea dataOnly="0" labelOnly="1" outline="0" fieldPosition="0">
        <references count="4">
          <reference field="3" count="1" selected="0">
            <x v="3"/>
          </reference>
          <reference field="5" count="2">
            <x v="0"/>
            <x v="2"/>
          </reference>
          <reference field="15" count="1" selected="0">
            <x v="0"/>
          </reference>
          <reference field="16" count="1" selected="0">
            <x v="0"/>
          </reference>
        </references>
      </pivotArea>
    </format>
    <format dxfId="25666">
      <pivotArea dataOnly="0" labelOnly="1" outline="0" fieldPosition="0">
        <references count="4">
          <reference field="3" count="1" selected="0">
            <x v="4"/>
          </reference>
          <reference field="5" count="0"/>
          <reference field="15" count="1" selected="0">
            <x v="0"/>
          </reference>
          <reference field="16" count="1" selected="0">
            <x v="0"/>
          </reference>
        </references>
      </pivotArea>
    </format>
    <format dxfId="25667">
      <pivotArea dataOnly="0" labelOnly="1" outline="0" fieldPosition="0">
        <references count="4">
          <reference field="3" count="1" selected="0">
            <x v="0"/>
          </reference>
          <reference field="5" count="2">
            <x v="0"/>
            <x v="2"/>
          </reference>
          <reference field="15" count="1" selected="0">
            <x v="1"/>
          </reference>
          <reference field="16" count="1" selected="0">
            <x v="0"/>
          </reference>
        </references>
      </pivotArea>
    </format>
    <format dxfId="25668">
      <pivotArea dataOnly="0" labelOnly="1" outline="0" fieldPosition="0">
        <references count="4">
          <reference field="3" count="1" selected="0">
            <x v="1"/>
          </reference>
          <reference field="5" count="0"/>
          <reference field="15" count="1" selected="0">
            <x v="1"/>
          </reference>
          <reference field="16" count="1" selected="0">
            <x v="0"/>
          </reference>
        </references>
      </pivotArea>
    </format>
    <format dxfId="25669">
      <pivotArea dataOnly="0" labelOnly="1" outline="0" fieldPosition="0">
        <references count="4">
          <reference field="3" count="1" selected="0">
            <x v="2"/>
          </reference>
          <reference field="5" count="3">
            <x v="0"/>
            <x v="1"/>
            <x v="2"/>
          </reference>
          <reference field="15" count="1" selected="0">
            <x v="1"/>
          </reference>
          <reference field="16" count="1" selected="0">
            <x v="0"/>
          </reference>
        </references>
      </pivotArea>
    </format>
    <format dxfId="25670">
      <pivotArea dataOnly="0" labelOnly="1" outline="0" fieldPosition="0">
        <references count="4">
          <reference field="3" count="1" selected="0">
            <x v="3"/>
          </reference>
          <reference field="5" count="2">
            <x v="0"/>
            <x v="1"/>
          </reference>
          <reference field="15" count="1" selected="0">
            <x v="1"/>
          </reference>
          <reference field="16" count="1" selected="0">
            <x v="0"/>
          </reference>
        </references>
      </pivotArea>
    </format>
    <format dxfId="25671">
      <pivotArea dataOnly="0" labelOnly="1" outline="0" fieldPosition="0">
        <references count="4">
          <reference field="3" count="1" selected="0">
            <x v="4"/>
          </reference>
          <reference field="5" count="3">
            <x v="0"/>
            <x v="1"/>
            <x v="3"/>
          </reference>
          <reference field="15" count="1" selected="0">
            <x v="1"/>
          </reference>
          <reference field="16" count="1" selected="0">
            <x v="0"/>
          </reference>
        </references>
      </pivotArea>
    </format>
    <format dxfId="25672">
      <pivotArea dataOnly="0" labelOnly="1" outline="0" fieldPosition="0">
        <references count="4">
          <reference field="3" count="1" selected="0">
            <x v="0"/>
          </reference>
          <reference field="5" count="3">
            <x v="0"/>
            <x v="1"/>
            <x v="2"/>
          </reference>
          <reference field="15" count="1" selected="0">
            <x v="2"/>
          </reference>
          <reference field="16" count="1" selected="0">
            <x v="0"/>
          </reference>
        </references>
      </pivotArea>
    </format>
    <format dxfId="25673">
      <pivotArea dataOnly="0" labelOnly="1" outline="0" fieldPosition="0">
        <references count="4">
          <reference field="3" count="1" selected="0">
            <x v="1"/>
          </reference>
          <reference field="5" count="3">
            <x v="0"/>
            <x v="1"/>
            <x v="2"/>
          </reference>
          <reference field="15" count="1" selected="0">
            <x v="2"/>
          </reference>
          <reference field="16" count="1" selected="0">
            <x v="0"/>
          </reference>
        </references>
      </pivotArea>
    </format>
    <format dxfId="25674">
      <pivotArea dataOnly="0" labelOnly="1" outline="0" fieldPosition="0">
        <references count="4">
          <reference field="3" count="1" selected="0">
            <x v="2"/>
          </reference>
          <reference field="5" count="2">
            <x v="0"/>
            <x v="3"/>
          </reference>
          <reference field="15" count="1" selected="0">
            <x v="2"/>
          </reference>
          <reference field="16" count="1" selected="0">
            <x v="0"/>
          </reference>
        </references>
      </pivotArea>
    </format>
    <format dxfId="25675">
      <pivotArea dataOnly="0" labelOnly="1" outline="0" fieldPosition="0">
        <references count="4">
          <reference field="3" count="1" selected="0">
            <x v="3"/>
          </reference>
          <reference field="5" count="3">
            <x v="0"/>
            <x v="1"/>
            <x v="3"/>
          </reference>
          <reference field="15" count="1" selected="0">
            <x v="2"/>
          </reference>
          <reference field="16" count="1" selected="0">
            <x v="0"/>
          </reference>
        </references>
      </pivotArea>
    </format>
    <format dxfId="25676">
      <pivotArea dataOnly="0" labelOnly="1" outline="0" fieldPosition="0">
        <references count="4">
          <reference field="3" count="1" selected="0">
            <x v="4"/>
          </reference>
          <reference field="5" count="3">
            <x v="0"/>
            <x v="1"/>
            <x v="2"/>
          </reference>
          <reference field="15" count="1" selected="0">
            <x v="2"/>
          </reference>
          <reference field="16" count="1" selected="0">
            <x v="0"/>
          </reference>
        </references>
      </pivotArea>
    </format>
    <format dxfId="25677">
      <pivotArea dataOnly="0" labelOnly="1" outline="0" fieldPosition="0">
        <references count="4">
          <reference field="3" count="1" selected="0">
            <x v="0"/>
          </reference>
          <reference field="5" count="3">
            <x v="0"/>
            <x v="1"/>
            <x v="2"/>
          </reference>
          <reference field="15" count="1" selected="0">
            <x v="3"/>
          </reference>
          <reference field="16" count="1" selected="0">
            <x v="0"/>
          </reference>
        </references>
      </pivotArea>
    </format>
    <format dxfId="25678">
      <pivotArea dataOnly="0" labelOnly="1" outline="0" fieldPosition="0">
        <references count="4">
          <reference field="3" count="1" selected="0">
            <x v="1"/>
          </reference>
          <reference field="5" count="3">
            <x v="0"/>
            <x v="1"/>
            <x v="2"/>
          </reference>
          <reference field="15" count="1" selected="0">
            <x v="3"/>
          </reference>
          <reference field="16" count="1" selected="0">
            <x v="0"/>
          </reference>
        </references>
      </pivotArea>
    </format>
    <format dxfId="25679">
      <pivotArea dataOnly="0" labelOnly="1" outline="0" fieldPosition="0">
        <references count="4">
          <reference field="3" count="1" selected="0">
            <x v="2"/>
          </reference>
          <reference field="5" count="2">
            <x v="0"/>
            <x v="1"/>
          </reference>
          <reference field="15" count="1" selected="0">
            <x v="3"/>
          </reference>
          <reference field="16" count="1" selected="0">
            <x v="0"/>
          </reference>
        </references>
      </pivotArea>
    </format>
    <format dxfId="25680">
      <pivotArea dataOnly="0" labelOnly="1" outline="0" fieldPosition="0">
        <references count="4">
          <reference field="3" count="1" selected="0">
            <x v="3"/>
          </reference>
          <reference field="5" count="3">
            <x v="0"/>
            <x v="1"/>
            <x v="2"/>
          </reference>
          <reference field="15" count="1" selected="0">
            <x v="3"/>
          </reference>
          <reference field="16" count="1" selected="0">
            <x v="0"/>
          </reference>
        </references>
      </pivotArea>
    </format>
    <format dxfId="25681">
      <pivotArea dataOnly="0" labelOnly="1" outline="0" fieldPosition="0">
        <references count="4">
          <reference field="3" count="1" selected="0">
            <x v="4"/>
          </reference>
          <reference field="5" count="0"/>
          <reference field="15" count="1" selected="0">
            <x v="3"/>
          </reference>
          <reference field="16" count="1" selected="0">
            <x v="0"/>
          </reference>
        </references>
      </pivotArea>
    </format>
    <format dxfId="25682">
      <pivotArea dataOnly="0" labelOnly="1" outline="0" fieldPosition="0">
        <references count="4">
          <reference field="3" count="1" selected="0">
            <x v="0"/>
          </reference>
          <reference field="5" count="1">
            <x v="1"/>
          </reference>
          <reference field="15" count="1" selected="0">
            <x v="4"/>
          </reference>
          <reference field="16" count="1" selected="0">
            <x v="0"/>
          </reference>
        </references>
      </pivotArea>
    </format>
    <format dxfId="25683">
      <pivotArea dataOnly="0" labelOnly="1" outline="0" fieldPosition="0">
        <references count="4">
          <reference field="3" count="1" selected="0">
            <x v="1"/>
          </reference>
          <reference field="5" count="0"/>
          <reference field="15" count="1" selected="0">
            <x v="4"/>
          </reference>
          <reference field="16" count="1" selected="0">
            <x v="0"/>
          </reference>
        </references>
      </pivotArea>
    </format>
    <format dxfId="25684">
      <pivotArea dataOnly="0" labelOnly="1" outline="0" fieldPosition="0">
        <references count="4">
          <reference field="3" count="1" selected="0">
            <x v="2"/>
          </reference>
          <reference field="5" count="2">
            <x v="0"/>
            <x v="2"/>
          </reference>
          <reference field="15" count="1" selected="0">
            <x v="4"/>
          </reference>
          <reference field="16" count="1" selected="0">
            <x v="0"/>
          </reference>
        </references>
      </pivotArea>
    </format>
    <format dxfId="25685">
      <pivotArea dataOnly="0" labelOnly="1" outline="0" fieldPosition="0">
        <references count="4">
          <reference field="3" count="1" selected="0">
            <x v="3"/>
          </reference>
          <reference field="5" count="1">
            <x v="0"/>
          </reference>
          <reference field="15" count="1" selected="0">
            <x v="4"/>
          </reference>
          <reference field="16" count="1" selected="0">
            <x v="0"/>
          </reference>
        </references>
      </pivotArea>
    </format>
    <format dxfId="25686">
      <pivotArea dataOnly="0" labelOnly="1" outline="0" fieldPosition="0">
        <references count="4">
          <reference field="3" count="1" selected="0">
            <x v="4"/>
          </reference>
          <reference field="5" count="3">
            <x v="1"/>
            <x v="2"/>
            <x v="3"/>
          </reference>
          <reference field="15" count="1" selected="0">
            <x v="4"/>
          </reference>
          <reference field="16" count="1" selected="0">
            <x v="0"/>
          </reference>
        </references>
      </pivotArea>
    </format>
    <format dxfId="25687">
      <pivotArea dataOnly="0" labelOnly="1" outline="0" fieldPosition="0">
        <references count="4">
          <reference field="3" count="1" selected="0">
            <x v="0"/>
          </reference>
          <reference field="5" count="3">
            <x v="0"/>
            <x v="1"/>
            <x v="3"/>
          </reference>
          <reference field="15" count="1" selected="0">
            <x v="5"/>
          </reference>
          <reference field="16" count="1" selected="0">
            <x v="0"/>
          </reference>
        </references>
      </pivotArea>
    </format>
    <format dxfId="25688">
      <pivotArea dataOnly="0" labelOnly="1" outline="0" fieldPosition="0">
        <references count="4">
          <reference field="3" count="1" selected="0">
            <x v="1"/>
          </reference>
          <reference field="5" count="0"/>
          <reference field="15" count="1" selected="0">
            <x v="5"/>
          </reference>
          <reference field="16" count="1" selected="0">
            <x v="0"/>
          </reference>
        </references>
      </pivotArea>
    </format>
    <format dxfId="25689">
      <pivotArea dataOnly="0" labelOnly="1" outline="0" fieldPosition="0">
        <references count="4">
          <reference field="3" count="1" selected="0">
            <x v="2"/>
          </reference>
          <reference field="5" count="3">
            <x v="0"/>
            <x v="1"/>
            <x v="3"/>
          </reference>
          <reference field="15" count="1" selected="0">
            <x v="5"/>
          </reference>
          <reference field="16" count="1" selected="0">
            <x v="0"/>
          </reference>
        </references>
      </pivotArea>
    </format>
    <format dxfId="25690">
      <pivotArea dataOnly="0" labelOnly="1" outline="0" fieldPosition="0">
        <references count="4">
          <reference field="3" count="1" selected="0">
            <x v="3"/>
          </reference>
          <reference field="5" count="3">
            <x v="0"/>
            <x v="1"/>
            <x v="2"/>
          </reference>
          <reference field="15" count="1" selected="0">
            <x v="5"/>
          </reference>
          <reference field="16" count="1" selected="0">
            <x v="0"/>
          </reference>
        </references>
      </pivotArea>
    </format>
    <format dxfId="25691">
      <pivotArea dataOnly="0" labelOnly="1" outline="0" fieldPosition="0">
        <references count="4">
          <reference field="3" count="1" selected="0">
            <x v="4"/>
          </reference>
          <reference field="5" count="3">
            <x v="0"/>
            <x v="1"/>
            <x v="2"/>
          </reference>
          <reference field="15" count="1" selected="0">
            <x v="5"/>
          </reference>
          <reference field="16" count="1" selected="0">
            <x v="0"/>
          </reference>
        </references>
      </pivotArea>
    </format>
    <format dxfId="25692">
      <pivotArea dataOnly="0" labelOnly="1" outline="0" fieldPosition="0">
        <references count="4">
          <reference field="3" count="1" selected="0">
            <x v="0"/>
          </reference>
          <reference field="5" count="2">
            <x v="0"/>
            <x v="1"/>
          </reference>
          <reference field="15" count="1" selected="0">
            <x v="6"/>
          </reference>
          <reference field="16" count="1" selected="0">
            <x v="0"/>
          </reference>
        </references>
      </pivotArea>
    </format>
    <format dxfId="25693">
      <pivotArea dataOnly="0" labelOnly="1" outline="0" fieldPosition="0">
        <references count="4">
          <reference field="3" count="1" selected="0">
            <x v="1"/>
          </reference>
          <reference field="5" count="3">
            <x v="0"/>
            <x v="1"/>
            <x v="2"/>
          </reference>
          <reference field="15" count="1" selected="0">
            <x v="6"/>
          </reference>
          <reference field="16" count="1" selected="0">
            <x v="0"/>
          </reference>
        </references>
      </pivotArea>
    </format>
    <format dxfId="25694">
      <pivotArea dataOnly="0" labelOnly="1" outline="0" fieldPosition="0">
        <references count="4">
          <reference field="3" count="1" selected="0">
            <x v="2"/>
          </reference>
          <reference field="5" count="3">
            <x v="0"/>
            <x v="1"/>
            <x v="3"/>
          </reference>
          <reference field="15" count="1" selected="0">
            <x v="6"/>
          </reference>
          <reference field="16" count="1" selected="0">
            <x v="0"/>
          </reference>
        </references>
      </pivotArea>
    </format>
    <format dxfId="25695">
      <pivotArea dataOnly="0" labelOnly="1" outline="0" fieldPosition="0">
        <references count="4">
          <reference field="3" count="1" selected="0">
            <x v="3"/>
          </reference>
          <reference field="5" count="0"/>
          <reference field="15" count="1" selected="0">
            <x v="6"/>
          </reference>
          <reference field="16" count="1" selected="0">
            <x v="0"/>
          </reference>
        </references>
      </pivotArea>
    </format>
    <format dxfId="25696">
      <pivotArea dataOnly="0" labelOnly="1" outline="0" fieldPosition="0">
        <references count="4">
          <reference field="3" count="1" selected="0">
            <x v="4"/>
          </reference>
          <reference field="5" count="2">
            <x v="0"/>
            <x v="2"/>
          </reference>
          <reference field="15" count="1" selected="0">
            <x v="6"/>
          </reference>
          <reference field="16" count="1" selected="0">
            <x v="0"/>
          </reference>
        </references>
      </pivotArea>
    </format>
    <format dxfId="25697">
      <pivotArea dataOnly="0" labelOnly="1" outline="0" fieldPosition="0">
        <references count="4">
          <reference field="3" count="1" selected="0">
            <x v="0"/>
          </reference>
          <reference field="5" count="2">
            <x v="0"/>
            <x v="1"/>
          </reference>
          <reference field="15" count="1" selected="0">
            <x v="7"/>
          </reference>
          <reference field="16" count="1" selected="0">
            <x v="0"/>
          </reference>
        </references>
      </pivotArea>
    </format>
    <format dxfId="25698">
      <pivotArea dataOnly="0" labelOnly="1" outline="0" fieldPosition="0">
        <references count="4">
          <reference field="3" count="1" selected="0">
            <x v="1"/>
          </reference>
          <reference field="5" count="0"/>
          <reference field="15" count="1" selected="0">
            <x v="7"/>
          </reference>
          <reference field="16" count="1" selected="0">
            <x v="0"/>
          </reference>
        </references>
      </pivotArea>
    </format>
    <format dxfId="25699">
      <pivotArea dataOnly="0" labelOnly="1" outline="0" fieldPosition="0">
        <references count="4">
          <reference field="3" count="1" selected="0">
            <x v="2"/>
          </reference>
          <reference field="5" count="2">
            <x v="0"/>
            <x v="1"/>
          </reference>
          <reference field="15" count="1" selected="0">
            <x v="7"/>
          </reference>
          <reference field="16" count="1" selected="0">
            <x v="0"/>
          </reference>
        </references>
      </pivotArea>
    </format>
    <format dxfId="25700">
      <pivotArea dataOnly="0" labelOnly="1" outline="0" fieldPosition="0">
        <references count="4">
          <reference field="3" count="1" selected="0">
            <x v="3"/>
          </reference>
          <reference field="5" count="2">
            <x v="0"/>
            <x v="1"/>
          </reference>
          <reference field="15" count="1" selected="0">
            <x v="7"/>
          </reference>
          <reference field="16" count="1" selected="0">
            <x v="0"/>
          </reference>
        </references>
      </pivotArea>
    </format>
    <format dxfId="25701">
      <pivotArea dataOnly="0" labelOnly="1" outline="0" fieldPosition="0">
        <references count="4">
          <reference field="3" count="1" selected="0">
            <x v="4"/>
          </reference>
          <reference field="5" count="3">
            <x v="0"/>
            <x v="1"/>
            <x v="2"/>
          </reference>
          <reference field="15" count="1" selected="0">
            <x v="7"/>
          </reference>
          <reference field="16" count="1" selected="0">
            <x v="0"/>
          </reference>
        </references>
      </pivotArea>
    </format>
    <format dxfId="25702">
      <pivotArea dataOnly="0" labelOnly="1" outline="0" fieldPosition="0">
        <references count="4">
          <reference field="3" count="1" selected="0">
            <x v="0"/>
          </reference>
          <reference field="5" count="2">
            <x v="0"/>
            <x v="1"/>
          </reference>
          <reference field="15" count="1" selected="0">
            <x v="8"/>
          </reference>
          <reference field="16" count="1" selected="0">
            <x v="0"/>
          </reference>
        </references>
      </pivotArea>
    </format>
    <format dxfId="25703">
      <pivotArea dataOnly="0" labelOnly="1" outline="0" fieldPosition="0">
        <references count="4">
          <reference field="3" count="1" selected="0">
            <x v="1"/>
          </reference>
          <reference field="5" count="3">
            <x v="0"/>
            <x v="1"/>
            <x v="2"/>
          </reference>
          <reference field="15" count="1" selected="0">
            <x v="8"/>
          </reference>
          <reference field="16" count="1" selected="0">
            <x v="0"/>
          </reference>
        </references>
      </pivotArea>
    </format>
    <format dxfId="25704">
      <pivotArea dataOnly="0" labelOnly="1" outline="0" fieldPosition="0">
        <references count="4">
          <reference field="3" count="1" selected="0">
            <x v="2"/>
          </reference>
          <reference field="5" count="3">
            <x v="0"/>
            <x v="1"/>
            <x v="3"/>
          </reference>
          <reference field="15" count="1" selected="0">
            <x v="8"/>
          </reference>
          <reference field="16" count="1" selected="0">
            <x v="0"/>
          </reference>
        </references>
      </pivotArea>
    </format>
    <format dxfId="25705">
      <pivotArea dataOnly="0" labelOnly="1" outline="0" fieldPosition="0">
        <references count="4">
          <reference field="3" count="1" selected="0">
            <x v="3"/>
          </reference>
          <reference field="5" count="1">
            <x v="1"/>
          </reference>
          <reference field="15" count="1" selected="0">
            <x v="8"/>
          </reference>
          <reference field="16" count="1" selected="0">
            <x v="0"/>
          </reference>
        </references>
      </pivotArea>
    </format>
    <format dxfId="25706">
      <pivotArea dataOnly="0" labelOnly="1" outline="0" fieldPosition="0">
        <references count="4">
          <reference field="3" count="1" selected="0">
            <x v="4"/>
          </reference>
          <reference field="5" count="3">
            <x v="0"/>
            <x v="1"/>
            <x v="2"/>
          </reference>
          <reference field="15" count="1" selected="0">
            <x v="8"/>
          </reference>
          <reference field="16" count="1" selected="0">
            <x v="0"/>
          </reference>
        </references>
      </pivotArea>
    </format>
    <format dxfId="25707">
      <pivotArea dataOnly="0" labelOnly="1" outline="0" fieldPosition="0">
        <references count="4">
          <reference field="3" count="1" selected="0">
            <x v="0"/>
          </reference>
          <reference field="5" count="1">
            <x v="0"/>
          </reference>
          <reference field="15" count="1" selected="0">
            <x v="9"/>
          </reference>
          <reference field="16" count="1" selected="0">
            <x v="0"/>
          </reference>
        </references>
      </pivotArea>
    </format>
    <format dxfId="25708">
      <pivotArea dataOnly="0" labelOnly="1" outline="0" fieldPosition="0">
        <references count="4">
          <reference field="3" count="1" selected="0">
            <x v="1"/>
          </reference>
          <reference field="5" count="2">
            <x v="1"/>
            <x v="2"/>
          </reference>
          <reference field="15" count="1" selected="0">
            <x v="9"/>
          </reference>
          <reference field="16" count="1" selected="0">
            <x v="0"/>
          </reference>
        </references>
      </pivotArea>
    </format>
    <format dxfId="25709">
      <pivotArea dataOnly="0" labelOnly="1" outline="0" fieldPosition="0">
        <references count="4">
          <reference field="3" count="1" selected="0">
            <x v="2"/>
          </reference>
          <reference field="5" count="3">
            <x v="0"/>
            <x v="1"/>
            <x v="2"/>
          </reference>
          <reference field="15" count="1" selected="0">
            <x v="9"/>
          </reference>
          <reference field="16" count="1" selected="0">
            <x v="0"/>
          </reference>
        </references>
      </pivotArea>
    </format>
    <format dxfId="25710">
      <pivotArea dataOnly="0" labelOnly="1" outline="0" fieldPosition="0">
        <references count="4">
          <reference field="3" count="1" selected="0">
            <x v="3"/>
          </reference>
          <reference field="5" count="2">
            <x v="0"/>
            <x v="1"/>
          </reference>
          <reference field="15" count="1" selected="0">
            <x v="9"/>
          </reference>
          <reference field="16" count="1" selected="0">
            <x v="0"/>
          </reference>
        </references>
      </pivotArea>
    </format>
    <format dxfId="25711">
      <pivotArea dataOnly="0" labelOnly="1" outline="0" fieldPosition="0">
        <references count="4">
          <reference field="3" count="1" selected="0">
            <x v="4"/>
          </reference>
          <reference field="5" count="0"/>
          <reference field="15" count="1" selected="0">
            <x v="9"/>
          </reference>
          <reference field="16" count="1" selected="0">
            <x v="0"/>
          </reference>
        </references>
      </pivotArea>
    </format>
    <format dxfId="25712">
      <pivotArea dataOnly="0" labelOnly="1" outline="0" fieldPosition="0">
        <references count="4">
          <reference field="3" count="1" selected="0">
            <x v="0"/>
          </reference>
          <reference field="5" count="2">
            <x v="0"/>
            <x v="2"/>
          </reference>
          <reference field="15" count="1" selected="0">
            <x v="10"/>
          </reference>
          <reference field="16" count="1" selected="0">
            <x v="0"/>
          </reference>
        </references>
      </pivotArea>
    </format>
    <format dxfId="25713">
      <pivotArea dataOnly="0" labelOnly="1" outline="0" fieldPosition="0">
        <references count="4">
          <reference field="3" count="1" selected="0">
            <x v="1"/>
          </reference>
          <reference field="5" count="3">
            <x v="0"/>
            <x v="1"/>
            <x v="2"/>
          </reference>
          <reference field="15" count="1" selected="0">
            <x v="10"/>
          </reference>
          <reference field="16" count="1" selected="0">
            <x v="0"/>
          </reference>
        </references>
      </pivotArea>
    </format>
    <format dxfId="25714">
      <pivotArea dataOnly="0" labelOnly="1" outline="0" fieldPosition="0">
        <references count="4">
          <reference field="3" count="1" selected="0">
            <x v="2"/>
          </reference>
          <reference field="5" count="3">
            <x v="0"/>
            <x v="1"/>
            <x v="2"/>
          </reference>
          <reference field="15" count="1" selected="0">
            <x v="10"/>
          </reference>
          <reference field="16" count="1" selected="0">
            <x v="0"/>
          </reference>
        </references>
      </pivotArea>
    </format>
    <format dxfId="25715">
      <pivotArea dataOnly="0" labelOnly="1" outline="0" fieldPosition="0">
        <references count="4">
          <reference field="3" count="1" selected="0">
            <x v="3"/>
          </reference>
          <reference field="5" count="3">
            <x v="0"/>
            <x v="1"/>
            <x v="2"/>
          </reference>
          <reference field="15" count="1" selected="0">
            <x v="10"/>
          </reference>
          <reference field="16" count="1" selected="0">
            <x v="0"/>
          </reference>
        </references>
      </pivotArea>
    </format>
    <format dxfId="25716">
      <pivotArea dataOnly="0" labelOnly="1" outline="0" fieldPosition="0">
        <references count="4">
          <reference field="3" count="1" selected="0">
            <x v="4"/>
          </reference>
          <reference field="5" count="2">
            <x v="0"/>
            <x v="1"/>
          </reference>
          <reference field="15" count="1" selected="0">
            <x v="10"/>
          </reference>
          <reference field="16" count="1" selected="0">
            <x v="0"/>
          </reference>
        </references>
      </pivotArea>
    </format>
    <format dxfId="25717">
      <pivotArea dataOnly="0" labelOnly="1" outline="0" fieldPosition="0">
        <references count="4">
          <reference field="3" count="1" selected="0">
            <x v="0"/>
          </reference>
          <reference field="5" count="2">
            <x v="0"/>
            <x v="1"/>
          </reference>
          <reference field="15" count="1" selected="0">
            <x v="11"/>
          </reference>
          <reference field="16" count="1" selected="0">
            <x v="0"/>
          </reference>
        </references>
      </pivotArea>
    </format>
    <format dxfId="25718">
      <pivotArea dataOnly="0" labelOnly="1" outline="0" fieldPosition="0">
        <references count="4">
          <reference field="3" count="1" selected="0">
            <x v="1"/>
          </reference>
          <reference field="5" count="0"/>
          <reference field="15" count="1" selected="0">
            <x v="11"/>
          </reference>
          <reference field="16" count="1" selected="0">
            <x v="0"/>
          </reference>
        </references>
      </pivotArea>
    </format>
    <format dxfId="25719">
      <pivotArea dataOnly="0" labelOnly="1" outline="0" fieldPosition="0">
        <references count="4">
          <reference field="3" count="1" selected="0">
            <x v="2"/>
          </reference>
          <reference field="5" count="3">
            <x v="0"/>
            <x v="1"/>
            <x v="2"/>
          </reference>
          <reference field="15" count="1" selected="0">
            <x v="11"/>
          </reference>
          <reference field="16" count="1" selected="0">
            <x v="0"/>
          </reference>
        </references>
      </pivotArea>
    </format>
    <format dxfId="25720">
      <pivotArea dataOnly="0" labelOnly="1" outline="0" fieldPosition="0">
        <references count="4">
          <reference field="3" count="1" selected="0">
            <x v="3"/>
          </reference>
          <reference field="5" count="1">
            <x v="1"/>
          </reference>
          <reference field="15" count="1" selected="0">
            <x v="11"/>
          </reference>
          <reference field="16" count="1" selected="0">
            <x v="0"/>
          </reference>
        </references>
      </pivotArea>
    </format>
    <format dxfId="25721">
      <pivotArea dataOnly="0" labelOnly="1" outline="0" fieldPosition="0">
        <references count="4">
          <reference field="3" count="1" selected="0">
            <x v="4"/>
          </reference>
          <reference field="5" count="0"/>
          <reference field="15" count="1" selected="0">
            <x v="11"/>
          </reference>
          <reference field="16" count="1" selected="0">
            <x v="0"/>
          </reference>
        </references>
      </pivotArea>
    </format>
    <format dxfId="25722">
      <pivotArea dataOnly="0" labelOnly="1" outline="0" fieldPosition="0">
        <references count="4">
          <reference field="3" count="1" selected="0">
            <x v="0"/>
          </reference>
          <reference field="5" count="2">
            <x v="0"/>
            <x v="1"/>
          </reference>
          <reference field="15" count="1" selected="0">
            <x v="0"/>
          </reference>
          <reference field="16" count="1" selected="0">
            <x v="1"/>
          </reference>
        </references>
      </pivotArea>
    </format>
    <format dxfId="25723">
      <pivotArea dataOnly="0" labelOnly="1" outline="0" fieldPosition="0">
        <references count="4">
          <reference field="3" count="1" selected="0">
            <x v="1"/>
          </reference>
          <reference field="5" count="3">
            <x v="0"/>
            <x v="1"/>
            <x v="2"/>
          </reference>
          <reference field="15" count="1" selected="0">
            <x v="0"/>
          </reference>
          <reference field="16" count="1" selected="0">
            <x v="1"/>
          </reference>
        </references>
      </pivotArea>
    </format>
    <format dxfId="25724">
      <pivotArea dataOnly="0" labelOnly="1" outline="0" fieldPosition="0">
        <references count="4">
          <reference field="3" count="1" selected="0">
            <x v="2"/>
          </reference>
          <reference field="5" count="2">
            <x v="0"/>
            <x v="2"/>
          </reference>
          <reference field="15" count="1" selected="0">
            <x v="0"/>
          </reference>
          <reference field="16" count="1" selected="0">
            <x v="1"/>
          </reference>
        </references>
      </pivotArea>
    </format>
    <format dxfId="25725">
      <pivotArea dataOnly="0" labelOnly="1" outline="0" fieldPosition="0">
        <references count="4">
          <reference field="3" count="1" selected="0">
            <x v="3"/>
          </reference>
          <reference field="5" count="2">
            <x v="0"/>
            <x v="2"/>
          </reference>
          <reference field="15" count="1" selected="0">
            <x v="0"/>
          </reference>
          <reference field="16" count="1" selected="0">
            <x v="1"/>
          </reference>
        </references>
      </pivotArea>
    </format>
    <format dxfId="25726">
      <pivotArea dataOnly="0" labelOnly="1" outline="0" fieldPosition="0">
        <references count="4">
          <reference field="3" count="1" selected="0">
            <x v="4"/>
          </reference>
          <reference field="5" count="3">
            <x v="0"/>
            <x v="1"/>
            <x v="2"/>
          </reference>
          <reference field="15" count="1" selected="0">
            <x v="0"/>
          </reference>
          <reference field="16" count="1" selected="0">
            <x v="1"/>
          </reference>
        </references>
      </pivotArea>
    </format>
    <format dxfId="25727">
      <pivotArea dataOnly="0" labelOnly="1" outline="0" fieldPosition="0">
        <references count="4">
          <reference field="3" count="1" selected="0">
            <x v="0"/>
          </reference>
          <reference field="5" count="1">
            <x v="0"/>
          </reference>
          <reference field="15" count="1" selected="0">
            <x v="1"/>
          </reference>
          <reference field="16" count="1" selected="0">
            <x v="1"/>
          </reference>
        </references>
      </pivotArea>
    </format>
    <format dxfId="25728">
      <pivotArea dataOnly="0" labelOnly="1" outline="0" fieldPosition="0">
        <references count="4">
          <reference field="3" count="1" selected="0">
            <x v="1"/>
          </reference>
          <reference field="5" count="3">
            <x v="1"/>
            <x v="2"/>
            <x v="3"/>
          </reference>
          <reference field="15" count="1" selected="0">
            <x v="1"/>
          </reference>
          <reference field="16" count="1" selected="0">
            <x v="1"/>
          </reference>
        </references>
      </pivotArea>
    </format>
    <format dxfId="25729">
      <pivotArea dataOnly="0" labelOnly="1" outline="0" fieldPosition="0">
        <references count="4">
          <reference field="3" count="1" selected="0">
            <x v="2"/>
          </reference>
          <reference field="5" count="1">
            <x v="0"/>
          </reference>
          <reference field="15" count="1" selected="0">
            <x v="1"/>
          </reference>
          <reference field="16" count="1" selected="0">
            <x v="1"/>
          </reference>
        </references>
      </pivotArea>
    </format>
    <format dxfId="25730">
      <pivotArea dataOnly="0" labelOnly="1" outline="0" fieldPosition="0">
        <references count="4">
          <reference field="3" count="1" selected="0">
            <x v="3"/>
          </reference>
          <reference field="5" count="1">
            <x v="1"/>
          </reference>
          <reference field="15" count="1" selected="0">
            <x v="1"/>
          </reference>
          <reference field="16" count="1" selected="0">
            <x v="1"/>
          </reference>
        </references>
      </pivotArea>
    </format>
    <format dxfId="25731">
      <pivotArea dataOnly="0" labelOnly="1" outline="0" fieldPosition="0">
        <references count="4">
          <reference field="3" count="1" selected="0">
            <x v="4"/>
          </reference>
          <reference field="5" count="0"/>
          <reference field="15" count="1" selected="0">
            <x v="1"/>
          </reference>
          <reference field="16" count="1" selected="0">
            <x v="1"/>
          </reference>
        </references>
      </pivotArea>
    </format>
    <format dxfId="25732">
      <pivotArea dataOnly="0" labelOnly="1" outline="0" fieldPosition="0">
        <references count="4">
          <reference field="3" count="1" selected="0">
            <x v="0"/>
          </reference>
          <reference field="5" count="3">
            <x v="0"/>
            <x v="1"/>
            <x v="2"/>
          </reference>
          <reference field="15" count="1" selected="0">
            <x v="2"/>
          </reference>
          <reference field="16" count="1" selected="0">
            <x v="1"/>
          </reference>
        </references>
      </pivotArea>
    </format>
    <format dxfId="25733">
      <pivotArea dataOnly="0" labelOnly="1" outline="0" fieldPosition="0">
        <references count="4">
          <reference field="3" count="1" selected="0">
            <x v="1"/>
          </reference>
          <reference field="5" count="0"/>
          <reference field="15" count="1" selected="0">
            <x v="2"/>
          </reference>
          <reference field="16" count="1" selected="0">
            <x v="1"/>
          </reference>
        </references>
      </pivotArea>
    </format>
    <format dxfId="25734">
      <pivotArea dataOnly="0" labelOnly="1" outline="0" fieldPosition="0">
        <references count="4">
          <reference field="3" count="1" selected="0">
            <x v="2"/>
          </reference>
          <reference field="5" count="0"/>
          <reference field="15" count="1" selected="0">
            <x v="2"/>
          </reference>
          <reference field="16" count="1" selected="0">
            <x v="1"/>
          </reference>
        </references>
      </pivotArea>
    </format>
    <format dxfId="25735">
      <pivotArea dataOnly="0" labelOnly="1" outline="0" fieldPosition="0">
        <references count="4">
          <reference field="3" count="1" selected="0">
            <x v="3"/>
          </reference>
          <reference field="5" count="2">
            <x v="0"/>
            <x v="1"/>
          </reference>
          <reference field="15" count="1" selected="0">
            <x v="2"/>
          </reference>
          <reference field="16" count="1" selected="0">
            <x v="1"/>
          </reference>
        </references>
      </pivotArea>
    </format>
    <format dxfId="25736">
      <pivotArea dataOnly="0" labelOnly="1" outline="0" fieldPosition="0">
        <references count="4">
          <reference field="3" count="1" selected="0">
            <x v="4"/>
          </reference>
          <reference field="5" count="2">
            <x v="0"/>
            <x v="2"/>
          </reference>
          <reference field="15" count="1" selected="0">
            <x v="2"/>
          </reference>
          <reference field="16" count="1" selected="0">
            <x v="1"/>
          </reference>
        </references>
      </pivotArea>
    </format>
    <format dxfId="25737">
      <pivotArea dataOnly="0" labelOnly="1" outline="0" fieldPosition="0">
        <references count="4">
          <reference field="3" count="1" selected="0">
            <x v="0"/>
          </reference>
          <reference field="5" count="3">
            <x v="0"/>
            <x v="1"/>
            <x v="2"/>
          </reference>
          <reference field="15" count="1" selected="0">
            <x v="3"/>
          </reference>
          <reference field="16" count="1" selected="0">
            <x v="1"/>
          </reference>
        </references>
      </pivotArea>
    </format>
    <format dxfId="25738">
      <pivotArea dataOnly="0" labelOnly="1" outline="0" fieldPosition="0">
        <references count="4">
          <reference field="3" count="1" selected="0">
            <x v="1"/>
          </reference>
          <reference field="5" count="3">
            <x v="0"/>
            <x v="1"/>
            <x v="2"/>
          </reference>
          <reference field="15" count="1" selected="0">
            <x v="3"/>
          </reference>
          <reference field="16" count="1" selected="0">
            <x v="1"/>
          </reference>
        </references>
      </pivotArea>
    </format>
    <format dxfId="25739">
      <pivotArea dataOnly="0" labelOnly="1" outline="0" fieldPosition="0">
        <references count="4">
          <reference field="3" count="1" selected="0">
            <x v="2"/>
          </reference>
          <reference field="5" count="3">
            <x v="0"/>
            <x v="1"/>
            <x v="2"/>
          </reference>
          <reference field="15" count="1" selected="0">
            <x v="3"/>
          </reference>
          <reference field="16" count="1" selected="0">
            <x v="1"/>
          </reference>
        </references>
      </pivotArea>
    </format>
    <format dxfId="25740">
      <pivotArea dataOnly="0" labelOnly="1" outline="0" fieldPosition="0">
        <references count="4">
          <reference field="3" count="1" selected="0">
            <x v="3"/>
          </reference>
          <reference field="5" count="1">
            <x v="1"/>
          </reference>
          <reference field="15" count="1" selected="0">
            <x v="3"/>
          </reference>
          <reference field="16" count="1" selected="0">
            <x v="1"/>
          </reference>
        </references>
      </pivotArea>
    </format>
    <format dxfId="25741">
      <pivotArea dataOnly="0" labelOnly="1" outline="0" fieldPosition="0">
        <references count="4">
          <reference field="3" count="1" selected="0">
            <x v="4"/>
          </reference>
          <reference field="5" count="2">
            <x v="0"/>
            <x v="1"/>
          </reference>
          <reference field="15" count="1" selected="0">
            <x v="3"/>
          </reference>
          <reference field="16" count="1" selected="0">
            <x v="1"/>
          </reference>
        </references>
      </pivotArea>
    </format>
    <format dxfId="25742">
      <pivotArea dataOnly="0" labelOnly="1" outline="0" fieldPosition="0">
        <references count="4">
          <reference field="3" count="1" selected="0">
            <x v="0"/>
          </reference>
          <reference field="5" count="1">
            <x v="2"/>
          </reference>
          <reference field="15" count="1" selected="0">
            <x v="4"/>
          </reference>
          <reference field="16" count="1" selected="0">
            <x v="1"/>
          </reference>
        </references>
      </pivotArea>
    </format>
    <format dxfId="25743">
      <pivotArea dataOnly="0" labelOnly="1" outline="0" fieldPosition="0">
        <references count="4">
          <reference field="3" count="1" selected="0">
            <x v="1"/>
          </reference>
          <reference field="5" count="3">
            <x v="0"/>
            <x v="1"/>
            <x v="2"/>
          </reference>
          <reference field="15" count="1" selected="0">
            <x v="4"/>
          </reference>
          <reference field="16" count="1" selected="0">
            <x v="1"/>
          </reference>
        </references>
      </pivotArea>
    </format>
    <format dxfId="25744">
      <pivotArea dataOnly="0" labelOnly="1" outline="0" fieldPosition="0">
        <references count="4">
          <reference field="3" count="1" selected="0">
            <x v="2"/>
          </reference>
          <reference field="5" count="3">
            <x v="0"/>
            <x v="1"/>
            <x v="2"/>
          </reference>
          <reference field="15" count="1" selected="0">
            <x v="4"/>
          </reference>
          <reference field="16" count="1" selected="0">
            <x v="1"/>
          </reference>
        </references>
      </pivotArea>
    </format>
    <format dxfId="25745">
      <pivotArea dataOnly="0" labelOnly="1" outline="0" fieldPosition="0">
        <references count="4">
          <reference field="3" count="1" selected="0">
            <x v="3"/>
          </reference>
          <reference field="5" count="3">
            <x v="0"/>
            <x v="1"/>
            <x v="2"/>
          </reference>
          <reference field="15" count="1" selected="0">
            <x v="4"/>
          </reference>
          <reference field="16" count="1" selected="0">
            <x v="1"/>
          </reference>
        </references>
      </pivotArea>
    </format>
    <format dxfId="25746">
      <pivotArea dataOnly="0" labelOnly="1" outline="0" fieldPosition="0">
        <references count="4">
          <reference field="3" count="1" selected="0">
            <x v="4"/>
          </reference>
          <reference field="5" count="3">
            <x v="0"/>
            <x v="1"/>
            <x v="2"/>
          </reference>
          <reference field="15" count="1" selected="0">
            <x v="4"/>
          </reference>
          <reference field="16" count="1" selected="0">
            <x v="1"/>
          </reference>
        </references>
      </pivotArea>
    </format>
    <format dxfId="25747">
      <pivotArea dataOnly="0" labelOnly="1" outline="0" fieldPosition="0">
        <references count="4">
          <reference field="3" count="1" selected="0">
            <x v="0"/>
          </reference>
          <reference field="5" count="2">
            <x v="0"/>
            <x v="2"/>
          </reference>
          <reference field="15" count="1" selected="0">
            <x v="5"/>
          </reference>
          <reference field="16" count="1" selected="0">
            <x v="1"/>
          </reference>
        </references>
      </pivotArea>
    </format>
    <format dxfId="25748">
      <pivotArea dataOnly="0" labelOnly="1" outline="0" fieldPosition="0">
        <references count="4">
          <reference field="3" count="1" selected="0">
            <x v="1"/>
          </reference>
          <reference field="5" count="0"/>
          <reference field="15" count="1" selected="0">
            <x v="5"/>
          </reference>
          <reference field="16" count="1" selected="0">
            <x v="1"/>
          </reference>
        </references>
      </pivotArea>
    </format>
    <format dxfId="25749">
      <pivotArea dataOnly="0" labelOnly="1" outline="0" fieldPosition="0">
        <references count="4">
          <reference field="3" count="1" selected="0">
            <x v="2"/>
          </reference>
          <reference field="5" count="3">
            <x v="0"/>
            <x v="1"/>
            <x v="2"/>
          </reference>
          <reference field="15" count="1" selected="0">
            <x v="5"/>
          </reference>
          <reference field="16" count="1" selected="0">
            <x v="1"/>
          </reference>
        </references>
      </pivotArea>
    </format>
    <format dxfId="25750">
      <pivotArea dataOnly="0" labelOnly="1" outline="0" fieldPosition="0">
        <references count="4">
          <reference field="3" count="1" selected="0">
            <x v="3"/>
          </reference>
          <reference field="5" count="2">
            <x v="0"/>
            <x v="2"/>
          </reference>
          <reference field="15" count="1" selected="0">
            <x v="5"/>
          </reference>
          <reference field="16" count="1" selected="0">
            <x v="1"/>
          </reference>
        </references>
      </pivotArea>
    </format>
    <format dxfId="25751">
      <pivotArea dataOnly="0" labelOnly="1" outline="0" fieldPosition="0">
        <references count="4">
          <reference field="3" count="1" selected="0">
            <x v="4"/>
          </reference>
          <reference field="5" count="2">
            <x v="0"/>
            <x v="1"/>
          </reference>
          <reference field="15" count="1" selected="0">
            <x v="5"/>
          </reference>
          <reference field="16" count="1" selected="0">
            <x v="1"/>
          </reference>
        </references>
      </pivotArea>
    </format>
    <format dxfId="25752">
      <pivotArea dataOnly="0" labelOnly="1" outline="0" fieldPosition="0">
        <references count="4">
          <reference field="3" count="1" selected="0">
            <x v="0"/>
          </reference>
          <reference field="5" count="3">
            <x v="0"/>
            <x v="1"/>
            <x v="2"/>
          </reference>
          <reference field="15" count="1" selected="0">
            <x v="6"/>
          </reference>
          <reference field="16" count="1" selected="0">
            <x v="1"/>
          </reference>
        </references>
      </pivotArea>
    </format>
    <format dxfId="25753">
      <pivotArea dataOnly="0" labelOnly="1" outline="0" fieldPosition="0">
        <references count="4">
          <reference field="3" count="1" selected="0">
            <x v="1"/>
          </reference>
          <reference field="5" count="0"/>
          <reference field="15" count="1" selected="0">
            <x v="6"/>
          </reference>
          <reference field="16" count="1" selected="0">
            <x v="1"/>
          </reference>
        </references>
      </pivotArea>
    </format>
    <format dxfId="25754">
      <pivotArea dataOnly="0" labelOnly="1" outline="0" fieldPosition="0">
        <references count="4">
          <reference field="3" count="1" selected="0">
            <x v="2"/>
          </reference>
          <reference field="5" count="3">
            <x v="0"/>
            <x v="1"/>
            <x v="3"/>
          </reference>
          <reference field="15" count="1" selected="0">
            <x v="6"/>
          </reference>
          <reference field="16" count="1" selected="0">
            <x v="1"/>
          </reference>
        </references>
      </pivotArea>
    </format>
    <format dxfId="25755">
      <pivotArea dataOnly="0" labelOnly="1" outline="0" fieldPosition="0">
        <references count="4">
          <reference field="3" count="1" selected="0">
            <x v="3"/>
          </reference>
          <reference field="5" count="3">
            <x v="0"/>
            <x v="1"/>
            <x v="2"/>
          </reference>
          <reference field="15" count="1" selected="0">
            <x v="6"/>
          </reference>
          <reference field="16" count="1" selected="0">
            <x v="1"/>
          </reference>
        </references>
      </pivotArea>
    </format>
    <format dxfId="25756">
      <pivotArea dataOnly="0" labelOnly="1" outline="0" fieldPosition="0">
        <references count="4">
          <reference field="3" count="1" selected="0">
            <x v="4"/>
          </reference>
          <reference field="5" count="2">
            <x v="0"/>
            <x v="1"/>
          </reference>
          <reference field="15" count="1" selected="0">
            <x v="6"/>
          </reference>
          <reference field="16" count="1" selected="0">
            <x v="1"/>
          </reference>
        </references>
      </pivotArea>
    </format>
    <format dxfId="25757">
      <pivotArea dataOnly="0" labelOnly="1" outline="0" fieldPosition="0">
        <references count="4">
          <reference field="3" count="1" selected="0">
            <x v="0"/>
          </reference>
          <reference field="5" count="3">
            <x v="0"/>
            <x v="1"/>
            <x v="2"/>
          </reference>
          <reference field="15" count="1" selected="0">
            <x v="7"/>
          </reference>
          <reference field="16" count="1" selected="0">
            <x v="1"/>
          </reference>
        </references>
      </pivotArea>
    </format>
    <format dxfId="25758">
      <pivotArea dataOnly="0" labelOnly="1" outline="0" fieldPosition="0">
        <references count="4">
          <reference field="3" count="1" selected="0">
            <x v="1"/>
          </reference>
          <reference field="5" count="0"/>
          <reference field="15" count="1" selected="0">
            <x v="7"/>
          </reference>
          <reference field="16" count="1" selected="0">
            <x v="1"/>
          </reference>
        </references>
      </pivotArea>
    </format>
    <format dxfId="25759">
      <pivotArea dataOnly="0" labelOnly="1" outline="0" fieldPosition="0">
        <references count="4">
          <reference field="3" count="1" selected="0">
            <x v="2"/>
          </reference>
          <reference field="5" count="3">
            <x v="0"/>
            <x v="1"/>
            <x v="2"/>
          </reference>
          <reference field="15" count="1" selected="0">
            <x v="7"/>
          </reference>
          <reference field="16" count="1" selected="0">
            <x v="1"/>
          </reference>
        </references>
      </pivotArea>
    </format>
    <format dxfId="25760">
      <pivotArea dataOnly="0" labelOnly="1" outline="0" fieldPosition="0">
        <references count="4">
          <reference field="3" count="1" selected="0">
            <x v="3"/>
          </reference>
          <reference field="5" count="2">
            <x v="0"/>
            <x v="2"/>
          </reference>
          <reference field="15" count="1" selected="0">
            <x v="7"/>
          </reference>
          <reference field="16" count="1" selected="0">
            <x v="1"/>
          </reference>
        </references>
      </pivotArea>
    </format>
    <format dxfId="25761">
      <pivotArea dataOnly="0" labelOnly="1" outline="0" fieldPosition="0">
        <references count="4">
          <reference field="3" count="1" selected="0">
            <x v="4"/>
          </reference>
          <reference field="5" count="2">
            <x v="0"/>
            <x v="2"/>
          </reference>
          <reference field="15" count="1" selected="0">
            <x v="7"/>
          </reference>
          <reference field="16" count="1" selected="0">
            <x v="1"/>
          </reference>
        </references>
      </pivotArea>
    </format>
    <format dxfId="25762">
      <pivotArea dataOnly="0" labelOnly="1" outline="0" fieldPosition="0">
        <references count="4">
          <reference field="3" count="1" selected="0">
            <x v="0"/>
          </reference>
          <reference field="5" count="1">
            <x v="0"/>
          </reference>
          <reference field="15" count="1" selected="0">
            <x v="8"/>
          </reference>
          <reference field="16" count="1" selected="0">
            <x v="1"/>
          </reference>
        </references>
      </pivotArea>
    </format>
    <format dxfId="25763">
      <pivotArea dataOnly="0" labelOnly="1" outline="0" fieldPosition="0">
        <references count="4">
          <reference field="3" count="1" selected="0">
            <x v="1"/>
          </reference>
          <reference field="5" count="2">
            <x v="1"/>
            <x v="2"/>
          </reference>
          <reference field="15" count="1" selected="0">
            <x v="8"/>
          </reference>
          <reference field="16" count="1" selected="0">
            <x v="1"/>
          </reference>
        </references>
      </pivotArea>
    </format>
    <format dxfId="25764">
      <pivotArea dataOnly="0" labelOnly="1" outline="0" fieldPosition="0">
        <references count="4">
          <reference field="3" count="1" selected="0">
            <x v="2"/>
          </reference>
          <reference field="5" count="3">
            <x v="0"/>
            <x v="1"/>
            <x v="2"/>
          </reference>
          <reference field="15" count="1" selected="0">
            <x v="8"/>
          </reference>
          <reference field="16" count="1" selected="0">
            <x v="1"/>
          </reference>
        </references>
      </pivotArea>
    </format>
    <format dxfId="25765">
      <pivotArea dataOnly="0" labelOnly="1" outline="0" fieldPosition="0">
        <references count="4">
          <reference field="3" count="1" selected="0">
            <x v="3"/>
          </reference>
          <reference field="5" count="2">
            <x v="0"/>
            <x v="2"/>
          </reference>
          <reference field="15" count="1" selected="0">
            <x v="8"/>
          </reference>
          <reference field="16" count="1" selected="0">
            <x v="1"/>
          </reference>
        </references>
      </pivotArea>
    </format>
    <format dxfId="25766">
      <pivotArea dataOnly="0" labelOnly="1" outline="0" fieldPosition="0">
        <references count="4">
          <reference field="3" count="1" selected="0">
            <x v="4"/>
          </reference>
          <reference field="5" count="0"/>
          <reference field="15" count="1" selected="0">
            <x v="8"/>
          </reference>
          <reference field="16" count="1" selected="0">
            <x v="1"/>
          </reference>
        </references>
      </pivotArea>
    </format>
    <format dxfId="25767">
      <pivotArea dataOnly="0" labelOnly="1" outline="0" fieldPosition="0">
        <references count="4">
          <reference field="3" count="1" selected="0">
            <x v="0"/>
          </reference>
          <reference field="5" count="1">
            <x v="1"/>
          </reference>
          <reference field="15" count="1" selected="0">
            <x v="9"/>
          </reference>
          <reference field="16" count="1" selected="0">
            <x v="1"/>
          </reference>
        </references>
      </pivotArea>
    </format>
    <format dxfId="25768">
      <pivotArea dataOnly="0" labelOnly="1" outline="0" fieldPosition="0">
        <references count="4">
          <reference field="3" count="1" selected="0">
            <x v="1"/>
          </reference>
          <reference field="5" count="3">
            <x v="0"/>
            <x v="1"/>
            <x v="2"/>
          </reference>
          <reference field="15" count="1" selected="0">
            <x v="9"/>
          </reference>
          <reference field="16" count="1" selected="0">
            <x v="1"/>
          </reference>
        </references>
      </pivotArea>
    </format>
    <format dxfId="25769">
      <pivotArea dataOnly="0" labelOnly="1" outline="0" fieldPosition="0">
        <references count="4">
          <reference field="3" count="1" selected="0">
            <x v="2"/>
          </reference>
          <reference field="5" count="3">
            <x v="0"/>
            <x v="1"/>
            <x v="3"/>
          </reference>
          <reference field="15" count="1" selected="0">
            <x v="9"/>
          </reference>
          <reference field="16" count="1" selected="0">
            <x v="1"/>
          </reference>
        </references>
      </pivotArea>
    </format>
    <format dxfId="25770">
      <pivotArea dataOnly="0" labelOnly="1" outline="0" fieldPosition="0">
        <references count="4">
          <reference field="3" count="1" selected="0">
            <x v="3"/>
          </reference>
          <reference field="5" count="2">
            <x v="0"/>
            <x v="1"/>
          </reference>
          <reference field="15" count="1" selected="0">
            <x v="9"/>
          </reference>
          <reference field="16" count="1" selected="0">
            <x v="1"/>
          </reference>
        </references>
      </pivotArea>
    </format>
    <format dxfId="25771">
      <pivotArea dataOnly="0" labelOnly="1" outline="0" fieldPosition="0">
        <references count="4">
          <reference field="3" count="1" selected="0">
            <x v="4"/>
          </reference>
          <reference field="5" count="3">
            <x v="0"/>
            <x v="1"/>
            <x v="2"/>
          </reference>
          <reference field="15" count="1" selected="0">
            <x v="9"/>
          </reference>
          <reference field="16" count="1" selected="0">
            <x v="1"/>
          </reference>
        </references>
      </pivotArea>
    </format>
    <format dxfId="25772">
      <pivotArea dataOnly="0" labelOnly="1" outline="0" fieldPosition="0">
        <references count="4">
          <reference field="3" count="1" selected="0">
            <x v="0"/>
          </reference>
          <reference field="5" count="2">
            <x v="0"/>
            <x v="1"/>
          </reference>
          <reference field="15" count="1" selected="0">
            <x v="10"/>
          </reference>
          <reference field="16" count="1" selected="0">
            <x v="1"/>
          </reference>
        </references>
      </pivotArea>
    </format>
    <format dxfId="25773">
      <pivotArea dataOnly="0" labelOnly="1" outline="0" fieldPosition="0">
        <references count="4">
          <reference field="3" count="1" selected="0">
            <x v="1"/>
          </reference>
          <reference field="5" count="2">
            <x v="0"/>
            <x v="1"/>
          </reference>
          <reference field="15" count="1" selected="0">
            <x v="10"/>
          </reference>
          <reference field="16" count="1" selected="0">
            <x v="1"/>
          </reference>
        </references>
      </pivotArea>
    </format>
    <format dxfId="25774">
      <pivotArea dataOnly="0" labelOnly="1" outline="0" fieldPosition="0">
        <references count="4">
          <reference field="3" count="1" selected="0">
            <x v="2"/>
          </reference>
          <reference field="5" count="3">
            <x v="0"/>
            <x v="1"/>
            <x v="2"/>
          </reference>
          <reference field="15" count="1" selected="0">
            <x v="10"/>
          </reference>
          <reference field="16" count="1" selected="0">
            <x v="1"/>
          </reference>
        </references>
      </pivotArea>
    </format>
    <format dxfId="25775">
      <pivotArea dataOnly="0" labelOnly="1" outline="0" fieldPosition="0">
        <references count="4">
          <reference field="3" count="1" selected="0">
            <x v="3"/>
          </reference>
          <reference field="5" count="2">
            <x v="0"/>
            <x v="1"/>
          </reference>
          <reference field="15" count="1" selected="0">
            <x v="10"/>
          </reference>
          <reference field="16" count="1" selected="0">
            <x v="1"/>
          </reference>
        </references>
      </pivotArea>
    </format>
    <format dxfId="25776">
      <pivotArea dataOnly="0" labelOnly="1" outline="0" fieldPosition="0">
        <references count="4">
          <reference field="3" count="1" selected="0">
            <x v="4"/>
          </reference>
          <reference field="5" count="3">
            <x v="0"/>
            <x v="1"/>
            <x v="2"/>
          </reference>
          <reference field="15" count="1" selected="0">
            <x v="10"/>
          </reference>
          <reference field="16" count="1" selected="0">
            <x v="1"/>
          </reference>
        </references>
      </pivotArea>
    </format>
    <format dxfId="25777">
      <pivotArea dataOnly="0" labelOnly="1" outline="0" fieldPosition="0">
        <references count="4">
          <reference field="3" count="1" selected="0">
            <x v="1"/>
          </reference>
          <reference field="5" count="3">
            <x v="0"/>
            <x v="1"/>
            <x v="2"/>
          </reference>
          <reference field="15" count="1" selected="0">
            <x v="11"/>
          </reference>
          <reference field="16" count="1" selected="0">
            <x v="1"/>
          </reference>
        </references>
      </pivotArea>
    </format>
    <format dxfId="25778">
      <pivotArea dataOnly="0" labelOnly="1" outline="0" fieldPosition="0">
        <references count="4">
          <reference field="3" count="1" selected="0">
            <x v="2"/>
          </reference>
          <reference field="5" count="0"/>
          <reference field="15" count="1" selected="0">
            <x v="11"/>
          </reference>
          <reference field="16" count="1" selected="0">
            <x v="1"/>
          </reference>
        </references>
      </pivotArea>
    </format>
    <format dxfId="25779">
      <pivotArea dataOnly="0" labelOnly="1" outline="0" fieldPosition="0">
        <references count="4">
          <reference field="3" count="1" selected="0">
            <x v="3"/>
          </reference>
          <reference field="5" count="3">
            <x v="0"/>
            <x v="1"/>
            <x v="3"/>
          </reference>
          <reference field="15" count="1" selected="0">
            <x v="11"/>
          </reference>
          <reference field="16" count="1" selected="0">
            <x v="1"/>
          </reference>
        </references>
      </pivotArea>
    </format>
    <format dxfId="25780">
      <pivotArea dataOnly="0" labelOnly="1" outline="0" fieldPosition="0">
        <references count="4">
          <reference field="3" count="1" selected="0">
            <x v="4"/>
          </reference>
          <reference field="5" count="0"/>
          <reference field="15" count="1" selected="0">
            <x v="11"/>
          </reference>
          <reference field="16" count="1" selected="0">
            <x v="1"/>
          </reference>
        </references>
      </pivotArea>
    </format>
    <format dxfId="25781">
      <pivotArea dataOnly="0" labelOnly="1" outline="0" fieldPosition="0">
        <references count="4">
          <reference field="3" count="1" selected="0">
            <x v="0"/>
          </reference>
          <reference field="5" count="2">
            <x v="0"/>
            <x v="1"/>
          </reference>
          <reference field="15" count="1" selected="0">
            <x v="0"/>
          </reference>
          <reference field="16" count="1" selected="0">
            <x v="2"/>
          </reference>
        </references>
      </pivotArea>
    </format>
    <format dxfId="25782">
      <pivotArea dataOnly="0" labelOnly="1" outline="0" fieldPosition="0">
        <references count="4">
          <reference field="3" count="1" selected="0">
            <x v="1"/>
          </reference>
          <reference field="5" count="0"/>
          <reference field="15" count="1" selected="0">
            <x v="0"/>
          </reference>
          <reference field="16" count="1" selected="0">
            <x v="2"/>
          </reference>
        </references>
      </pivotArea>
    </format>
    <format dxfId="25783">
      <pivotArea dataOnly="0" labelOnly="1" outline="0" fieldPosition="0">
        <references count="4">
          <reference field="3" count="1" selected="0">
            <x v="2"/>
          </reference>
          <reference field="5" count="0"/>
          <reference field="15" count="1" selected="0">
            <x v="0"/>
          </reference>
          <reference field="16" count="1" selected="0">
            <x v="2"/>
          </reference>
        </references>
      </pivotArea>
    </format>
    <format dxfId="25784">
      <pivotArea dataOnly="0" labelOnly="1" outline="0" fieldPosition="0">
        <references count="4">
          <reference field="3" count="1" selected="0">
            <x v="3"/>
          </reference>
          <reference field="5" count="3">
            <x v="0"/>
            <x v="1"/>
            <x v="2"/>
          </reference>
          <reference field="15" count="1" selected="0">
            <x v="0"/>
          </reference>
          <reference field="16" count="1" selected="0">
            <x v="2"/>
          </reference>
        </references>
      </pivotArea>
    </format>
    <format dxfId="25785">
      <pivotArea dataOnly="0" labelOnly="1" outline="0" fieldPosition="0">
        <references count="4">
          <reference field="3" count="1" selected="0">
            <x v="4"/>
          </reference>
          <reference field="5" count="3">
            <x v="0"/>
            <x v="1"/>
            <x v="3"/>
          </reference>
          <reference field="15" count="1" selected="0">
            <x v="0"/>
          </reference>
          <reference field="16" count="1" selected="0">
            <x v="2"/>
          </reference>
        </references>
      </pivotArea>
    </format>
    <format dxfId="25786">
      <pivotArea dataOnly="0" labelOnly="1" outline="0" fieldPosition="0">
        <references count="4">
          <reference field="3" count="1" selected="0">
            <x v="0"/>
          </reference>
          <reference field="5" count="1">
            <x v="0"/>
          </reference>
          <reference field="15" count="1" selected="0">
            <x v="1"/>
          </reference>
          <reference field="16" count="1" selected="0">
            <x v="2"/>
          </reference>
        </references>
      </pivotArea>
    </format>
    <format dxfId="25787">
      <pivotArea dataOnly="0" labelOnly="1" outline="0" fieldPosition="0">
        <references count="4">
          <reference field="3" count="1" selected="0">
            <x v="1"/>
          </reference>
          <reference field="5" count="2">
            <x v="1"/>
            <x v="2"/>
          </reference>
          <reference field="15" count="1" selected="0">
            <x v="1"/>
          </reference>
          <reference field="16" count="1" selected="0">
            <x v="2"/>
          </reference>
        </references>
      </pivotArea>
    </format>
    <format dxfId="25788">
      <pivotArea dataOnly="0" labelOnly="1" outline="0" fieldPosition="0">
        <references count="4">
          <reference field="3" count="1" selected="0">
            <x v="2"/>
          </reference>
          <reference field="5" count="2">
            <x v="0"/>
            <x v="1"/>
          </reference>
          <reference field="15" count="1" selected="0">
            <x v="1"/>
          </reference>
          <reference field="16" count="1" selected="0">
            <x v="2"/>
          </reference>
        </references>
      </pivotArea>
    </format>
    <format dxfId="25789">
      <pivotArea dataOnly="0" labelOnly="1" outline="0" fieldPosition="0">
        <references count="4">
          <reference field="3" count="1" selected="0">
            <x v="3"/>
          </reference>
          <reference field="5" count="3">
            <x v="0"/>
            <x v="1"/>
            <x v="3"/>
          </reference>
          <reference field="15" count="1" selected="0">
            <x v="1"/>
          </reference>
          <reference field="16" count="1" selected="0">
            <x v="2"/>
          </reference>
        </references>
      </pivotArea>
    </format>
    <format dxfId="25790">
      <pivotArea dataOnly="0" labelOnly="1" outline="0" fieldPosition="0">
        <references count="4">
          <reference field="3" count="1" selected="0">
            <x v="4"/>
          </reference>
          <reference field="5" count="3">
            <x v="0"/>
            <x v="1"/>
            <x v="2"/>
          </reference>
          <reference field="15" count="1" selected="0">
            <x v="1"/>
          </reference>
          <reference field="16" count="1" selected="0">
            <x v="2"/>
          </reference>
        </references>
      </pivotArea>
    </format>
    <format dxfId="25791">
      <pivotArea dataOnly="0" labelOnly="1" outline="0" fieldPosition="0">
        <references count="4">
          <reference field="3" count="1" selected="0">
            <x v="0"/>
          </reference>
          <reference field="5" count="1">
            <x v="0"/>
          </reference>
          <reference field="15" count="1" selected="0">
            <x v="2"/>
          </reference>
          <reference field="16" count="1" selected="0">
            <x v="2"/>
          </reference>
        </references>
      </pivotArea>
    </format>
    <format dxfId="25792">
      <pivotArea dataOnly="0" labelOnly="1" outline="0" fieldPosition="0">
        <references count="4">
          <reference field="3" count="1" selected="0">
            <x v="1"/>
          </reference>
          <reference field="5" count="2">
            <x v="1"/>
            <x v="2"/>
          </reference>
          <reference field="15" count="1" selected="0">
            <x v="2"/>
          </reference>
          <reference field="16" count="1" selected="0">
            <x v="2"/>
          </reference>
        </references>
      </pivotArea>
    </format>
    <format dxfId="25793">
      <pivotArea dataOnly="0" labelOnly="1" outline="0" fieldPosition="0">
        <references count="4">
          <reference field="3" count="1" selected="0">
            <x v="2"/>
          </reference>
          <reference field="5" count="2">
            <x v="0"/>
            <x v="3"/>
          </reference>
          <reference field="15" count="1" selected="0">
            <x v="2"/>
          </reference>
          <reference field="16" count="1" selected="0">
            <x v="2"/>
          </reference>
        </references>
      </pivotArea>
    </format>
    <format dxfId="25794">
      <pivotArea dataOnly="0" labelOnly="1" outline="0" fieldPosition="0">
        <references count="4">
          <reference field="3" count="1" selected="0">
            <x v="3"/>
          </reference>
          <reference field="5" count="1">
            <x v="0"/>
          </reference>
          <reference field="15" count="1" selected="0">
            <x v="2"/>
          </reference>
          <reference field="16" count="1" selected="0">
            <x v="2"/>
          </reference>
        </references>
      </pivotArea>
    </format>
    <format dxfId="25795">
      <pivotArea dataOnly="0" labelOnly="1" outline="0" fieldPosition="0">
        <references count="4">
          <reference field="3" count="1" selected="0">
            <x v="4"/>
          </reference>
          <reference field="5" count="2">
            <x v="1"/>
            <x v="2"/>
          </reference>
          <reference field="15" count="1" selected="0">
            <x v="2"/>
          </reference>
          <reference field="16" count="1" selected="0">
            <x v="2"/>
          </reference>
        </references>
      </pivotArea>
    </format>
    <format dxfId="25796">
      <pivotArea dataOnly="0" labelOnly="1" outline="0" fieldPosition="0">
        <references count="4">
          <reference field="3" count="1" selected="0">
            <x v="0"/>
          </reference>
          <reference field="5" count="2">
            <x v="0"/>
            <x v="1"/>
          </reference>
          <reference field="15" count="1" selected="0">
            <x v="3"/>
          </reference>
          <reference field="16" count="1" selected="0">
            <x v="2"/>
          </reference>
        </references>
      </pivotArea>
    </format>
    <format dxfId="25797">
      <pivotArea dataOnly="0" labelOnly="1" outline="0" fieldPosition="0">
        <references count="4">
          <reference field="3" count="1" selected="0">
            <x v="1"/>
          </reference>
          <reference field="5" count="0"/>
          <reference field="15" count="1" selected="0">
            <x v="3"/>
          </reference>
          <reference field="16" count="1" selected="0">
            <x v="2"/>
          </reference>
        </references>
      </pivotArea>
    </format>
    <format dxfId="25798">
      <pivotArea dataOnly="0" labelOnly="1" outline="0" fieldPosition="0">
        <references count="4">
          <reference field="3" count="1" selected="0">
            <x v="2"/>
          </reference>
          <reference field="5" count="2">
            <x v="0"/>
            <x v="1"/>
          </reference>
          <reference field="15" count="1" selected="0">
            <x v="3"/>
          </reference>
          <reference field="16" count="1" selected="0">
            <x v="2"/>
          </reference>
        </references>
      </pivotArea>
    </format>
    <format dxfId="25799">
      <pivotArea dataOnly="0" labelOnly="1" outline="0" fieldPosition="0">
        <references count="4">
          <reference field="3" count="1" selected="0">
            <x v="3"/>
          </reference>
          <reference field="5" count="2">
            <x v="0"/>
            <x v="1"/>
          </reference>
          <reference field="15" count="1" selected="0">
            <x v="3"/>
          </reference>
          <reference field="16" count="1" selected="0">
            <x v="2"/>
          </reference>
        </references>
      </pivotArea>
    </format>
    <format dxfId="25800">
      <pivotArea dataOnly="0" labelOnly="1" outline="0" fieldPosition="0">
        <references count="4">
          <reference field="3" count="1" selected="0">
            <x v="4"/>
          </reference>
          <reference field="5" count="3">
            <x v="0"/>
            <x v="1"/>
            <x v="2"/>
          </reference>
          <reference field="15" count="1" selected="0">
            <x v="3"/>
          </reference>
          <reference field="16" count="1" selected="0">
            <x v="2"/>
          </reference>
        </references>
      </pivotArea>
    </format>
    <format dxfId="25801">
      <pivotArea dataOnly="0" labelOnly="1" outline="0" fieldPosition="0">
        <references count="4">
          <reference field="3" count="1" selected="0">
            <x v="0"/>
          </reference>
          <reference field="5" count="1">
            <x v="0"/>
          </reference>
          <reference field="15" count="1" selected="0">
            <x v="4"/>
          </reference>
          <reference field="16" count="1" selected="0">
            <x v="2"/>
          </reference>
        </references>
      </pivotArea>
    </format>
    <format dxfId="25802">
      <pivotArea dataOnly="0" labelOnly="1" outline="0" fieldPosition="0">
        <references count="4">
          <reference field="3" count="1" selected="0">
            <x v="1"/>
          </reference>
          <reference field="5" count="3">
            <x v="1"/>
            <x v="2"/>
            <x v="3"/>
          </reference>
          <reference field="15" count="1" selected="0">
            <x v="4"/>
          </reference>
          <reference field="16" count="1" selected="0">
            <x v="2"/>
          </reference>
        </references>
      </pivotArea>
    </format>
    <format dxfId="25803">
      <pivotArea dataOnly="0" labelOnly="1" outline="0" fieldPosition="0">
        <references count="4">
          <reference field="3" count="1" selected="0">
            <x v="2"/>
          </reference>
          <reference field="5" count="2">
            <x v="0"/>
            <x v="1"/>
          </reference>
          <reference field="15" count="1" selected="0">
            <x v="4"/>
          </reference>
          <reference field="16" count="1" selected="0">
            <x v="2"/>
          </reference>
        </references>
      </pivotArea>
    </format>
    <format dxfId="25804">
      <pivotArea dataOnly="0" labelOnly="1" outline="0" fieldPosition="0">
        <references count="4">
          <reference field="3" count="1" selected="0">
            <x v="3"/>
          </reference>
          <reference field="5" count="1">
            <x v="0"/>
          </reference>
          <reference field="15" count="1" selected="0">
            <x v="4"/>
          </reference>
          <reference field="16" count="1" selected="0">
            <x v="2"/>
          </reference>
        </references>
      </pivotArea>
    </format>
    <format dxfId="25805">
      <pivotArea dataOnly="0" labelOnly="1" outline="0" fieldPosition="0">
        <references count="4">
          <reference field="3" count="1" selected="0">
            <x v="4"/>
          </reference>
          <reference field="5" count="3">
            <x v="1"/>
            <x v="2"/>
            <x v="3"/>
          </reference>
          <reference field="15" count="1" selected="0">
            <x v="4"/>
          </reference>
          <reference field="16" count="1" selected="0">
            <x v="2"/>
          </reference>
        </references>
      </pivotArea>
    </format>
    <format dxfId="25806">
      <pivotArea dataOnly="0" labelOnly="1" outline="0" fieldPosition="0">
        <references count="4">
          <reference field="3" count="1" selected="0">
            <x v="0"/>
          </reference>
          <reference field="5" count="1">
            <x v="0"/>
          </reference>
          <reference field="15" count="1" selected="0">
            <x v="5"/>
          </reference>
          <reference field="16" count="1" selected="0">
            <x v="2"/>
          </reference>
        </references>
      </pivotArea>
    </format>
    <format dxfId="25807">
      <pivotArea dataOnly="0" labelOnly="1" outline="0" fieldPosition="0">
        <references count="4">
          <reference field="3" count="1" selected="0">
            <x v="1"/>
          </reference>
          <reference field="5" count="2">
            <x v="1"/>
            <x v="2"/>
          </reference>
          <reference field="15" count="1" selected="0">
            <x v="5"/>
          </reference>
          <reference field="16" count="1" selected="0">
            <x v="2"/>
          </reference>
        </references>
      </pivotArea>
    </format>
    <format dxfId="25808">
      <pivotArea dataOnly="0" labelOnly="1" outline="0" fieldPosition="0">
        <references count="4">
          <reference field="3" count="1" selected="0">
            <x v="2"/>
          </reference>
          <reference field="5" count="3">
            <x v="0"/>
            <x v="1"/>
            <x v="3"/>
          </reference>
          <reference field="15" count="1" selected="0">
            <x v="5"/>
          </reference>
          <reference field="16" count="1" selected="0">
            <x v="2"/>
          </reference>
        </references>
      </pivotArea>
    </format>
    <format dxfId="25809">
      <pivotArea dataOnly="0" labelOnly="1" outline="0" fieldPosition="0">
        <references count="4">
          <reference field="3" count="1" selected="0">
            <x v="3"/>
          </reference>
          <reference field="5" count="3">
            <x v="0"/>
            <x v="2"/>
            <x v="3"/>
          </reference>
          <reference field="15" count="1" selected="0">
            <x v="5"/>
          </reference>
          <reference field="16" count="1" selected="0">
            <x v="2"/>
          </reference>
        </references>
      </pivotArea>
    </format>
    <format dxfId="25810">
      <pivotArea dataOnly="0" labelOnly="1" outline="0" fieldPosition="0">
        <references count="4">
          <reference field="3" count="1" selected="0">
            <x v="4"/>
          </reference>
          <reference field="5" count="3">
            <x v="0"/>
            <x v="1"/>
            <x v="3"/>
          </reference>
          <reference field="15" count="1" selected="0">
            <x v="5"/>
          </reference>
          <reference field="16" count="1" selected="0">
            <x v="2"/>
          </reference>
        </references>
      </pivotArea>
    </format>
    <format dxfId="25811">
      <pivotArea dataOnly="0" labelOnly="1" outline="0" fieldPosition="0">
        <references count="4">
          <reference field="3" count="1" selected="0">
            <x v="0"/>
          </reference>
          <reference field="5" count="2">
            <x v="0"/>
            <x v="1"/>
          </reference>
          <reference field="15" count="1" selected="0">
            <x v="6"/>
          </reference>
          <reference field="16" count="1" selected="0">
            <x v="2"/>
          </reference>
        </references>
      </pivotArea>
    </format>
    <format dxfId="25812">
      <pivotArea dataOnly="0" labelOnly="1" outline="0" fieldPosition="0">
        <references count="4">
          <reference field="3" count="1" selected="0">
            <x v="1"/>
          </reference>
          <reference field="5" count="3">
            <x v="0"/>
            <x v="1"/>
            <x v="2"/>
          </reference>
          <reference field="15" count="1" selected="0">
            <x v="6"/>
          </reference>
          <reference field="16" count="1" selected="0">
            <x v="2"/>
          </reference>
        </references>
      </pivotArea>
    </format>
    <format dxfId="25813">
      <pivotArea dataOnly="0" labelOnly="1" outline="0" fieldPosition="0">
        <references count="4">
          <reference field="3" count="1" selected="0">
            <x v="2"/>
          </reference>
          <reference field="5" count="3">
            <x v="0"/>
            <x v="1"/>
            <x v="2"/>
          </reference>
          <reference field="15" count="1" selected="0">
            <x v="6"/>
          </reference>
          <reference field="16" count="1" selected="0">
            <x v="2"/>
          </reference>
        </references>
      </pivotArea>
    </format>
    <format dxfId="25814">
      <pivotArea dataOnly="0" labelOnly="1" outline="0" fieldPosition="0">
        <references count="4">
          <reference field="3" count="1" selected="0">
            <x v="3"/>
          </reference>
          <reference field="5" count="0"/>
          <reference field="15" count="1" selected="0">
            <x v="6"/>
          </reference>
          <reference field="16" count="1" selected="0">
            <x v="2"/>
          </reference>
        </references>
      </pivotArea>
    </format>
    <format dxfId="25815">
      <pivotArea dataOnly="0" labelOnly="1" outline="0" fieldPosition="0">
        <references count="4">
          <reference field="3" count="1" selected="0">
            <x v="4"/>
          </reference>
          <reference field="5" count="3">
            <x v="0"/>
            <x v="1"/>
            <x v="2"/>
          </reference>
          <reference field="15" count="1" selected="0">
            <x v="6"/>
          </reference>
          <reference field="16" count="1" selected="0">
            <x v="2"/>
          </reference>
        </references>
      </pivotArea>
    </format>
    <format dxfId="25816">
      <pivotArea dataOnly="0" labelOnly="1" outline="0" fieldPosition="0">
        <references count="4">
          <reference field="3" count="1" selected="0">
            <x v="0"/>
          </reference>
          <reference field="5" count="1">
            <x v="0"/>
          </reference>
          <reference field="15" count="1" selected="0">
            <x v="7"/>
          </reference>
          <reference field="16" count="1" selected="0">
            <x v="2"/>
          </reference>
        </references>
      </pivotArea>
    </format>
    <format dxfId="25817">
      <pivotArea dataOnly="0" labelOnly="1" outline="0" fieldPosition="0">
        <references count="4">
          <reference field="3" count="1" selected="0">
            <x v="1"/>
          </reference>
          <reference field="5" count="2">
            <x v="1"/>
            <x v="2"/>
          </reference>
          <reference field="15" count="1" selected="0">
            <x v="7"/>
          </reference>
          <reference field="16" count="1" selected="0">
            <x v="2"/>
          </reference>
        </references>
      </pivotArea>
    </format>
    <format dxfId="25818">
      <pivotArea dataOnly="0" labelOnly="1" outline="0" fieldPosition="0">
        <references count="4">
          <reference field="3" count="1" selected="0">
            <x v="2"/>
          </reference>
          <reference field="5" count="0"/>
          <reference field="15" count="1" selected="0">
            <x v="7"/>
          </reference>
          <reference field="16" count="1" selected="0">
            <x v="2"/>
          </reference>
        </references>
      </pivotArea>
    </format>
    <format dxfId="25819">
      <pivotArea dataOnly="0" labelOnly="1" outline="0" fieldPosition="0">
        <references count="4">
          <reference field="3" count="1" selected="0">
            <x v="3"/>
          </reference>
          <reference field="5" count="2">
            <x v="0"/>
            <x v="1"/>
          </reference>
          <reference field="15" count="1" selected="0">
            <x v="7"/>
          </reference>
          <reference field="16" count="1" selected="0">
            <x v="2"/>
          </reference>
        </references>
      </pivotArea>
    </format>
    <format dxfId="25820">
      <pivotArea dataOnly="0" labelOnly="1" outline="0" fieldPosition="0">
        <references count="4">
          <reference field="3" count="1" selected="0">
            <x v="4"/>
          </reference>
          <reference field="5" count="2">
            <x v="0"/>
            <x v="1"/>
          </reference>
          <reference field="15" count="1" selected="0">
            <x v="7"/>
          </reference>
          <reference field="16" count="1" selected="0">
            <x v="2"/>
          </reference>
        </references>
      </pivotArea>
    </format>
    <format dxfId="25821">
      <pivotArea dataOnly="0" labelOnly="1" outline="0" fieldPosition="0">
        <references count="4">
          <reference field="3" count="1" selected="0">
            <x v="0"/>
          </reference>
          <reference field="5" count="2">
            <x v="2"/>
            <x v="3"/>
          </reference>
          <reference field="15" count="1" selected="0">
            <x v="8"/>
          </reference>
          <reference field="16" count="1" selected="0">
            <x v="2"/>
          </reference>
        </references>
      </pivotArea>
    </format>
    <format dxfId="25822">
      <pivotArea dataOnly="0" labelOnly="1" outline="0" fieldPosition="0">
        <references count="4">
          <reference field="3" count="1" selected="0">
            <x v="1"/>
          </reference>
          <reference field="5" count="0"/>
          <reference field="15" count="1" selected="0">
            <x v="8"/>
          </reference>
          <reference field="16" count="1" selected="0">
            <x v="2"/>
          </reference>
        </references>
      </pivotArea>
    </format>
    <format dxfId="25823">
      <pivotArea dataOnly="0" labelOnly="1" outline="0" fieldPosition="0">
        <references count="4">
          <reference field="3" count="1" selected="0">
            <x v="2"/>
          </reference>
          <reference field="5" count="0"/>
          <reference field="15" count="1" selected="0">
            <x v="8"/>
          </reference>
          <reference field="16" count="1" selected="0">
            <x v="2"/>
          </reference>
        </references>
      </pivotArea>
    </format>
    <format dxfId="25824">
      <pivotArea dataOnly="0" labelOnly="1" outline="0" fieldPosition="0">
        <references count="4">
          <reference field="3" count="1" selected="0">
            <x v="3"/>
          </reference>
          <reference field="5" count="3">
            <x v="0"/>
            <x v="2"/>
            <x v="3"/>
          </reference>
          <reference field="15" count="1" selected="0">
            <x v="8"/>
          </reference>
          <reference field="16" count="1" selected="0">
            <x v="2"/>
          </reference>
        </references>
      </pivotArea>
    </format>
    <format dxfId="25825">
      <pivotArea dataOnly="0" labelOnly="1" outline="0" fieldPosition="0">
        <references count="4">
          <reference field="3" count="1" selected="0">
            <x v="4"/>
          </reference>
          <reference field="5" count="2">
            <x v="0"/>
            <x v="3"/>
          </reference>
          <reference field="15" count="1" selected="0">
            <x v="8"/>
          </reference>
          <reference field="16" count="1" selected="0">
            <x v="2"/>
          </reference>
        </references>
      </pivotArea>
    </format>
    <format dxfId="25826">
      <pivotArea dataOnly="0" labelOnly="1" outline="0" fieldPosition="0">
        <references count="4">
          <reference field="3" count="1" selected="0">
            <x v="0"/>
          </reference>
          <reference field="5" count="1">
            <x v="0"/>
          </reference>
          <reference field="15" count="1" selected="0">
            <x v="9"/>
          </reference>
          <reference field="16" count="1" selected="0">
            <x v="2"/>
          </reference>
        </references>
      </pivotArea>
    </format>
    <format dxfId="25827">
      <pivotArea dataOnly="0" labelOnly="1" outline="0" fieldPosition="0">
        <references count="4">
          <reference field="3" count="1" selected="0">
            <x v="1"/>
          </reference>
          <reference field="5" count="2">
            <x v="1"/>
            <x v="3"/>
          </reference>
          <reference field="15" count="1" selected="0">
            <x v="9"/>
          </reference>
          <reference field="16" count="1" selected="0">
            <x v="2"/>
          </reference>
        </references>
      </pivotArea>
    </format>
    <format dxfId="25828">
      <pivotArea dataOnly="0" labelOnly="1" outline="0" fieldPosition="0">
        <references count="4">
          <reference field="3" count="1" selected="0">
            <x v="2"/>
          </reference>
          <reference field="5" count="3">
            <x v="0"/>
            <x v="1"/>
            <x v="2"/>
          </reference>
          <reference field="15" count="1" selected="0">
            <x v="9"/>
          </reference>
          <reference field="16" count="1" selected="0">
            <x v="2"/>
          </reference>
        </references>
      </pivotArea>
    </format>
    <format dxfId="25829">
      <pivotArea dataOnly="0" labelOnly="1" outline="0" fieldPosition="0">
        <references count="4">
          <reference field="3" count="1" selected="0">
            <x v="3"/>
          </reference>
          <reference field="5" count="2">
            <x v="0"/>
            <x v="1"/>
          </reference>
          <reference field="15" count="1" selected="0">
            <x v="9"/>
          </reference>
          <reference field="16" count="1" selected="0">
            <x v="2"/>
          </reference>
        </references>
      </pivotArea>
    </format>
    <format dxfId="25830">
      <pivotArea dataOnly="0" labelOnly="1" outline="0" fieldPosition="0">
        <references count="4">
          <reference field="3" count="1" selected="0">
            <x v="4"/>
          </reference>
          <reference field="5" count="3">
            <x v="0"/>
            <x v="1"/>
            <x v="2"/>
          </reference>
          <reference field="15" count="1" selected="0">
            <x v="9"/>
          </reference>
          <reference field="16" count="1" selected="0">
            <x v="2"/>
          </reference>
        </references>
      </pivotArea>
    </format>
    <format dxfId="25831">
      <pivotArea dataOnly="0" labelOnly="1" outline="0" fieldPosition="0">
        <references count="4">
          <reference field="3" count="1" selected="0">
            <x v="0"/>
          </reference>
          <reference field="5" count="1">
            <x v="0"/>
          </reference>
          <reference field="15" count="1" selected="0">
            <x v="10"/>
          </reference>
          <reference field="16" count="1" selected="0">
            <x v="2"/>
          </reference>
        </references>
      </pivotArea>
    </format>
    <format dxfId="25832">
      <pivotArea dataOnly="0" labelOnly="1" outline="0" fieldPosition="0">
        <references count="4">
          <reference field="3" count="1" selected="0">
            <x v="1"/>
          </reference>
          <reference field="5" count="3">
            <x v="1"/>
            <x v="2"/>
            <x v="3"/>
          </reference>
          <reference field="15" count="1" selected="0">
            <x v="10"/>
          </reference>
          <reference field="16" count="1" selected="0">
            <x v="2"/>
          </reference>
        </references>
      </pivotArea>
    </format>
    <format dxfId="25833">
      <pivotArea dataOnly="0" labelOnly="1" outline="0" fieldPosition="0">
        <references count="4">
          <reference field="3" count="1" selected="0">
            <x v="2"/>
          </reference>
          <reference field="5" count="2">
            <x v="0"/>
            <x v="1"/>
          </reference>
          <reference field="15" count="1" selected="0">
            <x v="10"/>
          </reference>
          <reference field="16" count="1" selected="0">
            <x v="2"/>
          </reference>
        </references>
      </pivotArea>
    </format>
    <format dxfId="25834">
      <pivotArea dataOnly="0" labelOnly="1" outline="0" fieldPosition="0">
        <references count="4">
          <reference field="3" count="1" selected="0">
            <x v="3"/>
          </reference>
          <reference field="5" count="0"/>
          <reference field="15" count="1" selected="0">
            <x v="10"/>
          </reference>
          <reference field="16" count="1" selected="0">
            <x v="2"/>
          </reference>
        </references>
      </pivotArea>
    </format>
    <format dxfId="25835">
      <pivotArea dataOnly="0" labelOnly="1" outline="0" fieldPosition="0">
        <references count="4">
          <reference field="3" count="1" selected="0">
            <x v="4"/>
          </reference>
          <reference field="5" count="3">
            <x v="0"/>
            <x v="1"/>
            <x v="2"/>
          </reference>
          <reference field="15" count="1" selected="0">
            <x v="10"/>
          </reference>
          <reference field="16" count="1" selected="0">
            <x v="2"/>
          </reference>
        </references>
      </pivotArea>
    </format>
    <format dxfId="25836">
      <pivotArea dataOnly="0" labelOnly="1" outline="0" fieldPosition="0">
        <references count="4">
          <reference field="3" count="1" selected="0">
            <x v="0"/>
          </reference>
          <reference field="5" count="1">
            <x v="0"/>
          </reference>
          <reference field="15" count="1" selected="0">
            <x v="11"/>
          </reference>
          <reference field="16" count="1" selected="0">
            <x v="2"/>
          </reference>
        </references>
      </pivotArea>
    </format>
    <format dxfId="25837">
      <pivotArea dataOnly="0" labelOnly="1" outline="0" fieldPosition="0">
        <references count="4">
          <reference field="3" count="1" selected="0">
            <x v="1"/>
          </reference>
          <reference field="5" count="3">
            <x v="1"/>
            <x v="2"/>
            <x v="3"/>
          </reference>
          <reference field="15" count="1" selected="0">
            <x v="11"/>
          </reference>
          <reference field="16" count="1" selected="0">
            <x v="2"/>
          </reference>
        </references>
      </pivotArea>
    </format>
    <format dxfId="25838">
      <pivotArea dataOnly="0" labelOnly="1" outline="0" fieldPosition="0">
        <references count="4">
          <reference field="3" count="1" selected="0">
            <x v="2"/>
          </reference>
          <reference field="5" count="2">
            <x v="0"/>
            <x v="2"/>
          </reference>
          <reference field="15" count="1" selected="0">
            <x v="11"/>
          </reference>
          <reference field="16" count="1" selected="0">
            <x v="2"/>
          </reference>
        </references>
      </pivotArea>
    </format>
    <format dxfId="25839">
      <pivotArea dataOnly="0" labelOnly="1" outline="0" fieldPosition="0">
        <references count="4">
          <reference field="3" count="1" selected="0">
            <x v="3"/>
          </reference>
          <reference field="5" count="2">
            <x v="0"/>
            <x v="2"/>
          </reference>
          <reference field="15" count="1" selected="0">
            <x v="11"/>
          </reference>
          <reference field="16" count="1" selected="0">
            <x v="2"/>
          </reference>
        </references>
      </pivotArea>
    </format>
    <format dxfId="25840">
      <pivotArea dataOnly="0" labelOnly="1" outline="0" fieldPosition="0">
        <references count="4">
          <reference field="3" count="1" selected="0">
            <x v="4"/>
          </reference>
          <reference field="5" count="2">
            <x v="0"/>
            <x v="1"/>
          </reference>
          <reference field="15" count="1" selected="0">
            <x v="11"/>
          </reference>
          <reference field="16" count="1" selected="0">
            <x v="2"/>
          </reference>
        </references>
      </pivotArea>
    </format>
    <format dxfId="25841">
      <pivotArea dataOnly="0" labelOnly="1" outline="0" fieldPosition="0">
        <references count="4">
          <reference field="3" count="1" selected="0">
            <x v="1"/>
          </reference>
          <reference field="5" count="0"/>
          <reference field="15" count="1" selected="0">
            <x v="0"/>
          </reference>
          <reference field="16" count="1" selected="0">
            <x v="3"/>
          </reference>
        </references>
      </pivotArea>
    </format>
    <format dxfId="25842">
      <pivotArea dataOnly="0" labelOnly="1" outline="0" fieldPosition="0">
        <references count="4">
          <reference field="3" count="1" selected="0">
            <x v="2"/>
          </reference>
          <reference field="5" count="3">
            <x v="0"/>
            <x v="1"/>
            <x v="3"/>
          </reference>
          <reference field="15" count="1" selected="0">
            <x v="0"/>
          </reference>
          <reference field="16" count="1" selected="0">
            <x v="3"/>
          </reference>
        </references>
      </pivotArea>
    </format>
    <format dxfId="25843">
      <pivotArea dataOnly="0" labelOnly="1" outline="0" fieldPosition="0">
        <references count="4">
          <reference field="3" count="1" selected="0">
            <x v="3"/>
          </reference>
          <reference field="5" count="3">
            <x v="0"/>
            <x v="1"/>
            <x v="2"/>
          </reference>
          <reference field="15" count="1" selected="0">
            <x v="0"/>
          </reference>
          <reference field="16" count="1" selected="0">
            <x v="3"/>
          </reference>
        </references>
      </pivotArea>
    </format>
    <format dxfId="25844">
      <pivotArea dataOnly="0" labelOnly="1" outline="0" fieldPosition="0">
        <references count="4">
          <reference field="3" count="1" selected="0">
            <x v="4"/>
          </reference>
          <reference field="5" count="3">
            <x v="0"/>
            <x v="1"/>
            <x v="2"/>
          </reference>
          <reference field="15" count="1" selected="0">
            <x v="0"/>
          </reference>
          <reference field="16" count="1" selected="0">
            <x v="3"/>
          </reference>
        </references>
      </pivotArea>
    </format>
    <format dxfId="25845">
      <pivotArea dataOnly="0" labelOnly="1" outline="0" fieldPosition="0">
        <references count="4">
          <reference field="3" count="1" selected="0">
            <x v="0"/>
          </reference>
          <reference field="5" count="2">
            <x v="0"/>
            <x v="2"/>
          </reference>
          <reference field="15" count="1" selected="0">
            <x v="1"/>
          </reference>
          <reference field="16" count="1" selected="0">
            <x v="3"/>
          </reference>
        </references>
      </pivotArea>
    </format>
    <format dxfId="25846">
      <pivotArea dataOnly="0" labelOnly="1" outline="0" fieldPosition="0">
        <references count="4">
          <reference field="3" count="1" selected="0">
            <x v="1"/>
          </reference>
          <reference field="5" count="0"/>
          <reference field="15" count="1" selected="0">
            <x v="1"/>
          </reference>
          <reference field="16" count="1" selected="0">
            <x v="3"/>
          </reference>
        </references>
      </pivotArea>
    </format>
    <format dxfId="25847">
      <pivotArea dataOnly="0" labelOnly="1" outline="0" fieldPosition="0">
        <references count="4">
          <reference field="3" count="1" selected="0">
            <x v="2"/>
          </reference>
          <reference field="5" count="3">
            <x v="0"/>
            <x v="1"/>
            <x v="3"/>
          </reference>
          <reference field="15" count="1" selected="0">
            <x v="1"/>
          </reference>
          <reference field="16" count="1" selected="0">
            <x v="3"/>
          </reference>
        </references>
      </pivotArea>
    </format>
    <format dxfId="25848">
      <pivotArea dataOnly="0" labelOnly="1" outline="0" fieldPosition="0">
        <references count="4">
          <reference field="3" count="1" selected="0">
            <x v="3"/>
          </reference>
          <reference field="5" count="3">
            <x v="0"/>
            <x v="1"/>
            <x v="2"/>
          </reference>
          <reference field="15" count="1" selected="0">
            <x v="1"/>
          </reference>
          <reference field="16" count="1" selected="0">
            <x v="3"/>
          </reference>
        </references>
      </pivotArea>
    </format>
    <format dxfId="25849">
      <pivotArea dataOnly="0" labelOnly="1" outline="0" fieldPosition="0">
        <references count="4">
          <reference field="3" count="1" selected="0">
            <x v="4"/>
          </reference>
          <reference field="5" count="3">
            <x v="0"/>
            <x v="1"/>
            <x v="2"/>
          </reference>
          <reference field="15" count="1" selected="0">
            <x v="1"/>
          </reference>
          <reference field="16" count="1" selected="0">
            <x v="3"/>
          </reference>
        </references>
      </pivotArea>
    </format>
    <format dxfId="25850">
      <pivotArea dataOnly="0" labelOnly="1" outline="0" fieldPosition="0">
        <references count="4">
          <reference field="3" count="1" selected="0">
            <x v="0"/>
          </reference>
          <reference field="5" count="1">
            <x v="0"/>
          </reference>
          <reference field="15" count="1" selected="0">
            <x v="2"/>
          </reference>
          <reference field="16" count="1" selected="0">
            <x v="3"/>
          </reference>
        </references>
      </pivotArea>
    </format>
    <format dxfId="25851">
      <pivotArea dataOnly="0" labelOnly="1" outline="0" fieldPosition="0">
        <references count="4">
          <reference field="3" count="1" selected="0">
            <x v="1"/>
          </reference>
          <reference field="5" count="3">
            <x v="1"/>
            <x v="2"/>
            <x v="3"/>
          </reference>
          <reference field="15" count="1" selected="0">
            <x v="2"/>
          </reference>
          <reference field="16" count="1" selected="0">
            <x v="3"/>
          </reference>
        </references>
      </pivotArea>
    </format>
    <format dxfId="25852">
      <pivotArea dataOnly="0" labelOnly="1" outline="0" fieldPosition="0">
        <references count="4">
          <reference field="3" count="1" selected="0">
            <x v="2"/>
          </reference>
          <reference field="5" count="3">
            <x v="0"/>
            <x v="1"/>
            <x v="3"/>
          </reference>
          <reference field="15" count="1" selected="0">
            <x v="2"/>
          </reference>
          <reference field="16" count="1" selected="0">
            <x v="3"/>
          </reference>
        </references>
      </pivotArea>
    </format>
    <format dxfId="25853">
      <pivotArea dataOnly="0" labelOnly="1" outline="0" fieldPosition="0">
        <references count="4">
          <reference field="3" count="1" selected="0">
            <x v="3"/>
          </reference>
          <reference field="5" count="0"/>
          <reference field="15" count="1" selected="0">
            <x v="2"/>
          </reference>
          <reference field="16" count="1" selected="0">
            <x v="3"/>
          </reference>
        </references>
      </pivotArea>
    </format>
    <format dxfId="25854">
      <pivotArea dataOnly="0" labelOnly="1" outline="0" fieldPosition="0">
        <references count="4">
          <reference field="3" count="1" selected="0">
            <x v="4"/>
          </reference>
          <reference field="5" count="1">
            <x v="0"/>
          </reference>
          <reference field="15" count="1" selected="0">
            <x v="2"/>
          </reference>
          <reference field="16" count="1" selected="0">
            <x v="3"/>
          </reference>
        </references>
      </pivotArea>
    </format>
    <format dxfId="25855">
      <pivotArea dataOnly="0" labelOnly="1" outline="0" fieldPosition="0">
        <references count="4">
          <reference field="3" count="1" selected="0">
            <x v="0"/>
          </reference>
          <reference field="5" count="2">
            <x v="2"/>
            <x v="3"/>
          </reference>
          <reference field="15" count="1" selected="0">
            <x v="3"/>
          </reference>
          <reference field="16" count="1" selected="0">
            <x v="3"/>
          </reference>
        </references>
      </pivotArea>
    </format>
    <format dxfId="25856">
      <pivotArea dataOnly="0" labelOnly="1" outline="0" fieldPosition="0">
        <references count="4">
          <reference field="3" count="1" selected="0">
            <x v="1"/>
          </reference>
          <reference field="5" count="3">
            <x v="0"/>
            <x v="1"/>
            <x v="3"/>
          </reference>
          <reference field="15" count="1" selected="0">
            <x v="3"/>
          </reference>
          <reference field="16" count="1" selected="0">
            <x v="3"/>
          </reference>
        </references>
      </pivotArea>
    </format>
    <format dxfId="25857">
      <pivotArea dataOnly="0" labelOnly="1" outline="0" fieldPosition="0">
        <references count="4">
          <reference field="3" count="1" selected="0">
            <x v="2"/>
          </reference>
          <reference field="5" count="3">
            <x v="0"/>
            <x v="1"/>
            <x v="2"/>
          </reference>
          <reference field="15" count="1" selected="0">
            <x v="3"/>
          </reference>
          <reference field="16" count="1" selected="0">
            <x v="3"/>
          </reference>
        </references>
      </pivotArea>
    </format>
    <format dxfId="25858">
      <pivotArea dataOnly="0" labelOnly="1" outline="0" fieldPosition="0">
        <references count="4">
          <reference field="3" count="1" selected="0">
            <x v="3"/>
          </reference>
          <reference field="5" count="2">
            <x v="0"/>
            <x v="1"/>
          </reference>
          <reference field="15" count="1" selected="0">
            <x v="3"/>
          </reference>
          <reference field="16" count="1" selected="0">
            <x v="3"/>
          </reference>
        </references>
      </pivotArea>
    </format>
    <format dxfId="25859">
      <pivotArea dataOnly="0" labelOnly="1" outline="0" fieldPosition="0">
        <references count="4">
          <reference field="3" count="1" selected="0">
            <x v="4"/>
          </reference>
          <reference field="5" count="3">
            <x v="0"/>
            <x v="1"/>
            <x v="2"/>
          </reference>
          <reference field="15" count="1" selected="0">
            <x v="3"/>
          </reference>
          <reference field="16" count="1" selected="0">
            <x v="3"/>
          </reference>
        </references>
      </pivotArea>
    </format>
    <format dxfId="25860">
      <pivotArea dataOnly="0" labelOnly="1" outline="0" fieldPosition="0">
        <references count="4">
          <reference field="3" count="1" selected="0">
            <x v="0"/>
          </reference>
          <reference field="5" count="0"/>
          <reference field="15" count="1" selected="0">
            <x v="4"/>
          </reference>
          <reference field="16" count="1" selected="0">
            <x v="3"/>
          </reference>
        </references>
      </pivotArea>
    </format>
    <format dxfId="25861">
      <pivotArea dataOnly="0" labelOnly="1" outline="0" fieldPosition="0">
        <references count="4">
          <reference field="3" count="1" selected="0">
            <x v="1"/>
          </reference>
          <reference field="5" count="0"/>
          <reference field="15" count="1" selected="0">
            <x v="4"/>
          </reference>
          <reference field="16" count="1" selected="0">
            <x v="3"/>
          </reference>
        </references>
      </pivotArea>
    </format>
    <format dxfId="25862">
      <pivotArea dataOnly="0" labelOnly="1" outline="0" fieldPosition="0">
        <references count="4">
          <reference field="3" count="1" selected="0">
            <x v="2"/>
          </reference>
          <reference field="5" count="2">
            <x v="0"/>
            <x v="2"/>
          </reference>
          <reference field="15" count="1" selected="0">
            <x v="4"/>
          </reference>
          <reference field="16" count="1" selected="0">
            <x v="3"/>
          </reference>
        </references>
      </pivotArea>
    </format>
    <format dxfId="25863">
      <pivotArea dataOnly="0" labelOnly="1" outline="0" fieldPosition="0">
        <references count="4">
          <reference field="3" count="1" selected="0">
            <x v="3"/>
          </reference>
          <reference field="5" count="2">
            <x v="0"/>
            <x v="1"/>
          </reference>
          <reference field="15" count="1" selected="0">
            <x v="4"/>
          </reference>
          <reference field="16" count="1" selected="0">
            <x v="3"/>
          </reference>
        </references>
      </pivotArea>
    </format>
    <format dxfId="25864">
      <pivotArea dataOnly="0" labelOnly="1" outline="0" fieldPosition="0">
        <references count="4">
          <reference field="3" count="1" selected="0">
            <x v="4"/>
          </reference>
          <reference field="5" count="0"/>
          <reference field="15" count="1" selected="0">
            <x v="4"/>
          </reference>
          <reference field="16" count="1" selected="0">
            <x v="3"/>
          </reference>
        </references>
      </pivotArea>
    </format>
    <format dxfId="25865">
      <pivotArea dataOnly="0" labelOnly="1" outline="0" fieldPosition="0">
        <references count="4">
          <reference field="3" count="1" selected="0">
            <x v="0"/>
          </reference>
          <reference field="5" count="1">
            <x v="1"/>
          </reference>
          <reference field="15" count="1" selected="0">
            <x v="5"/>
          </reference>
          <reference field="16" count="1" selected="0">
            <x v="3"/>
          </reference>
        </references>
      </pivotArea>
    </format>
    <format dxfId="25866">
      <pivotArea dataOnly="0" labelOnly="1" outline="0" fieldPosition="0">
        <references count="4">
          <reference field="3" count="1" selected="0">
            <x v="1"/>
          </reference>
          <reference field="5" count="0"/>
          <reference field="15" count="1" selected="0">
            <x v="5"/>
          </reference>
          <reference field="16" count="1" selected="0">
            <x v="3"/>
          </reference>
        </references>
      </pivotArea>
    </format>
    <format dxfId="25867">
      <pivotArea dataOnly="0" labelOnly="1" outline="0" fieldPosition="0">
        <references count="4">
          <reference field="3" count="1" selected="0">
            <x v="2"/>
          </reference>
          <reference field="5" count="3">
            <x v="0"/>
            <x v="1"/>
            <x v="2"/>
          </reference>
          <reference field="15" count="1" selected="0">
            <x v="5"/>
          </reference>
          <reference field="16" count="1" selected="0">
            <x v="3"/>
          </reference>
        </references>
      </pivotArea>
    </format>
    <format dxfId="25868">
      <pivotArea dataOnly="0" labelOnly="1" outline="0" fieldPosition="0">
        <references count="4">
          <reference field="3" count="1" selected="0">
            <x v="3"/>
          </reference>
          <reference field="5" count="2">
            <x v="0"/>
            <x v="1"/>
          </reference>
          <reference field="15" count="1" selected="0">
            <x v="5"/>
          </reference>
          <reference field="16" count="1" selected="0">
            <x v="3"/>
          </reference>
        </references>
      </pivotArea>
    </format>
    <format dxfId="25869">
      <pivotArea dataOnly="0" labelOnly="1" outline="0" fieldPosition="0">
        <references count="4">
          <reference field="3" count="1" selected="0">
            <x v="4"/>
          </reference>
          <reference field="5" count="3">
            <x v="0"/>
            <x v="1"/>
            <x v="2"/>
          </reference>
          <reference field="15" count="1" selected="0">
            <x v="5"/>
          </reference>
          <reference field="16" count="1" selected="0">
            <x v="3"/>
          </reference>
        </references>
      </pivotArea>
    </format>
    <format dxfId="25870">
      <pivotArea dataOnly="0" labelOnly="1" outline="0" fieldPosition="0">
        <references count="5">
          <reference field="3" count="1" selected="0">
            <x v="0"/>
          </reference>
          <reference field="5" count="1" selected="0">
            <x v="0"/>
          </reference>
          <reference field="8" count="1">
            <x v="1"/>
          </reference>
          <reference field="15" count="1" selected="0">
            <x v="0"/>
          </reference>
          <reference field="16" count="1" selected="0">
            <x v="0"/>
          </reference>
        </references>
      </pivotArea>
    </format>
    <format dxfId="25871">
      <pivotArea dataOnly="0" labelOnly="1" outline="0" fieldPosition="0">
        <references count="5">
          <reference field="3" count="1" selected="0">
            <x v="0"/>
          </reference>
          <reference field="5" count="1" selected="0">
            <x v="2"/>
          </reference>
          <reference field="8" count="1">
            <x v="3"/>
          </reference>
          <reference field="15" count="1" selected="0">
            <x v="0"/>
          </reference>
          <reference field="16" count="1" selected="0">
            <x v="0"/>
          </reference>
        </references>
      </pivotArea>
    </format>
    <format dxfId="25872">
      <pivotArea dataOnly="0" labelOnly="1" outline="0" fieldPosition="0">
        <references count="5">
          <reference field="3" count="1" selected="0">
            <x v="1"/>
          </reference>
          <reference field="5" count="1" selected="0">
            <x v="0"/>
          </reference>
          <reference field="8" count="3">
            <x v="1"/>
            <x v="3"/>
            <x v="4"/>
          </reference>
          <reference field="15" count="1" selected="0">
            <x v="0"/>
          </reference>
          <reference field="16" count="1" selected="0">
            <x v="0"/>
          </reference>
        </references>
      </pivotArea>
    </format>
    <format dxfId="25873">
      <pivotArea dataOnly="0" labelOnly="1" outline="0" fieldPosition="0">
        <references count="5">
          <reference field="3" count="1" selected="0">
            <x v="1"/>
          </reference>
          <reference field="5" count="1" selected="0">
            <x v="1"/>
          </reference>
          <reference field="8" count="3">
            <x v="1"/>
            <x v="2"/>
            <x v="3"/>
          </reference>
          <reference field="15" count="1" selected="0">
            <x v="0"/>
          </reference>
          <reference field="16" count="1" selected="0">
            <x v="0"/>
          </reference>
        </references>
      </pivotArea>
    </format>
    <format dxfId="25874">
      <pivotArea dataOnly="0" labelOnly="1" outline="0" fieldPosition="0">
        <references count="5">
          <reference field="3" count="1" selected="0">
            <x v="1"/>
          </reference>
          <reference field="5" count="1" selected="0">
            <x v="2"/>
          </reference>
          <reference field="8" count="1">
            <x v="0"/>
          </reference>
          <reference field="15" count="1" selected="0">
            <x v="0"/>
          </reference>
          <reference field="16" count="1" selected="0">
            <x v="0"/>
          </reference>
        </references>
      </pivotArea>
    </format>
    <format dxfId="25875">
      <pivotArea dataOnly="0" labelOnly="1" outline="0" fieldPosition="0">
        <references count="5">
          <reference field="3" count="1" selected="0">
            <x v="1"/>
          </reference>
          <reference field="5" count="1" selected="0">
            <x v="3"/>
          </reference>
          <reference field="8" count="2">
            <x v="1"/>
            <x v="2"/>
          </reference>
          <reference field="15" count="1" selected="0">
            <x v="0"/>
          </reference>
          <reference field="16" count="1" selected="0">
            <x v="0"/>
          </reference>
        </references>
      </pivotArea>
    </format>
    <format dxfId="25876">
      <pivotArea dataOnly="0" labelOnly="1" outline="0" fieldPosition="0">
        <references count="5">
          <reference field="3" count="1" selected="0">
            <x v="2"/>
          </reference>
          <reference field="5" count="1" selected="0">
            <x v="0"/>
          </reference>
          <reference field="8" count="1">
            <x v="4"/>
          </reference>
          <reference field="15" count="1" selected="0">
            <x v="0"/>
          </reference>
          <reference field="16" count="1" selected="0">
            <x v="0"/>
          </reference>
        </references>
      </pivotArea>
    </format>
    <format dxfId="25877">
      <pivotArea dataOnly="0" labelOnly="1" outline="0" fieldPosition="0">
        <references count="5">
          <reference field="3" count="1" selected="0">
            <x v="2"/>
          </reference>
          <reference field="5" count="1" selected="0">
            <x v="1"/>
          </reference>
          <reference field="8" count="2">
            <x v="0"/>
            <x v="4"/>
          </reference>
          <reference field="15" count="1" selected="0">
            <x v="0"/>
          </reference>
          <reference field="16" count="1" selected="0">
            <x v="0"/>
          </reference>
        </references>
      </pivotArea>
    </format>
    <format dxfId="25878">
      <pivotArea dataOnly="0" labelOnly="1" outline="0" fieldPosition="0">
        <references count="5">
          <reference field="3" count="1" selected="0">
            <x v="2"/>
          </reference>
          <reference field="5" count="1" selected="0">
            <x v="2"/>
          </reference>
          <reference field="8" count="3">
            <x v="0"/>
            <x v="3"/>
            <x v="4"/>
          </reference>
          <reference field="15" count="1" selected="0">
            <x v="0"/>
          </reference>
          <reference field="16" count="1" selected="0">
            <x v="0"/>
          </reference>
        </references>
      </pivotArea>
    </format>
    <format dxfId="25879">
      <pivotArea dataOnly="0" labelOnly="1" outline="0" fieldPosition="0">
        <references count="5">
          <reference field="3" count="1" selected="0">
            <x v="2"/>
          </reference>
          <reference field="5" count="1" selected="0">
            <x v="3"/>
          </reference>
          <reference field="8" count="1">
            <x v="3"/>
          </reference>
          <reference field="15" count="1" selected="0">
            <x v="0"/>
          </reference>
          <reference field="16" count="1" selected="0">
            <x v="0"/>
          </reference>
        </references>
      </pivotArea>
    </format>
    <format dxfId="25880">
      <pivotArea dataOnly="0" labelOnly="1" outline="0" fieldPosition="0">
        <references count="5">
          <reference field="3" count="1" selected="0">
            <x v="3"/>
          </reference>
          <reference field="5" count="1" selected="0">
            <x v="0"/>
          </reference>
          <reference field="8" count="2">
            <x v="0"/>
            <x v="2"/>
          </reference>
          <reference field="15" count="1" selected="0">
            <x v="0"/>
          </reference>
          <reference field="16" count="1" selected="0">
            <x v="0"/>
          </reference>
        </references>
      </pivotArea>
    </format>
    <format dxfId="25881">
      <pivotArea dataOnly="0" labelOnly="1" outline="0" fieldPosition="0">
        <references count="5">
          <reference field="3" count="1" selected="0">
            <x v="3"/>
          </reference>
          <reference field="5" count="1" selected="0">
            <x v="2"/>
          </reference>
          <reference field="8" count="1">
            <x v="1"/>
          </reference>
          <reference field="15" count="1" selected="0">
            <x v="0"/>
          </reference>
          <reference field="16" count="1" selected="0">
            <x v="0"/>
          </reference>
        </references>
      </pivotArea>
    </format>
    <format dxfId="25882">
      <pivotArea dataOnly="0" labelOnly="1" outline="0" fieldPosition="0">
        <references count="5">
          <reference field="3" count="1" selected="0">
            <x v="4"/>
          </reference>
          <reference field="5" count="1" selected="0">
            <x v="0"/>
          </reference>
          <reference field="8" count="3">
            <x v="0"/>
            <x v="2"/>
            <x v="3"/>
          </reference>
          <reference field="15" count="1" selected="0">
            <x v="0"/>
          </reference>
          <reference field="16" count="1" selected="0">
            <x v="0"/>
          </reference>
        </references>
      </pivotArea>
    </format>
    <format dxfId="25883">
      <pivotArea dataOnly="0" labelOnly="1" outline="0" fieldPosition="0">
        <references count="5">
          <reference field="3" count="1" selected="0">
            <x v="4"/>
          </reference>
          <reference field="5" count="1" selected="0">
            <x v="1"/>
          </reference>
          <reference field="8" count="3">
            <x v="0"/>
            <x v="1"/>
            <x v="2"/>
          </reference>
          <reference field="15" count="1" selected="0">
            <x v="0"/>
          </reference>
          <reference field="16" count="1" selected="0">
            <x v="0"/>
          </reference>
        </references>
      </pivotArea>
    </format>
    <format dxfId="25884">
      <pivotArea dataOnly="0" labelOnly="1" outline="0" fieldPosition="0">
        <references count="5">
          <reference field="3" count="1" selected="0">
            <x v="4"/>
          </reference>
          <reference field="5" count="1" selected="0">
            <x v="2"/>
          </reference>
          <reference field="8" count="2">
            <x v="1"/>
            <x v="4"/>
          </reference>
          <reference field="15" count="1" selected="0">
            <x v="0"/>
          </reference>
          <reference field="16" count="1" selected="0">
            <x v="0"/>
          </reference>
        </references>
      </pivotArea>
    </format>
    <format dxfId="25885">
      <pivotArea dataOnly="0" labelOnly="1" outline="0" fieldPosition="0">
        <references count="5">
          <reference field="3" count="1" selected="0">
            <x v="4"/>
          </reference>
          <reference field="5" count="1" selected="0">
            <x v="3"/>
          </reference>
          <reference field="8" count="1">
            <x v="4"/>
          </reference>
          <reference field="15" count="1" selected="0">
            <x v="0"/>
          </reference>
          <reference field="16" count="1" selected="0">
            <x v="0"/>
          </reference>
        </references>
      </pivotArea>
    </format>
    <format dxfId="25886">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0"/>
          </reference>
        </references>
      </pivotArea>
    </format>
    <format dxfId="25887">
      <pivotArea dataOnly="0" labelOnly="1" outline="0" fieldPosition="0">
        <references count="5">
          <reference field="3" count="1" selected="0">
            <x v="0"/>
          </reference>
          <reference field="5" count="1" selected="0">
            <x v="2"/>
          </reference>
          <reference field="8" count="1">
            <x v="3"/>
          </reference>
          <reference field="15" count="1" selected="0">
            <x v="1"/>
          </reference>
          <reference field="16" count="1" selected="0">
            <x v="0"/>
          </reference>
        </references>
      </pivotArea>
    </format>
    <format dxfId="25888">
      <pivotArea dataOnly="0" labelOnly="1" outline="0" fieldPosition="0">
        <references count="5">
          <reference field="3" count="1" selected="0">
            <x v="1"/>
          </reference>
          <reference field="5" count="1" selected="0">
            <x v="0"/>
          </reference>
          <reference field="8" count="0"/>
          <reference field="15" count="1" selected="0">
            <x v="1"/>
          </reference>
          <reference field="16" count="1" selected="0">
            <x v="0"/>
          </reference>
        </references>
      </pivotArea>
    </format>
    <format dxfId="25889">
      <pivotArea dataOnly="0" labelOnly="1" outline="0" fieldPosition="0">
        <references count="5">
          <reference field="3" count="1" selected="0">
            <x v="1"/>
          </reference>
          <reference field="5" count="1" selected="0">
            <x v="1"/>
          </reference>
          <reference field="8" count="0"/>
          <reference field="15" count="1" selected="0">
            <x v="1"/>
          </reference>
          <reference field="16" count="1" selected="0">
            <x v="0"/>
          </reference>
        </references>
      </pivotArea>
    </format>
    <format dxfId="25890">
      <pivotArea dataOnly="0" labelOnly="1" outline="0" fieldPosition="0">
        <references count="5">
          <reference field="3" count="1" selected="0">
            <x v="1"/>
          </reference>
          <reference field="5" count="1" selected="0">
            <x v="2"/>
          </reference>
          <reference field="8" count="2">
            <x v="1"/>
            <x v="2"/>
          </reference>
          <reference field="15" count="1" selected="0">
            <x v="1"/>
          </reference>
          <reference field="16" count="1" selected="0">
            <x v="0"/>
          </reference>
        </references>
      </pivotArea>
    </format>
    <format dxfId="25891">
      <pivotArea dataOnly="0" labelOnly="1" outline="0" fieldPosition="0">
        <references count="5">
          <reference field="3" count="1" selected="0">
            <x v="1"/>
          </reference>
          <reference field="5" count="1" selected="0">
            <x v="3"/>
          </reference>
          <reference field="8" count="1">
            <x v="2"/>
          </reference>
          <reference field="15" count="1" selected="0">
            <x v="1"/>
          </reference>
          <reference field="16" count="1" selected="0">
            <x v="0"/>
          </reference>
        </references>
      </pivotArea>
    </format>
    <format dxfId="25892">
      <pivotArea dataOnly="0" labelOnly="1" outline="0" fieldPosition="0">
        <references count="5">
          <reference field="3" count="1" selected="0">
            <x v="2"/>
          </reference>
          <reference field="5" count="1" selected="0">
            <x v="0"/>
          </reference>
          <reference field="8" count="1">
            <x v="0"/>
          </reference>
          <reference field="15" count="1" selected="0">
            <x v="1"/>
          </reference>
          <reference field="16" count="1" selected="0">
            <x v="0"/>
          </reference>
        </references>
      </pivotArea>
    </format>
    <format dxfId="25893">
      <pivotArea dataOnly="0" labelOnly="1" outline="0" fieldPosition="0">
        <references count="5">
          <reference field="3" count="1" selected="0">
            <x v="2"/>
          </reference>
          <reference field="5" count="1" selected="0">
            <x v="1"/>
          </reference>
          <reference field="8" count="2">
            <x v="1"/>
            <x v="4"/>
          </reference>
          <reference field="15" count="1" selected="0">
            <x v="1"/>
          </reference>
          <reference field="16" count="1" selected="0">
            <x v="0"/>
          </reference>
        </references>
      </pivotArea>
    </format>
    <format dxfId="25894">
      <pivotArea dataOnly="0" labelOnly="1" outline="0" fieldPosition="0">
        <references count="5">
          <reference field="3" count="1" selected="0">
            <x v="2"/>
          </reference>
          <reference field="5" count="1" selected="0">
            <x v="2"/>
          </reference>
          <reference field="8" count="1">
            <x v="0"/>
          </reference>
          <reference field="15" count="1" selected="0">
            <x v="1"/>
          </reference>
          <reference field="16" count="1" selected="0">
            <x v="0"/>
          </reference>
        </references>
      </pivotArea>
    </format>
    <format dxfId="25895">
      <pivotArea dataOnly="0" labelOnly="1" outline="0" fieldPosition="0">
        <references count="5">
          <reference field="3" count="1" selected="0">
            <x v="3"/>
          </reference>
          <reference field="5" count="1" selected="0">
            <x v="0"/>
          </reference>
          <reference field="8" count="1">
            <x v="3"/>
          </reference>
          <reference field="15" count="1" selected="0">
            <x v="1"/>
          </reference>
          <reference field="16" count="1" selected="0">
            <x v="0"/>
          </reference>
        </references>
      </pivotArea>
    </format>
    <format dxfId="25896">
      <pivotArea dataOnly="0" labelOnly="1" outline="0" fieldPosition="0">
        <references count="5">
          <reference field="3" count="1" selected="0">
            <x v="3"/>
          </reference>
          <reference field="5" count="1" selected="0">
            <x v="1"/>
          </reference>
          <reference field="8" count="1">
            <x v="2"/>
          </reference>
          <reference field="15" count="1" selected="0">
            <x v="1"/>
          </reference>
          <reference field="16" count="1" selected="0">
            <x v="0"/>
          </reference>
        </references>
      </pivotArea>
    </format>
    <format dxfId="25897">
      <pivotArea dataOnly="0" labelOnly="1" outline="0" fieldPosition="0">
        <references count="5">
          <reference field="3" count="1" selected="0">
            <x v="4"/>
          </reference>
          <reference field="5" count="1" selected="0">
            <x v="0"/>
          </reference>
          <reference field="8" count="3">
            <x v="0"/>
            <x v="2"/>
            <x v="4"/>
          </reference>
          <reference field="15" count="1" selected="0">
            <x v="1"/>
          </reference>
          <reference field="16" count="1" selected="0">
            <x v="0"/>
          </reference>
        </references>
      </pivotArea>
    </format>
    <format dxfId="25898">
      <pivotArea dataOnly="0" labelOnly="1" outline="0" fieldPosition="0">
        <references count="5">
          <reference field="3" count="1" selected="0">
            <x v="4"/>
          </reference>
          <reference field="5" count="1" selected="0">
            <x v="1"/>
          </reference>
          <reference field="8" count="2">
            <x v="0"/>
            <x v="3"/>
          </reference>
          <reference field="15" count="1" selected="0">
            <x v="1"/>
          </reference>
          <reference field="16" count="1" selected="0">
            <x v="0"/>
          </reference>
        </references>
      </pivotArea>
    </format>
    <format dxfId="25899">
      <pivotArea dataOnly="0" labelOnly="1" outline="0" fieldPosition="0">
        <references count="5">
          <reference field="3" count="1" selected="0">
            <x v="4"/>
          </reference>
          <reference field="5" count="1" selected="0">
            <x v="3"/>
          </reference>
          <reference field="8" count="1">
            <x v="0"/>
          </reference>
          <reference field="15" count="1" selected="0">
            <x v="1"/>
          </reference>
          <reference field="16" count="1" selected="0">
            <x v="0"/>
          </reference>
        </references>
      </pivotArea>
    </format>
    <format dxfId="25900">
      <pivotArea dataOnly="0" labelOnly="1" outline="0" fieldPosition="0">
        <references count="5">
          <reference field="3" count="1" selected="0">
            <x v="0"/>
          </reference>
          <reference field="5" count="1" selected="0">
            <x v="0"/>
          </reference>
          <reference field="8" count="2">
            <x v="2"/>
            <x v="4"/>
          </reference>
          <reference field="15" count="1" selected="0">
            <x v="2"/>
          </reference>
          <reference field="16" count="1" selected="0">
            <x v="0"/>
          </reference>
        </references>
      </pivotArea>
    </format>
    <format dxfId="25901">
      <pivotArea dataOnly="0" labelOnly="1" outline="0" fieldPosition="0">
        <references count="5">
          <reference field="3" count="1" selected="0">
            <x v="0"/>
          </reference>
          <reference field="5" count="1" selected="0">
            <x v="1"/>
          </reference>
          <reference field="8" count="1">
            <x v="2"/>
          </reference>
          <reference field="15" count="1" selected="0">
            <x v="2"/>
          </reference>
          <reference field="16" count="1" selected="0">
            <x v="0"/>
          </reference>
        </references>
      </pivotArea>
    </format>
    <format dxfId="25902">
      <pivotArea dataOnly="0" labelOnly="1" outline="0" fieldPosition="0">
        <references count="5">
          <reference field="3" count="1" selected="0">
            <x v="0"/>
          </reference>
          <reference field="5" count="1" selected="0">
            <x v="2"/>
          </reference>
          <reference field="8" count="1">
            <x v="0"/>
          </reference>
          <reference field="15" count="1" selected="0">
            <x v="2"/>
          </reference>
          <reference field="16" count="1" selected="0">
            <x v="0"/>
          </reference>
        </references>
      </pivotArea>
    </format>
    <format dxfId="25903">
      <pivotArea dataOnly="0" labelOnly="1" outline="0" fieldPosition="0">
        <references count="5">
          <reference field="3" count="1" selected="0">
            <x v="1"/>
          </reference>
          <reference field="5" count="1" selected="0">
            <x v="0"/>
          </reference>
          <reference field="8" count="4">
            <x v="0"/>
            <x v="1"/>
            <x v="2"/>
            <x v="3"/>
          </reference>
          <reference field="15" count="1" selected="0">
            <x v="2"/>
          </reference>
          <reference field="16" count="1" selected="0">
            <x v="0"/>
          </reference>
        </references>
      </pivotArea>
    </format>
    <format dxfId="25904">
      <pivotArea dataOnly="0" labelOnly="1" outline="0" fieldPosition="0">
        <references count="5">
          <reference field="3" count="1" selected="0">
            <x v="1"/>
          </reference>
          <reference field="5" count="1" selected="0">
            <x v="1"/>
          </reference>
          <reference field="8" count="3">
            <x v="0"/>
            <x v="1"/>
            <x v="3"/>
          </reference>
          <reference field="15" count="1" selected="0">
            <x v="2"/>
          </reference>
          <reference field="16" count="1" selected="0">
            <x v="0"/>
          </reference>
        </references>
      </pivotArea>
    </format>
    <format dxfId="25905">
      <pivotArea dataOnly="0" labelOnly="1" outline="0" fieldPosition="0">
        <references count="5">
          <reference field="3" count="1" selected="0">
            <x v="1"/>
          </reference>
          <reference field="5" count="1" selected="0">
            <x v="2"/>
          </reference>
          <reference field="8" count="2">
            <x v="2"/>
            <x v="4"/>
          </reference>
          <reference field="15" count="1" selected="0">
            <x v="2"/>
          </reference>
          <reference field="16" count="1" selected="0">
            <x v="0"/>
          </reference>
        </references>
      </pivotArea>
    </format>
    <format dxfId="25906">
      <pivotArea dataOnly="0" labelOnly="1" outline="0" fieldPosition="0">
        <references count="5">
          <reference field="3" count="1" selected="0">
            <x v="2"/>
          </reference>
          <reference field="5" count="1" selected="0">
            <x v="0"/>
          </reference>
          <reference field="8" count="2">
            <x v="2"/>
            <x v="4"/>
          </reference>
          <reference field="15" count="1" selected="0">
            <x v="2"/>
          </reference>
          <reference field="16" count="1" selected="0">
            <x v="0"/>
          </reference>
        </references>
      </pivotArea>
    </format>
    <format dxfId="25907">
      <pivotArea dataOnly="0" labelOnly="1" outline="0" fieldPosition="0">
        <references count="5">
          <reference field="3" count="1" selected="0">
            <x v="2"/>
          </reference>
          <reference field="5" count="1" selected="0">
            <x v="3"/>
          </reference>
          <reference field="8" count="1">
            <x v="2"/>
          </reference>
          <reference field="15" count="1" selected="0">
            <x v="2"/>
          </reference>
          <reference field="16" count="1" selected="0">
            <x v="0"/>
          </reference>
        </references>
      </pivotArea>
    </format>
    <format dxfId="25908">
      <pivotArea dataOnly="0" labelOnly="1" outline="0" fieldPosition="0">
        <references count="5">
          <reference field="3" count="1" selected="0">
            <x v="3"/>
          </reference>
          <reference field="5" count="1" selected="0">
            <x v="0"/>
          </reference>
          <reference field="8" count="1">
            <x v="3"/>
          </reference>
          <reference field="15" count="1" selected="0">
            <x v="2"/>
          </reference>
          <reference field="16" count="1" selected="0">
            <x v="0"/>
          </reference>
        </references>
      </pivotArea>
    </format>
    <format dxfId="25909">
      <pivotArea dataOnly="0" labelOnly="1" outline="0" fieldPosition="0">
        <references count="5">
          <reference field="3" count="1" selected="0">
            <x v="3"/>
          </reference>
          <reference field="5" count="1" selected="0">
            <x v="1"/>
          </reference>
          <reference field="8" count="1">
            <x v="3"/>
          </reference>
          <reference field="15" count="1" selected="0">
            <x v="2"/>
          </reference>
          <reference field="16" count="1" selected="0">
            <x v="0"/>
          </reference>
        </references>
      </pivotArea>
    </format>
    <format dxfId="25910">
      <pivotArea dataOnly="0" labelOnly="1" outline="0" fieldPosition="0">
        <references count="5">
          <reference field="3" count="1" selected="0">
            <x v="3"/>
          </reference>
          <reference field="5" count="1" selected="0">
            <x v="3"/>
          </reference>
          <reference field="8" count="1">
            <x v="2"/>
          </reference>
          <reference field="15" count="1" selected="0">
            <x v="2"/>
          </reference>
          <reference field="16" count="1" selected="0">
            <x v="0"/>
          </reference>
        </references>
      </pivotArea>
    </format>
    <format dxfId="25911">
      <pivotArea dataOnly="0" labelOnly="1" outline="0" fieldPosition="0">
        <references count="5">
          <reference field="3" count="1" selected="0">
            <x v="4"/>
          </reference>
          <reference field="5" count="1" selected="0">
            <x v="0"/>
          </reference>
          <reference field="8" count="4">
            <x v="0"/>
            <x v="2"/>
            <x v="3"/>
            <x v="4"/>
          </reference>
          <reference field="15" count="1" selected="0">
            <x v="2"/>
          </reference>
          <reference field="16" count="1" selected="0">
            <x v="0"/>
          </reference>
        </references>
      </pivotArea>
    </format>
    <format dxfId="25912">
      <pivotArea dataOnly="0" labelOnly="1" outline="0" fieldPosition="0">
        <references count="5">
          <reference field="3" count="1" selected="0">
            <x v="4"/>
          </reference>
          <reference field="5" count="1" selected="0">
            <x v="1"/>
          </reference>
          <reference field="8" count="3">
            <x v="1"/>
            <x v="2"/>
            <x v="3"/>
          </reference>
          <reference field="15" count="1" selected="0">
            <x v="2"/>
          </reference>
          <reference field="16" count="1" selected="0">
            <x v="0"/>
          </reference>
        </references>
      </pivotArea>
    </format>
    <format dxfId="25913">
      <pivotArea dataOnly="0" labelOnly="1" outline="0" fieldPosition="0">
        <references count="5">
          <reference field="3" count="1" selected="0">
            <x v="4"/>
          </reference>
          <reference field="5" count="1" selected="0">
            <x v="2"/>
          </reference>
          <reference field="8" count="2">
            <x v="2"/>
            <x v="4"/>
          </reference>
          <reference field="15" count="1" selected="0">
            <x v="2"/>
          </reference>
          <reference field="16" count="1" selected="0">
            <x v="0"/>
          </reference>
        </references>
      </pivotArea>
    </format>
    <format dxfId="25914">
      <pivotArea dataOnly="0" labelOnly="1" outline="0" fieldPosition="0">
        <references count="5">
          <reference field="3" count="1" selected="0">
            <x v="0"/>
          </reference>
          <reference field="5" count="1" selected="0">
            <x v="0"/>
          </reference>
          <reference field="8" count="1">
            <x v="0"/>
          </reference>
          <reference field="15" count="1" selected="0">
            <x v="3"/>
          </reference>
          <reference field="16" count="1" selected="0">
            <x v="0"/>
          </reference>
        </references>
      </pivotArea>
    </format>
    <format dxfId="25915">
      <pivotArea dataOnly="0" labelOnly="1" outline="0" fieldPosition="0">
        <references count="5">
          <reference field="3" count="1" selected="0">
            <x v="0"/>
          </reference>
          <reference field="5" count="1" selected="0">
            <x v="1"/>
          </reference>
          <reference field="8" count="1">
            <x v="0"/>
          </reference>
          <reference field="15" count="1" selected="0">
            <x v="3"/>
          </reference>
          <reference field="16" count="1" selected="0">
            <x v="0"/>
          </reference>
        </references>
      </pivotArea>
    </format>
    <format dxfId="25916">
      <pivotArea dataOnly="0" labelOnly="1" outline="0" fieldPosition="0">
        <references count="5">
          <reference field="3" count="1" selected="0">
            <x v="0"/>
          </reference>
          <reference field="5" count="1" selected="0">
            <x v="2"/>
          </reference>
          <reference field="8" count="1">
            <x v="0"/>
          </reference>
          <reference field="15" count="1" selected="0">
            <x v="3"/>
          </reference>
          <reference field="16" count="1" selected="0">
            <x v="0"/>
          </reference>
        </references>
      </pivotArea>
    </format>
    <format dxfId="25917">
      <pivotArea dataOnly="0" labelOnly="1" outline="0" fieldPosition="0">
        <references count="5">
          <reference field="3" count="1" selected="0">
            <x v="1"/>
          </reference>
          <reference field="5" count="1" selected="0">
            <x v="0"/>
          </reference>
          <reference field="8" count="4">
            <x v="0"/>
            <x v="1"/>
            <x v="2"/>
            <x v="3"/>
          </reference>
          <reference field="15" count="1" selected="0">
            <x v="3"/>
          </reference>
          <reference field="16" count="1" selected="0">
            <x v="0"/>
          </reference>
        </references>
      </pivotArea>
    </format>
    <format dxfId="25918">
      <pivotArea dataOnly="0" labelOnly="1" outline="0" fieldPosition="0">
        <references count="5">
          <reference field="3" count="1" selected="0">
            <x v="1"/>
          </reference>
          <reference field="5" count="1" selected="0">
            <x v="1"/>
          </reference>
          <reference field="8" count="3">
            <x v="0"/>
            <x v="2"/>
            <x v="4"/>
          </reference>
          <reference field="15" count="1" selected="0">
            <x v="3"/>
          </reference>
          <reference field="16" count="1" selected="0">
            <x v="0"/>
          </reference>
        </references>
      </pivotArea>
    </format>
    <format dxfId="25919">
      <pivotArea dataOnly="0" labelOnly="1" outline="0" fieldPosition="0">
        <references count="5">
          <reference field="3" count="1" selected="0">
            <x v="1"/>
          </reference>
          <reference field="5" count="1" selected="0">
            <x v="2"/>
          </reference>
          <reference field="8" count="2">
            <x v="1"/>
            <x v="4"/>
          </reference>
          <reference field="15" count="1" selected="0">
            <x v="3"/>
          </reference>
          <reference field="16" count="1" selected="0">
            <x v="0"/>
          </reference>
        </references>
      </pivotArea>
    </format>
    <format dxfId="25920">
      <pivotArea dataOnly="0" labelOnly="1" outline="0" fieldPosition="0">
        <references count="5">
          <reference field="3" count="1" selected="0">
            <x v="2"/>
          </reference>
          <reference field="5" count="1" selected="0">
            <x v="0"/>
          </reference>
          <reference field="8" count="2">
            <x v="2"/>
            <x v="3"/>
          </reference>
          <reference field="15" count="1" selected="0">
            <x v="3"/>
          </reference>
          <reference field="16" count="1" selected="0">
            <x v="0"/>
          </reference>
        </references>
      </pivotArea>
    </format>
    <format dxfId="25921">
      <pivotArea dataOnly="0" labelOnly="1" outline="0" fieldPosition="0">
        <references count="5">
          <reference field="3" count="1" selected="0">
            <x v="2"/>
          </reference>
          <reference field="5" count="1" selected="0">
            <x v="1"/>
          </reference>
          <reference field="8" count="1">
            <x v="3"/>
          </reference>
          <reference field="15" count="1" selected="0">
            <x v="3"/>
          </reference>
          <reference field="16" count="1" selected="0">
            <x v="0"/>
          </reference>
        </references>
      </pivotArea>
    </format>
    <format dxfId="25922">
      <pivotArea dataOnly="0" labelOnly="1" outline="0" fieldPosition="0">
        <references count="5">
          <reference field="3" count="1" selected="0">
            <x v="3"/>
          </reference>
          <reference field="5" count="1" selected="0">
            <x v="0"/>
          </reference>
          <reference field="8" count="1">
            <x v="0"/>
          </reference>
          <reference field="15" count="1" selected="0">
            <x v="3"/>
          </reference>
          <reference field="16" count="1" selected="0">
            <x v="0"/>
          </reference>
        </references>
      </pivotArea>
    </format>
    <format dxfId="25923">
      <pivotArea dataOnly="0" labelOnly="1" outline="0" fieldPosition="0">
        <references count="5">
          <reference field="3" count="1" selected="0">
            <x v="3"/>
          </reference>
          <reference field="5" count="1" selected="0">
            <x v="1"/>
          </reference>
          <reference field="8" count="4">
            <x v="0"/>
            <x v="1"/>
            <x v="3"/>
            <x v="4"/>
          </reference>
          <reference field="15" count="1" selected="0">
            <x v="3"/>
          </reference>
          <reference field="16" count="1" selected="0">
            <x v="0"/>
          </reference>
        </references>
      </pivotArea>
    </format>
    <format dxfId="25924">
      <pivotArea dataOnly="0" labelOnly="1" outline="0" fieldPosition="0">
        <references count="5">
          <reference field="3" count="1" selected="0">
            <x v="3"/>
          </reference>
          <reference field="5" count="1" selected="0">
            <x v="2"/>
          </reference>
          <reference field="8" count="1">
            <x v="1"/>
          </reference>
          <reference field="15" count="1" selected="0">
            <x v="3"/>
          </reference>
          <reference field="16" count="1" selected="0">
            <x v="0"/>
          </reference>
        </references>
      </pivotArea>
    </format>
    <format dxfId="25925">
      <pivotArea dataOnly="0" labelOnly="1" outline="0" fieldPosition="0">
        <references count="5">
          <reference field="3" count="1" selected="0">
            <x v="4"/>
          </reference>
          <reference field="5" count="1" selected="0">
            <x v="0"/>
          </reference>
          <reference field="8" count="4">
            <x v="1"/>
            <x v="2"/>
            <x v="3"/>
            <x v="4"/>
          </reference>
          <reference field="15" count="1" selected="0">
            <x v="3"/>
          </reference>
          <reference field="16" count="1" selected="0">
            <x v="0"/>
          </reference>
        </references>
      </pivotArea>
    </format>
    <format dxfId="25926">
      <pivotArea dataOnly="0" labelOnly="1" outline="0" fieldPosition="0">
        <references count="5">
          <reference field="3" count="1" selected="0">
            <x v="4"/>
          </reference>
          <reference field="5" count="1" selected="0">
            <x v="1"/>
          </reference>
          <reference field="8" count="2">
            <x v="0"/>
            <x v="3"/>
          </reference>
          <reference field="15" count="1" selected="0">
            <x v="3"/>
          </reference>
          <reference field="16" count="1" selected="0">
            <x v="0"/>
          </reference>
        </references>
      </pivotArea>
    </format>
    <format dxfId="25927">
      <pivotArea dataOnly="0" labelOnly="1" outline="0" fieldPosition="0">
        <references count="5">
          <reference field="3" count="1" selected="0">
            <x v="4"/>
          </reference>
          <reference field="5" count="1" selected="0">
            <x v="2"/>
          </reference>
          <reference field="8" count="1">
            <x v="1"/>
          </reference>
          <reference field="15" count="1" selected="0">
            <x v="3"/>
          </reference>
          <reference field="16" count="1" selected="0">
            <x v="0"/>
          </reference>
        </references>
      </pivotArea>
    </format>
    <format dxfId="25928">
      <pivotArea dataOnly="0" labelOnly="1" outline="0" fieldPosition="0">
        <references count="5">
          <reference field="3" count="1" selected="0">
            <x v="4"/>
          </reference>
          <reference field="5" count="1" selected="0">
            <x v="3"/>
          </reference>
          <reference field="8" count="1">
            <x v="1"/>
          </reference>
          <reference field="15" count="1" selected="0">
            <x v="3"/>
          </reference>
          <reference field="16" count="1" selected="0">
            <x v="0"/>
          </reference>
        </references>
      </pivotArea>
    </format>
    <format dxfId="25929">
      <pivotArea dataOnly="0" labelOnly="1" outline="0" fieldPosition="0">
        <references count="5">
          <reference field="3" count="1" selected="0">
            <x v="0"/>
          </reference>
          <reference field="5" count="1" selected="0">
            <x v="1"/>
          </reference>
          <reference field="8" count="1">
            <x v="4"/>
          </reference>
          <reference field="15" count="1" selected="0">
            <x v="4"/>
          </reference>
          <reference field="16" count="1" selected="0">
            <x v="0"/>
          </reference>
        </references>
      </pivotArea>
    </format>
    <format dxfId="25930">
      <pivotArea dataOnly="0" labelOnly="1" outline="0" fieldPosition="0">
        <references count="5">
          <reference field="3" count="1" selected="0">
            <x v="1"/>
          </reference>
          <reference field="5" count="1" selected="0">
            <x v="0"/>
          </reference>
          <reference field="8" count="4">
            <x v="0"/>
            <x v="1"/>
            <x v="2"/>
            <x v="4"/>
          </reference>
          <reference field="15" count="1" selected="0">
            <x v="4"/>
          </reference>
          <reference field="16" count="1" selected="0">
            <x v="0"/>
          </reference>
        </references>
      </pivotArea>
    </format>
    <format dxfId="25931">
      <pivotArea dataOnly="0" labelOnly="1" outline="0" fieldPosition="0">
        <references count="5">
          <reference field="3" count="1" selected="0">
            <x v="1"/>
          </reference>
          <reference field="5" count="1" selected="0">
            <x v="1"/>
          </reference>
          <reference field="8" count="2">
            <x v="0"/>
            <x v="2"/>
          </reference>
          <reference field="15" count="1" selected="0">
            <x v="4"/>
          </reference>
          <reference field="16" count="1" selected="0">
            <x v="0"/>
          </reference>
        </references>
      </pivotArea>
    </format>
    <format dxfId="25932">
      <pivotArea dataOnly="0" labelOnly="1" outline="0" fieldPosition="0">
        <references count="5">
          <reference field="3" count="1" selected="0">
            <x v="1"/>
          </reference>
          <reference field="5" count="1" selected="0">
            <x v="2"/>
          </reference>
          <reference field="8" count="1">
            <x v="3"/>
          </reference>
          <reference field="15" count="1" selected="0">
            <x v="4"/>
          </reference>
          <reference field="16" count="1" selected="0">
            <x v="0"/>
          </reference>
        </references>
      </pivotArea>
    </format>
    <format dxfId="25933">
      <pivotArea dataOnly="0" labelOnly="1" outline="0" fieldPosition="0">
        <references count="5">
          <reference field="3" count="1" selected="0">
            <x v="1"/>
          </reference>
          <reference field="5" count="1" selected="0">
            <x v="3"/>
          </reference>
          <reference field="8" count="1">
            <x v="1"/>
          </reference>
          <reference field="15" count="1" selected="0">
            <x v="4"/>
          </reference>
          <reference field="16" count="1" selected="0">
            <x v="0"/>
          </reference>
        </references>
      </pivotArea>
    </format>
    <format dxfId="25934">
      <pivotArea dataOnly="0" labelOnly="1" outline="0" fieldPosition="0">
        <references count="5">
          <reference field="3" count="1" selected="0">
            <x v="2"/>
          </reference>
          <reference field="5" count="1" selected="0">
            <x v="0"/>
          </reference>
          <reference field="8" count="3">
            <x v="1"/>
            <x v="2"/>
            <x v="4"/>
          </reference>
          <reference field="15" count="1" selected="0">
            <x v="4"/>
          </reference>
          <reference field="16" count="1" selected="0">
            <x v="0"/>
          </reference>
        </references>
      </pivotArea>
    </format>
    <format dxfId="25935">
      <pivotArea dataOnly="0" labelOnly="1" outline="0" fieldPosition="0">
        <references count="5">
          <reference field="3" count="1" selected="0">
            <x v="2"/>
          </reference>
          <reference field="5" count="1" selected="0">
            <x v="2"/>
          </reference>
          <reference field="8" count="2">
            <x v="0"/>
            <x v="2"/>
          </reference>
          <reference field="15" count="1" selected="0">
            <x v="4"/>
          </reference>
          <reference field="16" count="1" selected="0">
            <x v="0"/>
          </reference>
        </references>
      </pivotArea>
    </format>
    <format dxfId="25936">
      <pivotArea dataOnly="0" labelOnly="1" outline="0" fieldPosition="0">
        <references count="5">
          <reference field="3" count="1" selected="0">
            <x v="3"/>
          </reference>
          <reference field="5" count="1" selected="0">
            <x v="0"/>
          </reference>
          <reference field="8" count="4">
            <x v="0"/>
            <x v="1"/>
            <x v="2"/>
            <x v="3"/>
          </reference>
          <reference field="15" count="1" selected="0">
            <x v="4"/>
          </reference>
          <reference field="16" count="1" selected="0">
            <x v="0"/>
          </reference>
        </references>
      </pivotArea>
    </format>
    <format dxfId="25937">
      <pivotArea dataOnly="0" labelOnly="1" outline="0" fieldPosition="0">
        <references count="5">
          <reference field="3" count="1" selected="0">
            <x v="4"/>
          </reference>
          <reference field="5" count="1" selected="0">
            <x v="0"/>
          </reference>
          <reference field="8" count="3">
            <x v="1"/>
            <x v="2"/>
            <x v="3"/>
          </reference>
          <reference field="15" count="1" selected="0">
            <x v="4"/>
          </reference>
          <reference field="16" count="1" selected="0">
            <x v="0"/>
          </reference>
        </references>
      </pivotArea>
    </format>
    <format dxfId="25938">
      <pivotArea dataOnly="0" labelOnly="1" outline="0" fieldPosition="0">
        <references count="5">
          <reference field="3" count="1" selected="0">
            <x v="4"/>
          </reference>
          <reference field="5" count="1" selected="0">
            <x v="1"/>
          </reference>
          <reference field="8" count="3">
            <x v="0"/>
            <x v="2"/>
            <x v="3"/>
          </reference>
          <reference field="15" count="1" selected="0">
            <x v="4"/>
          </reference>
          <reference field="16" count="1" selected="0">
            <x v="0"/>
          </reference>
        </references>
      </pivotArea>
    </format>
    <format dxfId="25939">
      <pivotArea dataOnly="0" labelOnly="1" outline="0" fieldPosition="0">
        <references count="5">
          <reference field="3" count="1" selected="0">
            <x v="4"/>
          </reference>
          <reference field="5" count="1" selected="0">
            <x v="2"/>
          </reference>
          <reference field="8" count="3">
            <x v="1"/>
            <x v="2"/>
            <x v="4"/>
          </reference>
          <reference field="15" count="1" selected="0">
            <x v="4"/>
          </reference>
          <reference field="16" count="1" selected="0">
            <x v="0"/>
          </reference>
        </references>
      </pivotArea>
    </format>
    <format dxfId="25940">
      <pivotArea dataOnly="0" labelOnly="1" outline="0" fieldPosition="0">
        <references count="5">
          <reference field="3" count="1" selected="0">
            <x v="4"/>
          </reference>
          <reference field="5" count="1" selected="0">
            <x v="3"/>
          </reference>
          <reference field="8" count="1">
            <x v="0"/>
          </reference>
          <reference field="15" count="1" selected="0">
            <x v="4"/>
          </reference>
          <reference field="16" count="1" selected="0">
            <x v="0"/>
          </reference>
        </references>
      </pivotArea>
    </format>
    <format dxfId="25941">
      <pivotArea dataOnly="0" labelOnly="1" outline="0" fieldPosition="0">
        <references count="5">
          <reference field="3" count="1" selected="0">
            <x v="0"/>
          </reference>
          <reference field="5" count="1" selected="0">
            <x v="0"/>
          </reference>
          <reference field="8" count="2">
            <x v="0"/>
            <x v="4"/>
          </reference>
          <reference field="15" count="1" selected="0">
            <x v="5"/>
          </reference>
          <reference field="16" count="1" selected="0">
            <x v="0"/>
          </reference>
        </references>
      </pivotArea>
    </format>
    <format dxfId="25942">
      <pivotArea dataOnly="0" labelOnly="1" outline="0" fieldPosition="0">
        <references count="5">
          <reference field="3" count="1" selected="0">
            <x v="0"/>
          </reference>
          <reference field="5" count="1" selected="0">
            <x v="1"/>
          </reference>
          <reference field="8" count="1">
            <x v="1"/>
          </reference>
          <reference field="15" count="1" selected="0">
            <x v="5"/>
          </reference>
          <reference field="16" count="1" selected="0">
            <x v="0"/>
          </reference>
        </references>
      </pivotArea>
    </format>
    <format dxfId="25943">
      <pivotArea dataOnly="0" labelOnly="1" outline="0" fieldPosition="0">
        <references count="5">
          <reference field="3" count="1" selected="0">
            <x v="0"/>
          </reference>
          <reference field="5" count="1" selected="0">
            <x v="3"/>
          </reference>
          <reference field="8" count="1">
            <x v="0"/>
          </reference>
          <reference field="15" count="1" selected="0">
            <x v="5"/>
          </reference>
          <reference field="16" count="1" selected="0">
            <x v="0"/>
          </reference>
        </references>
      </pivotArea>
    </format>
    <format dxfId="25944">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0"/>
          </reference>
        </references>
      </pivotArea>
    </format>
    <format dxfId="25945">
      <pivotArea dataOnly="0" labelOnly="1" outline="0" fieldPosition="0">
        <references count="5">
          <reference field="3" count="1" selected="0">
            <x v="1"/>
          </reference>
          <reference field="5" count="1" selected="0">
            <x v="1"/>
          </reference>
          <reference field="8" count="3">
            <x v="0"/>
            <x v="3"/>
            <x v="4"/>
          </reference>
          <reference field="15" count="1" selected="0">
            <x v="5"/>
          </reference>
          <reference field="16" count="1" selected="0">
            <x v="0"/>
          </reference>
        </references>
      </pivotArea>
    </format>
    <format dxfId="25946">
      <pivotArea dataOnly="0" labelOnly="1" outline="0" fieldPosition="0">
        <references count="5">
          <reference field="3" count="1" selected="0">
            <x v="1"/>
          </reference>
          <reference field="5" count="1" selected="0">
            <x v="2"/>
          </reference>
          <reference field="8" count="1">
            <x v="4"/>
          </reference>
          <reference field="15" count="1" selected="0">
            <x v="5"/>
          </reference>
          <reference field="16" count="1" selected="0">
            <x v="0"/>
          </reference>
        </references>
      </pivotArea>
    </format>
    <format dxfId="25947">
      <pivotArea dataOnly="0" labelOnly="1" outline="0" fieldPosition="0">
        <references count="5">
          <reference field="3" count="1" selected="0">
            <x v="1"/>
          </reference>
          <reference field="5" count="1" selected="0">
            <x v="3"/>
          </reference>
          <reference field="8" count="1">
            <x v="1"/>
          </reference>
          <reference field="15" count="1" selected="0">
            <x v="5"/>
          </reference>
          <reference field="16" count="1" selected="0">
            <x v="0"/>
          </reference>
        </references>
      </pivotArea>
    </format>
    <format dxfId="25948">
      <pivotArea dataOnly="0" labelOnly="1" outline="0" fieldPosition="0">
        <references count="5">
          <reference field="3" count="1" selected="0">
            <x v="2"/>
          </reference>
          <reference field="5" count="1" selected="0">
            <x v="0"/>
          </reference>
          <reference field="8" count="2">
            <x v="1"/>
            <x v="4"/>
          </reference>
          <reference field="15" count="1" selected="0">
            <x v="5"/>
          </reference>
          <reference field="16" count="1" selected="0">
            <x v="0"/>
          </reference>
        </references>
      </pivotArea>
    </format>
    <format dxfId="25949">
      <pivotArea dataOnly="0" labelOnly="1" outline="0" fieldPosition="0">
        <references count="5">
          <reference field="3" count="1" selected="0">
            <x v="2"/>
          </reference>
          <reference field="5" count="1" selected="0">
            <x v="1"/>
          </reference>
          <reference field="8" count="2">
            <x v="1"/>
            <x v="2"/>
          </reference>
          <reference field="15" count="1" selected="0">
            <x v="5"/>
          </reference>
          <reference field="16" count="1" selected="0">
            <x v="0"/>
          </reference>
        </references>
      </pivotArea>
    </format>
    <format dxfId="25950">
      <pivotArea dataOnly="0" labelOnly="1" outline="0" fieldPosition="0">
        <references count="5">
          <reference field="3" count="1" selected="0">
            <x v="2"/>
          </reference>
          <reference field="5" count="1" selected="0">
            <x v="3"/>
          </reference>
          <reference field="8" count="2">
            <x v="0"/>
            <x v="3"/>
          </reference>
          <reference field="15" count="1" selected="0">
            <x v="5"/>
          </reference>
          <reference field="16" count="1" selected="0">
            <x v="0"/>
          </reference>
        </references>
      </pivotArea>
    </format>
    <format dxfId="25951">
      <pivotArea dataOnly="0" labelOnly="1" outline="0" fieldPosition="0">
        <references count="5">
          <reference field="3" count="1" selected="0">
            <x v="3"/>
          </reference>
          <reference field="5" count="1" selected="0">
            <x v="0"/>
          </reference>
          <reference field="8" count="1">
            <x v="0"/>
          </reference>
          <reference field="15" count="1" selected="0">
            <x v="5"/>
          </reference>
          <reference field="16" count="1" selected="0">
            <x v="0"/>
          </reference>
        </references>
      </pivotArea>
    </format>
    <format dxfId="25952">
      <pivotArea dataOnly="0" labelOnly="1" outline="0" fieldPosition="0">
        <references count="5">
          <reference field="3" count="1" selected="0">
            <x v="3"/>
          </reference>
          <reference field="5" count="1" selected="0">
            <x v="1"/>
          </reference>
          <reference field="8" count="3">
            <x v="0"/>
            <x v="2"/>
            <x v="4"/>
          </reference>
          <reference field="15" count="1" selected="0">
            <x v="5"/>
          </reference>
          <reference field="16" count="1" selected="0">
            <x v="0"/>
          </reference>
        </references>
      </pivotArea>
    </format>
    <format dxfId="25953">
      <pivotArea dataOnly="0" labelOnly="1" outline="0" fieldPosition="0">
        <references count="5">
          <reference field="3" count="1" selected="0">
            <x v="3"/>
          </reference>
          <reference field="5" count="1" selected="0">
            <x v="2"/>
          </reference>
          <reference field="8" count="2">
            <x v="3"/>
            <x v="4"/>
          </reference>
          <reference field="15" count="1" selected="0">
            <x v="5"/>
          </reference>
          <reference field="16" count="1" selected="0">
            <x v="0"/>
          </reference>
        </references>
      </pivotArea>
    </format>
    <format dxfId="25954">
      <pivotArea dataOnly="0" labelOnly="1" outline="0" fieldPosition="0">
        <references count="5">
          <reference field="3" count="1" selected="0">
            <x v="4"/>
          </reference>
          <reference field="5" count="1" selected="0">
            <x v="0"/>
          </reference>
          <reference field="8" count="3">
            <x v="0"/>
            <x v="2"/>
            <x v="4"/>
          </reference>
          <reference field="15" count="1" selected="0">
            <x v="5"/>
          </reference>
          <reference field="16" count="1" selected="0">
            <x v="0"/>
          </reference>
        </references>
      </pivotArea>
    </format>
    <format dxfId="25955">
      <pivotArea dataOnly="0" labelOnly="1" outline="0" fieldPosition="0">
        <references count="5">
          <reference field="3" count="1" selected="0">
            <x v="4"/>
          </reference>
          <reference field="5" count="1" selected="0">
            <x v="1"/>
          </reference>
          <reference field="8" count="1">
            <x v="1"/>
          </reference>
          <reference field="15" count="1" selected="0">
            <x v="5"/>
          </reference>
          <reference field="16" count="1" selected="0">
            <x v="0"/>
          </reference>
        </references>
      </pivotArea>
    </format>
    <format dxfId="25956">
      <pivotArea dataOnly="0" labelOnly="1" outline="0" fieldPosition="0">
        <references count="5">
          <reference field="3" count="1" selected="0">
            <x v="4"/>
          </reference>
          <reference field="5" count="1" selected="0">
            <x v="2"/>
          </reference>
          <reference field="8" count="3">
            <x v="1"/>
            <x v="3"/>
            <x v="4"/>
          </reference>
          <reference field="15" count="1" selected="0">
            <x v="5"/>
          </reference>
          <reference field="16" count="1" selected="0">
            <x v="0"/>
          </reference>
        </references>
      </pivotArea>
    </format>
    <format dxfId="25957">
      <pivotArea dataOnly="0" labelOnly="1" outline="0" fieldPosition="0">
        <references count="5">
          <reference field="3" count="1" selected="0">
            <x v="0"/>
          </reference>
          <reference field="5" count="1" selected="0">
            <x v="0"/>
          </reference>
          <reference field="8" count="1">
            <x v="0"/>
          </reference>
          <reference field="15" count="1" selected="0">
            <x v="6"/>
          </reference>
          <reference field="16" count="1" selected="0">
            <x v="0"/>
          </reference>
        </references>
      </pivotArea>
    </format>
    <format dxfId="25958">
      <pivotArea dataOnly="0" labelOnly="1" outline="0" fieldPosition="0">
        <references count="5">
          <reference field="3" count="1" selected="0">
            <x v="0"/>
          </reference>
          <reference field="5" count="1" selected="0">
            <x v="1"/>
          </reference>
          <reference field="8" count="1">
            <x v="4"/>
          </reference>
          <reference field="15" count="1" selected="0">
            <x v="6"/>
          </reference>
          <reference field="16" count="1" selected="0">
            <x v="0"/>
          </reference>
        </references>
      </pivotArea>
    </format>
    <format dxfId="25959">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0"/>
          </reference>
        </references>
      </pivotArea>
    </format>
    <format dxfId="25960">
      <pivotArea dataOnly="0" labelOnly="1" outline="0" fieldPosition="0">
        <references count="5">
          <reference field="3" count="1" selected="0">
            <x v="1"/>
          </reference>
          <reference field="5" count="1" selected="0">
            <x v="1"/>
          </reference>
          <reference field="8" count="4">
            <x v="0"/>
            <x v="2"/>
            <x v="3"/>
            <x v="4"/>
          </reference>
          <reference field="15" count="1" selected="0">
            <x v="6"/>
          </reference>
          <reference field="16" count="1" selected="0">
            <x v="0"/>
          </reference>
        </references>
      </pivotArea>
    </format>
    <format dxfId="25961">
      <pivotArea dataOnly="0" labelOnly="1" outline="0" fieldPosition="0">
        <references count="5">
          <reference field="3" count="1" selected="0">
            <x v="1"/>
          </reference>
          <reference field="5" count="1" selected="0">
            <x v="2"/>
          </reference>
          <reference field="8" count="1">
            <x v="0"/>
          </reference>
          <reference field="15" count="1" selected="0">
            <x v="6"/>
          </reference>
          <reference field="16" count="1" selected="0">
            <x v="0"/>
          </reference>
        </references>
      </pivotArea>
    </format>
    <format dxfId="25962">
      <pivotArea dataOnly="0" labelOnly="1" outline="0" fieldPosition="0">
        <references count="5">
          <reference field="3" count="1" selected="0">
            <x v="2"/>
          </reference>
          <reference field="5" count="1" selected="0">
            <x v="0"/>
          </reference>
          <reference field="8" count="0"/>
          <reference field="15" count="1" selected="0">
            <x v="6"/>
          </reference>
          <reference field="16" count="1" selected="0">
            <x v="0"/>
          </reference>
        </references>
      </pivotArea>
    </format>
    <format dxfId="25963">
      <pivotArea dataOnly="0" labelOnly="1" outline="0" fieldPosition="0">
        <references count="5">
          <reference field="3" count="1" selected="0">
            <x v="2"/>
          </reference>
          <reference field="5" count="1" selected="0">
            <x v="1"/>
          </reference>
          <reference field="8" count="1">
            <x v="0"/>
          </reference>
          <reference field="15" count="1" selected="0">
            <x v="6"/>
          </reference>
          <reference field="16" count="1" selected="0">
            <x v="0"/>
          </reference>
        </references>
      </pivotArea>
    </format>
    <format dxfId="25964">
      <pivotArea dataOnly="0" labelOnly="1" outline="0" fieldPosition="0">
        <references count="5">
          <reference field="3" count="1" selected="0">
            <x v="2"/>
          </reference>
          <reference field="5" count="1" selected="0">
            <x v="3"/>
          </reference>
          <reference field="8" count="1">
            <x v="1"/>
          </reference>
          <reference field="15" count="1" selected="0">
            <x v="6"/>
          </reference>
          <reference field="16" count="1" selected="0">
            <x v="0"/>
          </reference>
        </references>
      </pivotArea>
    </format>
    <format dxfId="25965">
      <pivotArea dataOnly="0" labelOnly="1" outline="0" fieldPosition="0">
        <references count="5">
          <reference field="3" count="1" selected="0">
            <x v="3"/>
          </reference>
          <reference field="5" count="1" selected="0">
            <x v="0"/>
          </reference>
          <reference field="8" count="3">
            <x v="0"/>
            <x v="2"/>
            <x v="4"/>
          </reference>
          <reference field="15" count="1" selected="0">
            <x v="6"/>
          </reference>
          <reference field="16" count="1" selected="0">
            <x v="0"/>
          </reference>
        </references>
      </pivotArea>
    </format>
    <format dxfId="25966">
      <pivotArea dataOnly="0" labelOnly="1" outline="0" fieldPosition="0">
        <references count="5">
          <reference field="3" count="1" selected="0">
            <x v="3"/>
          </reference>
          <reference field="5" count="1" selected="0">
            <x v="1"/>
          </reference>
          <reference field="8" count="2">
            <x v="3"/>
            <x v="4"/>
          </reference>
          <reference field="15" count="1" selected="0">
            <x v="6"/>
          </reference>
          <reference field="16" count="1" selected="0">
            <x v="0"/>
          </reference>
        </references>
      </pivotArea>
    </format>
    <format dxfId="25967">
      <pivotArea dataOnly="0" labelOnly="1" outline="0" fieldPosition="0">
        <references count="5">
          <reference field="3" count="1" selected="0">
            <x v="3"/>
          </reference>
          <reference field="5" count="1" selected="0">
            <x v="2"/>
          </reference>
          <reference field="8" count="2">
            <x v="2"/>
            <x v="3"/>
          </reference>
          <reference field="15" count="1" selected="0">
            <x v="6"/>
          </reference>
          <reference field="16" count="1" selected="0">
            <x v="0"/>
          </reference>
        </references>
      </pivotArea>
    </format>
    <format dxfId="25968">
      <pivotArea dataOnly="0" labelOnly="1" outline="0" fieldPosition="0">
        <references count="5">
          <reference field="3" count="1" selected="0">
            <x v="3"/>
          </reference>
          <reference field="5" count="1" selected="0">
            <x v="3"/>
          </reference>
          <reference field="8" count="2">
            <x v="1"/>
            <x v="2"/>
          </reference>
          <reference field="15" count="1" selected="0">
            <x v="6"/>
          </reference>
          <reference field="16" count="1" selected="0">
            <x v="0"/>
          </reference>
        </references>
      </pivotArea>
    </format>
    <format dxfId="25969">
      <pivotArea dataOnly="0" labelOnly="1" outline="0" fieldPosition="0">
        <references count="5">
          <reference field="3" count="1" selected="0">
            <x v="4"/>
          </reference>
          <reference field="5" count="1" selected="0">
            <x v="0"/>
          </reference>
          <reference field="8" count="0"/>
          <reference field="15" count="1" selected="0">
            <x v="6"/>
          </reference>
          <reference field="16" count="1" selected="0">
            <x v="0"/>
          </reference>
        </references>
      </pivotArea>
    </format>
    <format dxfId="25970">
      <pivotArea dataOnly="0" labelOnly="1" outline="0" fieldPosition="0">
        <references count="5">
          <reference field="3" count="1" selected="0">
            <x v="4"/>
          </reference>
          <reference field="5" count="1" selected="0">
            <x v="2"/>
          </reference>
          <reference field="8" count="1">
            <x v="2"/>
          </reference>
          <reference field="15" count="1" selected="0">
            <x v="6"/>
          </reference>
          <reference field="16" count="1" selected="0">
            <x v="0"/>
          </reference>
        </references>
      </pivotArea>
    </format>
    <format dxfId="25971">
      <pivotArea dataOnly="0" labelOnly="1" outline="0" fieldPosition="0">
        <references count="5">
          <reference field="3" count="1" selected="0">
            <x v="0"/>
          </reference>
          <reference field="5" count="1" selected="0">
            <x v="0"/>
          </reference>
          <reference field="8" count="2">
            <x v="0"/>
            <x v="1"/>
          </reference>
          <reference field="15" count="1" selected="0">
            <x v="7"/>
          </reference>
          <reference field="16" count="1" selected="0">
            <x v="0"/>
          </reference>
        </references>
      </pivotArea>
    </format>
    <format dxfId="25972">
      <pivotArea dataOnly="0" labelOnly="1" outline="0" fieldPosition="0">
        <references count="5">
          <reference field="3" count="1" selected="0">
            <x v="0"/>
          </reference>
          <reference field="5" count="1" selected="0">
            <x v="1"/>
          </reference>
          <reference field="8" count="1">
            <x v="1"/>
          </reference>
          <reference field="15" count="1" selected="0">
            <x v="7"/>
          </reference>
          <reference field="16" count="1" selected="0">
            <x v="0"/>
          </reference>
        </references>
      </pivotArea>
    </format>
    <format dxfId="25973">
      <pivotArea dataOnly="0" labelOnly="1" outline="0" fieldPosition="0">
        <references count="5">
          <reference field="3" count="1" selected="0">
            <x v="1"/>
          </reference>
          <reference field="5" count="1" selected="0">
            <x v="0"/>
          </reference>
          <reference field="8" count="0"/>
          <reference field="15" count="1" selected="0">
            <x v="7"/>
          </reference>
          <reference field="16" count="1" selected="0">
            <x v="0"/>
          </reference>
        </references>
      </pivotArea>
    </format>
    <format dxfId="25974">
      <pivotArea dataOnly="0" labelOnly="1" outline="0" fieldPosition="0">
        <references count="5">
          <reference field="3" count="1" selected="0">
            <x v="1"/>
          </reference>
          <reference field="5" count="1" selected="0">
            <x v="1"/>
          </reference>
          <reference field="8" count="3">
            <x v="1"/>
            <x v="2"/>
            <x v="3"/>
          </reference>
          <reference field="15" count="1" selected="0">
            <x v="7"/>
          </reference>
          <reference field="16" count="1" selected="0">
            <x v="0"/>
          </reference>
        </references>
      </pivotArea>
    </format>
    <format dxfId="25975">
      <pivotArea dataOnly="0" labelOnly="1" outline="0" fieldPosition="0">
        <references count="5">
          <reference field="3" count="1" selected="0">
            <x v="1"/>
          </reference>
          <reference field="5" count="1" selected="0">
            <x v="2"/>
          </reference>
          <reference field="8" count="3">
            <x v="0"/>
            <x v="1"/>
            <x v="3"/>
          </reference>
          <reference field="15" count="1" selected="0">
            <x v="7"/>
          </reference>
          <reference field="16" count="1" selected="0">
            <x v="0"/>
          </reference>
        </references>
      </pivotArea>
    </format>
    <format dxfId="25976">
      <pivotArea dataOnly="0" labelOnly="1" outline="0" fieldPosition="0">
        <references count="5">
          <reference field="3" count="1" selected="0">
            <x v="1"/>
          </reference>
          <reference field="5" count="1" selected="0">
            <x v="3"/>
          </reference>
          <reference field="8" count="1">
            <x v="1"/>
          </reference>
          <reference field="15" count="1" selected="0">
            <x v="7"/>
          </reference>
          <reference field="16" count="1" selected="0">
            <x v="0"/>
          </reference>
        </references>
      </pivotArea>
    </format>
    <format dxfId="25977">
      <pivotArea dataOnly="0" labelOnly="1" outline="0" fieldPosition="0">
        <references count="5">
          <reference field="3" count="1" selected="0">
            <x v="2"/>
          </reference>
          <reference field="5" count="1" selected="0">
            <x v="0"/>
          </reference>
          <reference field="8" count="3">
            <x v="1"/>
            <x v="2"/>
            <x v="3"/>
          </reference>
          <reference field="15" count="1" selected="0">
            <x v="7"/>
          </reference>
          <reference field="16" count="1" selected="0">
            <x v="0"/>
          </reference>
        </references>
      </pivotArea>
    </format>
    <format dxfId="25978">
      <pivotArea dataOnly="0" labelOnly="1" outline="0" fieldPosition="0">
        <references count="5">
          <reference field="3" count="1" selected="0">
            <x v="2"/>
          </reference>
          <reference field="5" count="1" selected="0">
            <x v="1"/>
          </reference>
          <reference field="8" count="1">
            <x v="4"/>
          </reference>
          <reference field="15" count="1" selected="0">
            <x v="7"/>
          </reference>
          <reference field="16" count="1" selected="0">
            <x v="0"/>
          </reference>
        </references>
      </pivotArea>
    </format>
    <format dxfId="25979">
      <pivotArea dataOnly="0" labelOnly="1" outline="0" fieldPosition="0">
        <references count="5">
          <reference field="3" count="1" selected="0">
            <x v="3"/>
          </reference>
          <reference field="5" count="1" selected="0">
            <x v="0"/>
          </reference>
          <reference field="8" count="2">
            <x v="0"/>
            <x v="1"/>
          </reference>
          <reference field="15" count="1" selected="0">
            <x v="7"/>
          </reference>
          <reference field="16" count="1" selected="0">
            <x v="0"/>
          </reference>
        </references>
      </pivotArea>
    </format>
    <format dxfId="25980">
      <pivotArea dataOnly="0" labelOnly="1" outline="0" fieldPosition="0">
        <references count="5">
          <reference field="3" count="1" selected="0">
            <x v="3"/>
          </reference>
          <reference field="5" count="1" selected="0">
            <x v="1"/>
          </reference>
          <reference field="8" count="1">
            <x v="1"/>
          </reference>
          <reference field="15" count="1" selected="0">
            <x v="7"/>
          </reference>
          <reference field="16" count="1" selected="0">
            <x v="0"/>
          </reference>
        </references>
      </pivotArea>
    </format>
    <format dxfId="25981">
      <pivotArea dataOnly="0" labelOnly="1" outline="0" fieldPosition="0">
        <references count="5">
          <reference field="3" count="1" selected="0">
            <x v="4"/>
          </reference>
          <reference field="5" count="1" selected="0">
            <x v="0"/>
          </reference>
          <reference field="8" count="2">
            <x v="1"/>
            <x v="3"/>
          </reference>
          <reference field="15" count="1" selected="0">
            <x v="7"/>
          </reference>
          <reference field="16" count="1" selected="0">
            <x v="0"/>
          </reference>
        </references>
      </pivotArea>
    </format>
    <format dxfId="25982">
      <pivotArea dataOnly="0" labelOnly="1" outline="0" fieldPosition="0">
        <references count="5">
          <reference field="3" count="1" selected="0">
            <x v="4"/>
          </reference>
          <reference field="5" count="1" selected="0">
            <x v="1"/>
          </reference>
          <reference field="8" count="4">
            <x v="0"/>
            <x v="2"/>
            <x v="3"/>
            <x v="4"/>
          </reference>
          <reference field="15" count="1" selected="0">
            <x v="7"/>
          </reference>
          <reference field="16" count="1" selected="0">
            <x v="0"/>
          </reference>
        </references>
      </pivotArea>
    </format>
    <format dxfId="25983">
      <pivotArea dataOnly="0" labelOnly="1" outline="0" fieldPosition="0">
        <references count="5">
          <reference field="3" count="1" selected="0">
            <x v="4"/>
          </reference>
          <reference field="5" count="1" selected="0">
            <x v="2"/>
          </reference>
          <reference field="8" count="1">
            <x v="3"/>
          </reference>
          <reference field="15" count="1" selected="0">
            <x v="7"/>
          </reference>
          <reference field="16" count="1" selected="0">
            <x v="0"/>
          </reference>
        </references>
      </pivotArea>
    </format>
    <format dxfId="25984">
      <pivotArea dataOnly="0" labelOnly="1" outline="0" fieldPosition="0">
        <references count="5">
          <reference field="3" count="1" selected="0">
            <x v="0"/>
          </reference>
          <reference field="5" count="1" selected="0">
            <x v="0"/>
          </reference>
          <reference field="8" count="2">
            <x v="1"/>
            <x v="2"/>
          </reference>
          <reference field="15" count="1" selected="0">
            <x v="8"/>
          </reference>
          <reference field="16" count="1" selected="0">
            <x v="0"/>
          </reference>
        </references>
      </pivotArea>
    </format>
    <format dxfId="25985">
      <pivotArea dataOnly="0" labelOnly="1" outline="0" fieldPosition="0">
        <references count="5">
          <reference field="3" count="1" selected="0">
            <x v="0"/>
          </reference>
          <reference field="5" count="1" selected="0">
            <x v="1"/>
          </reference>
          <reference field="8" count="1">
            <x v="2"/>
          </reference>
          <reference field="15" count="1" selected="0">
            <x v="8"/>
          </reference>
          <reference field="16" count="1" selected="0">
            <x v="0"/>
          </reference>
        </references>
      </pivotArea>
    </format>
    <format dxfId="25986">
      <pivotArea dataOnly="0" labelOnly="1" outline="0" fieldPosition="0">
        <references count="5">
          <reference field="3" count="1" selected="0">
            <x v="1"/>
          </reference>
          <reference field="5" count="1" selected="0">
            <x v="0"/>
          </reference>
          <reference field="8" count="4">
            <x v="0"/>
            <x v="1"/>
            <x v="2"/>
            <x v="4"/>
          </reference>
          <reference field="15" count="1" selected="0">
            <x v="8"/>
          </reference>
          <reference field="16" count="1" selected="0">
            <x v="0"/>
          </reference>
        </references>
      </pivotArea>
    </format>
    <format dxfId="25987">
      <pivotArea dataOnly="0" labelOnly="1" outline="0" fieldPosition="0">
        <references count="5">
          <reference field="3" count="1" selected="0">
            <x v="1"/>
          </reference>
          <reference field="5" count="1" selected="0">
            <x v="1"/>
          </reference>
          <reference field="8" count="0"/>
          <reference field="15" count="1" selected="0">
            <x v="8"/>
          </reference>
          <reference field="16" count="1" selected="0">
            <x v="0"/>
          </reference>
        </references>
      </pivotArea>
    </format>
    <format dxfId="25988">
      <pivotArea dataOnly="0" labelOnly="1" outline="0" fieldPosition="0">
        <references count="5">
          <reference field="3" count="1" selected="0">
            <x v="1"/>
          </reference>
          <reference field="5" count="1" selected="0">
            <x v="2"/>
          </reference>
          <reference field="8" count="3">
            <x v="1"/>
            <x v="2"/>
            <x v="3"/>
          </reference>
          <reference field="15" count="1" selected="0">
            <x v="8"/>
          </reference>
          <reference field="16" count="1" selected="0">
            <x v="0"/>
          </reference>
        </references>
      </pivotArea>
    </format>
    <format dxfId="25989">
      <pivotArea dataOnly="0" labelOnly="1" outline="0" fieldPosition="0">
        <references count="5">
          <reference field="3" count="1" selected="0">
            <x v="2"/>
          </reference>
          <reference field="5" count="1" selected="0">
            <x v="0"/>
          </reference>
          <reference field="8" count="1">
            <x v="2"/>
          </reference>
          <reference field="15" count="1" selected="0">
            <x v="8"/>
          </reference>
          <reference field="16" count="1" selected="0">
            <x v="0"/>
          </reference>
        </references>
      </pivotArea>
    </format>
    <format dxfId="25990">
      <pivotArea dataOnly="0" labelOnly="1" outline="0" fieldPosition="0">
        <references count="5">
          <reference field="3" count="1" selected="0">
            <x v="2"/>
          </reference>
          <reference field="5" count="1" selected="0">
            <x v="1"/>
          </reference>
          <reference field="8" count="1">
            <x v="0"/>
          </reference>
          <reference field="15" count="1" selected="0">
            <x v="8"/>
          </reference>
          <reference field="16" count="1" selected="0">
            <x v="0"/>
          </reference>
        </references>
      </pivotArea>
    </format>
    <format dxfId="25991">
      <pivotArea dataOnly="0" labelOnly="1" outline="0" fieldPosition="0">
        <references count="5">
          <reference field="3" count="1" selected="0">
            <x v="2"/>
          </reference>
          <reference field="5" count="1" selected="0">
            <x v="3"/>
          </reference>
          <reference field="8" count="1">
            <x v="4"/>
          </reference>
          <reference field="15" count="1" selected="0">
            <x v="8"/>
          </reference>
          <reference field="16" count="1" selected="0">
            <x v="0"/>
          </reference>
        </references>
      </pivotArea>
    </format>
    <format dxfId="25992">
      <pivotArea dataOnly="0" labelOnly="1" outline="0" fieldPosition="0">
        <references count="5">
          <reference field="3" count="1" selected="0">
            <x v="3"/>
          </reference>
          <reference field="5" count="1" selected="0">
            <x v="1"/>
          </reference>
          <reference field="8" count="1">
            <x v="4"/>
          </reference>
          <reference field="15" count="1" selected="0">
            <x v="8"/>
          </reference>
          <reference field="16" count="1" selected="0">
            <x v="0"/>
          </reference>
        </references>
      </pivotArea>
    </format>
    <format dxfId="25993">
      <pivotArea dataOnly="0" labelOnly="1" outline="0" fieldPosition="0">
        <references count="5">
          <reference field="3" count="1" selected="0">
            <x v="4"/>
          </reference>
          <reference field="5" count="1" selected="0">
            <x v="0"/>
          </reference>
          <reference field="8" count="3">
            <x v="0"/>
            <x v="2"/>
            <x v="3"/>
          </reference>
          <reference field="15" count="1" selected="0">
            <x v="8"/>
          </reference>
          <reference field="16" count="1" selected="0">
            <x v="0"/>
          </reference>
        </references>
      </pivotArea>
    </format>
    <format dxfId="25994">
      <pivotArea dataOnly="0" labelOnly="1" outline="0" fieldPosition="0">
        <references count="5">
          <reference field="3" count="1" selected="0">
            <x v="4"/>
          </reference>
          <reference field="5" count="1" selected="0">
            <x v="1"/>
          </reference>
          <reference field="8" count="3">
            <x v="0"/>
            <x v="3"/>
            <x v="4"/>
          </reference>
          <reference field="15" count="1" selected="0">
            <x v="8"/>
          </reference>
          <reference field="16" count="1" selected="0">
            <x v="0"/>
          </reference>
        </references>
      </pivotArea>
    </format>
    <format dxfId="25995">
      <pivotArea dataOnly="0" labelOnly="1" outline="0" fieldPosition="0">
        <references count="5">
          <reference field="3" count="1" selected="0">
            <x v="4"/>
          </reference>
          <reference field="5" count="1" selected="0">
            <x v="2"/>
          </reference>
          <reference field="8" count="2">
            <x v="3"/>
            <x v="4"/>
          </reference>
          <reference field="15" count="1" selected="0">
            <x v="8"/>
          </reference>
          <reference field="16" count="1" selected="0">
            <x v="0"/>
          </reference>
        </references>
      </pivotArea>
    </format>
    <format dxfId="25996">
      <pivotArea dataOnly="0" labelOnly="1" outline="0" fieldPosition="0">
        <references count="5">
          <reference field="3" count="1" selected="0">
            <x v="0"/>
          </reference>
          <reference field="5" count="1" selected="0">
            <x v="0"/>
          </reference>
          <reference field="8" count="1">
            <x v="1"/>
          </reference>
          <reference field="15" count="1" selected="0">
            <x v="9"/>
          </reference>
          <reference field="16" count="1" selected="0">
            <x v="0"/>
          </reference>
        </references>
      </pivotArea>
    </format>
    <format dxfId="25997">
      <pivotArea dataOnly="0" labelOnly="1" outline="0" fieldPosition="0">
        <references count="5">
          <reference field="3" count="1" selected="0">
            <x v="1"/>
          </reference>
          <reference field="5" count="1" selected="0">
            <x v="0"/>
          </reference>
          <reference field="8" count="3">
            <x v="1"/>
            <x v="2"/>
            <x v="4"/>
          </reference>
          <reference field="15" count="1" selected="0">
            <x v="9"/>
          </reference>
          <reference field="16" count="1" selected="0">
            <x v="0"/>
          </reference>
        </references>
      </pivotArea>
    </format>
    <format dxfId="25998">
      <pivotArea dataOnly="0" labelOnly="1" outline="0" fieldPosition="0">
        <references count="5">
          <reference field="3" count="1" selected="0">
            <x v="1"/>
          </reference>
          <reference field="5" count="1" selected="0">
            <x v="1"/>
          </reference>
          <reference field="8" count="3">
            <x v="0"/>
            <x v="1"/>
            <x v="2"/>
          </reference>
          <reference field="15" count="1" selected="0">
            <x v="9"/>
          </reference>
          <reference field="16" count="1" selected="0">
            <x v="0"/>
          </reference>
        </references>
      </pivotArea>
    </format>
    <format dxfId="25999">
      <pivotArea dataOnly="0" labelOnly="1" outline="0" fieldPosition="0">
        <references count="5">
          <reference field="3" count="1" selected="0">
            <x v="1"/>
          </reference>
          <reference field="5" count="1" selected="0">
            <x v="2"/>
          </reference>
          <reference field="8" count="2">
            <x v="3"/>
            <x v="4"/>
          </reference>
          <reference field="15" count="1" selected="0">
            <x v="9"/>
          </reference>
          <reference field="16" count="1" selected="0">
            <x v="0"/>
          </reference>
        </references>
      </pivotArea>
    </format>
    <format dxfId="26000">
      <pivotArea dataOnly="0" labelOnly="1" outline="0" fieldPosition="0">
        <references count="5">
          <reference field="3" count="1" selected="0">
            <x v="2"/>
          </reference>
          <reference field="5" count="1" selected="0">
            <x v="0"/>
          </reference>
          <reference field="8" count="1">
            <x v="0"/>
          </reference>
          <reference field="15" count="1" selected="0">
            <x v="9"/>
          </reference>
          <reference field="16" count="1" selected="0">
            <x v="0"/>
          </reference>
        </references>
      </pivotArea>
    </format>
    <format dxfId="26001">
      <pivotArea dataOnly="0" labelOnly="1" outline="0" fieldPosition="0">
        <references count="5">
          <reference field="3" count="1" selected="0">
            <x v="2"/>
          </reference>
          <reference field="5" count="1" selected="0">
            <x v="1"/>
          </reference>
          <reference field="8" count="1">
            <x v="1"/>
          </reference>
          <reference field="15" count="1" selected="0">
            <x v="9"/>
          </reference>
          <reference field="16" count="1" selected="0">
            <x v="0"/>
          </reference>
        </references>
      </pivotArea>
    </format>
    <format dxfId="26002">
      <pivotArea dataOnly="0" labelOnly="1" outline="0" fieldPosition="0">
        <references count="5">
          <reference field="3" count="1" selected="0">
            <x v="2"/>
          </reference>
          <reference field="5" count="1" selected="0">
            <x v="2"/>
          </reference>
          <reference field="8" count="1">
            <x v="4"/>
          </reference>
          <reference field="15" count="1" selected="0">
            <x v="9"/>
          </reference>
          <reference field="16" count="1" selected="0">
            <x v="0"/>
          </reference>
        </references>
      </pivotArea>
    </format>
    <format dxfId="26003">
      <pivotArea dataOnly="0" labelOnly="1" outline="0" fieldPosition="0">
        <references count="5">
          <reference field="3" count="1" selected="0">
            <x v="3"/>
          </reference>
          <reference field="5" count="1" selected="0">
            <x v="0"/>
          </reference>
          <reference field="8" count="1">
            <x v="1"/>
          </reference>
          <reference field="15" count="1" selected="0">
            <x v="9"/>
          </reference>
          <reference field="16" count="1" selected="0">
            <x v="0"/>
          </reference>
        </references>
      </pivotArea>
    </format>
    <format dxfId="26004">
      <pivotArea dataOnly="0" labelOnly="1" outline="0" fieldPosition="0">
        <references count="5">
          <reference field="3" count="1" selected="0">
            <x v="3"/>
          </reference>
          <reference field="5" count="1" selected="0">
            <x v="1"/>
          </reference>
          <reference field="8" count="2">
            <x v="2"/>
            <x v="3"/>
          </reference>
          <reference field="15" count="1" selected="0">
            <x v="9"/>
          </reference>
          <reference field="16" count="1" selected="0">
            <x v="0"/>
          </reference>
        </references>
      </pivotArea>
    </format>
    <format dxfId="26005">
      <pivotArea dataOnly="0" labelOnly="1" outline="0" fieldPosition="0">
        <references count="5">
          <reference field="3" count="1" selected="0">
            <x v="4"/>
          </reference>
          <reference field="5" count="1" selected="0">
            <x v="0"/>
          </reference>
          <reference field="8" count="3">
            <x v="0"/>
            <x v="2"/>
            <x v="4"/>
          </reference>
          <reference field="15" count="1" selected="0">
            <x v="9"/>
          </reference>
          <reference field="16" count="1" selected="0">
            <x v="0"/>
          </reference>
        </references>
      </pivotArea>
    </format>
    <format dxfId="26006">
      <pivotArea dataOnly="0" labelOnly="1" outline="0" fieldPosition="0">
        <references count="5">
          <reference field="3" count="1" selected="0">
            <x v="4"/>
          </reference>
          <reference field="5" count="1" selected="0">
            <x v="1"/>
          </reference>
          <reference field="8" count="2">
            <x v="1"/>
            <x v="2"/>
          </reference>
          <reference field="15" count="1" selected="0">
            <x v="9"/>
          </reference>
          <reference field="16" count="1" selected="0">
            <x v="0"/>
          </reference>
        </references>
      </pivotArea>
    </format>
    <format dxfId="26007">
      <pivotArea dataOnly="0" labelOnly="1" outline="0" fieldPosition="0">
        <references count="5">
          <reference field="3" count="1" selected="0">
            <x v="4"/>
          </reference>
          <reference field="5" count="1" selected="0">
            <x v="2"/>
          </reference>
          <reference field="8" count="1">
            <x v="4"/>
          </reference>
          <reference field="15" count="1" selected="0">
            <x v="9"/>
          </reference>
          <reference field="16" count="1" selected="0">
            <x v="0"/>
          </reference>
        </references>
      </pivotArea>
    </format>
    <format dxfId="26008">
      <pivotArea dataOnly="0" labelOnly="1" outline="0" fieldPosition="0">
        <references count="5">
          <reference field="3" count="1" selected="0">
            <x v="4"/>
          </reference>
          <reference field="5" count="1" selected="0">
            <x v="3"/>
          </reference>
          <reference field="8" count="2">
            <x v="1"/>
            <x v="3"/>
          </reference>
          <reference field="15" count="1" selected="0">
            <x v="9"/>
          </reference>
          <reference field="16" count="1" selected="0">
            <x v="0"/>
          </reference>
        </references>
      </pivotArea>
    </format>
    <format dxfId="26009">
      <pivotArea dataOnly="0" labelOnly="1" outline="0" fieldPosition="0">
        <references count="5">
          <reference field="3" count="1" selected="0">
            <x v="0"/>
          </reference>
          <reference field="5" count="1" selected="0">
            <x v="0"/>
          </reference>
          <reference field="8" count="1">
            <x v="4"/>
          </reference>
          <reference field="15" count="1" selected="0">
            <x v="10"/>
          </reference>
          <reference field="16" count="1" selected="0">
            <x v="0"/>
          </reference>
        </references>
      </pivotArea>
    </format>
    <format dxfId="26010">
      <pivotArea dataOnly="0" labelOnly="1" outline="0" fieldPosition="0">
        <references count="5">
          <reference field="3" count="1" selected="0">
            <x v="0"/>
          </reference>
          <reference field="5" count="1" selected="0">
            <x v="2"/>
          </reference>
          <reference field="8" count="2">
            <x v="0"/>
            <x v="2"/>
          </reference>
          <reference field="15" count="1" selected="0">
            <x v="10"/>
          </reference>
          <reference field="16" count="1" selected="0">
            <x v="0"/>
          </reference>
        </references>
      </pivotArea>
    </format>
    <format dxfId="26011">
      <pivotArea dataOnly="0" labelOnly="1" outline="0" fieldPosition="0">
        <references count="5">
          <reference field="3" count="1" selected="0">
            <x v="1"/>
          </reference>
          <reference field="5" count="1" selected="0">
            <x v="0"/>
          </reference>
          <reference field="8" count="0"/>
          <reference field="15" count="1" selected="0">
            <x v="10"/>
          </reference>
          <reference field="16" count="1" selected="0">
            <x v="0"/>
          </reference>
        </references>
      </pivotArea>
    </format>
    <format dxfId="26012">
      <pivotArea dataOnly="0" labelOnly="1" outline="0" fieldPosition="0">
        <references count="5">
          <reference field="3" count="1" selected="0">
            <x v="1"/>
          </reference>
          <reference field="5" count="1" selected="0">
            <x v="1"/>
          </reference>
          <reference field="8" count="1">
            <x v="1"/>
          </reference>
          <reference field="15" count="1" selected="0">
            <x v="10"/>
          </reference>
          <reference field="16" count="1" selected="0">
            <x v="0"/>
          </reference>
        </references>
      </pivotArea>
    </format>
    <format dxfId="26013">
      <pivotArea dataOnly="0" labelOnly="1" outline="0" fieldPosition="0">
        <references count="5">
          <reference field="3" count="1" selected="0">
            <x v="1"/>
          </reference>
          <reference field="5" count="1" selected="0">
            <x v="2"/>
          </reference>
          <reference field="8" count="4">
            <x v="1"/>
            <x v="2"/>
            <x v="3"/>
            <x v="4"/>
          </reference>
          <reference field="15" count="1" selected="0">
            <x v="10"/>
          </reference>
          <reference field="16" count="1" selected="0">
            <x v="0"/>
          </reference>
        </references>
      </pivotArea>
    </format>
    <format dxfId="26014">
      <pivotArea dataOnly="0" labelOnly="1" outline="0" fieldPosition="0">
        <references count="5">
          <reference field="3" count="1" selected="0">
            <x v="2"/>
          </reference>
          <reference field="5" count="1" selected="0">
            <x v="0"/>
          </reference>
          <reference field="8" count="4">
            <x v="0"/>
            <x v="1"/>
            <x v="3"/>
            <x v="4"/>
          </reference>
          <reference field="15" count="1" selected="0">
            <x v="10"/>
          </reference>
          <reference field="16" count="1" selected="0">
            <x v="0"/>
          </reference>
        </references>
      </pivotArea>
    </format>
    <format dxfId="26015">
      <pivotArea dataOnly="0" labelOnly="1" outline="0" fieldPosition="0">
        <references count="5">
          <reference field="3" count="1" selected="0">
            <x v="2"/>
          </reference>
          <reference field="5" count="1" selected="0">
            <x v="1"/>
          </reference>
          <reference field="8" count="3">
            <x v="0"/>
            <x v="1"/>
            <x v="4"/>
          </reference>
          <reference field="15" count="1" selected="0">
            <x v="10"/>
          </reference>
          <reference field="16" count="1" selected="0">
            <x v="0"/>
          </reference>
        </references>
      </pivotArea>
    </format>
    <format dxfId="26016">
      <pivotArea dataOnly="0" labelOnly="1" outline="0" fieldPosition="0">
        <references count="5">
          <reference field="3" count="1" selected="0">
            <x v="2"/>
          </reference>
          <reference field="5" count="1" selected="0">
            <x v="2"/>
          </reference>
          <reference field="8" count="1">
            <x v="1"/>
          </reference>
          <reference field="15" count="1" selected="0">
            <x v="10"/>
          </reference>
          <reference field="16" count="1" selected="0">
            <x v="0"/>
          </reference>
        </references>
      </pivotArea>
    </format>
    <format dxfId="26017">
      <pivotArea dataOnly="0" labelOnly="1" outline="0" fieldPosition="0">
        <references count="5">
          <reference field="3" count="1" selected="0">
            <x v="3"/>
          </reference>
          <reference field="5" count="1" selected="0">
            <x v="0"/>
          </reference>
          <reference field="8" count="3">
            <x v="0"/>
            <x v="1"/>
            <x v="3"/>
          </reference>
          <reference field="15" count="1" selected="0">
            <x v="10"/>
          </reference>
          <reference field="16" count="1" selected="0">
            <x v="0"/>
          </reference>
        </references>
      </pivotArea>
    </format>
    <format dxfId="26018">
      <pivotArea dataOnly="0" labelOnly="1" outline="0" fieldPosition="0">
        <references count="5">
          <reference field="3" count="1" selected="0">
            <x v="3"/>
          </reference>
          <reference field="5" count="1" selected="0">
            <x v="1"/>
          </reference>
          <reference field="8" count="2">
            <x v="0"/>
            <x v="3"/>
          </reference>
          <reference field="15" count="1" selected="0">
            <x v="10"/>
          </reference>
          <reference field="16" count="1" selected="0">
            <x v="0"/>
          </reference>
        </references>
      </pivotArea>
    </format>
    <format dxfId="26019">
      <pivotArea dataOnly="0" labelOnly="1" outline="0" fieldPosition="0">
        <references count="5">
          <reference field="3" count="1" selected="0">
            <x v="3"/>
          </reference>
          <reference field="5" count="1" selected="0">
            <x v="2"/>
          </reference>
          <reference field="8" count="1">
            <x v="3"/>
          </reference>
          <reference field="15" count="1" selected="0">
            <x v="10"/>
          </reference>
          <reference field="16" count="1" selected="0">
            <x v="0"/>
          </reference>
        </references>
      </pivotArea>
    </format>
    <format dxfId="26020">
      <pivotArea dataOnly="0" labelOnly="1" outline="0" fieldPosition="0">
        <references count="5">
          <reference field="3" count="1" selected="0">
            <x v="4"/>
          </reference>
          <reference field="5" count="1" selected="0">
            <x v="0"/>
          </reference>
          <reference field="8" count="3">
            <x v="1"/>
            <x v="3"/>
            <x v="4"/>
          </reference>
          <reference field="15" count="1" selected="0">
            <x v="10"/>
          </reference>
          <reference field="16" count="1" selected="0">
            <x v="0"/>
          </reference>
        </references>
      </pivotArea>
    </format>
    <format dxfId="26021">
      <pivotArea dataOnly="0" labelOnly="1" outline="0" fieldPosition="0">
        <references count="5">
          <reference field="3" count="1" selected="0">
            <x v="4"/>
          </reference>
          <reference field="5" count="1" selected="0">
            <x v="1"/>
          </reference>
          <reference field="8" count="2">
            <x v="1"/>
            <x v="4"/>
          </reference>
          <reference field="15" count="1" selected="0">
            <x v="10"/>
          </reference>
          <reference field="16" count="1" selected="0">
            <x v="0"/>
          </reference>
        </references>
      </pivotArea>
    </format>
    <format dxfId="26022">
      <pivotArea dataOnly="0" labelOnly="1" outline="0" fieldPosition="0">
        <references count="5">
          <reference field="3" count="1" selected="0">
            <x v="0"/>
          </reference>
          <reference field="5" count="1" selected="0">
            <x v="0"/>
          </reference>
          <reference field="8" count="3">
            <x v="0"/>
            <x v="1"/>
            <x v="3"/>
          </reference>
          <reference field="15" count="1" selected="0">
            <x v="11"/>
          </reference>
          <reference field="16" count="1" selected="0">
            <x v="0"/>
          </reference>
        </references>
      </pivotArea>
    </format>
    <format dxfId="26023">
      <pivotArea dataOnly="0" labelOnly="1" outline="0" fieldPosition="0">
        <references count="5">
          <reference field="3" count="1" selected="0">
            <x v="0"/>
          </reference>
          <reference field="5" count="1" selected="0">
            <x v="1"/>
          </reference>
          <reference field="8" count="1">
            <x v="2"/>
          </reference>
          <reference field="15" count="1" selected="0">
            <x v="11"/>
          </reference>
          <reference field="16" count="1" selected="0">
            <x v="0"/>
          </reference>
        </references>
      </pivotArea>
    </format>
    <format dxfId="26024">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0"/>
          </reference>
        </references>
      </pivotArea>
    </format>
    <format dxfId="26025">
      <pivotArea dataOnly="0" labelOnly="1" outline="0" fieldPosition="0">
        <references count="5">
          <reference field="3" count="1" selected="0">
            <x v="1"/>
          </reference>
          <reference field="5" count="1" selected="0">
            <x v="1"/>
          </reference>
          <reference field="8" count="2">
            <x v="1"/>
            <x v="2"/>
          </reference>
          <reference field="15" count="1" selected="0">
            <x v="11"/>
          </reference>
          <reference field="16" count="1" selected="0">
            <x v="0"/>
          </reference>
        </references>
      </pivotArea>
    </format>
    <format dxfId="26026">
      <pivotArea dataOnly="0" labelOnly="1" outline="0" fieldPosition="0">
        <references count="5">
          <reference field="3" count="1" selected="0">
            <x v="1"/>
          </reference>
          <reference field="5" count="1" selected="0">
            <x v="2"/>
          </reference>
          <reference field="8" count="2">
            <x v="1"/>
            <x v="3"/>
          </reference>
          <reference field="15" count="1" selected="0">
            <x v="11"/>
          </reference>
          <reference field="16" count="1" selected="0">
            <x v="0"/>
          </reference>
        </references>
      </pivotArea>
    </format>
    <format dxfId="26027">
      <pivotArea dataOnly="0" labelOnly="1" outline="0" fieldPosition="0">
        <references count="5">
          <reference field="3" count="1" selected="0">
            <x v="1"/>
          </reference>
          <reference field="5" count="1" selected="0">
            <x v="3"/>
          </reference>
          <reference field="8" count="2">
            <x v="2"/>
            <x v="3"/>
          </reference>
          <reference field="15" count="1" selected="0">
            <x v="11"/>
          </reference>
          <reference field="16" count="1" selected="0">
            <x v="0"/>
          </reference>
        </references>
      </pivotArea>
    </format>
    <format dxfId="26028">
      <pivotArea dataOnly="0" labelOnly="1" outline="0" fieldPosition="0">
        <references count="5">
          <reference field="3" count="1" selected="0">
            <x v="2"/>
          </reference>
          <reference field="5" count="1" selected="0">
            <x v="0"/>
          </reference>
          <reference field="8" count="2">
            <x v="0"/>
            <x v="4"/>
          </reference>
          <reference field="15" count="1" selected="0">
            <x v="11"/>
          </reference>
          <reference field="16" count="1" selected="0">
            <x v="0"/>
          </reference>
        </references>
      </pivotArea>
    </format>
    <format dxfId="26029">
      <pivotArea dataOnly="0" labelOnly="1" outline="0" fieldPosition="0">
        <references count="5">
          <reference field="3" count="1" selected="0">
            <x v="2"/>
          </reference>
          <reference field="5" count="1" selected="0">
            <x v="1"/>
          </reference>
          <reference field="8" count="1">
            <x v="0"/>
          </reference>
          <reference field="15" count="1" selected="0">
            <x v="11"/>
          </reference>
          <reference field="16" count="1" selected="0">
            <x v="0"/>
          </reference>
        </references>
      </pivotArea>
    </format>
    <format dxfId="26030">
      <pivotArea dataOnly="0" labelOnly="1" outline="0" fieldPosition="0">
        <references count="5">
          <reference field="3" count="1" selected="0">
            <x v="2"/>
          </reference>
          <reference field="5" count="1" selected="0">
            <x v="2"/>
          </reference>
          <reference field="8" count="1">
            <x v="3"/>
          </reference>
          <reference field="15" count="1" selected="0">
            <x v="11"/>
          </reference>
          <reference field="16" count="1" selected="0">
            <x v="0"/>
          </reference>
        </references>
      </pivotArea>
    </format>
    <format dxfId="26031">
      <pivotArea dataOnly="0" labelOnly="1" outline="0" fieldPosition="0">
        <references count="5">
          <reference field="3" count="1" selected="0">
            <x v="3"/>
          </reference>
          <reference field="5" count="1" selected="0">
            <x v="1"/>
          </reference>
          <reference field="8" count="1">
            <x v="4"/>
          </reference>
          <reference field="15" count="1" selected="0">
            <x v="11"/>
          </reference>
          <reference field="16" count="1" selected="0">
            <x v="0"/>
          </reference>
        </references>
      </pivotArea>
    </format>
    <format dxfId="26032">
      <pivotArea dataOnly="0" labelOnly="1" outline="0" fieldPosition="0">
        <references count="5">
          <reference field="3" count="1" selected="0">
            <x v="4"/>
          </reference>
          <reference field="5" count="1" selected="0">
            <x v="0"/>
          </reference>
          <reference field="8" count="4">
            <x v="1"/>
            <x v="2"/>
            <x v="3"/>
            <x v="4"/>
          </reference>
          <reference field="15" count="1" selected="0">
            <x v="11"/>
          </reference>
          <reference field="16" count="1" selected="0">
            <x v="0"/>
          </reference>
        </references>
      </pivotArea>
    </format>
    <format dxfId="26033">
      <pivotArea dataOnly="0" labelOnly="1" outline="0" fieldPosition="0">
        <references count="5">
          <reference field="3" count="1" selected="0">
            <x v="4"/>
          </reference>
          <reference field="5" count="1" selected="0">
            <x v="1"/>
          </reference>
          <reference field="8" count="3">
            <x v="0"/>
            <x v="1"/>
            <x v="3"/>
          </reference>
          <reference field="15" count="1" selected="0">
            <x v="11"/>
          </reference>
          <reference field="16" count="1" selected="0">
            <x v="0"/>
          </reference>
        </references>
      </pivotArea>
    </format>
    <format dxfId="26034">
      <pivotArea dataOnly="0" labelOnly="1" outline="0" fieldPosition="0">
        <references count="5">
          <reference field="3" count="1" selected="0">
            <x v="4"/>
          </reference>
          <reference field="5" count="1" selected="0">
            <x v="2"/>
          </reference>
          <reference field="8" count="1">
            <x v="2"/>
          </reference>
          <reference field="15" count="1" selected="0">
            <x v="11"/>
          </reference>
          <reference field="16" count="1" selected="0">
            <x v="0"/>
          </reference>
        </references>
      </pivotArea>
    </format>
    <format dxfId="26035">
      <pivotArea dataOnly="0" labelOnly="1" outline="0" fieldPosition="0">
        <references count="5">
          <reference field="3" count="1" selected="0">
            <x v="4"/>
          </reference>
          <reference field="5" count="1" selected="0">
            <x v="3"/>
          </reference>
          <reference field="8" count="1">
            <x v="0"/>
          </reference>
          <reference field="15" count="1" selected="0">
            <x v="11"/>
          </reference>
          <reference field="16" count="1" selected="0">
            <x v="0"/>
          </reference>
        </references>
      </pivotArea>
    </format>
    <format dxfId="26036">
      <pivotArea dataOnly="0" labelOnly="1" outline="0" fieldPosition="0">
        <references count="5">
          <reference field="3" count="1" selected="0">
            <x v="0"/>
          </reference>
          <reference field="5" count="1" selected="0">
            <x v="0"/>
          </reference>
          <reference field="8" count="3">
            <x v="2"/>
            <x v="3"/>
            <x v="4"/>
          </reference>
          <reference field="15" count="1" selected="0">
            <x v="0"/>
          </reference>
          <reference field="16" count="1" selected="0">
            <x v="1"/>
          </reference>
        </references>
      </pivotArea>
    </format>
    <format dxfId="26037">
      <pivotArea dataOnly="0" labelOnly="1" outline="0" fieldPosition="0">
        <references count="5">
          <reference field="3" count="1" selected="0">
            <x v="0"/>
          </reference>
          <reference field="5" count="1" selected="0">
            <x v="1"/>
          </reference>
          <reference field="8" count="1">
            <x v="0"/>
          </reference>
          <reference field="15" count="1" selected="0">
            <x v="0"/>
          </reference>
          <reference field="16" count="1" selected="0">
            <x v="1"/>
          </reference>
        </references>
      </pivotArea>
    </format>
    <format dxfId="26038">
      <pivotArea dataOnly="0" labelOnly="1" outline="0" fieldPosition="0">
        <references count="5">
          <reference field="3" count="1" selected="0">
            <x v="1"/>
          </reference>
          <reference field="5" count="1" selected="0">
            <x v="0"/>
          </reference>
          <reference field="8" count="4">
            <x v="0"/>
            <x v="2"/>
            <x v="3"/>
            <x v="4"/>
          </reference>
          <reference field="15" count="1" selected="0">
            <x v="0"/>
          </reference>
          <reference field="16" count="1" selected="0">
            <x v="1"/>
          </reference>
        </references>
      </pivotArea>
    </format>
    <format dxfId="26039">
      <pivotArea dataOnly="0" labelOnly="1" outline="0" fieldPosition="0">
        <references count="5">
          <reference field="3" count="1" selected="0">
            <x v="1"/>
          </reference>
          <reference field="5" count="1" selected="0">
            <x v="1"/>
          </reference>
          <reference field="8" count="3">
            <x v="1"/>
            <x v="2"/>
            <x v="4"/>
          </reference>
          <reference field="15" count="1" selected="0">
            <x v="0"/>
          </reference>
          <reference field="16" count="1" selected="0">
            <x v="1"/>
          </reference>
        </references>
      </pivotArea>
    </format>
    <format dxfId="26040">
      <pivotArea dataOnly="0" labelOnly="1" outline="0" fieldPosition="0">
        <references count="5">
          <reference field="3" count="1" selected="0">
            <x v="1"/>
          </reference>
          <reference field="5" count="1" selected="0">
            <x v="2"/>
          </reference>
          <reference field="8" count="2">
            <x v="1"/>
            <x v="2"/>
          </reference>
          <reference field="15" count="1" selected="0">
            <x v="0"/>
          </reference>
          <reference field="16" count="1" selected="0">
            <x v="1"/>
          </reference>
        </references>
      </pivotArea>
    </format>
    <format dxfId="26041">
      <pivotArea dataOnly="0" labelOnly="1" outline="0" fieldPosition="0">
        <references count="5">
          <reference field="3" count="1" selected="0">
            <x v="2"/>
          </reference>
          <reference field="5" count="1" selected="0">
            <x v="0"/>
          </reference>
          <reference field="8" count="3">
            <x v="1"/>
            <x v="3"/>
            <x v="4"/>
          </reference>
          <reference field="15" count="1" selected="0">
            <x v="0"/>
          </reference>
          <reference field="16" count="1" selected="0">
            <x v="1"/>
          </reference>
        </references>
      </pivotArea>
    </format>
    <format dxfId="26042">
      <pivotArea dataOnly="0" labelOnly="1" outline="0" fieldPosition="0">
        <references count="5">
          <reference field="3" count="1" selected="0">
            <x v="2"/>
          </reference>
          <reference field="5" count="1" selected="0">
            <x v="2"/>
          </reference>
          <reference field="8" count="1">
            <x v="0"/>
          </reference>
          <reference field="15" count="1" selected="0">
            <x v="0"/>
          </reference>
          <reference field="16" count="1" selected="0">
            <x v="1"/>
          </reference>
        </references>
      </pivotArea>
    </format>
    <format dxfId="26043">
      <pivotArea dataOnly="0" labelOnly="1" outline="0" fieldPosition="0">
        <references count="5">
          <reference field="3" count="1" selected="0">
            <x v="3"/>
          </reference>
          <reference field="5" count="1" selected="0">
            <x v="0"/>
          </reference>
          <reference field="8" count="1">
            <x v="3"/>
          </reference>
          <reference field="15" count="1" selected="0">
            <x v="0"/>
          </reference>
          <reference field="16" count="1" selected="0">
            <x v="1"/>
          </reference>
        </references>
      </pivotArea>
    </format>
    <format dxfId="26044">
      <pivotArea dataOnly="0" labelOnly="1" outline="0" fieldPosition="0">
        <references count="5">
          <reference field="3" count="1" selected="0">
            <x v="3"/>
          </reference>
          <reference field="5" count="1" selected="0">
            <x v="2"/>
          </reference>
          <reference field="8" count="2">
            <x v="2"/>
            <x v="3"/>
          </reference>
          <reference field="15" count="1" selected="0">
            <x v="0"/>
          </reference>
          <reference field="16" count="1" selected="0">
            <x v="1"/>
          </reference>
        </references>
      </pivotArea>
    </format>
    <format dxfId="26045">
      <pivotArea dataOnly="0" labelOnly="1" outline="0" fieldPosition="0">
        <references count="5">
          <reference field="3" count="1" selected="0">
            <x v="4"/>
          </reference>
          <reference field="5" count="1" selected="0">
            <x v="0"/>
          </reference>
          <reference field="8" count="3">
            <x v="0"/>
            <x v="1"/>
            <x v="2"/>
          </reference>
          <reference field="15" count="1" selected="0">
            <x v="0"/>
          </reference>
          <reference field="16" count="1" selected="0">
            <x v="1"/>
          </reference>
        </references>
      </pivotArea>
    </format>
    <format dxfId="26046">
      <pivotArea dataOnly="0" labelOnly="1" outline="0" fieldPosition="0">
        <references count="5">
          <reference field="3" count="1" selected="0">
            <x v="4"/>
          </reference>
          <reference field="5" count="1" selected="0">
            <x v="1"/>
          </reference>
          <reference field="8" count="1">
            <x v="3"/>
          </reference>
          <reference field="15" count="1" selected="0">
            <x v="0"/>
          </reference>
          <reference field="16" count="1" selected="0">
            <x v="1"/>
          </reference>
        </references>
      </pivotArea>
    </format>
    <format dxfId="26047">
      <pivotArea dataOnly="0" labelOnly="1" outline="0" fieldPosition="0">
        <references count="5">
          <reference field="3" count="1" selected="0">
            <x v="4"/>
          </reference>
          <reference field="5" count="1" selected="0">
            <x v="2"/>
          </reference>
          <reference field="8" count="2">
            <x v="1"/>
            <x v="2"/>
          </reference>
          <reference field="15" count="1" selected="0">
            <x v="0"/>
          </reference>
          <reference field="16" count="1" selected="0">
            <x v="1"/>
          </reference>
        </references>
      </pivotArea>
    </format>
    <format dxfId="26048">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1"/>
          </reference>
        </references>
      </pivotArea>
    </format>
    <format dxfId="26049">
      <pivotArea dataOnly="0" labelOnly="1" outline="0" fieldPosition="0">
        <references count="5">
          <reference field="3" count="1" selected="0">
            <x v="1"/>
          </reference>
          <reference field="5" count="1" selected="0">
            <x v="0"/>
          </reference>
          <reference field="8" count="4">
            <x v="1"/>
            <x v="2"/>
            <x v="3"/>
            <x v="4"/>
          </reference>
          <reference field="15" count="1" selected="0">
            <x v="1"/>
          </reference>
          <reference field="16" count="1" selected="0">
            <x v="1"/>
          </reference>
        </references>
      </pivotArea>
    </format>
    <format dxfId="26050">
      <pivotArea dataOnly="0" labelOnly="1" outline="0" fieldPosition="0">
        <references count="5">
          <reference field="3" count="1" selected="0">
            <x v="1"/>
          </reference>
          <reference field="5" count="1" selected="0">
            <x v="1"/>
          </reference>
          <reference field="8" count="2">
            <x v="2"/>
            <x v="4"/>
          </reference>
          <reference field="15" count="1" selected="0">
            <x v="1"/>
          </reference>
          <reference field="16" count="1" selected="0">
            <x v="1"/>
          </reference>
        </references>
      </pivotArea>
    </format>
    <format dxfId="26051">
      <pivotArea dataOnly="0" labelOnly="1" outline="0" fieldPosition="0">
        <references count="5">
          <reference field="3" count="1" selected="0">
            <x v="1"/>
          </reference>
          <reference field="5" count="1" selected="0">
            <x v="2"/>
          </reference>
          <reference field="8" count="2">
            <x v="0"/>
            <x v="3"/>
          </reference>
          <reference field="15" count="1" selected="0">
            <x v="1"/>
          </reference>
          <reference field="16" count="1" selected="0">
            <x v="1"/>
          </reference>
        </references>
      </pivotArea>
    </format>
    <format dxfId="26052">
      <pivotArea dataOnly="0" labelOnly="1" outline="0" fieldPosition="0">
        <references count="5">
          <reference field="3" count="1" selected="0">
            <x v="1"/>
          </reference>
          <reference field="5" count="1" selected="0">
            <x v="3"/>
          </reference>
          <reference field="8" count="1">
            <x v="2"/>
          </reference>
          <reference field="15" count="1" selected="0">
            <x v="1"/>
          </reference>
          <reference field="16" count="1" selected="0">
            <x v="1"/>
          </reference>
        </references>
      </pivotArea>
    </format>
    <format dxfId="26053">
      <pivotArea dataOnly="0" labelOnly="1" outline="0" fieldPosition="0">
        <references count="5">
          <reference field="3" count="1" selected="0">
            <x v="2"/>
          </reference>
          <reference field="5" count="1" selected="0">
            <x v="0"/>
          </reference>
          <reference field="8" count="4">
            <x v="0"/>
            <x v="1"/>
            <x v="2"/>
            <x v="4"/>
          </reference>
          <reference field="15" count="1" selected="0">
            <x v="1"/>
          </reference>
          <reference field="16" count="1" selected="0">
            <x v="1"/>
          </reference>
        </references>
      </pivotArea>
    </format>
    <format dxfId="26054">
      <pivotArea dataOnly="0" labelOnly="1" outline="0" fieldPosition="0">
        <references count="5">
          <reference field="3" count="1" selected="0">
            <x v="3"/>
          </reference>
          <reference field="5" count="1" selected="0">
            <x v="0"/>
          </reference>
          <reference field="8" count="2">
            <x v="3"/>
            <x v="4"/>
          </reference>
          <reference field="15" count="1" selected="0">
            <x v="1"/>
          </reference>
          <reference field="16" count="1" selected="0">
            <x v="1"/>
          </reference>
        </references>
      </pivotArea>
    </format>
    <format dxfId="26055">
      <pivotArea dataOnly="0" labelOnly="1" outline="0" fieldPosition="0">
        <references count="5">
          <reference field="3" count="1" selected="0">
            <x v="3"/>
          </reference>
          <reference field="5" count="1" selected="0">
            <x v="1"/>
          </reference>
          <reference field="8" count="1">
            <x v="0"/>
          </reference>
          <reference field="15" count="1" selected="0">
            <x v="1"/>
          </reference>
          <reference field="16" count="1" selected="0">
            <x v="1"/>
          </reference>
        </references>
      </pivotArea>
    </format>
    <format dxfId="26056">
      <pivotArea dataOnly="0" labelOnly="1" outline="0" fieldPosition="0">
        <references count="5">
          <reference field="3" count="1" selected="0">
            <x v="4"/>
          </reference>
          <reference field="5" count="1" selected="0">
            <x v="0"/>
          </reference>
          <reference field="8" count="3">
            <x v="1"/>
            <x v="2"/>
            <x v="4"/>
          </reference>
          <reference field="15" count="1" selected="0">
            <x v="1"/>
          </reference>
          <reference field="16" count="1" selected="0">
            <x v="1"/>
          </reference>
        </references>
      </pivotArea>
    </format>
    <format dxfId="26057">
      <pivotArea dataOnly="0" labelOnly="1" outline="0" fieldPosition="0">
        <references count="5">
          <reference field="3" count="1" selected="0">
            <x v="4"/>
          </reference>
          <reference field="5" count="1" selected="0">
            <x v="1"/>
          </reference>
          <reference field="8" count="2">
            <x v="0"/>
            <x v="2"/>
          </reference>
          <reference field="15" count="1" selected="0">
            <x v="1"/>
          </reference>
          <reference field="16" count="1" selected="0">
            <x v="1"/>
          </reference>
        </references>
      </pivotArea>
    </format>
    <format dxfId="26058">
      <pivotArea dataOnly="0" labelOnly="1" outline="0" fieldPosition="0">
        <references count="5">
          <reference field="3" count="1" selected="0">
            <x v="4"/>
          </reference>
          <reference field="5" count="1" selected="0">
            <x v="2"/>
          </reference>
          <reference field="8" count="1">
            <x v="0"/>
          </reference>
          <reference field="15" count="1" selected="0">
            <x v="1"/>
          </reference>
          <reference field="16" count="1" selected="0">
            <x v="1"/>
          </reference>
        </references>
      </pivotArea>
    </format>
    <format dxfId="26059">
      <pivotArea dataOnly="0" labelOnly="1" outline="0" fieldPosition="0">
        <references count="5">
          <reference field="3" count="1" selected="0">
            <x v="4"/>
          </reference>
          <reference field="5" count="1" selected="0">
            <x v="3"/>
          </reference>
          <reference field="8" count="1">
            <x v="2"/>
          </reference>
          <reference field="15" count="1" selected="0">
            <x v="1"/>
          </reference>
          <reference field="16" count="1" selected="0">
            <x v="1"/>
          </reference>
        </references>
      </pivotArea>
    </format>
    <format dxfId="26060">
      <pivotArea dataOnly="0" labelOnly="1" outline="0" fieldPosition="0">
        <references count="5">
          <reference field="3" count="1" selected="0">
            <x v="0"/>
          </reference>
          <reference field="5" count="1" selected="0">
            <x v="0"/>
          </reference>
          <reference field="8" count="3">
            <x v="0"/>
            <x v="2"/>
            <x v="3"/>
          </reference>
          <reference field="15" count="1" selected="0">
            <x v="2"/>
          </reference>
          <reference field="16" count="1" selected="0">
            <x v="1"/>
          </reference>
        </references>
      </pivotArea>
    </format>
    <format dxfId="26061">
      <pivotArea dataOnly="0" labelOnly="1" outline="0" fieldPosition="0">
        <references count="5">
          <reference field="3" count="1" selected="0">
            <x v="0"/>
          </reference>
          <reference field="5" count="1" selected="0">
            <x v="1"/>
          </reference>
          <reference field="8" count="1">
            <x v="4"/>
          </reference>
          <reference field="15" count="1" selected="0">
            <x v="2"/>
          </reference>
          <reference field="16" count="1" selected="0">
            <x v="1"/>
          </reference>
        </references>
      </pivotArea>
    </format>
    <format dxfId="26062">
      <pivotArea dataOnly="0" labelOnly="1" outline="0" fieldPosition="0">
        <references count="5">
          <reference field="3" count="1" selected="0">
            <x v="0"/>
          </reference>
          <reference field="5" count="1" selected="0">
            <x v="2"/>
          </reference>
          <reference field="8" count="1">
            <x v="3"/>
          </reference>
          <reference field="15" count="1" selected="0">
            <x v="2"/>
          </reference>
          <reference field="16" count="1" selected="0">
            <x v="1"/>
          </reference>
        </references>
      </pivotArea>
    </format>
    <format dxfId="26063">
      <pivotArea dataOnly="0" labelOnly="1" outline="0" fieldPosition="0">
        <references count="5">
          <reference field="3" count="1" selected="0">
            <x v="1"/>
          </reference>
          <reference field="5" count="1" selected="0">
            <x v="0"/>
          </reference>
          <reference field="8" count="0"/>
          <reference field="15" count="1" selected="0">
            <x v="2"/>
          </reference>
          <reference field="16" count="1" selected="0">
            <x v="1"/>
          </reference>
        </references>
      </pivotArea>
    </format>
    <format dxfId="26064">
      <pivotArea dataOnly="0" labelOnly="1" outline="0" fieldPosition="0">
        <references count="5">
          <reference field="3" count="1" selected="0">
            <x v="1"/>
          </reference>
          <reference field="5" count="1" selected="0">
            <x v="1"/>
          </reference>
          <reference field="8" count="0"/>
          <reference field="15" count="1" selected="0">
            <x v="2"/>
          </reference>
          <reference field="16" count="1" selected="0">
            <x v="1"/>
          </reference>
        </references>
      </pivotArea>
    </format>
    <format dxfId="26065">
      <pivotArea dataOnly="0" labelOnly="1" outline="0" fieldPosition="0">
        <references count="5">
          <reference field="3" count="1" selected="0">
            <x v="1"/>
          </reference>
          <reference field="5" count="1" selected="0">
            <x v="2"/>
          </reference>
          <reference field="8" count="3">
            <x v="0"/>
            <x v="2"/>
            <x v="3"/>
          </reference>
          <reference field="15" count="1" selected="0">
            <x v="2"/>
          </reference>
          <reference field="16" count="1" selected="0">
            <x v="1"/>
          </reference>
        </references>
      </pivotArea>
    </format>
    <format dxfId="26066">
      <pivotArea dataOnly="0" labelOnly="1" outline="0" fieldPosition="0">
        <references count="5">
          <reference field="3" count="1" selected="0">
            <x v="1"/>
          </reference>
          <reference field="5" count="1" selected="0">
            <x v="3"/>
          </reference>
          <reference field="8" count="1">
            <x v="4"/>
          </reference>
          <reference field="15" count="1" selected="0">
            <x v="2"/>
          </reference>
          <reference field="16" count="1" selected="0">
            <x v="1"/>
          </reference>
        </references>
      </pivotArea>
    </format>
    <format dxfId="26067">
      <pivotArea dataOnly="0" labelOnly="1" outline="0" fieldPosition="0">
        <references count="5">
          <reference field="3" count="1" selected="0">
            <x v="2"/>
          </reference>
          <reference field="5" count="1" selected="0">
            <x v="0"/>
          </reference>
          <reference field="8" count="2">
            <x v="3"/>
            <x v="4"/>
          </reference>
          <reference field="15" count="1" selected="0">
            <x v="2"/>
          </reference>
          <reference field="16" count="1" selected="0">
            <x v="1"/>
          </reference>
        </references>
      </pivotArea>
    </format>
    <format dxfId="26068">
      <pivotArea dataOnly="0" labelOnly="1" outline="0" fieldPosition="0">
        <references count="5">
          <reference field="3" count="1" selected="0">
            <x v="2"/>
          </reference>
          <reference field="5" count="1" selected="0">
            <x v="1"/>
          </reference>
          <reference field="8" count="1">
            <x v="2"/>
          </reference>
          <reference field="15" count="1" selected="0">
            <x v="2"/>
          </reference>
          <reference field="16" count="1" selected="0">
            <x v="1"/>
          </reference>
        </references>
      </pivotArea>
    </format>
    <format dxfId="26069">
      <pivotArea dataOnly="0" labelOnly="1" outline="0" fieldPosition="0">
        <references count="5">
          <reference field="3" count="1" selected="0">
            <x v="2"/>
          </reference>
          <reference field="5" count="1" selected="0">
            <x v="2"/>
          </reference>
          <reference field="8" count="1">
            <x v="2"/>
          </reference>
          <reference field="15" count="1" selected="0">
            <x v="2"/>
          </reference>
          <reference field="16" count="1" selected="0">
            <x v="1"/>
          </reference>
        </references>
      </pivotArea>
    </format>
    <format dxfId="26070">
      <pivotArea dataOnly="0" labelOnly="1" outline="0" fieldPosition="0">
        <references count="5">
          <reference field="3" count="1" selected="0">
            <x v="2"/>
          </reference>
          <reference field="5" count="1" selected="0">
            <x v="3"/>
          </reference>
          <reference field="8" count="1">
            <x v="4"/>
          </reference>
          <reference field="15" count="1" selected="0">
            <x v="2"/>
          </reference>
          <reference field="16" count="1" selected="0">
            <x v="1"/>
          </reference>
        </references>
      </pivotArea>
    </format>
    <format dxfId="26071">
      <pivotArea dataOnly="0" labelOnly="1" outline="0" fieldPosition="0">
        <references count="5">
          <reference field="3" count="1" selected="0">
            <x v="3"/>
          </reference>
          <reference field="5" count="1" selected="0">
            <x v="0"/>
          </reference>
          <reference field="8" count="1">
            <x v="1"/>
          </reference>
          <reference field="15" count="1" selected="0">
            <x v="2"/>
          </reference>
          <reference field="16" count="1" selected="0">
            <x v="1"/>
          </reference>
        </references>
      </pivotArea>
    </format>
    <format dxfId="26072">
      <pivotArea dataOnly="0" labelOnly="1" outline="0" fieldPosition="0">
        <references count="5">
          <reference field="3" count="1" selected="0">
            <x v="3"/>
          </reference>
          <reference field="5" count="1" selected="0">
            <x v="1"/>
          </reference>
          <reference field="8" count="3">
            <x v="0"/>
            <x v="1"/>
            <x v="3"/>
          </reference>
          <reference field="15" count="1" selected="0">
            <x v="2"/>
          </reference>
          <reference field="16" count="1" selected="0">
            <x v="1"/>
          </reference>
        </references>
      </pivotArea>
    </format>
    <format dxfId="26073">
      <pivotArea dataOnly="0" labelOnly="1" outline="0" fieldPosition="0">
        <references count="5">
          <reference field="3" count="1" selected="0">
            <x v="4"/>
          </reference>
          <reference field="5" count="1" selected="0">
            <x v="0"/>
          </reference>
          <reference field="8" count="4">
            <x v="0"/>
            <x v="2"/>
            <x v="3"/>
            <x v="4"/>
          </reference>
          <reference field="15" count="1" selected="0">
            <x v="2"/>
          </reference>
          <reference field="16" count="1" selected="0">
            <x v="1"/>
          </reference>
        </references>
      </pivotArea>
    </format>
    <format dxfId="26074">
      <pivotArea dataOnly="0" labelOnly="1" outline="0" fieldPosition="0">
        <references count="5">
          <reference field="3" count="1" selected="0">
            <x v="4"/>
          </reference>
          <reference field="5" count="1" selected="0">
            <x v="2"/>
          </reference>
          <reference field="8" count="2">
            <x v="1"/>
            <x v="4"/>
          </reference>
          <reference field="15" count="1" selected="0">
            <x v="2"/>
          </reference>
          <reference field="16" count="1" selected="0">
            <x v="1"/>
          </reference>
        </references>
      </pivotArea>
    </format>
    <format dxfId="26075">
      <pivotArea dataOnly="0" labelOnly="1" outline="0" fieldPosition="0">
        <references count="5">
          <reference field="3" count="1" selected="0">
            <x v="0"/>
          </reference>
          <reference field="5" count="1" selected="0">
            <x v="0"/>
          </reference>
          <reference field="8" count="3">
            <x v="0"/>
            <x v="2"/>
            <x v="3"/>
          </reference>
          <reference field="15" count="1" selected="0">
            <x v="3"/>
          </reference>
          <reference field="16" count="1" selected="0">
            <x v="1"/>
          </reference>
        </references>
      </pivotArea>
    </format>
    <format dxfId="26076">
      <pivotArea dataOnly="0" labelOnly="1" outline="0" fieldPosition="0">
        <references count="5">
          <reference field="3" count="1" selected="0">
            <x v="0"/>
          </reference>
          <reference field="5" count="1" selected="0">
            <x v="1"/>
          </reference>
          <reference field="8" count="1">
            <x v="2"/>
          </reference>
          <reference field="15" count="1" selected="0">
            <x v="3"/>
          </reference>
          <reference field="16" count="1" selected="0">
            <x v="1"/>
          </reference>
        </references>
      </pivotArea>
    </format>
    <format dxfId="26077">
      <pivotArea dataOnly="0" labelOnly="1" outline="0" fieldPosition="0">
        <references count="5">
          <reference field="3" count="1" selected="0">
            <x v="0"/>
          </reference>
          <reference field="5" count="1" selected="0">
            <x v="2"/>
          </reference>
          <reference field="8" count="1">
            <x v="4"/>
          </reference>
          <reference field="15" count="1" selected="0">
            <x v="3"/>
          </reference>
          <reference field="16" count="1" selected="0">
            <x v="1"/>
          </reference>
        </references>
      </pivotArea>
    </format>
    <format dxfId="26078">
      <pivotArea dataOnly="0" labelOnly="1" outline="0" fieldPosition="0">
        <references count="5">
          <reference field="3" count="1" selected="0">
            <x v="1"/>
          </reference>
          <reference field="5" count="1" selected="0">
            <x v="0"/>
          </reference>
          <reference field="8" count="0"/>
          <reference field="15" count="1" selected="0">
            <x v="3"/>
          </reference>
          <reference field="16" count="1" selected="0">
            <x v="1"/>
          </reference>
        </references>
      </pivotArea>
    </format>
    <format dxfId="26079">
      <pivotArea dataOnly="0" labelOnly="1" outline="0" fieldPosition="0">
        <references count="5">
          <reference field="3" count="1" selected="0">
            <x v="1"/>
          </reference>
          <reference field="5" count="1" selected="0">
            <x v="1"/>
          </reference>
          <reference field="8" count="3">
            <x v="0"/>
            <x v="1"/>
            <x v="3"/>
          </reference>
          <reference field="15" count="1" selected="0">
            <x v="3"/>
          </reference>
          <reference field="16" count="1" selected="0">
            <x v="1"/>
          </reference>
        </references>
      </pivotArea>
    </format>
    <format dxfId="26080">
      <pivotArea dataOnly="0" labelOnly="1" outline="0" fieldPosition="0">
        <references count="5">
          <reference field="3" count="1" selected="0">
            <x v="1"/>
          </reference>
          <reference field="5" count="1" selected="0">
            <x v="2"/>
          </reference>
          <reference field="8" count="3">
            <x v="0"/>
            <x v="1"/>
            <x v="2"/>
          </reference>
          <reference field="15" count="1" selected="0">
            <x v="3"/>
          </reference>
          <reference field="16" count="1" selected="0">
            <x v="1"/>
          </reference>
        </references>
      </pivotArea>
    </format>
    <format dxfId="26081">
      <pivotArea dataOnly="0" labelOnly="1" outline="0" fieldPosition="0">
        <references count="5">
          <reference field="3" count="1" selected="0">
            <x v="2"/>
          </reference>
          <reference field="5" count="1" selected="0">
            <x v="0"/>
          </reference>
          <reference field="8" count="2">
            <x v="2"/>
            <x v="3"/>
          </reference>
          <reference field="15" count="1" selected="0">
            <x v="3"/>
          </reference>
          <reference field="16" count="1" selected="0">
            <x v="1"/>
          </reference>
        </references>
      </pivotArea>
    </format>
    <format dxfId="26082">
      <pivotArea dataOnly="0" labelOnly="1" outline="0" fieldPosition="0">
        <references count="5">
          <reference field="3" count="1" selected="0">
            <x v="2"/>
          </reference>
          <reference field="5" count="1" selected="0">
            <x v="1"/>
          </reference>
          <reference field="8" count="1">
            <x v="2"/>
          </reference>
          <reference field="15" count="1" selected="0">
            <x v="3"/>
          </reference>
          <reference field="16" count="1" selected="0">
            <x v="1"/>
          </reference>
        </references>
      </pivotArea>
    </format>
    <format dxfId="26083">
      <pivotArea dataOnly="0" labelOnly="1" outline="0" fieldPosition="0">
        <references count="5">
          <reference field="3" count="1" selected="0">
            <x v="2"/>
          </reference>
          <reference field="5" count="1" selected="0">
            <x v="2"/>
          </reference>
          <reference field="8" count="1">
            <x v="1"/>
          </reference>
          <reference field="15" count="1" selected="0">
            <x v="3"/>
          </reference>
          <reference field="16" count="1" selected="0">
            <x v="1"/>
          </reference>
        </references>
      </pivotArea>
    </format>
    <format dxfId="26084">
      <pivotArea dataOnly="0" labelOnly="1" outline="0" fieldPosition="0">
        <references count="5">
          <reference field="3" count="1" selected="0">
            <x v="3"/>
          </reference>
          <reference field="5" count="1" selected="0">
            <x v="1"/>
          </reference>
          <reference field="8" count="1">
            <x v="3"/>
          </reference>
          <reference field="15" count="1" selected="0">
            <x v="3"/>
          </reference>
          <reference field="16" count="1" selected="0">
            <x v="1"/>
          </reference>
        </references>
      </pivotArea>
    </format>
    <format dxfId="26085">
      <pivotArea dataOnly="0" labelOnly="1" outline="0" fieldPosition="0">
        <references count="5">
          <reference field="3" count="1" selected="0">
            <x v="4"/>
          </reference>
          <reference field="5" count="1" selected="0">
            <x v="0"/>
          </reference>
          <reference field="8" count="2">
            <x v="0"/>
            <x v="3"/>
          </reference>
          <reference field="15" count="1" selected="0">
            <x v="3"/>
          </reference>
          <reference field="16" count="1" selected="0">
            <x v="1"/>
          </reference>
        </references>
      </pivotArea>
    </format>
    <format dxfId="26086">
      <pivotArea dataOnly="0" labelOnly="1" outline="0" fieldPosition="0">
        <references count="5">
          <reference field="3" count="1" selected="0">
            <x v="4"/>
          </reference>
          <reference field="5" count="1" selected="0">
            <x v="1"/>
          </reference>
          <reference field="8" count="1">
            <x v="0"/>
          </reference>
          <reference field="15" count="1" selected="0">
            <x v="3"/>
          </reference>
          <reference field="16" count="1" selected="0">
            <x v="1"/>
          </reference>
        </references>
      </pivotArea>
    </format>
    <format dxfId="26087">
      <pivotArea dataOnly="0" labelOnly="1" outline="0" fieldPosition="0">
        <references count="5">
          <reference field="3" count="1" selected="0">
            <x v="0"/>
          </reference>
          <reference field="5" count="1" selected="0">
            <x v="2"/>
          </reference>
          <reference field="8" count="1">
            <x v="0"/>
          </reference>
          <reference field="15" count="1" selected="0">
            <x v="4"/>
          </reference>
          <reference field="16" count="1" selected="0">
            <x v="1"/>
          </reference>
        </references>
      </pivotArea>
    </format>
    <format dxfId="26088">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1"/>
          </reference>
        </references>
      </pivotArea>
    </format>
    <format dxfId="26089">
      <pivotArea dataOnly="0" labelOnly="1" outline="0" fieldPosition="0">
        <references count="5">
          <reference field="3" count="1" selected="0">
            <x v="1"/>
          </reference>
          <reference field="5" count="1" selected="0">
            <x v="1"/>
          </reference>
          <reference field="8" count="3">
            <x v="1"/>
            <x v="2"/>
            <x v="3"/>
          </reference>
          <reference field="15" count="1" selected="0">
            <x v="4"/>
          </reference>
          <reference field="16" count="1" selected="0">
            <x v="1"/>
          </reference>
        </references>
      </pivotArea>
    </format>
    <format dxfId="26090">
      <pivotArea dataOnly="0" labelOnly="1" outline="0" fieldPosition="0">
        <references count="5">
          <reference field="3" count="1" selected="0">
            <x v="1"/>
          </reference>
          <reference field="5" count="1" selected="0">
            <x v="2"/>
          </reference>
          <reference field="8" count="4">
            <x v="0"/>
            <x v="1"/>
            <x v="2"/>
            <x v="3"/>
          </reference>
          <reference field="15" count="1" selected="0">
            <x v="4"/>
          </reference>
          <reference field="16" count="1" selected="0">
            <x v="1"/>
          </reference>
        </references>
      </pivotArea>
    </format>
    <format dxfId="26091">
      <pivotArea dataOnly="0" labelOnly="1" outline="0" fieldPosition="0">
        <references count="5">
          <reference field="3" count="1" selected="0">
            <x v="2"/>
          </reference>
          <reference field="5" count="1" selected="0">
            <x v="0"/>
          </reference>
          <reference field="8" count="2">
            <x v="3"/>
            <x v="4"/>
          </reference>
          <reference field="15" count="1" selected="0">
            <x v="4"/>
          </reference>
          <reference field="16" count="1" selected="0">
            <x v="1"/>
          </reference>
        </references>
      </pivotArea>
    </format>
    <format dxfId="26092">
      <pivotArea dataOnly="0" labelOnly="1" outline="0" fieldPosition="0">
        <references count="5">
          <reference field="3" count="1" selected="0">
            <x v="2"/>
          </reference>
          <reference field="5" count="1" selected="0">
            <x v="1"/>
          </reference>
          <reference field="8" count="4">
            <x v="0"/>
            <x v="1"/>
            <x v="3"/>
            <x v="4"/>
          </reference>
          <reference field="15" count="1" selected="0">
            <x v="4"/>
          </reference>
          <reference field="16" count="1" selected="0">
            <x v="1"/>
          </reference>
        </references>
      </pivotArea>
    </format>
    <format dxfId="26093">
      <pivotArea dataOnly="0" labelOnly="1" outline="0" fieldPosition="0">
        <references count="5">
          <reference field="3" count="1" selected="0">
            <x v="2"/>
          </reference>
          <reference field="5" count="1" selected="0">
            <x v="2"/>
          </reference>
          <reference field="8" count="1">
            <x v="0"/>
          </reference>
          <reference field="15" count="1" selected="0">
            <x v="4"/>
          </reference>
          <reference field="16" count="1" selected="0">
            <x v="1"/>
          </reference>
        </references>
      </pivotArea>
    </format>
    <format dxfId="26094">
      <pivotArea dataOnly="0" labelOnly="1" outline="0" fieldPosition="0">
        <references count="5">
          <reference field="3" count="1" selected="0">
            <x v="3"/>
          </reference>
          <reference field="5" count="1" selected="0">
            <x v="0"/>
          </reference>
          <reference field="8" count="3">
            <x v="0"/>
            <x v="1"/>
            <x v="3"/>
          </reference>
          <reference field="15" count="1" selected="0">
            <x v="4"/>
          </reference>
          <reference field="16" count="1" selected="0">
            <x v="1"/>
          </reference>
        </references>
      </pivotArea>
    </format>
    <format dxfId="26095">
      <pivotArea dataOnly="0" labelOnly="1" outline="0" fieldPosition="0">
        <references count="5">
          <reference field="3" count="1" selected="0">
            <x v="3"/>
          </reference>
          <reference field="5" count="1" selected="0">
            <x v="1"/>
          </reference>
          <reference field="8" count="1">
            <x v="3"/>
          </reference>
          <reference field="15" count="1" selected="0">
            <x v="4"/>
          </reference>
          <reference field="16" count="1" selected="0">
            <x v="1"/>
          </reference>
        </references>
      </pivotArea>
    </format>
    <format dxfId="26096">
      <pivotArea dataOnly="0" labelOnly="1" outline="0" fieldPosition="0">
        <references count="5">
          <reference field="3" count="1" selected="0">
            <x v="3"/>
          </reference>
          <reference field="5" count="1" selected="0">
            <x v="2"/>
          </reference>
          <reference field="8" count="1">
            <x v="4"/>
          </reference>
          <reference field="15" count="1" selected="0">
            <x v="4"/>
          </reference>
          <reference field="16" count="1" selected="0">
            <x v="1"/>
          </reference>
        </references>
      </pivotArea>
    </format>
    <format dxfId="26097">
      <pivotArea dataOnly="0" labelOnly="1" outline="0" fieldPosition="0">
        <references count="5">
          <reference field="3" count="1" selected="0">
            <x v="4"/>
          </reference>
          <reference field="5" count="1" selected="0">
            <x v="0"/>
          </reference>
          <reference field="8" count="3">
            <x v="0"/>
            <x v="2"/>
            <x v="3"/>
          </reference>
          <reference field="15" count="1" selected="0">
            <x v="4"/>
          </reference>
          <reference field="16" count="1" selected="0">
            <x v="1"/>
          </reference>
        </references>
      </pivotArea>
    </format>
    <format dxfId="26098">
      <pivotArea dataOnly="0" labelOnly="1" outline="0" fieldPosition="0">
        <references count="5">
          <reference field="3" count="1" selected="0">
            <x v="4"/>
          </reference>
          <reference field="5" count="1" selected="0">
            <x v="1"/>
          </reference>
          <reference field="8" count="2">
            <x v="2"/>
            <x v="4"/>
          </reference>
          <reference field="15" count="1" selected="0">
            <x v="4"/>
          </reference>
          <reference field="16" count="1" selected="0">
            <x v="1"/>
          </reference>
        </references>
      </pivotArea>
    </format>
    <format dxfId="26099">
      <pivotArea dataOnly="0" labelOnly="1" outline="0" fieldPosition="0">
        <references count="5">
          <reference field="3" count="1" selected="0">
            <x v="4"/>
          </reference>
          <reference field="5" count="1" selected="0">
            <x v="2"/>
          </reference>
          <reference field="8" count="1">
            <x v="1"/>
          </reference>
          <reference field="15" count="1" selected="0">
            <x v="4"/>
          </reference>
          <reference field="16" count="1" selected="0">
            <x v="1"/>
          </reference>
        </references>
      </pivotArea>
    </format>
    <format dxfId="26100">
      <pivotArea dataOnly="0" labelOnly="1" outline="0" fieldPosition="0">
        <references count="5">
          <reference field="3" count="1" selected="0">
            <x v="0"/>
          </reference>
          <reference field="5" count="1" selected="0">
            <x v="0"/>
          </reference>
          <reference field="8" count="1">
            <x v="3"/>
          </reference>
          <reference field="15" count="1" selected="0">
            <x v="5"/>
          </reference>
          <reference field="16" count="1" selected="0">
            <x v="1"/>
          </reference>
        </references>
      </pivotArea>
    </format>
    <format dxfId="26101">
      <pivotArea dataOnly="0" labelOnly="1" outline="0" fieldPosition="0">
        <references count="5">
          <reference field="3" count="1" selected="0">
            <x v="0"/>
          </reference>
          <reference field="5" count="1" selected="0">
            <x v="2"/>
          </reference>
          <reference field="8" count="1">
            <x v="2"/>
          </reference>
          <reference field="15" count="1" selected="0">
            <x v="5"/>
          </reference>
          <reference field="16" count="1" selected="0">
            <x v="1"/>
          </reference>
        </references>
      </pivotArea>
    </format>
    <format dxfId="26102">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1"/>
          </reference>
        </references>
      </pivotArea>
    </format>
    <format dxfId="26103">
      <pivotArea dataOnly="0" labelOnly="1" outline="0" fieldPosition="0">
        <references count="5">
          <reference field="3" count="1" selected="0">
            <x v="1"/>
          </reference>
          <reference field="5" count="1" selected="0">
            <x v="1"/>
          </reference>
          <reference field="8" count="0"/>
          <reference field="15" count="1" selected="0">
            <x v="5"/>
          </reference>
          <reference field="16" count="1" selected="0">
            <x v="1"/>
          </reference>
        </references>
      </pivotArea>
    </format>
    <format dxfId="26104">
      <pivotArea dataOnly="0" labelOnly="1" outline="0" fieldPosition="0">
        <references count="5">
          <reference field="3" count="1" selected="0">
            <x v="1"/>
          </reference>
          <reference field="5" count="1" selected="0">
            <x v="2"/>
          </reference>
          <reference field="8" count="3">
            <x v="1"/>
            <x v="2"/>
            <x v="3"/>
          </reference>
          <reference field="15" count="1" selected="0">
            <x v="5"/>
          </reference>
          <reference field="16" count="1" selected="0">
            <x v="1"/>
          </reference>
        </references>
      </pivotArea>
    </format>
    <format dxfId="26105">
      <pivotArea dataOnly="0" labelOnly="1" outline="0" fieldPosition="0">
        <references count="5">
          <reference field="3" count="1" selected="0">
            <x v="1"/>
          </reference>
          <reference field="5" count="1" selected="0">
            <x v="3"/>
          </reference>
          <reference field="8" count="1">
            <x v="2"/>
          </reference>
          <reference field="15" count="1" selected="0">
            <x v="5"/>
          </reference>
          <reference field="16" count="1" selected="0">
            <x v="1"/>
          </reference>
        </references>
      </pivotArea>
    </format>
    <format dxfId="26106">
      <pivotArea dataOnly="0" labelOnly="1" outline="0" fieldPosition="0">
        <references count="5">
          <reference field="3" count="1" selected="0">
            <x v="2"/>
          </reference>
          <reference field="5" count="1" selected="0">
            <x v="0"/>
          </reference>
          <reference field="8" count="3">
            <x v="1"/>
            <x v="2"/>
            <x v="3"/>
          </reference>
          <reference field="15" count="1" selected="0">
            <x v="5"/>
          </reference>
          <reference field="16" count="1" selected="0">
            <x v="1"/>
          </reference>
        </references>
      </pivotArea>
    </format>
    <format dxfId="26107">
      <pivotArea dataOnly="0" labelOnly="1" outline="0" fieldPosition="0">
        <references count="5">
          <reference field="3" count="1" selected="0">
            <x v="2"/>
          </reference>
          <reference field="5" count="1" selected="0">
            <x v="1"/>
          </reference>
          <reference field="8" count="1">
            <x v="1"/>
          </reference>
          <reference field="15" count="1" selected="0">
            <x v="5"/>
          </reference>
          <reference field="16" count="1" selected="0">
            <x v="1"/>
          </reference>
        </references>
      </pivotArea>
    </format>
    <format dxfId="26108">
      <pivotArea dataOnly="0" labelOnly="1" outline="0" fieldPosition="0">
        <references count="5">
          <reference field="3" count="1" selected="0">
            <x v="2"/>
          </reference>
          <reference field="5" count="1" selected="0">
            <x v="2"/>
          </reference>
          <reference field="8" count="1">
            <x v="1"/>
          </reference>
          <reference field="15" count="1" selected="0">
            <x v="5"/>
          </reference>
          <reference field="16" count="1" selected="0">
            <x v="1"/>
          </reference>
        </references>
      </pivotArea>
    </format>
    <format dxfId="26109">
      <pivotArea dataOnly="0" labelOnly="1" outline="0" fieldPosition="0">
        <references count="5">
          <reference field="3" count="1" selected="0">
            <x v="3"/>
          </reference>
          <reference field="5" count="1" selected="0">
            <x v="0"/>
          </reference>
          <reference field="8" count="1">
            <x v="4"/>
          </reference>
          <reference field="15" count="1" selected="0">
            <x v="5"/>
          </reference>
          <reference field="16" count="1" selected="0">
            <x v="1"/>
          </reference>
        </references>
      </pivotArea>
    </format>
    <format dxfId="26110">
      <pivotArea dataOnly="0" labelOnly="1" outline="0" fieldPosition="0">
        <references count="5">
          <reference field="3" count="1" selected="0">
            <x v="3"/>
          </reference>
          <reference field="5" count="1" selected="0">
            <x v="2"/>
          </reference>
          <reference field="8" count="1">
            <x v="4"/>
          </reference>
          <reference field="15" count="1" selected="0">
            <x v="5"/>
          </reference>
          <reference field="16" count="1" selected="0">
            <x v="1"/>
          </reference>
        </references>
      </pivotArea>
    </format>
    <format dxfId="26111">
      <pivotArea dataOnly="0" labelOnly="1" outline="0" fieldPosition="0">
        <references count="5">
          <reference field="3" count="1" selected="0">
            <x v="4"/>
          </reference>
          <reference field="5" count="1" selected="0">
            <x v="0"/>
          </reference>
          <reference field="8" count="4">
            <x v="0"/>
            <x v="2"/>
            <x v="3"/>
            <x v="4"/>
          </reference>
          <reference field="15" count="1" selected="0">
            <x v="5"/>
          </reference>
          <reference field="16" count="1" selected="0">
            <x v="1"/>
          </reference>
        </references>
      </pivotArea>
    </format>
    <format dxfId="26112">
      <pivotArea dataOnly="0" labelOnly="1" outline="0" fieldPosition="0">
        <references count="5">
          <reference field="3" count="1" selected="0">
            <x v="4"/>
          </reference>
          <reference field="5" count="1" selected="0">
            <x v="1"/>
          </reference>
          <reference field="8" count="2">
            <x v="2"/>
            <x v="3"/>
          </reference>
          <reference field="15" count="1" selected="0">
            <x v="5"/>
          </reference>
          <reference field="16" count="1" selected="0">
            <x v="1"/>
          </reference>
        </references>
      </pivotArea>
    </format>
    <format dxfId="26113">
      <pivotArea dataOnly="0" labelOnly="1" outline="0" fieldPosition="0">
        <references count="5">
          <reference field="3" count="1" selected="0">
            <x v="0"/>
          </reference>
          <reference field="5" count="1" selected="0">
            <x v="0"/>
          </reference>
          <reference field="8" count="3">
            <x v="0"/>
            <x v="2"/>
            <x v="4"/>
          </reference>
          <reference field="15" count="1" selected="0">
            <x v="6"/>
          </reference>
          <reference field="16" count="1" selected="0">
            <x v="1"/>
          </reference>
        </references>
      </pivotArea>
    </format>
    <format dxfId="26114">
      <pivotArea dataOnly="0" labelOnly="1" outline="0" fieldPosition="0">
        <references count="5">
          <reference field="3" count="1" selected="0">
            <x v="0"/>
          </reference>
          <reference field="5" count="1" selected="0">
            <x v="1"/>
          </reference>
          <reference field="8" count="1">
            <x v="3"/>
          </reference>
          <reference field="15" count="1" selected="0">
            <x v="6"/>
          </reference>
          <reference field="16" count="1" selected="0">
            <x v="1"/>
          </reference>
        </references>
      </pivotArea>
    </format>
    <format dxfId="26115">
      <pivotArea dataOnly="0" labelOnly="1" outline="0" fieldPosition="0">
        <references count="5">
          <reference field="3" count="1" selected="0">
            <x v="0"/>
          </reference>
          <reference field="5" count="1" selected="0">
            <x v="2"/>
          </reference>
          <reference field="8" count="1">
            <x v="4"/>
          </reference>
          <reference field="15" count="1" selected="0">
            <x v="6"/>
          </reference>
          <reference field="16" count="1" selected="0">
            <x v="1"/>
          </reference>
        </references>
      </pivotArea>
    </format>
    <format dxfId="26116">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1"/>
          </reference>
        </references>
      </pivotArea>
    </format>
    <format dxfId="26117">
      <pivotArea dataOnly="0" labelOnly="1" outline="0" fieldPosition="0">
        <references count="5">
          <reference field="3" count="1" selected="0">
            <x v="1"/>
          </reference>
          <reference field="5" count="1" selected="0">
            <x v="1"/>
          </reference>
          <reference field="8" count="1">
            <x v="4"/>
          </reference>
          <reference field="15" count="1" selected="0">
            <x v="6"/>
          </reference>
          <reference field="16" count="1" selected="0">
            <x v="1"/>
          </reference>
        </references>
      </pivotArea>
    </format>
    <format dxfId="26118">
      <pivotArea dataOnly="0" labelOnly="1" outline="0" fieldPosition="0">
        <references count="5">
          <reference field="3" count="1" selected="0">
            <x v="1"/>
          </reference>
          <reference field="5" count="1" selected="0">
            <x v="2"/>
          </reference>
          <reference field="8" count="2">
            <x v="1"/>
            <x v="2"/>
          </reference>
          <reference field="15" count="1" selected="0">
            <x v="6"/>
          </reference>
          <reference field="16" count="1" selected="0">
            <x v="1"/>
          </reference>
        </references>
      </pivotArea>
    </format>
    <format dxfId="26119">
      <pivotArea dataOnly="0" labelOnly="1" outline="0" fieldPosition="0">
        <references count="5">
          <reference field="3" count="1" selected="0">
            <x v="1"/>
          </reference>
          <reference field="5" count="1" selected="0">
            <x v="3"/>
          </reference>
          <reference field="8" count="1">
            <x v="0"/>
          </reference>
          <reference field="15" count="1" selected="0">
            <x v="6"/>
          </reference>
          <reference field="16" count="1" selected="0">
            <x v="1"/>
          </reference>
        </references>
      </pivotArea>
    </format>
    <format dxfId="26120">
      <pivotArea dataOnly="0" labelOnly="1" outline="0" fieldPosition="0">
        <references count="5">
          <reference field="3" count="1" selected="0">
            <x v="2"/>
          </reference>
          <reference field="5" count="1" selected="0">
            <x v="0"/>
          </reference>
          <reference field="8" count="2">
            <x v="1"/>
            <x v="4"/>
          </reference>
          <reference field="15" count="1" selected="0">
            <x v="6"/>
          </reference>
          <reference field="16" count="1" selected="0">
            <x v="1"/>
          </reference>
        </references>
      </pivotArea>
    </format>
    <format dxfId="26121">
      <pivotArea dataOnly="0" labelOnly="1" outline="0" fieldPosition="0">
        <references count="5">
          <reference field="3" count="1" selected="0">
            <x v="2"/>
          </reference>
          <reference field="5" count="1" selected="0">
            <x v="1"/>
          </reference>
          <reference field="8" count="1">
            <x v="1"/>
          </reference>
          <reference field="15" count="1" selected="0">
            <x v="6"/>
          </reference>
          <reference field="16" count="1" selected="0">
            <x v="1"/>
          </reference>
        </references>
      </pivotArea>
    </format>
    <format dxfId="26122">
      <pivotArea dataOnly="0" labelOnly="1" outline="0" fieldPosition="0">
        <references count="5">
          <reference field="3" count="1" selected="0">
            <x v="2"/>
          </reference>
          <reference field="5" count="1" selected="0">
            <x v="3"/>
          </reference>
          <reference field="8" count="1">
            <x v="0"/>
          </reference>
          <reference field="15" count="1" selected="0">
            <x v="6"/>
          </reference>
          <reference field="16" count="1" selected="0">
            <x v="1"/>
          </reference>
        </references>
      </pivotArea>
    </format>
    <format dxfId="26123">
      <pivotArea dataOnly="0" labelOnly="1" outline="0" fieldPosition="0">
        <references count="5">
          <reference field="3" count="1" selected="0">
            <x v="3"/>
          </reference>
          <reference field="5" count="1" selected="0">
            <x v="0"/>
          </reference>
          <reference field="8" count="1">
            <x v="3"/>
          </reference>
          <reference field="15" count="1" selected="0">
            <x v="6"/>
          </reference>
          <reference field="16" count="1" selected="0">
            <x v="1"/>
          </reference>
        </references>
      </pivotArea>
    </format>
    <format dxfId="26124">
      <pivotArea dataOnly="0" labelOnly="1" outline="0" fieldPosition="0">
        <references count="5">
          <reference field="3" count="1" selected="0">
            <x v="3"/>
          </reference>
          <reference field="5" count="1" selected="0">
            <x v="1"/>
          </reference>
          <reference field="8" count="1">
            <x v="3"/>
          </reference>
          <reference field="15" count="1" selected="0">
            <x v="6"/>
          </reference>
          <reference field="16" count="1" selected="0">
            <x v="1"/>
          </reference>
        </references>
      </pivotArea>
    </format>
    <format dxfId="26125">
      <pivotArea dataOnly="0" labelOnly="1" outline="0" fieldPosition="0">
        <references count="5">
          <reference field="3" count="1" selected="0">
            <x v="3"/>
          </reference>
          <reference field="5" count="1" selected="0">
            <x v="2"/>
          </reference>
          <reference field="8" count="1">
            <x v="0"/>
          </reference>
          <reference field="15" count="1" selected="0">
            <x v="6"/>
          </reference>
          <reference field="16" count="1" selected="0">
            <x v="1"/>
          </reference>
        </references>
      </pivotArea>
    </format>
    <format dxfId="26126">
      <pivotArea dataOnly="0" labelOnly="1" outline="0" fieldPosition="0">
        <references count="5">
          <reference field="3" count="1" selected="0">
            <x v="4"/>
          </reference>
          <reference field="5" count="1" selected="0">
            <x v="0"/>
          </reference>
          <reference field="8" count="3">
            <x v="0"/>
            <x v="1"/>
            <x v="4"/>
          </reference>
          <reference field="15" count="1" selected="0">
            <x v="6"/>
          </reference>
          <reference field="16" count="1" selected="0">
            <x v="1"/>
          </reference>
        </references>
      </pivotArea>
    </format>
    <format dxfId="26127">
      <pivotArea dataOnly="0" labelOnly="1" outline="0" fieldPosition="0">
        <references count="5">
          <reference field="3" count="1" selected="0">
            <x v="4"/>
          </reference>
          <reference field="5" count="1" selected="0">
            <x v="1"/>
          </reference>
          <reference field="8" count="1">
            <x v="4"/>
          </reference>
          <reference field="15" count="1" selected="0">
            <x v="6"/>
          </reference>
          <reference field="16" count="1" selected="0">
            <x v="1"/>
          </reference>
        </references>
      </pivotArea>
    </format>
    <format dxfId="26128">
      <pivotArea dataOnly="0" labelOnly="1" outline="0" fieldPosition="0">
        <references count="5">
          <reference field="3" count="1" selected="0">
            <x v="0"/>
          </reference>
          <reference field="5" count="1" selected="0">
            <x v="0"/>
          </reference>
          <reference field="8" count="2">
            <x v="2"/>
            <x v="3"/>
          </reference>
          <reference field="15" count="1" selected="0">
            <x v="7"/>
          </reference>
          <reference field="16" count="1" selected="0">
            <x v="1"/>
          </reference>
        </references>
      </pivotArea>
    </format>
    <format dxfId="26129">
      <pivotArea dataOnly="0" labelOnly="1" outline="0" fieldPosition="0">
        <references count="5">
          <reference field="3" count="1" selected="0">
            <x v="0"/>
          </reference>
          <reference field="5" count="1" selected="0">
            <x v="1"/>
          </reference>
          <reference field="8" count="2">
            <x v="2"/>
            <x v="4"/>
          </reference>
          <reference field="15" count="1" selected="0">
            <x v="7"/>
          </reference>
          <reference field="16" count="1" selected="0">
            <x v="1"/>
          </reference>
        </references>
      </pivotArea>
    </format>
    <format dxfId="26130">
      <pivotArea dataOnly="0" labelOnly="1" outline="0" fieldPosition="0">
        <references count="5">
          <reference field="3" count="1" selected="0">
            <x v="0"/>
          </reference>
          <reference field="5" count="1" selected="0">
            <x v="2"/>
          </reference>
          <reference field="8" count="1">
            <x v="4"/>
          </reference>
          <reference field="15" count="1" selected="0">
            <x v="7"/>
          </reference>
          <reference field="16" count="1" selected="0">
            <x v="1"/>
          </reference>
        </references>
      </pivotArea>
    </format>
    <format dxfId="26131">
      <pivotArea dataOnly="0" labelOnly="1" outline="0" fieldPosition="0">
        <references count="5">
          <reference field="3" count="1" selected="0">
            <x v="1"/>
          </reference>
          <reference field="5" count="1" selected="0">
            <x v="0"/>
          </reference>
          <reference field="8" count="4">
            <x v="0"/>
            <x v="1"/>
            <x v="2"/>
            <x v="3"/>
          </reference>
          <reference field="15" count="1" selected="0">
            <x v="7"/>
          </reference>
          <reference field="16" count="1" selected="0">
            <x v="1"/>
          </reference>
        </references>
      </pivotArea>
    </format>
    <format dxfId="26132">
      <pivotArea dataOnly="0" labelOnly="1" outline="0" fieldPosition="0">
        <references count="5">
          <reference field="3" count="1" selected="0">
            <x v="1"/>
          </reference>
          <reference field="5" count="1" selected="0">
            <x v="1"/>
          </reference>
          <reference field="8" count="3">
            <x v="0"/>
            <x v="1"/>
            <x v="2"/>
          </reference>
          <reference field="15" count="1" selected="0">
            <x v="7"/>
          </reference>
          <reference field="16" count="1" selected="0">
            <x v="1"/>
          </reference>
        </references>
      </pivotArea>
    </format>
    <format dxfId="26133">
      <pivotArea dataOnly="0" labelOnly="1" outline="0" fieldPosition="0">
        <references count="5">
          <reference field="3" count="1" selected="0">
            <x v="1"/>
          </reference>
          <reference field="5" count="1" selected="0">
            <x v="2"/>
          </reference>
          <reference field="8" count="1">
            <x v="1"/>
          </reference>
          <reference field="15" count="1" selected="0">
            <x v="7"/>
          </reference>
          <reference field="16" count="1" selected="0">
            <x v="1"/>
          </reference>
        </references>
      </pivotArea>
    </format>
    <format dxfId="26134">
      <pivotArea dataOnly="0" labelOnly="1" outline="0" fieldPosition="0">
        <references count="5">
          <reference field="3" count="1" selected="0">
            <x v="1"/>
          </reference>
          <reference field="5" count="1" selected="0">
            <x v="3"/>
          </reference>
          <reference field="8" count="3">
            <x v="1"/>
            <x v="2"/>
            <x v="4"/>
          </reference>
          <reference field="15" count="1" selected="0">
            <x v="7"/>
          </reference>
          <reference field="16" count="1" selected="0">
            <x v="1"/>
          </reference>
        </references>
      </pivotArea>
    </format>
    <format dxfId="26135">
      <pivotArea dataOnly="0" labelOnly="1" outline="0" fieldPosition="0">
        <references count="5">
          <reference field="3" count="1" selected="0">
            <x v="2"/>
          </reference>
          <reference field="5" count="1" selected="0">
            <x v="0"/>
          </reference>
          <reference field="8" count="3">
            <x v="1"/>
            <x v="2"/>
            <x v="4"/>
          </reference>
          <reference field="15" count="1" selected="0">
            <x v="7"/>
          </reference>
          <reference field="16" count="1" selected="0">
            <x v="1"/>
          </reference>
        </references>
      </pivotArea>
    </format>
    <format dxfId="26136">
      <pivotArea dataOnly="0" labelOnly="1" outline="0" fieldPosition="0">
        <references count="5">
          <reference field="3" count="1" selected="0">
            <x v="2"/>
          </reference>
          <reference field="5" count="1" selected="0">
            <x v="1"/>
          </reference>
          <reference field="8" count="1">
            <x v="1"/>
          </reference>
          <reference field="15" count="1" selected="0">
            <x v="7"/>
          </reference>
          <reference field="16" count="1" selected="0">
            <x v="1"/>
          </reference>
        </references>
      </pivotArea>
    </format>
    <format dxfId="26137">
      <pivotArea dataOnly="0" labelOnly="1" outline="0" fieldPosition="0">
        <references count="5">
          <reference field="3" count="1" selected="0">
            <x v="2"/>
          </reference>
          <reference field="5" count="1" selected="0">
            <x v="2"/>
          </reference>
          <reference field="8" count="1">
            <x v="4"/>
          </reference>
          <reference field="15" count="1" selected="0">
            <x v="7"/>
          </reference>
          <reference field="16" count="1" selected="0">
            <x v="1"/>
          </reference>
        </references>
      </pivotArea>
    </format>
    <format dxfId="26138">
      <pivotArea dataOnly="0" labelOnly="1" outline="0" fieldPosition="0">
        <references count="5">
          <reference field="3" count="1" selected="0">
            <x v="3"/>
          </reference>
          <reference field="5" count="1" selected="0">
            <x v="0"/>
          </reference>
          <reference field="8" count="1">
            <x v="3"/>
          </reference>
          <reference field="15" count="1" selected="0">
            <x v="7"/>
          </reference>
          <reference field="16" count="1" selected="0">
            <x v="1"/>
          </reference>
        </references>
      </pivotArea>
    </format>
    <format dxfId="26139">
      <pivotArea dataOnly="0" labelOnly="1" outline="0" fieldPosition="0">
        <references count="5">
          <reference field="3" count="1" selected="0">
            <x v="3"/>
          </reference>
          <reference field="5" count="1" selected="0">
            <x v="2"/>
          </reference>
          <reference field="8" count="1">
            <x v="0"/>
          </reference>
          <reference field="15" count="1" selected="0">
            <x v="7"/>
          </reference>
          <reference field="16" count="1" selected="0">
            <x v="1"/>
          </reference>
        </references>
      </pivotArea>
    </format>
    <format dxfId="26140">
      <pivotArea dataOnly="0" labelOnly="1" outline="0" fieldPosition="0">
        <references count="5">
          <reference field="3" count="1" selected="0">
            <x v="4"/>
          </reference>
          <reference field="5" count="1" selected="0">
            <x v="0"/>
          </reference>
          <reference field="8" count="0"/>
          <reference field="15" count="1" selected="0">
            <x v="7"/>
          </reference>
          <reference field="16" count="1" selected="0">
            <x v="1"/>
          </reference>
        </references>
      </pivotArea>
    </format>
    <format dxfId="26141">
      <pivotArea dataOnly="0" labelOnly="1" outline="0" fieldPosition="0">
        <references count="5">
          <reference field="3" count="1" selected="0">
            <x v="4"/>
          </reference>
          <reference field="5" count="1" selected="0">
            <x v="2"/>
          </reference>
          <reference field="8" count="1">
            <x v="0"/>
          </reference>
          <reference field="15" count="1" selected="0">
            <x v="7"/>
          </reference>
          <reference field="16" count="1" selected="0">
            <x v="1"/>
          </reference>
        </references>
      </pivotArea>
    </format>
    <format dxfId="26142">
      <pivotArea dataOnly="0" labelOnly="1" outline="0" fieldPosition="0">
        <references count="5">
          <reference field="3" count="1" selected="0">
            <x v="0"/>
          </reference>
          <reference field="5" count="1" selected="0">
            <x v="0"/>
          </reference>
          <reference field="8" count="3">
            <x v="0"/>
            <x v="2"/>
            <x v="4"/>
          </reference>
          <reference field="15" count="1" selected="0">
            <x v="8"/>
          </reference>
          <reference field="16" count="1" selected="0">
            <x v="1"/>
          </reference>
        </references>
      </pivotArea>
    </format>
    <format dxfId="26143">
      <pivotArea dataOnly="0" labelOnly="1" outline="0" fieldPosition="0">
        <references count="5">
          <reference field="3" count="1" selected="0">
            <x v="1"/>
          </reference>
          <reference field="5" count="1" selected="0">
            <x v="0"/>
          </reference>
          <reference field="8" count="0"/>
          <reference field="15" count="1" selected="0">
            <x v="8"/>
          </reference>
          <reference field="16" count="1" selected="0">
            <x v="1"/>
          </reference>
        </references>
      </pivotArea>
    </format>
    <format dxfId="26144">
      <pivotArea dataOnly="0" labelOnly="1" outline="0" fieldPosition="0">
        <references count="5">
          <reference field="3" count="1" selected="0">
            <x v="1"/>
          </reference>
          <reference field="5" count="1" selected="0">
            <x v="1"/>
          </reference>
          <reference field="8" count="2">
            <x v="0"/>
            <x v="2"/>
          </reference>
          <reference field="15" count="1" selected="0">
            <x v="8"/>
          </reference>
          <reference field="16" count="1" selected="0">
            <x v="1"/>
          </reference>
        </references>
      </pivotArea>
    </format>
    <format dxfId="26145">
      <pivotArea dataOnly="0" labelOnly="1" outline="0" fieldPosition="0">
        <references count="5">
          <reference field="3" count="1" selected="0">
            <x v="1"/>
          </reference>
          <reference field="5" count="1" selected="0">
            <x v="2"/>
          </reference>
          <reference field="8" count="1">
            <x v="2"/>
          </reference>
          <reference field="15" count="1" selected="0">
            <x v="8"/>
          </reference>
          <reference field="16" count="1" selected="0">
            <x v="1"/>
          </reference>
        </references>
      </pivotArea>
    </format>
    <format dxfId="26146">
      <pivotArea dataOnly="0" labelOnly="1" outline="0" fieldPosition="0">
        <references count="5">
          <reference field="3" count="1" selected="0">
            <x v="2"/>
          </reference>
          <reference field="5" count="1" selected="0">
            <x v="0"/>
          </reference>
          <reference field="8" count="4">
            <x v="1"/>
            <x v="2"/>
            <x v="3"/>
            <x v="4"/>
          </reference>
          <reference field="15" count="1" selected="0">
            <x v="8"/>
          </reference>
          <reference field="16" count="1" selected="0">
            <x v="1"/>
          </reference>
        </references>
      </pivotArea>
    </format>
    <format dxfId="26147">
      <pivotArea dataOnly="0" labelOnly="1" outline="0" fieldPosition="0">
        <references count="5">
          <reference field="3" count="1" selected="0">
            <x v="2"/>
          </reference>
          <reference field="5" count="1" selected="0">
            <x v="1"/>
          </reference>
          <reference field="8" count="2">
            <x v="1"/>
            <x v="2"/>
          </reference>
          <reference field="15" count="1" selected="0">
            <x v="8"/>
          </reference>
          <reference field="16" count="1" selected="0">
            <x v="1"/>
          </reference>
        </references>
      </pivotArea>
    </format>
    <format dxfId="26148">
      <pivotArea dataOnly="0" labelOnly="1" outline="0" fieldPosition="0">
        <references count="5">
          <reference field="3" count="1" selected="0">
            <x v="2"/>
          </reference>
          <reference field="5" count="1" selected="0">
            <x v="2"/>
          </reference>
          <reference field="8" count="2">
            <x v="1"/>
            <x v="2"/>
          </reference>
          <reference field="15" count="1" selected="0">
            <x v="8"/>
          </reference>
          <reference field="16" count="1" selected="0">
            <x v="1"/>
          </reference>
        </references>
      </pivotArea>
    </format>
    <format dxfId="26149">
      <pivotArea dataOnly="0" labelOnly="1" outline="0" fieldPosition="0">
        <references count="5">
          <reference field="3" count="1" selected="0">
            <x v="3"/>
          </reference>
          <reference field="5" count="1" selected="0">
            <x v="0"/>
          </reference>
          <reference field="8" count="4">
            <x v="0"/>
            <x v="1"/>
            <x v="2"/>
            <x v="3"/>
          </reference>
          <reference field="15" count="1" selected="0">
            <x v="8"/>
          </reference>
          <reference field="16" count="1" selected="0">
            <x v="1"/>
          </reference>
        </references>
      </pivotArea>
    </format>
    <format dxfId="26150">
      <pivotArea dataOnly="0" labelOnly="1" outline="0" fieldPosition="0">
        <references count="5">
          <reference field="3" count="1" selected="0">
            <x v="3"/>
          </reference>
          <reference field="5" count="1" selected="0">
            <x v="2"/>
          </reference>
          <reference field="8" count="1">
            <x v="4"/>
          </reference>
          <reference field="15" count="1" selected="0">
            <x v="8"/>
          </reference>
          <reference field="16" count="1" selected="0">
            <x v="1"/>
          </reference>
        </references>
      </pivotArea>
    </format>
    <format dxfId="26151">
      <pivotArea dataOnly="0" labelOnly="1" outline="0" fieldPosition="0">
        <references count="5">
          <reference field="3" count="1" selected="0">
            <x v="4"/>
          </reference>
          <reference field="5" count="1" selected="0">
            <x v="0"/>
          </reference>
          <reference field="8" count="3">
            <x v="2"/>
            <x v="3"/>
            <x v="4"/>
          </reference>
          <reference field="15" count="1" selected="0">
            <x v="8"/>
          </reference>
          <reference field="16" count="1" selected="0">
            <x v="1"/>
          </reference>
        </references>
      </pivotArea>
    </format>
    <format dxfId="26152">
      <pivotArea dataOnly="0" labelOnly="1" outline="0" fieldPosition="0">
        <references count="5">
          <reference field="3" count="1" selected="0">
            <x v="4"/>
          </reference>
          <reference field="5" count="1" selected="0">
            <x v="1"/>
          </reference>
          <reference field="8" count="2">
            <x v="1"/>
            <x v="3"/>
          </reference>
          <reference field="15" count="1" selected="0">
            <x v="8"/>
          </reference>
          <reference field="16" count="1" selected="0">
            <x v="1"/>
          </reference>
        </references>
      </pivotArea>
    </format>
    <format dxfId="26153">
      <pivotArea dataOnly="0" labelOnly="1" outline="0" fieldPosition="0">
        <references count="5">
          <reference field="3" count="1" selected="0">
            <x v="4"/>
          </reference>
          <reference field="5" count="1" selected="0">
            <x v="2"/>
          </reference>
          <reference field="8" count="1">
            <x v="1"/>
          </reference>
          <reference field="15" count="1" selected="0">
            <x v="8"/>
          </reference>
          <reference field="16" count="1" selected="0">
            <x v="1"/>
          </reference>
        </references>
      </pivotArea>
    </format>
    <format dxfId="26154">
      <pivotArea dataOnly="0" labelOnly="1" outline="0" fieldPosition="0">
        <references count="5">
          <reference field="3" count="1" selected="0">
            <x v="4"/>
          </reference>
          <reference field="5" count="1" selected="0">
            <x v="3"/>
          </reference>
          <reference field="8" count="1">
            <x v="1"/>
          </reference>
          <reference field="15" count="1" selected="0">
            <x v="8"/>
          </reference>
          <reference field="16" count="1" selected="0">
            <x v="1"/>
          </reference>
        </references>
      </pivotArea>
    </format>
    <format dxfId="26155">
      <pivotArea dataOnly="0" labelOnly="1" outline="0" fieldPosition="0">
        <references count="5">
          <reference field="3" count="1" selected="0">
            <x v="0"/>
          </reference>
          <reference field="5" count="1" selected="0">
            <x v="1"/>
          </reference>
          <reference field="8" count="1">
            <x v="4"/>
          </reference>
          <reference field="15" count="1" selected="0">
            <x v="9"/>
          </reference>
          <reference field="16" count="1" selected="0">
            <x v="1"/>
          </reference>
        </references>
      </pivotArea>
    </format>
    <format dxfId="26156">
      <pivotArea dataOnly="0" labelOnly="1" outline="0" fieldPosition="0">
        <references count="5">
          <reference field="3" count="1" selected="0">
            <x v="1"/>
          </reference>
          <reference field="5" count="1" selected="0">
            <x v="0"/>
          </reference>
          <reference field="8" count="3">
            <x v="0"/>
            <x v="1"/>
            <x v="2"/>
          </reference>
          <reference field="15" count="1" selected="0">
            <x v="9"/>
          </reference>
          <reference field="16" count="1" selected="0">
            <x v="1"/>
          </reference>
        </references>
      </pivotArea>
    </format>
    <format dxfId="26157">
      <pivotArea dataOnly="0" labelOnly="1" outline="0" fieldPosition="0">
        <references count="5">
          <reference field="3" count="1" selected="0">
            <x v="1"/>
          </reference>
          <reference field="5" count="1" selected="0">
            <x v="1"/>
          </reference>
          <reference field="8" count="3">
            <x v="0"/>
            <x v="1"/>
            <x v="2"/>
          </reference>
          <reference field="15" count="1" selected="0">
            <x v="9"/>
          </reference>
          <reference field="16" count="1" selected="0">
            <x v="1"/>
          </reference>
        </references>
      </pivotArea>
    </format>
    <format dxfId="26158">
      <pivotArea dataOnly="0" labelOnly="1" outline="0" fieldPosition="0">
        <references count="5">
          <reference field="3" count="1" selected="0">
            <x v="1"/>
          </reference>
          <reference field="5" count="1" selected="0">
            <x v="2"/>
          </reference>
          <reference field="8" count="2">
            <x v="2"/>
            <x v="3"/>
          </reference>
          <reference field="15" count="1" selected="0">
            <x v="9"/>
          </reference>
          <reference field="16" count="1" selected="0">
            <x v="1"/>
          </reference>
        </references>
      </pivotArea>
    </format>
    <format dxfId="26159">
      <pivotArea dataOnly="0" labelOnly="1" outline="0" fieldPosition="0">
        <references count="5">
          <reference field="3" count="1" selected="0">
            <x v="2"/>
          </reference>
          <reference field="5" count="1" selected="0">
            <x v="0"/>
          </reference>
          <reference field="8" count="4">
            <x v="1"/>
            <x v="2"/>
            <x v="3"/>
            <x v="4"/>
          </reference>
          <reference field="15" count="1" selected="0">
            <x v="9"/>
          </reference>
          <reference field="16" count="1" selected="0">
            <x v="1"/>
          </reference>
        </references>
      </pivotArea>
    </format>
    <format dxfId="26160">
      <pivotArea dataOnly="0" labelOnly="1" outline="0" fieldPosition="0">
        <references count="5">
          <reference field="3" count="1" selected="0">
            <x v="2"/>
          </reference>
          <reference field="5" count="1" selected="0">
            <x v="1"/>
          </reference>
          <reference field="8" count="4">
            <x v="0"/>
            <x v="2"/>
            <x v="3"/>
            <x v="4"/>
          </reference>
          <reference field="15" count="1" selected="0">
            <x v="9"/>
          </reference>
          <reference field="16" count="1" selected="0">
            <x v="1"/>
          </reference>
        </references>
      </pivotArea>
    </format>
    <format dxfId="26161">
      <pivotArea dataOnly="0" labelOnly="1" outline="0" fieldPosition="0">
        <references count="5">
          <reference field="3" count="1" selected="0">
            <x v="2"/>
          </reference>
          <reference field="5" count="1" selected="0">
            <x v="3"/>
          </reference>
          <reference field="8" count="2">
            <x v="0"/>
            <x v="2"/>
          </reference>
          <reference field="15" count="1" selected="0">
            <x v="9"/>
          </reference>
          <reference field="16" count="1" selected="0">
            <x v="1"/>
          </reference>
        </references>
      </pivotArea>
    </format>
    <format dxfId="26162">
      <pivotArea dataOnly="0" labelOnly="1" outline="0" fieldPosition="0">
        <references count="5">
          <reference field="3" count="1" selected="0">
            <x v="3"/>
          </reference>
          <reference field="5" count="1" selected="0">
            <x v="0"/>
          </reference>
          <reference field="8" count="1">
            <x v="2"/>
          </reference>
          <reference field="15" count="1" selected="0">
            <x v="9"/>
          </reference>
          <reference field="16" count="1" selected="0">
            <x v="1"/>
          </reference>
        </references>
      </pivotArea>
    </format>
    <format dxfId="26163">
      <pivotArea dataOnly="0" labelOnly="1" outline="0" fieldPosition="0">
        <references count="5">
          <reference field="3" count="1" selected="0">
            <x v="3"/>
          </reference>
          <reference field="5" count="1" selected="0">
            <x v="1"/>
          </reference>
          <reference field="8" count="1">
            <x v="3"/>
          </reference>
          <reference field="15" count="1" selected="0">
            <x v="9"/>
          </reference>
          <reference field="16" count="1" selected="0">
            <x v="1"/>
          </reference>
        </references>
      </pivotArea>
    </format>
    <format dxfId="26164">
      <pivotArea dataOnly="0" labelOnly="1" outline="0" fieldPosition="0">
        <references count="5">
          <reference field="3" count="1" selected="0">
            <x v="4"/>
          </reference>
          <reference field="5" count="1" selected="0">
            <x v="0"/>
          </reference>
          <reference field="8" count="4">
            <x v="1"/>
            <x v="2"/>
            <x v="3"/>
            <x v="4"/>
          </reference>
          <reference field="15" count="1" selected="0">
            <x v="9"/>
          </reference>
          <reference field="16" count="1" selected="0">
            <x v="1"/>
          </reference>
        </references>
      </pivotArea>
    </format>
    <format dxfId="26165">
      <pivotArea dataOnly="0" labelOnly="1" outline="0" fieldPosition="0">
        <references count="5">
          <reference field="3" count="1" selected="0">
            <x v="4"/>
          </reference>
          <reference field="5" count="1" selected="0">
            <x v="1"/>
          </reference>
          <reference field="8" count="1">
            <x v="0"/>
          </reference>
          <reference field="15" count="1" selected="0">
            <x v="9"/>
          </reference>
          <reference field="16" count="1" selected="0">
            <x v="1"/>
          </reference>
        </references>
      </pivotArea>
    </format>
    <format dxfId="26166">
      <pivotArea dataOnly="0" labelOnly="1" outline="0" fieldPosition="0">
        <references count="5">
          <reference field="3" count="1" selected="0">
            <x v="4"/>
          </reference>
          <reference field="5" count="1" selected="0">
            <x v="2"/>
          </reference>
          <reference field="8" count="1">
            <x v="0"/>
          </reference>
          <reference field="15" count="1" selected="0">
            <x v="9"/>
          </reference>
          <reference field="16" count="1" selected="0">
            <x v="1"/>
          </reference>
        </references>
      </pivotArea>
    </format>
    <format dxfId="26167">
      <pivotArea dataOnly="0" labelOnly="1" outline="0" fieldPosition="0">
        <references count="5">
          <reference field="3" count="1" selected="0">
            <x v="0"/>
          </reference>
          <reference field="5" count="1" selected="0">
            <x v="0"/>
          </reference>
          <reference field="8" count="1">
            <x v="2"/>
          </reference>
          <reference field="15" count="1" selected="0">
            <x v="10"/>
          </reference>
          <reference field="16" count="1" selected="0">
            <x v="1"/>
          </reference>
        </references>
      </pivotArea>
    </format>
    <format dxfId="26168">
      <pivotArea dataOnly="0" labelOnly="1" outline="0" fieldPosition="0">
        <references count="5">
          <reference field="3" count="1" selected="0">
            <x v="0"/>
          </reference>
          <reference field="5" count="1" selected="0">
            <x v="1"/>
          </reference>
          <reference field="8" count="2">
            <x v="1"/>
            <x v="2"/>
          </reference>
          <reference field="15" count="1" selected="0">
            <x v="10"/>
          </reference>
          <reference field="16" count="1" selected="0">
            <x v="1"/>
          </reference>
        </references>
      </pivotArea>
    </format>
    <format dxfId="26169">
      <pivotArea dataOnly="0" labelOnly="1" outline="0" fieldPosition="0">
        <references count="5">
          <reference field="3" count="1" selected="0">
            <x v="1"/>
          </reference>
          <reference field="5" count="1" selected="0">
            <x v="0"/>
          </reference>
          <reference field="8" count="4">
            <x v="0"/>
            <x v="1"/>
            <x v="2"/>
            <x v="3"/>
          </reference>
          <reference field="15" count="1" selected="0">
            <x v="10"/>
          </reference>
          <reference field="16" count="1" selected="0">
            <x v="1"/>
          </reference>
        </references>
      </pivotArea>
    </format>
    <format dxfId="26170">
      <pivotArea dataOnly="0" labelOnly="1" outline="0" fieldPosition="0">
        <references count="5">
          <reference field="3" count="1" selected="0">
            <x v="1"/>
          </reference>
          <reference field="5" count="1" selected="0">
            <x v="1"/>
          </reference>
          <reference field="8" count="4">
            <x v="1"/>
            <x v="2"/>
            <x v="3"/>
            <x v="4"/>
          </reference>
          <reference field="15" count="1" selected="0">
            <x v="10"/>
          </reference>
          <reference field="16" count="1" selected="0">
            <x v="1"/>
          </reference>
        </references>
      </pivotArea>
    </format>
    <format dxfId="26171">
      <pivotArea dataOnly="0" labelOnly="1" outline="0" fieldPosition="0">
        <references count="5">
          <reference field="3" count="1" selected="0">
            <x v="2"/>
          </reference>
          <reference field="5" count="1" selected="0">
            <x v="0"/>
          </reference>
          <reference field="8" count="4">
            <x v="0"/>
            <x v="2"/>
            <x v="3"/>
            <x v="4"/>
          </reference>
          <reference field="15" count="1" selected="0">
            <x v="10"/>
          </reference>
          <reference field="16" count="1" selected="0">
            <x v="1"/>
          </reference>
        </references>
      </pivotArea>
    </format>
    <format dxfId="26172">
      <pivotArea dataOnly="0" labelOnly="1" outline="0" fieldPosition="0">
        <references count="5">
          <reference field="3" count="1" selected="0">
            <x v="2"/>
          </reference>
          <reference field="5" count="1" selected="0">
            <x v="1"/>
          </reference>
          <reference field="8" count="1">
            <x v="4"/>
          </reference>
          <reference field="15" count="1" selected="0">
            <x v="10"/>
          </reference>
          <reference field="16" count="1" selected="0">
            <x v="1"/>
          </reference>
        </references>
      </pivotArea>
    </format>
    <format dxfId="26173">
      <pivotArea dataOnly="0" labelOnly="1" outline="0" fieldPosition="0">
        <references count="5">
          <reference field="3" count="1" selected="0">
            <x v="2"/>
          </reference>
          <reference field="5" count="1" selected="0">
            <x v="2"/>
          </reference>
          <reference field="8" count="1">
            <x v="2"/>
          </reference>
          <reference field="15" count="1" selected="0">
            <x v="10"/>
          </reference>
          <reference field="16" count="1" selected="0">
            <x v="1"/>
          </reference>
        </references>
      </pivotArea>
    </format>
    <format dxfId="26174">
      <pivotArea dataOnly="0" labelOnly="1" outline="0" fieldPosition="0">
        <references count="5">
          <reference field="3" count="1" selected="0">
            <x v="3"/>
          </reference>
          <reference field="5" count="1" selected="0">
            <x v="0"/>
          </reference>
          <reference field="8" count="2">
            <x v="1"/>
            <x v="4"/>
          </reference>
          <reference field="15" count="1" selected="0">
            <x v="10"/>
          </reference>
          <reference field="16" count="1" selected="0">
            <x v="1"/>
          </reference>
        </references>
      </pivotArea>
    </format>
    <format dxfId="26175">
      <pivotArea dataOnly="0" labelOnly="1" outline="0" fieldPosition="0">
        <references count="5">
          <reference field="3" count="1" selected="0">
            <x v="3"/>
          </reference>
          <reference field="5" count="1" selected="0">
            <x v="1"/>
          </reference>
          <reference field="8" count="2">
            <x v="1"/>
            <x v="2"/>
          </reference>
          <reference field="15" count="1" selected="0">
            <x v="10"/>
          </reference>
          <reference field="16" count="1" selected="0">
            <x v="1"/>
          </reference>
        </references>
      </pivotArea>
    </format>
    <format dxfId="26176">
      <pivotArea dataOnly="0" labelOnly="1" outline="0" fieldPosition="0">
        <references count="5">
          <reference field="3" count="1" selected="0">
            <x v="4"/>
          </reference>
          <reference field="5" count="1" selected="0">
            <x v="0"/>
          </reference>
          <reference field="8" count="2">
            <x v="2"/>
            <x v="3"/>
          </reference>
          <reference field="15" count="1" selected="0">
            <x v="10"/>
          </reference>
          <reference field="16" count="1" selected="0">
            <x v="1"/>
          </reference>
        </references>
      </pivotArea>
    </format>
    <format dxfId="26177">
      <pivotArea dataOnly="0" labelOnly="1" outline="0" fieldPosition="0">
        <references count="5">
          <reference field="3" count="1" selected="0">
            <x v="4"/>
          </reference>
          <reference field="5" count="1" selected="0">
            <x v="1"/>
          </reference>
          <reference field="8" count="2">
            <x v="3"/>
            <x v="4"/>
          </reference>
          <reference field="15" count="1" selected="0">
            <x v="10"/>
          </reference>
          <reference field="16" count="1" selected="0">
            <x v="1"/>
          </reference>
        </references>
      </pivotArea>
    </format>
    <format dxfId="26178">
      <pivotArea dataOnly="0" labelOnly="1" outline="0" fieldPosition="0">
        <references count="5">
          <reference field="3" count="1" selected="0">
            <x v="4"/>
          </reference>
          <reference field="5" count="1" selected="0">
            <x v="2"/>
          </reference>
          <reference field="8" count="3">
            <x v="0"/>
            <x v="2"/>
            <x v="4"/>
          </reference>
          <reference field="15" count="1" selected="0">
            <x v="10"/>
          </reference>
          <reference field="16" count="1" selected="0">
            <x v="1"/>
          </reference>
        </references>
      </pivotArea>
    </format>
    <format dxfId="26179">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1"/>
          </reference>
        </references>
      </pivotArea>
    </format>
    <format dxfId="26180">
      <pivotArea dataOnly="0" labelOnly="1" outline="0" fieldPosition="0">
        <references count="5">
          <reference field="3" count="1" selected="0">
            <x v="1"/>
          </reference>
          <reference field="5" count="1" selected="0">
            <x v="1"/>
          </reference>
          <reference field="8" count="3">
            <x v="0"/>
            <x v="1"/>
            <x v="4"/>
          </reference>
          <reference field="15" count="1" selected="0">
            <x v="11"/>
          </reference>
          <reference field="16" count="1" selected="0">
            <x v="1"/>
          </reference>
        </references>
      </pivotArea>
    </format>
    <format dxfId="26181">
      <pivotArea dataOnly="0" labelOnly="1" outline="0" fieldPosition="0">
        <references count="5">
          <reference field="3" count="1" selected="0">
            <x v="1"/>
          </reference>
          <reference field="5" count="1" selected="0">
            <x v="2"/>
          </reference>
          <reference field="8" count="2">
            <x v="1"/>
            <x v="3"/>
          </reference>
          <reference field="15" count="1" selected="0">
            <x v="11"/>
          </reference>
          <reference field="16" count="1" selected="0">
            <x v="1"/>
          </reference>
        </references>
      </pivotArea>
    </format>
    <format dxfId="26182">
      <pivotArea dataOnly="0" labelOnly="1" outline="0" fieldPosition="0">
        <references count="5">
          <reference field="3" count="1" selected="0">
            <x v="2"/>
          </reference>
          <reference field="5" count="1" selected="0">
            <x v="0"/>
          </reference>
          <reference field="8" count="3">
            <x v="0"/>
            <x v="1"/>
            <x v="2"/>
          </reference>
          <reference field="15" count="1" selected="0">
            <x v="11"/>
          </reference>
          <reference field="16" count="1" selected="0">
            <x v="1"/>
          </reference>
        </references>
      </pivotArea>
    </format>
    <format dxfId="26183">
      <pivotArea dataOnly="0" labelOnly="1" outline="0" fieldPosition="0">
        <references count="5">
          <reference field="3" count="1" selected="0">
            <x v="2"/>
          </reference>
          <reference field="5" count="1" selected="0">
            <x v="1"/>
          </reference>
          <reference field="8" count="1">
            <x v="3"/>
          </reference>
          <reference field="15" count="1" selected="0">
            <x v="11"/>
          </reference>
          <reference field="16" count="1" selected="0">
            <x v="1"/>
          </reference>
        </references>
      </pivotArea>
    </format>
    <format dxfId="26184">
      <pivotArea dataOnly="0" labelOnly="1" outline="0" fieldPosition="0">
        <references count="5">
          <reference field="3" count="1" selected="0">
            <x v="2"/>
          </reference>
          <reference field="5" count="1" selected="0">
            <x v="2"/>
          </reference>
          <reference field="8" count="2">
            <x v="2"/>
            <x v="3"/>
          </reference>
          <reference field="15" count="1" selected="0">
            <x v="11"/>
          </reference>
          <reference field="16" count="1" selected="0">
            <x v="1"/>
          </reference>
        </references>
      </pivotArea>
    </format>
    <format dxfId="26185">
      <pivotArea dataOnly="0" labelOnly="1" outline="0" fieldPosition="0">
        <references count="5">
          <reference field="3" count="1" selected="0">
            <x v="2"/>
          </reference>
          <reference field="5" count="1" selected="0">
            <x v="3"/>
          </reference>
          <reference field="8" count="1">
            <x v="2"/>
          </reference>
          <reference field="15" count="1" selected="0">
            <x v="11"/>
          </reference>
          <reference field="16" count="1" selected="0">
            <x v="1"/>
          </reference>
        </references>
      </pivotArea>
    </format>
    <format dxfId="26186">
      <pivotArea dataOnly="0" labelOnly="1" outline="0" fieldPosition="0">
        <references count="5">
          <reference field="3" count="1" selected="0">
            <x v="3"/>
          </reference>
          <reference field="5" count="1" selected="0">
            <x v="0"/>
          </reference>
          <reference field="8" count="4">
            <x v="1"/>
            <x v="2"/>
            <x v="3"/>
            <x v="4"/>
          </reference>
          <reference field="15" count="1" selected="0">
            <x v="11"/>
          </reference>
          <reference field="16" count="1" selected="0">
            <x v="1"/>
          </reference>
        </references>
      </pivotArea>
    </format>
    <format dxfId="26187">
      <pivotArea dataOnly="0" labelOnly="1" outline="0" fieldPosition="0">
        <references count="5">
          <reference field="3" count="1" selected="0">
            <x v="3"/>
          </reference>
          <reference field="5" count="1" selected="0">
            <x v="1"/>
          </reference>
          <reference field="8" count="1">
            <x v="0"/>
          </reference>
          <reference field="15" count="1" selected="0">
            <x v="11"/>
          </reference>
          <reference field="16" count="1" selected="0">
            <x v="1"/>
          </reference>
        </references>
      </pivotArea>
    </format>
    <format dxfId="26188">
      <pivotArea dataOnly="0" labelOnly="1" outline="0" fieldPosition="0">
        <references count="5">
          <reference field="3" count="1" selected="0">
            <x v="3"/>
          </reference>
          <reference field="5" count="1" selected="0">
            <x v="3"/>
          </reference>
          <reference field="8" count="1">
            <x v="1"/>
          </reference>
          <reference field="15" count="1" selected="0">
            <x v="11"/>
          </reference>
          <reference field="16" count="1" selected="0">
            <x v="1"/>
          </reference>
        </references>
      </pivotArea>
    </format>
    <format dxfId="26189">
      <pivotArea dataOnly="0" labelOnly="1" outline="0" fieldPosition="0">
        <references count="5">
          <reference field="3" count="1" selected="0">
            <x v="4"/>
          </reference>
          <reference field="5" count="1" selected="0">
            <x v="0"/>
          </reference>
          <reference field="8" count="4">
            <x v="0"/>
            <x v="2"/>
            <x v="3"/>
            <x v="4"/>
          </reference>
          <reference field="15" count="1" selected="0">
            <x v="11"/>
          </reference>
          <reference field="16" count="1" selected="0">
            <x v="1"/>
          </reference>
        </references>
      </pivotArea>
    </format>
    <format dxfId="26190">
      <pivotArea dataOnly="0" labelOnly="1" outline="0" fieldPosition="0">
        <references count="5">
          <reference field="3" count="1" selected="0">
            <x v="4"/>
          </reference>
          <reference field="5" count="1" selected="0">
            <x v="1"/>
          </reference>
          <reference field="8" count="3">
            <x v="1"/>
            <x v="3"/>
            <x v="4"/>
          </reference>
          <reference field="15" count="1" selected="0">
            <x v="11"/>
          </reference>
          <reference field="16" count="1" selected="0">
            <x v="1"/>
          </reference>
        </references>
      </pivotArea>
    </format>
    <format dxfId="26191">
      <pivotArea dataOnly="0" labelOnly="1" outline="0" fieldPosition="0">
        <references count="5">
          <reference field="3" count="1" selected="0">
            <x v="4"/>
          </reference>
          <reference field="5" count="1" selected="0">
            <x v="2"/>
          </reference>
          <reference field="8" count="1">
            <x v="0"/>
          </reference>
          <reference field="15" count="1" selected="0">
            <x v="11"/>
          </reference>
          <reference field="16" count="1" selected="0">
            <x v="1"/>
          </reference>
        </references>
      </pivotArea>
    </format>
    <format dxfId="26192">
      <pivotArea dataOnly="0" labelOnly="1" outline="0" fieldPosition="0">
        <references count="5">
          <reference field="3" count="1" selected="0">
            <x v="4"/>
          </reference>
          <reference field="5" count="1" selected="0">
            <x v="3"/>
          </reference>
          <reference field="8" count="1">
            <x v="3"/>
          </reference>
          <reference field="15" count="1" selected="0">
            <x v="11"/>
          </reference>
          <reference field="16" count="1" selected="0">
            <x v="1"/>
          </reference>
        </references>
      </pivotArea>
    </format>
    <format dxfId="26193">
      <pivotArea dataOnly="0" labelOnly="1" outline="0" fieldPosition="0">
        <references count="5">
          <reference field="3" count="1" selected="0">
            <x v="0"/>
          </reference>
          <reference field="5" count="1" selected="0">
            <x v="0"/>
          </reference>
          <reference field="8" count="2">
            <x v="1"/>
            <x v="4"/>
          </reference>
          <reference field="15" count="1" selected="0">
            <x v="0"/>
          </reference>
          <reference field="16" count="1" selected="0">
            <x v="2"/>
          </reference>
        </references>
      </pivotArea>
    </format>
    <format dxfId="26194">
      <pivotArea dataOnly="0" labelOnly="1" outline="0" fieldPosition="0">
        <references count="5">
          <reference field="3" count="1" selected="0">
            <x v="0"/>
          </reference>
          <reference field="5" count="1" selected="0">
            <x v="1"/>
          </reference>
          <reference field="8" count="1">
            <x v="2"/>
          </reference>
          <reference field="15" count="1" selected="0">
            <x v="0"/>
          </reference>
          <reference field="16" count="1" selected="0">
            <x v="2"/>
          </reference>
        </references>
      </pivotArea>
    </format>
    <format dxfId="26195">
      <pivotArea dataOnly="0" labelOnly="1" outline="0" fieldPosition="0">
        <references count="5">
          <reference field="3" count="1" selected="0">
            <x v="1"/>
          </reference>
          <reference field="5" count="1" selected="0">
            <x v="0"/>
          </reference>
          <reference field="8" count="4">
            <x v="0"/>
            <x v="2"/>
            <x v="3"/>
            <x v="4"/>
          </reference>
          <reference field="15" count="1" selected="0">
            <x v="0"/>
          </reference>
          <reference field="16" count="1" selected="0">
            <x v="2"/>
          </reference>
        </references>
      </pivotArea>
    </format>
    <format dxfId="26196">
      <pivotArea dataOnly="0" labelOnly="1" outline="0" fieldPosition="0">
        <references count="5">
          <reference field="3" count="1" selected="0">
            <x v="1"/>
          </reference>
          <reference field="5" count="1" selected="0">
            <x v="1"/>
          </reference>
          <reference field="8" count="2">
            <x v="0"/>
            <x v="1"/>
          </reference>
          <reference field="15" count="1" selected="0">
            <x v="0"/>
          </reference>
          <reference field="16" count="1" selected="0">
            <x v="2"/>
          </reference>
        </references>
      </pivotArea>
    </format>
    <format dxfId="26197">
      <pivotArea dataOnly="0" labelOnly="1" outline="0" fieldPosition="0">
        <references count="5">
          <reference field="3" count="1" selected="0">
            <x v="1"/>
          </reference>
          <reference field="5" count="1" selected="0">
            <x v="2"/>
          </reference>
          <reference field="8" count="4">
            <x v="1"/>
            <x v="2"/>
            <x v="3"/>
            <x v="4"/>
          </reference>
          <reference field="15" count="1" selected="0">
            <x v="0"/>
          </reference>
          <reference field="16" count="1" selected="0">
            <x v="2"/>
          </reference>
        </references>
      </pivotArea>
    </format>
    <format dxfId="26198">
      <pivotArea dataOnly="0" labelOnly="1" outline="0" fieldPosition="0">
        <references count="5">
          <reference field="3" count="1" selected="0">
            <x v="1"/>
          </reference>
          <reference field="5" count="1" selected="0">
            <x v="3"/>
          </reference>
          <reference field="8" count="1">
            <x v="2"/>
          </reference>
          <reference field="15" count="1" selected="0">
            <x v="0"/>
          </reference>
          <reference field="16" count="1" selected="0">
            <x v="2"/>
          </reference>
        </references>
      </pivotArea>
    </format>
    <format dxfId="26199">
      <pivotArea dataOnly="0" labelOnly="1" outline="0" fieldPosition="0">
        <references count="5">
          <reference field="3" count="1" selected="0">
            <x v="2"/>
          </reference>
          <reference field="5" count="1" selected="0">
            <x v="0"/>
          </reference>
          <reference field="8" count="1">
            <x v="1"/>
          </reference>
          <reference field="15" count="1" selected="0">
            <x v="0"/>
          </reference>
          <reference field="16" count="1" selected="0">
            <x v="2"/>
          </reference>
        </references>
      </pivotArea>
    </format>
    <format dxfId="26200">
      <pivotArea dataOnly="0" labelOnly="1" outline="0" fieldPosition="0">
        <references count="5">
          <reference field="3" count="1" selected="0">
            <x v="2"/>
          </reference>
          <reference field="5" count="1" selected="0">
            <x v="1"/>
          </reference>
          <reference field="8" count="1">
            <x v="2"/>
          </reference>
          <reference field="15" count="1" selected="0">
            <x v="0"/>
          </reference>
          <reference field="16" count="1" selected="0">
            <x v="2"/>
          </reference>
        </references>
      </pivotArea>
    </format>
    <format dxfId="26201">
      <pivotArea dataOnly="0" labelOnly="1" outline="0" fieldPosition="0">
        <references count="5">
          <reference field="3" count="1" selected="0">
            <x v="2"/>
          </reference>
          <reference field="5" count="1" selected="0">
            <x v="2"/>
          </reference>
          <reference field="8" count="1">
            <x v="4"/>
          </reference>
          <reference field="15" count="1" selected="0">
            <x v="0"/>
          </reference>
          <reference field="16" count="1" selected="0">
            <x v="2"/>
          </reference>
        </references>
      </pivotArea>
    </format>
    <format dxfId="26202">
      <pivotArea dataOnly="0" labelOnly="1" outline="0" fieldPosition="0">
        <references count="5">
          <reference field="3" count="1" selected="0">
            <x v="2"/>
          </reference>
          <reference field="5" count="1" selected="0">
            <x v="3"/>
          </reference>
          <reference field="8" count="1">
            <x v="4"/>
          </reference>
          <reference field="15" count="1" selected="0">
            <x v="0"/>
          </reference>
          <reference field="16" count="1" selected="0">
            <x v="2"/>
          </reference>
        </references>
      </pivotArea>
    </format>
    <format dxfId="26203">
      <pivotArea dataOnly="0" labelOnly="1" outline="0" fieldPosition="0">
        <references count="5">
          <reference field="3" count="1" selected="0">
            <x v="3"/>
          </reference>
          <reference field="5" count="1" selected="0">
            <x v="0"/>
          </reference>
          <reference field="8" count="3">
            <x v="0"/>
            <x v="1"/>
            <x v="4"/>
          </reference>
          <reference field="15" count="1" selected="0">
            <x v="0"/>
          </reference>
          <reference field="16" count="1" selected="0">
            <x v="2"/>
          </reference>
        </references>
      </pivotArea>
    </format>
    <format dxfId="26204">
      <pivotArea dataOnly="0" labelOnly="1" outline="0" fieldPosition="0">
        <references count="5">
          <reference field="3" count="1" selected="0">
            <x v="3"/>
          </reference>
          <reference field="5" count="1" selected="0">
            <x v="1"/>
          </reference>
          <reference field="8" count="1">
            <x v="4"/>
          </reference>
          <reference field="15" count="1" selected="0">
            <x v="0"/>
          </reference>
          <reference field="16" count="1" selected="0">
            <x v="2"/>
          </reference>
        </references>
      </pivotArea>
    </format>
    <format dxfId="26205">
      <pivotArea dataOnly="0" labelOnly="1" outline="0" fieldPosition="0">
        <references count="5">
          <reference field="3" count="1" selected="0">
            <x v="3"/>
          </reference>
          <reference field="5" count="1" selected="0">
            <x v="2"/>
          </reference>
          <reference field="8" count="1">
            <x v="4"/>
          </reference>
          <reference field="15" count="1" selected="0">
            <x v="0"/>
          </reference>
          <reference field="16" count="1" selected="0">
            <x v="2"/>
          </reference>
        </references>
      </pivotArea>
    </format>
    <format dxfId="26206">
      <pivotArea dataOnly="0" labelOnly="1" outline="0" fieldPosition="0">
        <references count="5">
          <reference field="3" count="1" selected="0">
            <x v="4"/>
          </reference>
          <reference field="5" count="1" selected="0">
            <x v="0"/>
          </reference>
          <reference field="8" count="4">
            <x v="1"/>
            <x v="2"/>
            <x v="3"/>
            <x v="4"/>
          </reference>
          <reference field="15" count="1" selected="0">
            <x v="0"/>
          </reference>
          <reference field="16" count="1" selected="0">
            <x v="2"/>
          </reference>
        </references>
      </pivotArea>
    </format>
    <format dxfId="26207">
      <pivotArea dataOnly="0" labelOnly="1" outline="0" fieldPosition="0">
        <references count="5">
          <reference field="3" count="1" selected="0">
            <x v="4"/>
          </reference>
          <reference field="5" count="1" selected="0">
            <x v="1"/>
          </reference>
          <reference field="8" count="1">
            <x v="2"/>
          </reference>
          <reference field="15" count="1" selected="0">
            <x v="0"/>
          </reference>
          <reference field="16" count="1" selected="0">
            <x v="2"/>
          </reference>
        </references>
      </pivotArea>
    </format>
    <format dxfId="26208">
      <pivotArea dataOnly="0" labelOnly="1" outline="0" fieldPosition="0">
        <references count="5">
          <reference field="3" count="1" selected="0">
            <x v="4"/>
          </reference>
          <reference field="5" count="1" selected="0">
            <x v="3"/>
          </reference>
          <reference field="8" count="1">
            <x v="4"/>
          </reference>
          <reference field="15" count="1" selected="0">
            <x v="0"/>
          </reference>
          <reference field="16" count="1" selected="0">
            <x v="2"/>
          </reference>
        </references>
      </pivotArea>
    </format>
    <format dxfId="26209">
      <pivotArea dataOnly="0" labelOnly="1" outline="0" fieldPosition="0">
        <references count="5">
          <reference field="3" count="1" selected="0">
            <x v="0"/>
          </reference>
          <reference field="5" count="1" selected="0">
            <x v="0"/>
          </reference>
          <reference field="8" count="2">
            <x v="0"/>
            <x v="2"/>
          </reference>
          <reference field="15" count="1" selected="0">
            <x v="1"/>
          </reference>
          <reference field="16" count="1" selected="0">
            <x v="2"/>
          </reference>
        </references>
      </pivotArea>
    </format>
    <format dxfId="26210">
      <pivotArea dataOnly="0" labelOnly="1" outline="0" fieldPosition="0">
        <references count="5">
          <reference field="3" count="1" selected="0">
            <x v="1"/>
          </reference>
          <reference field="5" count="1" selected="0">
            <x v="0"/>
          </reference>
          <reference field="8" count="0"/>
          <reference field="15" count="1" selected="0">
            <x v="1"/>
          </reference>
          <reference field="16" count="1" selected="0">
            <x v="2"/>
          </reference>
        </references>
      </pivotArea>
    </format>
    <format dxfId="26211">
      <pivotArea dataOnly="0" labelOnly="1" outline="0" fieldPosition="0">
        <references count="5">
          <reference field="3" count="1" selected="0">
            <x v="1"/>
          </reference>
          <reference field="5" count="1" selected="0">
            <x v="1"/>
          </reference>
          <reference field="8" count="2">
            <x v="1"/>
            <x v="4"/>
          </reference>
          <reference field="15" count="1" selected="0">
            <x v="1"/>
          </reference>
          <reference field="16" count="1" selected="0">
            <x v="2"/>
          </reference>
        </references>
      </pivotArea>
    </format>
    <format dxfId="26212">
      <pivotArea dataOnly="0" labelOnly="1" outline="0" fieldPosition="0">
        <references count="5">
          <reference field="3" count="1" selected="0">
            <x v="1"/>
          </reference>
          <reference field="5" count="1" selected="0">
            <x v="2"/>
          </reference>
          <reference field="8" count="1">
            <x v="0"/>
          </reference>
          <reference field="15" count="1" selected="0">
            <x v="1"/>
          </reference>
          <reference field="16" count="1" selected="0">
            <x v="2"/>
          </reference>
        </references>
      </pivotArea>
    </format>
    <format dxfId="26213">
      <pivotArea dataOnly="0" labelOnly="1" outline="0" fieldPosition="0">
        <references count="5">
          <reference field="3" count="1" selected="0">
            <x v="2"/>
          </reference>
          <reference field="5" count="1" selected="0">
            <x v="0"/>
          </reference>
          <reference field="8" count="3">
            <x v="1"/>
            <x v="3"/>
            <x v="4"/>
          </reference>
          <reference field="15" count="1" selected="0">
            <x v="1"/>
          </reference>
          <reference field="16" count="1" selected="0">
            <x v="2"/>
          </reference>
        </references>
      </pivotArea>
    </format>
    <format dxfId="26214">
      <pivotArea dataOnly="0" labelOnly="1" outline="0" fieldPosition="0">
        <references count="5">
          <reference field="3" count="1" selected="0">
            <x v="2"/>
          </reference>
          <reference field="5" count="1" selected="0">
            <x v="1"/>
          </reference>
          <reference field="8" count="1">
            <x v="1"/>
          </reference>
          <reference field="15" count="1" selected="0">
            <x v="1"/>
          </reference>
          <reference field="16" count="1" selected="0">
            <x v="2"/>
          </reference>
        </references>
      </pivotArea>
    </format>
    <format dxfId="26215">
      <pivotArea dataOnly="0" labelOnly="1" outline="0" fieldPosition="0">
        <references count="5">
          <reference field="3" count="1" selected="0">
            <x v="3"/>
          </reference>
          <reference field="5" count="1" selected="0">
            <x v="0"/>
          </reference>
          <reference field="8" count="2">
            <x v="1"/>
            <x v="4"/>
          </reference>
          <reference field="15" count="1" selected="0">
            <x v="1"/>
          </reference>
          <reference field="16" count="1" selected="0">
            <x v="2"/>
          </reference>
        </references>
      </pivotArea>
    </format>
    <format dxfId="26216">
      <pivotArea dataOnly="0" labelOnly="1" outline="0" fieldPosition="0">
        <references count="5">
          <reference field="3" count="1" selected="0">
            <x v="3"/>
          </reference>
          <reference field="5" count="1" selected="0">
            <x v="1"/>
          </reference>
          <reference field="8" count="1">
            <x v="0"/>
          </reference>
          <reference field="15" count="1" selected="0">
            <x v="1"/>
          </reference>
          <reference field="16" count="1" selected="0">
            <x v="2"/>
          </reference>
        </references>
      </pivotArea>
    </format>
    <format dxfId="26217">
      <pivotArea dataOnly="0" labelOnly="1" outline="0" fieldPosition="0">
        <references count="5">
          <reference field="3" count="1" selected="0">
            <x v="3"/>
          </reference>
          <reference field="5" count="1" selected="0">
            <x v="3"/>
          </reference>
          <reference field="8" count="1">
            <x v="2"/>
          </reference>
          <reference field="15" count="1" selected="0">
            <x v="1"/>
          </reference>
          <reference field="16" count="1" selected="0">
            <x v="2"/>
          </reference>
        </references>
      </pivotArea>
    </format>
    <format dxfId="26218">
      <pivotArea dataOnly="0" labelOnly="1" outline="0" fieldPosition="0">
        <references count="5">
          <reference field="3" count="1" selected="0">
            <x v="4"/>
          </reference>
          <reference field="5" count="1" selected="0">
            <x v="0"/>
          </reference>
          <reference field="8" count="4">
            <x v="1"/>
            <x v="2"/>
            <x v="3"/>
            <x v="4"/>
          </reference>
          <reference field="15" count="1" selected="0">
            <x v="1"/>
          </reference>
          <reference field="16" count="1" selected="0">
            <x v="2"/>
          </reference>
        </references>
      </pivotArea>
    </format>
    <format dxfId="26219">
      <pivotArea dataOnly="0" labelOnly="1" outline="0" fieldPosition="0">
        <references count="5">
          <reference field="3" count="1" selected="0">
            <x v="4"/>
          </reference>
          <reference field="5" count="1" selected="0">
            <x v="1"/>
          </reference>
          <reference field="8" count="2">
            <x v="0"/>
            <x v="2"/>
          </reference>
          <reference field="15" count="1" selected="0">
            <x v="1"/>
          </reference>
          <reference field="16" count="1" selected="0">
            <x v="2"/>
          </reference>
        </references>
      </pivotArea>
    </format>
    <format dxfId="26220">
      <pivotArea dataOnly="0" labelOnly="1" outline="0" fieldPosition="0">
        <references count="5">
          <reference field="3" count="1" selected="0">
            <x v="4"/>
          </reference>
          <reference field="5" count="1" selected="0">
            <x v="2"/>
          </reference>
          <reference field="8" count="1">
            <x v="3"/>
          </reference>
          <reference field="15" count="1" selected="0">
            <x v="1"/>
          </reference>
          <reference field="16" count="1" selected="0">
            <x v="2"/>
          </reference>
        </references>
      </pivotArea>
    </format>
    <format dxfId="26221">
      <pivotArea dataOnly="0" labelOnly="1" outline="0" fieldPosition="0">
        <references count="5">
          <reference field="3" count="1" selected="0">
            <x v="0"/>
          </reference>
          <reference field="5" count="1" selected="0">
            <x v="0"/>
          </reference>
          <reference field="8" count="2">
            <x v="0"/>
            <x v="1"/>
          </reference>
          <reference field="15" count="1" selected="0">
            <x v="2"/>
          </reference>
          <reference field="16" count="1" selected="0">
            <x v="2"/>
          </reference>
        </references>
      </pivotArea>
    </format>
    <format dxfId="26222">
      <pivotArea dataOnly="0" labelOnly="1" outline="0" fieldPosition="0">
        <references count="5">
          <reference field="3" count="1" selected="0">
            <x v="1"/>
          </reference>
          <reference field="5" count="1" selected="0">
            <x v="0"/>
          </reference>
          <reference field="8" count="0"/>
          <reference field="15" count="1" selected="0">
            <x v="2"/>
          </reference>
          <reference field="16" count="1" selected="0">
            <x v="2"/>
          </reference>
        </references>
      </pivotArea>
    </format>
    <format dxfId="26223">
      <pivotArea dataOnly="0" labelOnly="1" outline="0" fieldPosition="0">
        <references count="5">
          <reference field="3" count="1" selected="0">
            <x v="1"/>
          </reference>
          <reference field="5" count="1" selected="0">
            <x v="1"/>
          </reference>
          <reference field="8" count="1">
            <x v="1"/>
          </reference>
          <reference field="15" count="1" selected="0">
            <x v="2"/>
          </reference>
          <reference field="16" count="1" selected="0">
            <x v="2"/>
          </reference>
        </references>
      </pivotArea>
    </format>
    <format dxfId="26224">
      <pivotArea dataOnly="0" labelOnly="1" outline="0" fieldPosition="0">
        <references count="5">
          <reference field="3" count="1" selected="0">
            <x v="1"/>
          </reference>
          <reference field="5" count="1" selected="0">
            <x v="2"/>
          </reference>
          <reference field="8" count="2">
            <x v="1"/>
            <x v="3"/>
          </reference>
          <reference field="15" count="1" selected="0">
            <x v="2"/>
          </reference>
          <reference field="16" count="1" selected="0">
            <x v="2"/>
          </reference>
        </references>
      </pivotArea>
    </format>
    <format dxfId="26225">
      <pivotArea dataOnly="0" labelOnly="1" outline="0" fieldPosition="0">
        <references count="5">
          <reference field="3" count="1" selected="0">
            <x v="2"/>
          </reference>
          <reference field="5" count="1" selected="0">
            <x v="0"/>
          </reference>
          <reference field="8" count="2">
            <x v="2"/>
            <x v="4"/>
          </reference>
          <reference field="15" count="1" selected="0">
            <x v="2"/>
          </reference>
          <reference field="16" count="1" selected="0">
            <x v="2"/>
          </reference>
        </references>
      </pivotArea>
    </format>
    <format dxfId="26226">
      <pivotArea dataOnly="0" labelOnly="1" outline="0" fieldPosition="0">
        <references count="5">
          <reference field="3" count="1" selected="0">
            <x v="2"/>
          </reference>
          <reference field="5" count="1" selected="0">
            <x v="3"/>
          </reference>
          <reference field="8" count="1">
            <x v="2"/>
          </reference>
          <reference field="15" count="1" selected="0">
            <x v="2"/>
          </reference>
          <reference field="16" count="1" selected="0">
            <x v="2"/>
          </reference>
        </references>
      </pivotArea>
    </format>
    <format dxfId="26227">
      <pivotArea dataOnly="0" labelOnly="1" outline="0" fieldPosition="0">
        <references count="5">
          <reference field="3" count="1" selected="0">
            <x v="3"/>
          </reference>
          <reference field="5" count="1" selected="0">
            <x v="0"/>
          </reference>
          <reference field="8" count="2">
            <x v="0"/>
            <x v="3"/>
          </reference>
          <reference field="15" count="1" selected="0">
            <x v="2"/>
          </reference>
          <reference field="16" count="1" selected="0">
            <x v="2"/>
          </reference>
        </references>
      </pivotArea>
    </format>
    <format dxfId="26228">
      <pivotArea dataOnly="0" labelOnly="1" outline="0" fieldPosition="0">
        <references count="5">
          <reference field="3" count="1" selected="0">
            <x v="4"/>
          </reference>
          <reference field="5" count="1" selected="0">
            <x v="0"/>
          </reference>
          <reference field="8" count="4">
            <x v="1"/>
            <x v="2"/>
            <x v="3"/>
            <x v="4"/>
          </reference>
          <reference field="15" count="1" selected="0">
            <x v="2"/>
          </reference>
          <reference field="16" count="1" selected="0">
            <x v="2"/>
          </reference>
        </references>
      </pivotArea>
    </format>
    <format dxfId="26229">
      <pivotArea dataOnly="0" labelOnly="1" outline="0" fieldPosition="0">
        <references count="5">
          <reference field="3" count="1" selected="0">
            <x v="4"/>
          </reference>
          <reference field="5" count="1" selected="0">
            <x v="1"/>
          </reference>
          <reference field="8" count="3">
            <x v="1"/>
            <x v="2"/>
            <x v="4"/>
          </reference>
          <reference field="15" count="1" selected="0">
            <x v="2"/>
          </reference>
          <reference field="16" count="1" selected="0">
            <x v="2"/>
          </reference>
        </references>
      </pivotArea>
    </format>
    <format dxfId="26230">
      <pivotArea dataOnly="0" labelOnly="1" outline="0" fieldPosition="0">
        <references count="5">
          <reference field="3" count="1" selected="0">
            <x v="4"/>
          </reference>
          <reference field="5" count="1" selected="0">
            <x v="2"/>
          </reference>
          <reference field="8" count="1">
            <x v="4"/>
          </reference>
          <reference field="15" count="1" selected="0">
            <x v="2"/>
          </reference>
          <reference field="16" count="1" selected="0">
            <x v="2"/>
          </reference>
        </references>
      </pivotArea>
    </format>
    <format dxfId="26231">
      <pivotArea dataOnly="0" labelOnly="1" outline="0" fieldPosition="0">
        <references count="5">
          <reference field="3" count="1" selected="0">
            <x v="0"/>
          </reference>
          <reference field="5" count="1" selected="0">
            <x v="0"/>
          </reference>
          <reference field="8" count="2">
            <x v="0"/>
            <x v="3"/>
          </reference>
          <reference field="15" count="1" selected="0">
            <x v="3"/>
          </reference>
          <reference field="16" count="1" selected="0">
            <x v="2"/>
          </reference>
        </references>
      </pivotArea>
    </format>
    <format dxfId="26232">
      <pivotArea dataOnly="0" labelOnly="1" outline="0" fieldPosition="0">
        <references count="5">
          <reference field="3" count="1" selected="0">
            <x v="0"/>
          </reference>
          <reference field="5" count="1" selected="0">
            <x v="1"/>
          </reference>
          <reference field="8" count="2">
            <x v="1"/>
            <x v="4"/>
          </reference>
          <reference field="15" count="1" selected="0">
            <x v="3"/>
          </reference>
          <reference field="16" count="1" selected="0">
            <x v="2"/>
          </reference>
        </references>
      </pivotArea>
    </format>
    <format dxfId="26233">
      <pivotArea dataOnly="0" labelOnly="1" outline="0" fieldPosition="0">
        <references count="5">
          <reference field="3" count="1" selected="0">
            <x v="1"/>
          </reference>
          <reference field="5" count="1" selected="0">
            <x v="0"/>
          </reference>
          <reference field="8" count="0"/>
          <reference field="15" count="1" selected="0">
            <x v="3"/>
          </reference>
          <reference field="16" count="1" selected="0">
            <x v="2"/>
          </reference>
        </references>
      </pivotArea>
    </format>
    <format dxfId="26234">
      <pivotArea dataOnly="0" labelOnly="1" outline="0" fieldPosition="0">
        <references count="5">
          <reference field="3" count="1" selected="0">
            <x v="1"/>
          </reference>
          <reference field="5" count="1" selected="0">
            <x v="1"/>
          </reference>
          <reference field="8" count="2">
            <x v="1"/>
            <x v="4"/>
          </reference>
          <reference field="15" count="1" selected="0">
            <x v="3"/>
          </reference>
          <reference field="16" count="1" selected="0">
            <x v="2"/>
          </reference>
        </references>
      </pivotArea>
    </format>
    <format dxfId="26235">
      <pivotArea dataOnly="0" labelOnly="1" outline="0" fieldPosition="0">
        <references count="5">
          <reference field="3" count="1" selected="0">
            <x v="1"/>
          </reference>
          <reference field="5" count="1" selected="0">
            <x v="2"/>
          </reference>
          <reference field="8" count="2">
            <x v="0"/>
            <x v="4"/>
          </reference>
          <reference field="15" count="1" selected="0">
            <x v="3"/>
          </reference>
          <reference field="16" count="1" selected="0">
            <x v="2"/>
          </reference>
        </references>
      </pivotArea>
    </format>
    <format dxfId="26236">
      <pivotArea dataOnly="0" labelOnly="1" outline="0" fieldPosition="0">
        <references count="5">
          <reference field="3" count="1" selected="0">
            <x v="1"/>
          </reference>
          <reference field="5" count="1" selected="0">
            <x v="3"/>
          </reference>
          <reference field="8" count="2">
            <x v="0"/>
            <x v="1"/>
          </reference>
          <reference field="15" count="1" selected="0">
            <x v="3"/>
          </reference>
          <reference field="16" count="1" selected="0">
            <x v="2"/>
          </reference>
        </references>
      </pivotArea>
    </format>
    <format dxfId="26237">
      <pivotArea dataOnly="0" labelOnly="1" outline="0" fieldPosition="0">
        <references count="5">
          <reference field="3" count="1" selected="0">
            <x v="2"/>
          </reference>
          <reference field="5" count="1" selected="0">
            <x v="0"/>
          </reference>
          <reference field="8" count="4">
            <x v="0"/>
            <x v="1"/>
            <x v="3"/>
            <x v="4"/>
          </reference>
          <reference field="15" count="1" selected="0">
            <x v="3"/>
          </reference>
          <reference field="16" count="1" selected="0">
            <x v="2"/>
          </reference>
        </references>
      </pivotArea>
    </format>
    <format dxfId="26238">
      <pivotArea dataOnly="0" labelOnly="1" outline="0" fieldPosition="0">
        <references count="5">
          <reference field="3" count="1" selected="0">
            <x v="2"/>
          </reference>
          <reference field="5" count="1" selected="0">
            <x v="1"/>
          </reference>
          <reference field="8" count="2">
            <x v="0"/>
            <x v="2"/>
          </reference>
          <reference field="15" count="1" selected="0">
            <x v="3"/>
          </reference>
          <reference field="16" count="1" selected="0">
            <x v="2"/>
          </reference>
        </references>
      </pivotArea>
    </format>
    <format dxfId="26239">
      <pivotArea dataOnly="0" labelOnly="1" outline="0" fieldPosition="0">
        <references count="5">
          <reference field="3" count="1" selected="0">
            <x v="3"/>
          </reference>
          <reference field="5" count="1" selected="0">
            <x v="0"/>
          </reference>
          <reference field="8" count="2">
            <x v="2"/>
            <x v="3"/>
          </reference>
          <reference field="15" count="1" selected="0">
            <x v="3"/>
          </reference>
          <reference field="16" count="1" selected="0">
            <x v="2"/>
          </reference>
        </references>
      </pivotArea>
    </format>
    <format dxfId="26240">
      <pivotArea dataOnly="0" labelOnly="1" outline="0" fieldPosition="0">
        <references count="5">
          <reference field="3" count="1" selected="0">
            <x v="3"/>
          </reference>
          <reference field="5" count="1" selected="0">
            <x v="1"/>
          </reference>
          <reference field="8" count="1">
            <x v="2"/>
          </reference>
          <reference field="15" count="1" selected="0">
            <x v="3"/>
          </reference>
          <reference field="16" count="1" selected="0">
            <x v="2"/>
          </reference>
        </references>
      </pivotArea>
    </format>
    <format dxfId="26241">
      <pivotArea dataOnly="0" labelOnly="1" outline="0" fieldPosition="0">
        <references count="5">
          <reference field="3" count="1" selected="0">
            <x v="4"/>
          </reference>
          <reference field="5" count="1" selected="0">
            <x v="0"/>
          </reference>
          <reference field="8" count="0"/>
          <reference field="15" count="1" selected="0">
            <x v="3"/>
          </reference>
          <reference field="16" count="1" selected="0">
            <x v="2"/>
          </reference>
        </references>
      </pivotArea>
    </format>
    <format dxfId="26242">
      <pivotArea dataOnly="0" labelOnly="1" outline="0" fieldPosition="0">
        <references count="5">
          <reference field="3" count="1" selected="0">
            <x v="4"/>
          </reference>
          <reference field="5" count="1" selected="0">
            <x v="1"/>
          </reference>
          <reference field="8" count="2">
            <x v="0"/>
            <x v="3"/>
          </reference>
          <reference field="15" count="1" selected="0">
            <x v="3"/>
          </reference>
          <reference field="16" count="1" selected="0">
            <x v="2"/>
          </reference>
        </references>
      </pivotArea>
    </format>
    <format dxfId="26243">
      <pivotArea dataOnly="0" labelOnly="1" outline="0" fieldPosition="0">
        <references count="5">
          <reference field="3" count="1" selected="0">
            <x v="4"/>
          </reference>
          <reference field="5" count="1" selected="0">
            <x v="2"/>
          </reference>
          <reference field="8" count="1">
            <x v="1"/>
          </reference>
          <reference field="15" count="1" selected="0">
            <x v="3"/>
          </reference>
          <reference field="16" count="1" selected="0">
            <x v="2"/>
          </reference>
        </references>
      </pivotArea>
    </format>
    <format dxfId="26244">
      <pivotArea dataOnly="0" labelOnly="1" outline="0" fieldPosition="0">
        <references count="5">
          <reference field="3" count="1" selected="0">
            <x v="0"/>
          </reference>
          <reference field="5" count="1" selected="0">
            <x v="0"/>
          </reference>
          <reference field="8" count="1">
            <x v="0"/>
          </reference>
          <reference field="15" count="1" selected="0">
            <x v="4"/>
          </reference>
          <reference field="16" count="1" selected="0">
            <x v="2"/>
          </reference>
        </references>
      </pivotArea>
    </format>
    <format dxfId="26245">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2"/>
          </reference>
        </references>
      </pivotArea>
    </format>
    <format dxfId="26246">
      <pivotArea dataOnly="0" labelOnly="1" outline="0" fieldPosition="0">
        <references count="5">
          <reference field="3" count="1" selected="0">
            <x v="1"/>
          </reference>
          <reference field="5" count="1" selected="0">
            <x v="1"/>
          </reference>
          <reference field="8" count="3">
            <x v="0"/>
            <x v="2"/>
            <x v="4"/>
          </reference>
          <reference field="15" count="1" selected="0">
            <x v="4"/>
          </reference>
          <reference field="16" count="1" selected="0">
            <x v="2"/>
          </reference>
        </references>
      </pivotArea>
    </format>
    <format dxfId="26247">
      <pivotArea dataOnly="0" labelOnly="1" outline="0" fieldPosition="0">
        <references count="5">
          <reference field="3" count="1" selected="0">
            <x v="1"/>
          </reference>
          <reference field="5" count="1" selected="0">
            <x v="2"/>
          </reference>
          <reference field="8" count="0"/>
          <reference field="15" count="1" selected="0">
            <x v="4"/>
          </reference>
          <reference field="16" count="1" selected="0">
            <x v="2"/>
          </reference>
        </references>
      </pivotArea>
    </format>
    <format dxfId="26248">
      <pivotArea dataOnly="0" labelOnly="1" outline="0" fieldPosition="0">
        <references count="5">
          <reference field="3" count="1" selected="0">
            <x v="1"/>
          </reference>
          <reference field="5" count="1" selected="0">
            <x v="3"/>
          </reference>
          <reference field="8" count="1">
            <x v="1"/>
          </reference>
          <reference field="15" count="1" selected="0">
            <x v="4"/>
          </reference>
          <reference field="16" count="1" selected="0">
            <x v="2"/>
          </reference>
        </references>
      </pivotArea>
    </format>
    <format dxfId="26249">
      <pivotArea dataOnly="0" labelOnly="1" outline="0" fieldPosition="0">
        <references count="5">
          <reference field="3" count="1" selected="0">
            <x v="2"/>
          </reference>
          <reference field="5" count="1" selected="0">
            <x v="0"/>
          </reference>
          <reference field="8" count="3">
            <x v="0"/>
            <x v="3"/>
            <x v="4"/>
          </reference>
          <reference field="15" count="1" selected="0">
            <x v="4"/>
          </reference>
          <reference field="16" count="1" selected="0">
            <x v="2"/>
          </reference>
        </references>
      </pivotArea>
    </format>
    <format dxfId="26250">
      <pivotArea dataOnly="0" labelOnly="1" outline="0" fieldPosition="0">
        <references count="5">
          <reference field="3" count="1" selected="0">
            <x v="2"/>
          </reference>
          <reference field="5" count="1" selected="0">
            <x v="1"/>
          </reference>
          <reference field="8" count="1">
            <x v="0"/>
          </reference>
          <reference field="15" count="1" selected="0">
            <x v="4"/>
          </reference>
          <reference field="16" count="1" selected="0">
            <x v="2"/>
          </reference>
        </references>
      </pivotArea>
    </format>
    <format dxfId="26251">
      <pivotArea dataOnly="0" labelOnly="1" outline="0" fieldPosition="0">
        <references count="5">
          <reference field="3" count="1" selected="0">
            <x v="3"/>
          </reference>
          <reference field="5" count="1" selected="0">
            <x v="0"/>
          </reference>
          <reference field="8" count="2">
            <x v="3"/>
            <x v="4"/>
          </reference>
          <reference field="15" count="1" selected="0">
            <x v="4"/>
          </reference>
          <reference field="16" count="1" selected="0">
            <x v="2"/>
          </reference>
        </references>
      </pivotArea>
    </format>
    <format dxfId="26252">
      <pivotArea dataOnly="0" labelOnly="1" outline="0" fieldPosition="0">
        <references count="5">
          <reference field="3" count="1" selected="0">
            <x v="4"/>
          </reference>
          <reference field="5" count="1" selected="0">
            <x v="0"/>
          </reference>
          <reference field="8" count="3">
            <x v="0"/>
            <x v="1"/>
            <x v="3"/>
          </reference>
          <reference field="15" count="1" selected="0">
            <x v="4"/>
          </reference>
          <reference field="16" count="1" selected="0">
            <x v="2"/>
          </reference>
        </references>
      </pivotArea>
    </format>
    <format dxfId="26253">
      <pivotArea dataOnly="0" labelOnly="1" outline="0" fieldPosition="0">
        <references count="5">
          <reference field="3" count="1" selected="0">
            <x v="4"/>
          </reference>
          <reference field="5" count="1" selected="0">
            <x v="1"/>
          </reference>
          <reference field="8" count="1">
            <x v="4"/>
          </reference>
          <reference field="15" count="1" selected="0">
            <x v="4"/>
          </reference>
          <reference field="16" count="1" selected="0">
            <x v="2"/>
          </reference>
        </references>
      </pivotArea>
    </format>
    <format dxfId="26254">
      <pivotArea dataOnly="0" labelOnly="1" outline="0" fieldPosition="0">
        <references count="5">
          <reference field="3" count="1" selected="0">
            <x v="4"/>
          </reference>
          <reference field="5" count="1" selected="0">
            <x v="2"/>
          </reference>
          <reference field="8" count="1">
            <x v="1"/>
          </reference>
          <reference field="15" count="1" selected="0">
            <x v="4"/>
          </reference>
          <reference field="16" count="1" selected="0">
            <x v="2"/>
          </reference>
        </references>
      </pivotArea>
    </format>
    <format dxfId="26255">
      <pivotArea dataOnly="0" labelOnly="1" outline="0" fieldPosition="0">
        <references count="5">
          <reference field="3" count="1" selected="0">
            <x v="4"/>
          </reference>
          <reference field="5" count="1" selected="0">
            <x v="3"/>
          </reference>
          <reference field="8" count="1">
            <x v="4"/>
          </reference>
          <reference field="15" count="1" selected="0">
            <x v="4"/>
          </reference>
          <reference field="16" count="1" selected="0">
            <x v="2"/>
          </reference>
        </references>
      </pivotArea>
    </format>
    <format dxfId="26256">
      <pivotArea dataOnly="0" labelOnly="1" outline="0" fieldPosition="0">
        <references count="5">
          <reference field="3" count="1" selected="0">
            <x v="0"/>
          </reference>
          <reference field="5" count="1" selected="0">
            <x v="0"/>
          </reference>
          <reference field="8" count="1">
            <x v="0"/>
          </reference>
          <reference field="15" count="1" selected="0">
            <x v="5"/>
          </reference>
          <reference field="16" count="1" selected="0">
            <x v="2"/>
          </reference>
        </references>
      </pivotArea>
    </format>
    <format dxfId="26257">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2"/>
          </reference>
        </references>
      </pivotArea>
    </format>
    <format dxfId="26258">
      <pivotArea dataOnly="0" labelOnly="1" outline="0" fieldPosition="0">
        <references count="5">
          <reference field="3" count="1" selected="0">
            <x v="1"/>
          </reference>
          <reference field="5" count="1" selected="0">
            <x v="1"/>
          </reference>
          <reference field="8" count="3">
            <x v="0"/>
            <x v="3"/>
            <x v="4"/>
          </reference>
          <reference field="15" count="1" selected="0">
            <x v="5"/>
          </reference>
          <reference field="16" count="1" selected="0">
            <x v="2"/>
          </reference>
        </references>
      </pivotArea>
    </format>
    <format dxfId="26259">
      <pivotArea dataOnly="0" labelOnly="1" outline="0" fieldPosition="0">
        <references count="5">
          <reference field="3" count="1" selected="0">
            <x v="1"/>
          </reference>
          <reference field="5" count="1" selected="0">
            <x v="2"/>
          </reference>
          <reference field="8" count="3">
            <x v="0"/>
            <x v="1"/>
            <x v="2"/>
          </reference>
          <reference field="15" count="1" selected="0">
            <x v="5"/>
          </reference>
          <reference field="16" count="1" selected="0">
            <x v="2"/>
          </reference>
        </references>
      </pivotArea>
    </format>
    <format dxfId="26260">
      <pivotArea dataOnly="0" labelOnly="1" outline="0" fieldPosition="0">
        <references count="5">
          <reference field="3" count="1" selected="0">
            <x v="2"/>
          </reference>
          <reference field="5" count="1" selected="0">
            <x v="0"/>
          </reference>
          <reference field="8" count="4">
            <x v="0"/>
            <x v="1"/>
            <x v="3"/>
            <x v="4"/>
          </reference>
          <reference field="15" count="1" selected="0">
            <x v="5"/>
          </reference>
          <reference field="16" count="1" selected="0">
            <x v="2"/>
          </reference>
        </references>
      </pivotArea>
    </format>
    <format dxfId="26261">
      <pivotArea dataOnly="0" labelOnly="1" outline="0" fieldPosition="0">
        <references count="5">
          <reference field="3" count="1" selected="0">
            <x v="2"/>
          </reference>
          <reference field="5" count="1" selected="0">
            <x v="1"/>
          </reference>
          <reference field="8" count="2">
            <x v="3"/>
            <x v="4"/>
          </reference>
          <reference field="15" count="1" selected="0">
            <x v="5"/>
          </reference>
          <reference field="16" count="1" selected="0">
            <x v="2"/>
          </reference>
        </references>
      </pivotArea>
    </format>
    <format dxfId="26262">
      <pivotArea dataOnly="0" labelOnly="1" outline="0" fieldPosition="0">
        <references count="5">
          <reference field="3" count="1" selected="0">
            <x v="2"/>
          </reference>
          <reference field="5" count="1" selected="0">
            <x v="3"/>
          </reference>
          <reference field="8" count="1">
            <x v="2"/>
          </reference>
          <reference field="15" count="1" selected="0">
            <x v="5"/>
          </reference>
          <reference field="16" count="1" selected="0">
            <x v="2"/>
          </reference>
        </references>
      </pivotArea>
    </format>
    <format dxfId="26263">
      <pivotArea dataOnly="0" labelOnly="1" outline="0" fieldPosition="0">
        <references count="5">
          <reference field="3" count="1" selected="0">
            <x v="3"/>
          </reference>
          <reference field="5" count="1" selected="0">
            <x v="0"/>
          </reference>
          <reference field="8" count="3">
            <x v="1"/>
            <x v="3"/>
            <x v="4"/>
          </reference>
          <reference field="15" count="1" selected="0">
            <x v="5"/>
          </reference>
          <reference field="16" count="1" selected="0">
            <x v="2"/>
          </reference>
        </references>
      </pivotArea>
    </format>
    <format dxfId="26264">
      <pivotArea dataOnly="0" labelOnly="1" outline="0" fieldPosition="0">
        <references count="5">
          <reference field="3" count="1" selected="0">
            <x v="3"/>
          </reference>
          <reference field="5" count="1" selected="0">
            <x v="2"/>
          </reference>
          <reference field="8" count="1">
            <x v="2"/>
          </reference>
          <reference field="15" count="1" selected="0">
            <x v="5"/>
          </reference>
          <reference field="16" count="1" selected="0">
            <x v="2"/>
          </reference>
        </references>
      </pivotArea>
    </format>
    <format dxfId="26265">
      <pivotArea dataOnly="0" labelOnly="1" outline="0" fieldPosition="0">
        <references count="5">
          <reference field="3" count="1" selected="0">
            <x v="3"/>
          </reference>
          <reference field="5" count="1" selected="0">
            <x v="3"/>
          </reference>
          <reference field="8" count="1">
            <x v="3"/>
          </reference>
          <reference field="15" count="1" selected="0">
            <x v="5"/>
          </reference>
          <reference field="16" count="1" selected="0">
            <x v="2"/>
          </reference>
        </references>
      </pivotArea>
    </format>
    <format dxfId="26266">
      <pivotArea dataOnly="0" labelOnly="1" outline="0" fieldPosition="0">
        <references count="5">
          <reference field="3" count="1" selected="0">
            <x v="4"/>
          </reference>
          <reference field="5" count="1" selected="0">
            <x v="0"/>
          </reference>
          <reference field="8" count="4">
            <x v="1"/>
            <x v="2"/>
            <x v="3"/>
            <x v="4"/>
          </reference>
          <reference field="15" count="1" selected="0">
            <x v="5"/>
          </reference>
          <reference field="16" count="1" selected="0">
            <x v="2"/>
          </reference>
        </references>
      </pivotArea>
    </format>
    <format dxfId="26267">
      <pivotArea dataOnly="0" labelOnly="1" outline="0" fieldPosition="0">
        <references count="5">
          <reference field="3" count="1" selected="0">
            <x v="4"/>
          </reference>
          <reference field="5" count="1" selected="0">
            <x v="1"/>
          </reference>
          <reference field="8" count="2">
            <x v="1"/>
            <x v="4"/>
          </reference>
          <reference field="15" count="1" selected="0">
            <x v="5"/>
          </reference>
          <reference field="16" count="1" selected="0">
            <x v="2"/>
          </reference>
        </references>
      </pivotArea>
    </format>
    <format dxfId="26268">
      <pivotArea dataOnly="0" labelOnly="1" outline="0" fieldPosition="0">
        <references count="5">
          <reference field="3" count="1" selected="0">
            <x v="4"/>
          </reference>
          <reference field="5" count="1" selected="0">
            <x v="3"/>
          </reference>
          <reference field="8" count="1">
            <x v="3"/>
          </reference>
          <reference field="15" count="1" selected="0">
            <x v="5"/>
          </reference>
          <reference field="16" count="1" selected="0">
            <x v="2"/>
          </reference>
        </references>
      </pivotArea>
    </format>
    <format dxfId="26269">
      <pivotArea dataOnly="0" labelOnly="1" outline="0" fieldPosition="0">
        <references count="5">
          <reference field="3" count="1" selected="0">
            <x v="0"/>
          </reference>
          <reference field="5" count="1" selected="0">
            <x v="0"/>
          </reference>
          <reference field="8" count="1">
            <x v="4"/>
          </reference>
          <reference field="15" count="1" selected="0">
            <x v="6"/>
          </reference>
          <reference field="16" count="1" selected="0">
            <x v="2"/>
          </reference>
        </references>
      </pivotArea>
    </format>
    <format dxfId="26270">
      <pivotArea dataOnly="0" labelOnly="1" outline="0" fieldPosition="0">
        <references count="5">
          <reference field="3" count="1" selected="0">
            <x v="0"/>
          </reference>
          <reference field="5" count="1" selected="0">
            <x v="1"/>
          </reference>
          <reference field="8" count="1">
            <x v="0"/>
          </reference>
          <reference field="15" count="1" selected="0">
            <x v="6"/>
          </reference>
          <reference field="16" count="1" selected="0">
            <x v="2"/>
          </reference>
        </references>
      </pivotArea>
    </format>
    <format dxfId="26271">
      <pivotArea dataOnly="0" labelOnly="1" outline="0" fieldPosition="0">
        <references count="5">
          <reference field="3" count="1" selected="0">
            <x v="1"/>
          </reference>
          <reference field="5" count="1" selected="0">
            <x v="0"/>
          </reference>
          <reference field="8" count="0"/>
          <reference field="15" count="1" selected="0">
            <x v="6"/>
          </reference>
          <reference field="16" count="1" selected="0">
            <x v="2"/>
          </reference>
        </references>
      </pivotArea>
    </format>
    <format dxfId="26272">
      <pivotArea dataOnly="0" labelOnly="1" outline="0" fieldPosition="0">
        <references count="5">
          <reference field="3" count="1" selected="0">
            <x v="1"/>
          </reference>
          <reference field="5" count="1" selected="0">
            <x v="1"/>
          </reference>
          <reference field="8" count="4">
            <x v="1"/>
            <x v="2"/>
            <x v="3"/>
            <x v="4"/>
          </reference>
          <reference field="15" count="1" selected="0">
            <x v="6"/>
          </reference>
          <reference field="16" count="1" selected="0">
            <x v="2"/>
          </reference>
        </references>
      </pivotArea>
    </format>
    <format dxfId="26273">
      <pivotArea dataOnly="0" labelOnly="1" outline="0" fieldPosition="0">
        <references count="5">
          <reference field="3" count="1" selected="0">
            <x v="1"/>
          </reference>
          <reference field="5" count="1" selected="0">
            <x v="2"/>
          </reference>
          <reference field="8" count="3">
            <x v="0"/>
            <x v="3"/>
            <x v="4"/>
          </reference>
          <reference field="15" count="1" selected="0">
            <x v="6"/>
          </reference>
          <reference field="16" count="1" selected="0">
            <x v="2"/>
          </reference>
        </references>
      </pivotArea>
    </format>
    <format dxfId="26274">
      <pivotArea dataOnly="0" labelOnly="1" outline="0" fieldPosition="0">
        <references count="5">
          <reference field="3" count="1" selected="0">
            <x v="2"/>
          </reference>
          <reference field="5" count="1" selected="0">
            <x v="0"/>
          </reference>
          <reference field="8" count="3">
            <x v="0"/>
            <x v="1"/>
            <x v="4"/>
          </reference>
          <reference field="15" count="1" selected="0">
            <x v="6"/>
          </reference>
          <reference field="16" count="1" selected="0">
            <x v="2"/>
          </reference>
        </references>
      </pivotArea>
    </format>
    <format dxfId="26275">
      <pivotArea dataOnly="0" labelOnly="1" outline="0" fieldPosition="0">
        <references count="5">
          <reference field="3" count="1" selected="0">
            <x v="2"/>
          </reference>
          <reference field="5" count="1" selected="0">
            <x v="1"/>
          </reference>
          <reference field="8" count="2">
            <x v="1"/>
            <x v="2"/>
          </reference>
          <reference field="15" count="1" selected="0">
            <x v="6"/>
          </reference>
          <reference field="16" count="1" selected="0">
            <x v="2"/>
          </reference>
        </references>
      </pivotArea>
    </format>
    <format dxfId="26276">
      <pivotArea dataOnly="0" labelOnly="1" outline="0" fieldPosition="0">
        <references count="5">
          <reference field="3" count="1" selected="0">
            <x v="2"/>
          </reference>
          <reference field="5" count="1" selected="0">
            <x v="2"/>
          </reference>
          <reference field="8" count="3">
            <x v="1"/>
            <x v="2"/>
            <x v="3"/>
          </reference>
          <reference field="15" count="1" selected="0">
            <x v="6"/>
          </reference>
          <reference field="16" count="1" selected="0">
            <x v="2"/>
          </reference>
        </references>
      </pivotArea>
    </format>
    <format dxfId="26277">
      <pivotArea dataOnly="0" labelOnly="1" outline="0" fieldPosition="0">
        <references count="5">
          <reference field="3" count="1" selected="0">
            <x v="3"/>
          </reference>
          <reference field="5" count="1" selected="0">
            <x v="0"/>
          </reference>
          <reference field="8" count="1">
            <x v="3"/>
          </reference>
          <reference field="15" count="1" selected="0">
            <x v="6"/>
          </reference>
          <reference field="16" count="1" selected="0">
            <x v="2"/>
          </reference>
        </references>
      </pivotArea>
    </format>
    <format dxfId="26278">
      <pivotArea dataOnly="0" labelOnly="1" outline="0" fieldPosition="0">
        <references count="5">
          <reference field="3" count="1" selected="0">
            <x v="3"/>
          </reference>
          <reference field="5" count="1" selected="0">
            <x v="1"/>
          </reference>
          <reference field="8" count="1">
            <x v="2"/>
          </reference>
          <reference field="15" count="1" selected="0">
            <x v="6"/>
          </reference>
          <reference field="16" count="1" selected="0">
            <x v="2"/>
          </reference>
        </references>
      </pivotArea>
    </format>
    <format dxfId="26279">
      <pivotArea dataOnly="0" labelOnly="1" outline="0" fieldPosition="0">
        <references count="5">
          <reference field="3" count="1" selected="0">
            <x v="3"/>
          </reference>
          <reference field="5" count="1" selected="0">
            <x v="2"/>
          </reference>
          <reference field="8" count="1">
            <x v="0"/>
          </reference>
          <reference field="15" count="1" selected="0">
            <x v="6"/>
          </reference>
          <reference field="16" count="1" selected="0">
            <x v="2"/>
          </reference>
        </references>
      </pivotArea>
    </format>
    <format dxfId="26280">
      <pivotArea dataOnly="0" labelOnly="1" outline="0" fieldPosition="0">
        <references count="5">
          <reference field="3" count="1" selected="0">
            <x v="3"/>
          </reference>
          <reference field="5" count="1" selected="0">
            <x v="3"/>
          </reference>
          <reference field="8" count="1">
            <x v="0"/>
          </reference>
          <reference field="15" count="1" selected="0">
            <x v="6"/>
          </reference>
          <reference field="16" count="1" selected="0">
            <x v="2"/>
          </reference>
        </references>
      </pivotArea>
    </format>
    <format dxfId="26281">
      <pivotArea dataOnly="0" labelOnly="1" outline="0" fieldPosition="0">
        <references count="5">
          <reference field="3" count="1" selected="0">
            <x v="4"/>
          </reference>
          <reference field="5" count="1" selected="0">
            <x v="0"/>
          </reference>
          <reference field="8" count="2">
            <x v="0"/>
            <x v="2"/>
          </reference>
          <reference field="15" count="1" selected="0">
            <x v="6"/>
          </reference>
          <reference field="16" count="1" selected="0">
            <x v="2"/>
          </reference>
        </references>
      </pivotArea>
    </format>
    <format dxfId="26282">
      <pivotArea dataOnly="0" labelOnly="1" outline="0" fieldPosition="0">
        <references count="5">
          <reference field="3" count="1" selected="0">
            <x v="4"/>
          </reference>
          <reference field="5" count="1" selected="0">
            <x v="1"/>
          </reference>
          <reference field="8" count="2">
            <x v="1"/>
            <x v="3"/>
          </reference>
          <reference field="15" count="1" selected="0">
            <x v="6"/>
          </reference>
          <reference field="16" count="1" selected="0">
            <x v="2"/>
          </reference>
        </references>
      </pivotArea>
    </format>
    <format dxfId="26283">
      <pivotArea dataOnly="0" labelOnly="1" outline="0" fieldPosition="0">
        <references count="5">
          <reference field="3" count="1" selected="0">
            <x v="4"/>
          </reference>
          <reference field="5" count="1" selected="0">
            <x v="2"/>
          </reference>
          <reference field="8" count="1">
            <x v="4"/>
          </reference>
          <reference field="15" count="1" selected="0">
            <x v="6"/>
          </reference>
          <reference field="16" count="1" selected="0">
            <x v="2"/>
          </reference>
        </references>
      </pivotArea>
    </format>
    <format dxfId="26284">
      <pivotArea dataOnly="0" labelOnly="1" outline="0" fieldPosition="0">
        <references count="5">
          <reference field="3" count="1" selected="0">
            <x v="0"/>
          </reference>
          <reference field="5" count="1" selected="0">
            <x v="0"/>
          </reference>
          <reference field="8" count="2">
            <x v="1"/>
            <x v="3"/>
          </reference>
          <reference field="15" count="1" selected="0">
            <x v="7"/>
          </reference>
          <reference field="16" count="1" selected="0">
            <x v="2"/>
          </reference>
        </references>
      </pivotArea>
    </format>
    <format dxfId="26285">
      <pivotArea dataOnly="0" labelOnly="1" outline="0" fieldPosition="0">
        <references count="5">
          <reference field="3" count="1" selected="0">
            <x v="1"/>
          </reference>
          <reference field="5" count="1" selected="0">
            <x v="0"/>
          </reference>
          <reference field="8" count="3">
            <x v="0"/>
            <x v="1"/>
            <x v="2"/>
          </reference>
          <reference field="15" count="1" selected="0">
            <x v="7"/>
          </reference>
          <reference field="16" count="1" selected="0">
            <x v="2"/>
          </reference>
        </references>
      </pivotArea>
    </format>
    <format dxfId="26286">
      <pivotArea dataOnly="0" labelOnly="1" outline="0" fieldPosition="0">
        <references count="5">
          <reference field="3" count="1" selected="0">
            <x v="1"/>
          </reference>
          <reference field="5" count="1" selected="0">
            <x v="1"/>
          </reference>
          <reference field="8" count="3">
            <x v="0"/>
            <x v="1"/>
            <x v="3"/>
          </reference>
          <reference field="15" count="1" selected="0">
            <x v="7"/>
          </reference>
          <reference field="16" count="1" selected="0">
            <x v="2"/>
          </reference>
        </references>
      </pivotArea>
    </format>
    <format dxfId="26287">
      <pivotArea dataOnly="0" labelOnly="1" outline="0" fieldPosition="0">
        <references count="5">
          <reference field="3" count="1" selected="0">
            <x v="1"/>
          </reference>
          <reference field="5" count="1" selected="0">
            <x v="2"/>
          </reference>
          <reference field="8" count="1">
            <x v="4"/>
          </reference>
          <reference field="15" count="1" selected="0">
            <x v="7"/>
          </reference>
          <reference field="16" count="1" selected="0">
            <x v="2"/>
          </reference>
        </references>
      </pivotArea>
    </format>
    <format dxfId="26288">
      <pivotArea dataOnly="0" labelOnly="1" outline="0" fieldPosition="0">
        <references count="5">
          <reference field="3" count="1" selected="0">
            <x v="2"/>
          </reference>
          <reference field="5" count="1" selected="0">
            <x v="0"/>
          </reference>
          <reference field="8" count="3">
            <x v="0"/>
            <x v="2"/>
            <x v="3"/>
          </reference>
          <reference field="15" count="1" selected="0">
            <x v="7"/>
          </reference>
          <reference field="16" count="1" selected="0">
            <x v="2"/>
          </reference>
        </references>
      </pivotArea>
    </format>
    <format dxfId="26289">
      <pivotArea dataOnly="0" labelOnly="1" outline="0" fieldPosition="0">
        <references count="5">
          <reference field="3" count="1" selected="0">
            <x v="2"/>
          </reference>
          <reference field="5" count="1" selected="0">
            <x v="1"/>
          </reference>
          <reference field="8" count="2">
            <x v="1"/>
            <x v="3"/>
          </reference>
          <reference field="15" count="1" selected="0">
            <x v="7"/>
          </reference>
          <reference field="16" count="1" selected="0">
            <x v="2"/>
          </reference>
        </references>
      </pivotArea>
    </format>
    <format dxfId="26290">
      <pivotArea dataOnly="0" labelOnly="1" outline="0" fieldPosition="0">
        <references count="5">
          <reference field="3" count="1" selected="0">
            <x v="2"/>
          </reference>
          <reference field="5" count="1" selected="0">
            <x v="2"/>
          </reference>
          <reference field="8" count="1">
            <x v="0"/>
          </reference>
          <reference field="15" count="1" selected="0">
            <x v="7"/>
          </reference>
          <reference field="16" count="1" selected="0">
            <x v="2"/>
          </reference>
        </references>
      </pivotArea>
    </format>
    <format dxfId="26291">
      <pivotArea dataOnly="0" labelOnly="1" outline="0" fieldPosition="0">
        <references count="5">
          <reference field="3" count="1" selected="0">
            <x v="2"/>
          </reference>
          <reference field="5" count="1" selected="0">
            <x v="3"/>
          </reference>
          <reference field="8" count="1">
            <x v="4"/>
          </reference>
          <reference field="15" count="1" selected="0">
            <x v="7"/>
          </reference>
          <reference field="16" count="1" selected="0">
            <x v="2"/>
          </reference>
        </references>
      </pivotArea>
    </format>
    <format dxfId="26292">
      <pivotArea dataOnly="0" labelOnly="1" outline="0" fieldPosition="0">
        <references count="5">
          <reference field="3" count="1" selected="0">
            <x v="3"/>
          </reference>
          <reference field="5" count="1" selected="0">
            <x v="0"/>
          </reference>
          <reference field="8" count="2">
            <x v="0"/>
            <x v="1"/>
          </reference>
          <reference field="15" count="1" selected="0">
            <x v="7"/>
          </reference>
          <reference field="16" count="1" selected="0">
            <x v="2"/>
          </reference>
        </references>
      </pivotArea>
    </format>
    <format dxfId="26293">
      <pivotArea dataOnly="0" labelOnly="1" outline="0" fieldPosition="0">
        <references count="5">
          <reference field="3" count="1" selected="0">
            <x v="3"/>
          </reference>
          <reference field="5" count="1" selected="0">
            <x v="1"/>
          </reference>
          <reference field="8" count="3">
            <x v="0"/>
            <x v="1"/>
            <x v="3"/>
          </reference>
          <reference field="15" count="1" selected="0">
            <x v="7"/>
          </reference>
          <reference field="16" count="1" selected="0">
            <x v="2"/>
          </reference>
        </references>
      </pivotArea>
    </format>
    <format dxfId="26294">
      <pivotArea dataOnly="0" labelOnly="1" outline="0" fieldPosition="0">
        <references count="5">
          <reference field="3" count="1" selected="0">
            <x v="4"/>
          </reference>
          <reference field="5" count="1" selected="0">
            <x v="0"/>
          </reference>
          <reference field="8" count="3">
            <x v="1"/>
            <x v="3"/>
            <x v="4"/>
          </reference>
          <reference field="15" count="1" selected="0">
            <x v="7"/>
          </reference>
          <reference field="16" count="1" selected="0">
            <x v="2"/>
          </reference>
        </references>
      </pivotArea>
    </format>
    <format dxfId="26295">
      <pivotArea dataOnly="0" labelOnly="1" outline="0" fieldPosition="0">
        <references count="5">
          <reference field="3" count="1" selected="0">
            <x v="4"/>
          </reference>
          <reference field="5" count="1" selected="0">
            <x v="1"/>
          </reference>
          <reference field="8" count="1">
            <x v="4"/>
          </reference>
          <reference field="15" count="1" selected="0">
            <x v="7"/>
          </reference>
          <reference field="16" count="1" selected="0">
            <x v="2"/>
          </reference>
        </references>
      </pivotArea>
    </format>
    <format dxfId="26296">
      <pivotArea dataOnly="0" labelOnly="1" outline="0" fieldPosition="0">
        <references count="5">
          <reference field="3" count="1" selected="0">
            <x v="0"/>
          </reference>
          <reference field="5" count="1" selected="0">
            <x v="2"/>
          </reference>
          <reference field="8" count="2">
            <x v="3"/>
            <x v="4"/>
          </reference>
          <reference field="15" count="1" selected="0">
            <x v="8"/>
          </reference>
          <reference field="16" count="1" selected="0">
            <x v="2"/>
          </reference>
        </references>
      </pivotArea>
    </format>
    <format dxfId="26297">
      <pivotArea dataOnly="0" labelOnly="1" outline="0" fieldPosition="0">
        <references count="5">
          <reference field="3" count="1" selected="0">
            <x v="0"/>
          </reference>
          <reference field="5" count="1" selected="0">
            <x v="3"/>
          </reference>
          <reference field="8" count="1">
            <x v="4"/>
          </reference>
          <reference field="15" count="1" selected="0">
            <x v="8"/>
          </reference>
          <reference field="16" count="1" selected="0">
            <x v="2"/>
          </reference>
        </references>
      </pivotArea>
    </format>
    <format dxfId="26298">
      <pivotArea dataOnly="0" labelOnly="1" outline="0" fieldPosition="0">
        <references count="5">
          <reference field="3" count="1" selected="0">
            <x v="1"/>
          </reference>
          <reference field="5" count="1" selected="0">
            <x v="0"/>
          </reference>
          <reference field="8" count="2">
            <x v="0"/>
            <x v="3"/>
          </reference>
          <reference field="15" count="1" selected="0">
            <x v="8"/>
          </reference>
          <reference field="16" count="1" selected="0">
            <x v="2"/>
          </reference>
        </references>
      </pivotArea>
    </format>
    <format dxfId="26299">
      <pivotArea dataOnly="0" labelOnly="1" outline="0" fieldPosition="0">
        <references count="5">
          <reference field="3" count="1" selected="0">
            <x v="1"/>
          </reference>
          <reference field="5" count="1" selected="0">
            <x v="1"/>
          </reference>
          <reference field="8" count="2">
            <x v="0"/>
            <x v="1"/>
          </reference>
          <reference field="15" count="1" selected="0">
            <x v="8"/>
          </reference>
          <reference field="16" count="1" selected="0">
            <x v="2"/>
          </reference>
        </references>
      </pivotArea>
    </format>
    <format dxfId="26300">
      <pivotArea dataOnly="0" labelOnly="1" outline="0" fieldPosition="0">
        <references count="5">
          <reference field="3" count="1" selected="0">
            <x v="1"/>
          </reference>
          <reference field="5" count="1" selected="0">
            <x v="2"/>
          </reference>
          <reference field="8" count="1">
            <x v="1"/>
          </reference>
          <reference field="15" count="1" selected="0">
            <x v="8"/>
          </reference>
          <reference field="16" count="1" selected="0">
            <x v="2"/>
          </reference>
        </references>
      </pivotArea>
    </format>
    <format dxfId="26301">
      <pivotArea dataOnly="0" labelOnly="1" outline="0" fieldPosition="0">
        <references count="5">
          <reference field="3" count="1" selected="0">
            <x v="1"/>
          </reference>
          <reference field="5" count="1" selected="0">
            <x v="3"/>
          </reference>
          <reference field="8" count="2">
            <x v="1"/>
            <x v="4"/>
          </reference>
          <reference field="15" count="1" selected="0">
            <x v="8"/>
          </reference>
          <reference field="16" count="1" selected="0">
            <x v="2"/>
          </reference>
        </references>
      </pivotArea>
    </format>
    <format dxfId="26302">
      <pivotArea dataOnly="0" labelOnly="1" outline="0" fieldPosition="0">
        <references count="5">
          <reference field="3" count="1" selected="0">
            <x v="2"/>
          </reference>
          <reference field="5" count="1" selected="0">
            <x v="0"/>
          </reference>
          <reference field="8" count="3">
            <x v="1"/>
            <x v="3"/>
            <x v="4"/>
          </reference>
          <reference field="15" count="1" selected="0">
            <x v="8"/>
          </reference>
          <reference field="16" count="1" selected="0">
            <x v="2"/>
          </reference>
        </references>
      </pivotArea>
    </format>
    <format dxfId="26303">
      <pivotArea dataOnly="0" labelOnly="1" outline="0" fieldPosition="0">
        <references count="5">
          <reference field="3" count="1" selected="0">
            <x v="2"/>
          </reference>
          <reference field="5" count="1" selected="0">
            <x v="1"/>
          </reference>
          <reference field="8" count="3">
            <x v="0"/>
            <x v="1"/>
            <x v="2"/>
          </reference>
          <reference field="15" count="1" selected="0">
            <x v="8"/>
          </reference>
          <reference field="16" count="1" selected="0">
            <x v="2"/>
          </reference>
        </references>
      </pivotArea>
    </format>
    <format dxfId="26304">
      <pivotArea dataOnly="0" labelOnly="1" outline="0" fieldPosition="0">
        <references count="5">
          <reference field="3" count="1" selected="0">
            <x v="2"/>
          </reference>
          <reference field="5" count="1" selected="0">
            <x v="2"/>
          </reference>
          <reference field="8" count="2">
            <x v="1"/>
            <x v="2"/>
          </reference>
          <reference field="15" count="1" selected="0">
            <x v="8"/>
          </reference>
          <reference field="16" count="1" selected="0">
            <x v="2"/>
          </reference>
        </references>
      </pivotArea>
    </format>
    <format dxfId="26305">
      <pivotArea dataOnly="0" labelOnly="1" outline="0" fieldPosition="0">
        <references count="5">
          <reference field="3" count="1" selected="0">
            <x v="2"/>
          </reference>
          <reference field="5" count="1" selected="0">
            <x v="3"/>
          </reference>
          <reference field="8" count="1">
            <x v="4"/>
          </reference>
          <reference field="15" count="1" selected="0">
            <x v="8"/>
          </reference>
          <reference field="16" count="1" selected="0">
            <x v="2"/>
          </reference>
        </references>
      </pivotArea>
    </format>
    <format dxfId="26306">
      <pivotArea dataOnly="0" labelOnly="1" outline="0" fieldPosition="0">
        <references count="5">
          <reference field="3" count="1" selected="0">
            <x v="3"/>
          </reference>
          <reference field="5" count="1" selected="0">
            <x v="0"/>
          </reference>
          <reference field="8" count="2">
            <x v="1"/>
            <x v="2"/>
          </reference>
          <reference field="15" count="1" selected="0">
            <x v="8"/>
          </reference>
          <reference field="16" count="1" selected="0">
            <x v="2"/>
          </reference>
        </references>
      </pivotArea>
    </format>
    <format dxfId="26307">
      <pivotArea dataOnly="0" labelOnly="1" outline="0" fieldPosition="0">
        <references count="5">
          <reference field="3" count="1" selected="0">
            <x v="3"/>
          </reference>
          <reference field="5" count="1" selected="0">
            <x v="2"/>
          </reference>
          <reference field="8" count="1">
            <x v="1"/>
          </reference>
          <reference field="15" count="1" selected="0">
            <x v="8"/>
          </reference>
          <reference field="16" count="1" selected="0">
            <x v="2"/>
          </reference>
        </references>
      </pivotArea>
    </format>
    <format dxfId="26308">
      <pivotArea dataOnly="0" labelOnly="1" outline="0" fieldPosition="0">
        <references count="5">
          <reference field="3" count="1" selected="0">
            <x v="3"/>
          </reference>
          <reference field="5" count="1" selected="0">
            <x v="3"/>
          </reference>
          <reference field="8" count="1">
            <x v="1"/>
          </reference>
          <reference field="15" count="1" selected="0">
            <x v="8"/>
          </reference>
          <reference field="16" count="1" selected="0">
            <x v="2"/>
          </reference>
        </references>
      </pivotArea>
    </format>
    <format dxfId="26309">
      <pivotArea dataOnly="0" labelOnly="1" outline="0" fieldPosition="0">
        <references count="5">
          <reference field="3" count="1" selected="0">
            <x v="4"/>
          </reference>
          <reference field="5" count="1" selected="0">
            <x v="0"/>
          </reference>
          <reference field="8" count="3">
            <x v="0"/>
            <x v="1"/>
            <x v="2"/>
          </reference>
          <reference field="15" count="1" selected="0">
            <x v="8"/>
          </reference>
          <reference field="16" count="1" selected="0">
            <x v="2"/>
          </reference>
        </references>
      </pivotArea>
    </format>
    <format dxfId="26310">
      <pivotArea dataOnly="0" labelOnly="1" outline="0" fieldPosition="0">
        <references count="5">
          <reference field="3" count="1" selected="0">
            <x v="4"/>
          </reference>
          <reference field="5" count="1" selected="0">
            <x v="3"/>
          </reference>
          <reference field="8" count="1">
            <x v="1"/>
          </reference>
          <reference field="15" count="1" selected="0">
            <x v="8"/>
          </reference>
          <reference field="16" count="1" selected="0">
            <x v="2"/>
          </reference>
        </references>
      </pivotArea>
    </format>
    <format dxfId="26311">
      <pivotArea dataOnly="0" labelOnly="1" outline="0" fieldPosition="0">
        <references count="5">
          <reference field="3" count="1" selected="0">
            <x v="0"/>
          </reference>
          <reference field="5" count="1" selected="0">
            <x v="0"/>
          </reference>
          <reference field="8" count="1">
            <x v="0"/>
          </reference>
          <reference field="15" count="1" selected="0">
            <x v="9"/>
          </reference>
          <reference field="16" count="1" selected="0">
            <x v="2"/>
          </reference>
        </references>
      </pivotArea>
    </format>
    <format dxfId="26312">
      <pivotArea dataOnly="0" labelOnly="1" outline="0" fieldPosition="0">
        <references count="5">
          <reference field="3" count="1" selected="0">
            <x v="1"/>
          </reference>
          <reference field="5" count="1" selected="0">
            <x v="0"/>
          </reference>
          <reference field="8" count="3">
            <x v="0"/>
            <x v="2"/>
            <x v="3"/>
          </reference>
          <reference field="15" count="1" selected="0">
            <x v="9"/>
          </reference>
          <reference field="16" count="1" selected="0">
            <x v="2"/>
          </reference>
        </references>
      </pivotArea>
    </format>
    <format dxfId="26313">
      <pivotArea dataOnly="0" labelOnly="1" outline="0" fieldPosition="0">
        <references count="5">
          <reference field="3" count="1" selected="0">
            <x v="1"/>
          </reference>
          <reference field="5" count="1" selected="0">
            <x v="1"/>
          </reference>
          <reference field="8" count="4">
            <x v="0"/>
            <x v="1"/>
            <x v="2"/>
            <x v="4"/>
          </reference>
          <reference field="15" count="1" selected="0">
            <x v="9"/>
          </reference>
          <reference field="16" count="1" selected="0">
            <x v="2"/>
          </reference>
        </references>
      </pivotArea>
    </format>
    <format dxfId="26314">
      <pivotArea dataOnly="0" labelOnly="1" outline="0" fieldPosition="0">
        <references count="5">
          <reference field="3" count="1" selected="0">
            <x v="1"/>
          </reference>
          <reference field="5" count="1" selected="0">
            <x v="3"/>
          </reference>
          <reference field="8" count="1">
            <x v="1"/>
          </reference>
          <reference field="15" count="1" selected="0">
            <x v="9"/>
          </reference>
          <reference field="16" count="1" selected="0">
            <x v="2"/>
          </reference>
        </references>
      </pivotArea>
    </format>
    <format dxfId="26315">
      <pivotArea dataOnly="0" labelOnly="1" outline="0" fieldPosition="0">
        <references count="5">
          <reference field="3" count="1" selected="0">
            <x v="2"/>
          </reference>
          <reference field="5" count="1" selected="0">
            <x v="0"/>
          </reference>
          <reference field="8" count="4">
            <x v="0"/>
            <x v="1"/>
            <x v="2"/>
            <x v="3"/>
          </reference>
          <reference field="15" count="1" selected="0">
            <x v="9"/>
          </reference>
          <reference field="16" count="1" selected="0">
            <x v="2"/>
          </reference>
        </references>
      </pivotArea>
    </format>
    <format dxfId="26316">
      <pivotArea dataOnly="0" labelOnly="1" outline="0" fieldPosition="0">
        <references count="5">
          <reference field="3" count="1" selected="0">
            <x v="2"/>
          </reference>
          <reference field="5" count="1" selected="0">
            <x v="1"/>
          </reference>
          <reference field="8" count="2">
            <x v="2"/>
            <x v="4"/>
          </reference>
          <reference field="15" count="1" selected="0">
            <x v="9"/>
          </reference>
          <reference field="16" count="1" selected="0">
            <x v="2"/>
          </reference>
        </references>
      </pivotArea>
    </format>
    <format dxfId="26317">
      <pivotArea dataOnly="0" labelOnly="1" outline="0" fieldPosition="0">
        <references count="5">
          <reference field="3" count="1" selected="0">
            <x v="2"/>
          </reference>
          <reference field="5" count="1" selected="0">
            <x v="2"/>
          </reference>
          <reference field="8" count="1">
            <x v="3"/>
          </reference>
          <reference field="15" count="1" selected="0">
            <x v="9"/>
          </reference>
          <reference field="16" count="1" selected="0">
            <x v="2"/>
          </reference>
        </references>
      </pivotArea>
    </format>
    <format dxfId="26318">
      <pivotArea dataOnly="0" labelOnly="1" outline="0" fieldPosition="0">
        <references count="5">
          <reference field="3" count="1" selected="0">
            <x v="3"/>
          </reference>
          <reference field="5" count="1" selected="0">
            <x v="0"/>
          </reference>
          <reference field="8" count="1">
            <x v="3"/>
          </reference>
          <reference field="15" count="1" selected="0">
            <x v="9"/>
          </reference>
          <reference field="16" count="1" selected="0">
            <x v="2"/>
          </reference>
        </references>
      </pivotArea>
    </format>
    <format dxfId="26319">
      <pivotArea dataOnly="0" labelOnly="1" outline="0" fieldPosition="0">
        <references count="5">
          <reference field="3" count="1" selected="0">
            <x v="3"/>
          </reference>
          <reference field="5" count="1" selected="0">
            <x v="1"/>
          </reference>
          <reference field="8" count="1">
            <x v="2"/>
          </reference>
          <reference field="15" count="1" selected="0">
            <x v="9"/>
          </reference>
          <reference field="16" count="1" selected="0">
            <x v="2"/>
          </reference>
        </references>
      </pivotArea>
    </format>
    <format dxfId="26320">
      <pivotArea dataOnly="0" labelOnly="1" outline="0" fieldPosition="0">
        <references count="5">
          <reference field="3" count="1" selected="0">
            <x v="4"/>
          </reference>
          <reference field="5" count="1" selected="0">
            <x v="0"/>
          </reference>
          <reference field="8" count="4">
            <x v="1"/>
            <x v="2"/>
            <x v="3"/>
            <x v="4"/>
          </reference>
          <reference field="15" count="1" selected="0">
            <x v="9"/>
          </reference>
          <reference field="16" count="1" selected="0">
            <x v="2"/>
          </reference>
        </references>
      </pivotArea>
    </format>
    <format dxfId="26321">
      <pivotArea dataOnly="0" labelOnly="1" outline="0" fieldPosition="0">
        <references count="5">
          <reference field="3" count="1" selected="0">
            <x v="4"/>
          </reference>
          <reference field="5" count="1" selected="0">
            <x v="1"/>
          </reference>
          <reference field="8" count="3">
            <x v="1"/>
            <x v="3"/>
            <x v="4"/>
          </reference>
          <reference field="15" count="1" selected="0">
            <x v="9"/>
          </reference>
          <reference field="16" count="1" selected="0">
            <x v="2"/>
          </reference>
        </references>
      </pivotArea>
    </format>
    <format dxfId="26322">
      <pivotArea dataOnly="0" labelOnly="1" outline="0" fieldPosition="0">
        <references count="5">
          <reference field="3" count="1" selected="0">
            <x v="4"/>
          </reference>
          <reference field="5" count="1" selected="0">
            <x v="2"/>
          </reference>
          <reference field="8" count="1">
            <x v="1"/>
          </reference>
          <reference field="15" count="1" selected="0">
            <x v="9"/>
          </reference>
          <reference field="16" count="1" selected="0">
            <x v="2"/>
          </reference>
        </references>
      </pivotArea>
    </format>
    <format dxfId="26323">
      <pivotArea dataOnly="0" labelOnly="1" outline="0" fieldPosition="0">
        <references count="5">
          <reference field="3" count="1" selected="0">
            <x v="0"/>
          </reference>
          <reference field="5" count="1" selected="0">
            <x v="0"/>
          </reference>
          <reference field="8" count="1">
            <x v="3"/>
          </reference>
          <reference field="15" count="1" selected="0">
            <x v="10"/>
          </reference>
          <reference field="16" count="1" selected="0">
            <x v="2"/>
          </reference>
        </references>
      </pivotArea>
    </format>
    <format dxfId="26324">
      <pivotArea dataOnly="0" labelOnly="1" outline="0" fieldPosition="0">
        <references count="5">
          <reference field="3" count="1" selected="0">
            <x v="1"/>
          </reference>
          <reference field="5" count="1" selected="0">
            <x v="0"/>
          </reference>
          <reference field="8" count="3">
            <x v="0"/>
            <x v="1"/>
            <x v="2"/>
          </reference>
          <reference field="15" count="1" selected="0">
            <x v="10"/>
          </reference>
          <reference field="16" count="1" selected="0">
            <x v="2"/>
          </reference>
        </references>
      </pivotArea>
    </format>
    <format dxfId="26325">
      <pivotArea dataOnly="0" labelOnly="1" outline="0" fieldPosition="0">
        <references count="5">
          <reference field="3" count="1" selected="0">
            <x v="1"/>
          </reference>
          <reference field="5" count="1" selected="0">
            <x v="1"/>
          </reference>
          <reference field="8" count="1">
            <x v="4"/>
          </reference>
          <reference field="15" count="1" selected="0">
            <x v="10"/>
          </reference>
          <reference field="16" count="1" selected="0">
            <x v="2"/>
          </reference>
        </references>
      </pivotArea>
    </format>
    <format dxfId="26326">
      <pivotArea dataOnly="0" labelOnly="1" outline="0" fieldPosition="0">
        <references count="5">
          <reference field="3" count="1" selected="0">
            <x v="1"/>
          </reference>
          <reference field="5" count="1" selected="0">
            <x v="2"/>
          </reference>
          <reference field="8" count="3">
            <x v="1"/>
            <x v="2"/>
            <x v="3"/>
          </reference>
          <reference field="15" count="1" selected="0">
            <x v="10"/>
          </reference>
          <reference field="16" count="1" selected="0">
            <x v="2"/>
          </reference>
        </references>
      </pivotArea>
    </format>
    <format dxfId="26327">
      <pivotArea dataOnly="0" labelOnly="1" outline="0" fieldPosition="0">
        <references count="5">
          <reference field="3" count="1" selected="0">
            <x v="1"/>
          </reference>
          <reference field="5" count="1" selected="0">
            <x v="3"/>
          </reference>
          <reference field="8" count="1">
            <x v="4"/>
          </reference>
          <reference field="15" count="1" selected="0">
            <x v="10"/>
          </reference>
          <reference field="16" count="1" selected="0">
            <x v="2"/>
          </reference>
        </references>
      </pivotArea>
    </format>
    <format dxfId="26328">
      <pivotArea dataOnly="0" labelOnly="1" outline="0" fieldPosition="0">
        <references count="5">
          <reference field="3" count="1" selected="0">
            <x v="2"/>
          </reference>
          <reference field="5" count="1" selected="0">
            <x v="0"/>
          </reference>
          <reference field="8" count="3">
            <x v="1"/>
            <x v="2"/>
            <x v="3"/>
          </reference>
          <reference field="15" count="1" selected="0">
            <x v="10"/>
          </reference>
          <reference field="16" count="1" selected="0">
            <x v="2"/>
          </reference>
        </references>
      </pivotArea>
    </format>
    <format dxfId="26329">
      <pivotArea dataOnly="0" labelOnly="1" outline="0" fieldPosition="0">
        <references count="5">
          <reference field="3" count="1" selected="0">
            <x v="2"/>
          </reference>
          <reference field="5" count="1" selected="0">
            <x v="1"/>
          </reference>
          <reference field="8" count="1">
            <x v="3"/>
          </reference>
          <reference field="15" count="1" selected="0">
            <x v="10"/>
          </reference>
          <reference field="16" count="1" selected="0">
            <x v="2"/>
          </reference>
        </references>
      </pivotArea>
    </format>
    <format dxfId="26330">
      <pivotArea dataOnly="0" labelOnly="1" outline="0" fieldPosition="0">
        <references count="5">
          <reference field="3" count="1" selected="0">
            <x v="3"/>
          </reference>
          <reference field="5" count="1" selected="0">
            <x v="0"/>
          </reference>
          <reference field="8" count="2">
            <x v="2"/>
            <x v="3"/>
          </reference>
          <reference field="15" count="1" selected="0">
            <x v="10"/>
          </reference>
          <reference field="16" count="1" selected="0">
            <x v="2"/>
          </reference>
        </references>
      </pivotArea>
    </format>
    <format dxfId="26331">
      <pivotArea dataOnly="0" labelOnly="1" outline="0" fieldPosition="0">
        <references count="5">
          <reference field="3" count="1" selected="0">
            <x v="3"/>
          </reference>
          <reference field="5" count="1" selected="0">
            <x v="1"/>
          </reference>
          <reference field="8" count="2">
            <x v="0"/>
            <x v="1"/>
          </reference>
          <reference field="15" count="1" selected="0">
            <x v="10"/>
          </reference>
          <reference field="16" count="1" selected="0">
            <x v="2"/>
          </reference>
        </references>
      </pivotArea>
    </format>
    <format dxfId="26332">
      <pivotArea dataOnly="0" labelOnly="1" outline="0" fieldPosition="0">
        <references count="5">
          <reference field="3" count="1" selected="0">
            <x v="3"/>
          </reference>
          <reference field="5" count="1" selected="0">
            <x v="2"/>
          </reference>
          <reference field="8" count="1">
            <x v="3"/>
          </reference>
          <reference field="15" count="1" selected="0">
            <x v="10"/>
          </reference>
          <reference field="16" count="1" selected="0">
            <x v="2"/>
          </reference>
        </references>
      </pivotArea>
    </format>
    <format dxfId="26333">
      <pivotArea dataOnly="0" labelOnly="1" outline="0" fieldPosition="0">
        <references count="5">
          <reference field="3" count="1" selected="0">
            <x v="3"/>
          </reference>
          <reference field="5" count="1" selected="0">
            <x v="3"/>
          </reference>
          <reference field="8" count="1">
            <x v="3"/>
          </reference>
          <reference field="15" count="1" selected="0">
            <x v="10"/>
          </reference>
          <reference field="16" count="1" selected="0">
            <x v="2"/>
          </reference>
        </references>
      </pivotArea>
    </format>
    <format dxfId="26334">
      <pivotArea dataOnly="0" labelOnly="1" outline="0" fieldPosition="0">
        <references count="5">
          <reference field="3" count="1" selected="0">
            <x v="4"/>
          </reference>
          <reference field="5" count="1" selected="0">
            <x v="0"/>
          </reference>
          <reference field="8" count="2">
            <x v="3"/>
            <x v="4"/>
          </reference>
          <reference field="15" count="1" selected="0">
            <x v="10"/>
          </reference>
          <reference field="16" count="1" selected="0">
            <x v="2"/>
          </reference>
        </references>
      </pivotArea>
    </format>
    <format dxfId="26335">
      <pivotArea dataOnly="0" labelOnly="1" outline="0" fieldPosition="0">
        <references count="5">
          <reference field="3" count="1" selected="0">
            <x v="4"/>
          </reference>
          <reference field="5" count="1" selected="0">
            <x v="1"/>
          </reference>
          <reference field="8" count="2">
            <x v="2"/>
            <x v="4"/>
          </reference>
          <reference field="15" count="1" selected="0">
            <x v="10"/>
          </reference>
          <reference field="16" count="1" selected="0">
            <x v="2"/>
          </reference>
        </references>
      </pivotArea>
    </format>
    <format dxfId="26336">
      <pivotArea dataOnly="0" labelOnly="1" outline="0" fieldPosition="0">
        <references count="5">
          <reference field="3" count="1" selected="0">
            <x v="4"/>
          </reference>
          <reference field="5" count="1" selected="0">
            <x v="2"/>
          </reference>
          <reference field="8" count="1">
            <x v="3"/>
          </reference>
          <reference field="15" count="1" selected="0">
            <x v="10"/>
          </reference>
          <reference field="16" count="1" selected="0">
            <x v="2"/>
          </reference>
        </references>
      </pivotArea>
    </format>
    <format dxfId="26337">
      <pivotArea dataOnly="0" labelOnly="1" outline="0" fieldPosition="0">
        <references count="5">
          <reference field="3" count="1" selected="0">
            <x v="0"/>
          </reference>
          <reference field="5" count="1" selected="0">
            <x v="0"/>
          </reference>
          <reference field="8" count="2">
            <x v="2"/>
            <x v="3"/>
          </reference>
          <reference field="15" count="1" selected="0">
            <x v="11"/>
          </reference>
          <reference field="16" count="1" selected="0">
            <x v="2"/>
          </reference>
        </references>
      </pivotArea>
    </format>
    <format dxfId="26338">
      <pivotArea dataOnly="0" labelOnly="1" outline="0" fieldPosition="0">
        <references count="5">
          <reference field="3" count="1" selected="0">
            <x v="1"/>
          </reference>
          <reference field="5" count="1" selected="0">
            <x v="0"/>
          </reference>
          <reference field="8" count="0"/>
          <reference field="15" count="1" selected="0">
            <x v="11"/>
          </reference>
          <reference field="16" count="1" selected="0">
            <x v="2"/>
          </reference>
        </references>
      </pivotArea>
    </format>
    <format dxfId="26339">
      <pivotArea dataOnly="0" labelOnly="1" outline="0" fieldPosition="0">
        <references count="5">
          <reference field="3" count="1" selected="0">
            <x v="1"/>
          </reference>
          <reference field="5" count="1" selected="0">
            <x v="1"/>
          </reference>
          <reference field="8" count="1">
            <x v="2"/>
          </reference>
          <reference field="15" count="1" selected="0">
            <x v="11"/>
          </reference>
          <reference field="16" count="1" selected="0">
            <x v="2"/>
          </reference>
        </references>
      </pivotArea>
    </format>
    <format dxfId="26340">
      <pivotArea dataOnly="0" labelOnly="1" outline="0" fieldPosition="0">
        <references count="5">
          <reference field="3" count="1" selected="0">
            <x v="1"/>
          </reference>
          <reference field="5" count="1" selected="0">
            <x v="2"/>
          </reference>
          <reference field="8" count="1">
            <x v="0"/>
          </reference>
          <reference field="15" count="1" selected="0">
            <x v="11"/>
          </reference>
          <reference field="16" count="1" selected="0">
            <x v="2"/>
          </reference>
        </references>
      </pivotArea>
    </format>
    <format dxfId="26341">
      <pivotArea dataOnly="0" labelOnly="1" outline="0" fieldPosition="0">
        <references count="5">
          <reference field="3" count="1" selected="0">
            <x v="1"/>
          </reference>
          <reference field="5" count="1" selected="0">
            <x v="3"/>
          </reference>
          <reference field="8" count="1">
            <x v="1"/>
          </reference>
          <reference field="15" count="1" selected="0">
            <x v="11"/>
          </reference>
          <reference field="16" count="1" selected="0">
            <x v="2"/>
          </reference>
        </references>
      </pivotArea>
    </format>
    <format dxfId="26342">
      <pivotArea dataOnly="0" labelOnly="1" outline="0" fieldPosition="0">
        <references count="5">
          <reference field="3" count="1" selected="0">
            <x v="2"/>
          </reference>
          <reference field="5" count="1" selected="0">
            <x v="0"/>
          </reference>
          <reference field="8" count="3">
            <x v="0"/>
            <x v="2"/>
            <x v="3"/>
          </reference>
          <reference field="15" count="1" selected="0">
            <x v="11"/>
          </reference>
          <reference field="16" count="1" selected="0">
            <x v="2"/>
          </reference>
        </references>
      </pivotArea>
    </format>
    <format dxfId="26343">
      <pivotArea dataOnly="0" labelOnly="1" outline="0" fieldPosition="0">
        <references count="5">
          <reference field="3" count="1" selected="0">
            <x v="2"/>
          </reference>
          <reference field="5" count="1" selected="0">
            <x v="2"/>
          </reference>
          <reference field="8" count="1">
            <x v="1"/>
          </reference>
          <reference field="15" count="1" selected="0">
            <x v="11"/>
          </reference>
          <reference field="16" count="1" selected="0">
            <x v="2"/>
          </reference>
        </references>
      </pivotArea>
    </format>
    <format dxfId="26344">
      <pivotArea dataOnly="0" labelOnly="1" outline="0" fieldPosition="0">
        <references count="5">
          <reference field="3" count="1" selected="0">
            <x v="3"/>
          </reference>
          <reference field="5" count="1" selected="0">
            <x v="0"/>
          </reference>
          <reference field="8" count="2">
            <x v="1"/>
            <x v="2"/>
          </reference>
          <reference field="15" count="1" selected="0">
            <x v="11"/>
          </reference>
          <reference field="16" count="1" selected="0">
            <x v="2"/>
          </reference>
        </references>
      </pivotArea>
    </format>
    <format dxfId="26345">
      <pivotArea dataOnly="0" labelOnly="1" outline="0" fieldPosition="0">
        <references count="5">
          <reference field="3" count="1" selected="0">
            <x v="3"/>
          </reference>
          <reference field="5" count="1" selected="0">
            <x v="2"/>
          </reference>
          <reference field="8" count="1">
            <x v="0"/>
          </reference>
          <reference field="15" count="1" selected="0">
            <x v="11"/>
          </reference>
          <reference field="16" count="1" selected="0">
            <x v="2"/>
          </reference>
        </references>
      </pivotArea>
    </format>
    <format dxfId="26346">
      <pivotArea dataOnly="0" labelOnly="1" outline="0" fieldPosition="0">
        <references count="5">
          <reference field="3" count="1" selected="0">
            <x v="4"/>
          </reference>
          <reference field="5" count="1" selected="0">
            <x v="0"/>
          </reference>
          <reference field="8" count="3">
            <x v="0"/>
            <x v="1"/>
            <x v="4"/>
          </reference>
          <reference field="15" count="1" selected="0">
            <x v="11"/>
          </reference>
          <reference field="16" count="1" selected="0">
            <x v="2"/>
          </reference>
        </references>
      </pivotArea>
    </format>
    <format dxfId="26347">
      <pivotArea dataOnly="0" labelOnly="1" outline="0" fieldPosition="0">
        <references count="5">
          <reference field="3" count="1" selected="0">
            <x v="4"/>
          </reference>
          <reference field="5" count="1" selected="0">
            <x v="1"/>
          </reference>
          <reference field="8" count="1">
            <x v="2"/>
          </reference>
          <reference field="15" count="1" selected="0">
            <x v="11"/>
          </reference>
          <reference field="16" count="1" selected="0">
            <x v="2"/>
          </reference>
        </references>
      </pivotArea>
    </format>
    <format dxfId="26348">
      <pivotArea dataOnly="0" labelOnly="1" outline="0" fieldPosition="0">
        <references count="5">
          <reference field="3" count="1" selected="0">
            <x v="1"/>
          </reference>
          <reference field="5" count="1" selected="0">
            <x v="0"/>
          </reference>
          <reference field="8" count="0"/>
          <reference field="15" count="1" selected="0">
            <x v="0"/>
          </reference>
          <reference field="16" count="1" selected="0">
            <x v="3"/>
          </reference>
        </references>
      </pivotArea>
    </format>
    <format dxfId="26349">
      <pivotArea dataOnly="0" labelOnly="1" outline="0" fieldPosition="0">
        <references count="5">
          <reference field="3" count="1" selected="0">
            <x v="1"/>
          </reference>
          <reference field="5" count="1" selected="0">
            <x v="1"/>
          </reference>
          <reference field="8" count="2">
            <x v="0"/>
            <x v="3"/>
          </reference>
          <reference field="15" count="1" selected="0">
            <x v="0"/>
          </reference>
          <reference field="16" count="1" selected="0">
            <x v="3"/>
          </reference>
        </references>
      </pivotArea>
    </format>
    <format dxfId="26350">
      <pivotArea dataOnly="0" labelOnly="1" outline="0" fieldPosition="0">
        <references count="5">
          <reference field="3" count="1" selected="0">
            <x v="1"/>
          </reference>
          <reference field="5" count="1" selected="0">
            <x v="2"/>
          </reference>
          <reference field="8" count="2">
            <x v="0"/>
            <x v="3"/>
          </reference>
          <reference field="15" count="1" selected="0">
            <x v="0"/>
          </reference>
          <reference field="16" count="1" selected="0">
            <x v="3"/>
          </reference>
        </references>
      </pivotArea>
    </format>
    <format dxfId="26351">
      <pivotArea dataOnly="0" labelOnly="1" outline="0" fieldPosition="0">
        <references count="5">
          <reference field="3" count="1" selected="0">
            <x v="1"/>
          </reference>
          <reference field="5" count="1" selected="0">
            <x v="3"/>
          </reference>
          <reference field="8" count="2">
            <x v="1"/>
            <x v="2"/>
          </reference>
          <reference field="15" count="1" selected="0">
            <x v="0"/>
          </reference>
          <reference field="16" count="1" selected="0">
            <x v="3"/>
          </reference>
        </references>
      </pivotArea>
    </format>
    <format dxfId="26352">
      <pivotArea dataOnly="0" labelOnly="1" outline="0" fieldPosition="0">
        <references count="5">
          <reference field="3" count="1" selected="0">
            <x v="2"/>
          </reference>
          <reference field="5" count="1" selected="0">
            <x v="0"/>
          </reference>
          <reference field="8" count="3">
            <x v="0"/>
            <x v="1"/>
            <x v="3"/>
          </reference>
          <reference field="15" count="1" selected="0">
            <x v="0"/>
          </reference>
          <reference field="16" count="1" selected="0">
            <x v="3"/>
          </reference>
        </references>
      </pivotArea>
    </format>
    <format dxfId="26353">
      <pivotArea dataOnly="0" labelOnly="1" outline="0" fieldPosition="0">
        <references count="5">
          <reference field="3" count="1" selected="0">
            <x v="2"/>
          </reference>
          <reference field="5" count="1" selected="0">
            <x v="1"/>
          </reference>
          <reference field="8" count="1">
            <x v="0"/>
          </reference>
          <reference field="15" count="1" selected="0">
            <x v="0"/>
          </reference>
          <reference field="16" count="1" selected="0">
            <x v="3"/>
          </reference>
        </references>
      </pivotArea>
    </format>
    <format dxfId="26354">
      <pivotArea dataOnly="0" labelOnly="1" outline="0" fieldPosition="0">
        <references count="5">
          <reference field="3" count="1" selected="0">
            <x v="2"/>
          </reference>
          <reference field="5" count="1" selected="0">
            <x v="3"/>
          </reference>
          <reference field="8" count="1">
            <x v="0"/>
          </reference>
          <reference field="15" count="1" selected="0">
            <x v="0"/>
          </reference>
          <reference field="16" count="1" selected="0">
            <x v="3"/>
          </reference>
        </references>
      </pivotArea>
    </format>
    <format dxfId="26355">
      <pivotArea dataOnly="0" labelOnly="1" outline="0" fieldPosition="0">
        <references count="5">
          <reference field="3" count="1" selected="0">
            <x v="3"/>
          </reference>
          <reference field="5" count="1" selected="0">
            <x v="0"/>
          </reference>
          <reference field="8" count="2">
            <x v="1"/>
            <x v="3"/>
          </reference>
          <reference field="15" count="1" selected="0">
            <x v="0"/>
          </reference>
          <reference field="16" count="1" selected="0">
            <x v="3"/>
          </reference>
        </references>
      </pivotArea>
    </format>
    <format dxfId="26356">
      <pivotArea dataOnly="0" labelOnly="1" outline="0" fieldPosition="0">
        <references count="5">
          <reference field="3" count="1" selected="0">
            <x v="3"/>
          </reference>
          <reference field="5" count="1" selected="0">
            <x v="1"/>
          </reference>
          <reference field="8" count="1">
            <x v="0"/>
          </reference>
          <reference field="15" count="1" selected="0">
            <x v="0"/>
          </reference>
          <reference field="16" count="1" selected="0">
            <x v="3"/>
          </reference>
        </references>
      </pivotArea>
    </format>
    <format dxfId="26357">
      <pivotArea dataOnly="0" labelOnly="1" outline="0" fieldPosition="0">
        <references count="5">
          <reference field="3" count="1" selected="0">
            <x v="3"/>
          </reference>
          <reference field="5" count="1" selected="0">
            <x v="2"/>
          </reference>
          <reference field="8" count="1">
            <x v="4"/>
          </reference>
          <reference field="15" count="1" selected="0">
            <x v="0"/>
          </reference>
          <reference field="16" count="1" selected="0">
            <x v="3"/>
          </reference>
        </references>
      </pivotArea>
    </format>
    <format dxfId="26358">
      <pivotArea dataOnly="0" labelOnly="1" outline="0" fieldPosition="0">
        <references count="5">
          <reference field="3" count="1" selected="0">
            <x v="4"/>
          </reference>
          <reference field="5" count="1" selected="0">
            <x v="0"/>
          </reference>
          <reference field="8" count="3">
            <x v="2"/>
            <x v="3"/>
            <x v="4"/>
          </reference>
          <reference field="15" count="1" selected="0">
            <x v="0"/>
          </reference>
          <reference field="16" count="1" selected="0">
            <x v="3"/>
          </reference>
        </references>
      </pivotArea>
    </format>
    <format dxfId="26359">
      <pivotArea dataOnly="0" labelOnly="1" outline="0" fieldPosition="0">
        <references count="5">
          <reference field="3" count="1" selected="0">
            <x v="4"/>
          </reference>
          <reference field="5" count="1" selected="0">
            <x v="1"/>
          </reference>
          <reference field="8" count="1">
            <x v="1"/>
          </reference>
          <reference field="15" count="1" selected="0">
            <x v="0"/>
          </reference>
          <reference field="16" count="1" selected="0">
            <x v="3"/>
          </reference>
        </references>
      </pivotArea>
    </format>
    <format dxfId="26360">
      <pivotArea dataOnly="0" labelOnly="1" outline="0" fieldPosition="0">
        <references count="5">
          <reference field="3" count="1" selected="0">
            <x v="4"/>
          </reference>
          <reference field="5" count="1" selected="0">
            <x v="2"/>
          </reference>
          <reference field="8" count="2">
            <x v="0"/>
            <x v="1"/>
          </reference>
          <reference field="15" count="1" selected="0">
            <x v="0"/>
          </reference>
          <reference field="16" count="1" selected="0">
            <x v="3"/>
          </reference>
        </references>
      </pivotArea>
    </format>
    <format dxfId="26361">
      <pivotArea dataOnly="0" labelOnly="1" outline="0" fieldPosition="0">
        <references count="5">
          <reference field="3" count="1" selected="0">
            <x v="0"/>
          </reference>
          <reference field="5" count="1" selected="0">
            <x v="0"/>
          </reference>
          <reference field="8" count="1">
            <x v="2"/>
          </reference>
          <reference field="15" count="1" selected="0">
            <x v="1"/>
          </reference>
          <reference field="16" count="1" selected="0">
            <x v="3"/>
          </reference>
        </references>
      </pivotArea>
    </format>
    <format dxfId="26362">
      <pivotArea dataOnly="0" labelOnly="1" outline="0" fieldPosition="0">
        <references count="5">
          <reference field="3" count="1" selected="0">
            <x v="0"/>
          </reference>
          <reference field="5" count="1" selected="0">
            <x v="2"/>
          </reference>
          <reference field="8" count="2">
            <x v="1"/>
            <x v="2"/>
          </reference>
          <reference field="15" count="1" selected="0">
            <x v="1"/>
          </reference>
          <reference field="16" count="1" selected="0">
            <x v="3"/>
          </reference>
        </references>
      </pivotArea>
    </format>
    <format dxfId="26363">
      <pivotArea dataOnly="0" labelOnly="1" outline="0" fieldPosition="0">
        <references count="5">
          <reference field="3" count="1" selected="0">
            <x v="1"/>
          </reference>
          <reference field="5" count="1" selected="0">
            <x v="0"/>
          </reference>
          <reference field="8" count="4">
            <x v="0"/>
            <x v="1"/>
            <x v="2"/>
            <x v="4"/>
          </reference>
          <reference field="15" count="1" selected="0">
            <x v="1"/>
          </reference>
          <reference field="16" count="1" selected="0">
            <x v="3"/>
          </reference>
        </references>
      </pivotArea>
    </format>
    <format dxfId="26364">
      <pivotArea dataOnly="0" labelOnly="1" outline="0" fieldPosition="0">
        <references count="5">
          <reference field="3" count="1" selected="0">
            <x v="1"/>
          </reference>
          <reference field="5" count="1" selected="0">
            <x v="1"/>
          </reference>
          <reference field="8" count="1">
            <x v="1"/>
          </reference>
          <reference field="15" count="1" selected="0">
            <x v="1"/>
          </reference>
          <reference field="16" count="1" selected="0">
            <x v="3"/>
          </reference>
        </references>
      </pivotArea>
    </format>
    <format dxfId="26365">
      <pivotArea dataOnly="0" labelOnly="1" outline="0" fieldPosition="0">
        <references count="5">
          <reference field="3" count="1" selected="0">
            <x v="1"/>
          </reference>
          <reference field="5" count="1" selected="0">
            <x v="2"/>
          </reference>
          <reference field="8" count="1">
            <x v="1"/>
          </reference>
          <reference field="15" count="1" selected="0">
            <x v="1"/>
          </reference>
          <reference field="16" count="1" selected="0">
            <x v="3"/>
          </reference>
        </references>
      </pivotArea>
    </format>
    <format dxfId="26366">
      <pivotArea dataOnly="0" labelOnly="1" outline="0" fieldPosition="0">
        <references count="5">
          <reference field="3" count="1" selected="0">
            <x v="1"/>
          </reference>
          <reference field="5" count="1" selected="0">
            <x v="3"/>
          </reference>
          <reference field="8" count="1">
            <x v="3"/>
          </reference>
          <reference field="15" count="1" selected="0">
            <x v="1"/>
          </reference>
          <reference field="16" count="1" selected="0">
            <x v="3"/>
          </reference>
        </references>
      </pivotArea>
    </format>
    <format dxfId="26367">
      <pivotArea dataOnly="0" labelOnly="1" outline="0" fieldPosition="0">
        <references count="5">
          <reference field="3" count="1" selected="0">
            <x v="2"/>
          </reference>
          <reference field="5" count="1" selected="0">
            <x v="0"/>
          </reference>
          <reference field="8" count="4">
            <x v="0"/>
            <x v="2"/>
            <x v="3"/>
            <x v="4"/>
          </reference>
          <reference field="15" count="1" selected="0">
            <x v="1"/>
          </reference>
          <reference field="16" count="1" selected="0">
            <x v="3"/>
          </reference>
        </references>
      </pivotArea>
    </format>
    <format dxfId="26368">
      <pivotArea dataOnly="0" labelOnly="1" outline="0" fieldPosition="0">
        <references count="5">
          <reference field="3" count="1" selected="0">
            <x v="2"/>
          </reference>
          <reference field="5" count="1" selected="0">
            <x v="1"/>
          </reference>
          <reference field="8" count="3">
            <x v="0"/>
            <x v="3"/>
            <x v="4"/>
          </reference>
          <reference field="15" count="1" selected="0">
            <x v="1"/>
          </reference>
          <reference field="16" count="1" selected="0">
            <x v="3"/>
          </reference>
        </references>
      </pivotArea>
    </format>
    <format dxfId="26369">
      <pivotArea dataOnly="0" labelOnly="1" outline="0" fieldPosition="0">
        <references count="5">
          <reference field="3" count="1" selected="0">
            <x v="2"/>
          </reference>
          <reference field="5" count="1" selected="0">
            <x v="3"/>
          </reference>
          <reference field="8" count="2">
            <x v="0"/>
            <x v="3"/>
          </reference>
          <reference field="15" count="1" selected="0">
            <x v="1"/>
          </reference>
          <reference field="16" count="1" selected="0">
            <x v="3"/>
          </reference>
        </references>
      </pivotArea>
    </format>
    <format dxfId="26370">
      <pivotArea dataOnly="0" labelOnly="1" outline="0" fieldPosition="0">
        <references count="5">
          <reference field="3" count="1" selected="0">
            <x v="3"/>
          </reference>
          <reference field="5" count="1" selected="0">
            <x v="0"/>
          </reference>
          <reference field="8" count="1">
            <x v="2"/>
          </reference>
          <reference field="15" count="1" selected="0">
            <x v="1"/>
          </reference>
          <reference field="16" count="1" selected="0">
            <x v="3"/>
          </reference>
        </references>
      </pivotArea>
    </format>
    <format dxfId="26371">
      <pivotArea dataOnly="0" labelOnly="1" outline="0" fieldPosition="0">
        <references count="5">
          <reference field="3" count="1" selected="0">
            <x v="3"/>
          </reference>
          <reference field="5" count="1" selected="0">
            <x v="1"/>
          </reference>
          <reference field="8" count="2">
            <x v="3"/>
            <x v="4"/>
          </reference>
          <reference field="15" count="1" selected="0">
            <x v="1"/>
          </reference>
          <reference field="16" count="1" selected="0">
            <x v="3"/>
          </reference>
        </references>
      </pivotArea>
    </format>
    <format dxfId="26372">
      <pivotArea dataOnly="0" labelOnly="1" outline="0" fieldPosition="0">
        <references count="5">
          <reference field="3" count="1" selected="0">
            <x v="3"/>
          </reference>
          <reference field="5" count="1" selected="0">
            <x v="2"/>
          </reference>
          <reference field="8" count="1">
            <x v="3"/>
          </reference>
          <reference field="15" count="1" selected="0">
            <x v="1"/>
          </reference>
          <reference field="16" count="1" selected="0">
            <x v="3"/>
          </reference>
        </references>
      </pivotArea>
    </format>
    <format dxfId="26373">
      <pivotArea dataOnly="0" labelOnly="1" outline="0" fieldPosition="0">
        <references count="5">
          <reference field="3" count="1" selected="0">
            <x v="4"/>
          </reference>
          <reference field="5" count="1" selected="0">
            <x v="0"/>
          </reference>
          <reference field="8" count="4">
            <x v="0"/>
            <x v="1"/>
            <x v="3"/>
            <x v="4"/>
          </reference>
          <reference field="15" count="1" selected="0">
            <x v="1"/>
          </reference>
          <reference field="16" count="1" selected="0">
            <x v="3"/>
          </reference>
        </references>
      </pivotArea>
    </format>
    <format dxfId="26374">
      <pivotArea dataOnly="0" labelOnly="1" outline="0" fieldPosition="0">
        <references count="5">
          <reference field="3" count="1" selected="0">
            <x v="4"/>
          </reference>
          <reference field="5" count="1" selected="0">
            <x v="1"/>
          </reference>
          <reference field="8" count="1">
            <x v="4"/>
          </reference>
          <reference field="15" count="1" selected="0">
            <x v="1"/>
          </reference>
          <reference field="16" count="1" selected="0">
            <x v="3"/>
          </reference>
        </references>
      </pivotArea>
    </format>
    <format dxfId="26375">
      <pivotArea dataOnly="0" labelOnly="1" outline="0" fieldPosition="0">
        <references count="5">
          <reference field="3" count="1" selected="0">
            <x v="4"/>
          </reference>
          <reference field="5" count="1" selected="0">
            <x v="2"/>
          </reference>
          <reference field="8" count="1">
            <x v="0"/>
          </reference>
          <reference field="15" count="1" selected="0">
            <x v="1"/>
          </reference>
          <reference field="16" count="1" selected="0">
            <x v="3"/>
          </reference>
        </references>
      </pivotArea>
    </format>
    <format dxfId="26376">
      <pivotArea dataOnly="0" labelOnly="1" outline="0" fieldPosition="0">
        <references count="5">
          <reference field="3" count="1" selected="0">
            <x v="0"/>
          </reference>
          <reference field="5" count="1" selected="0">
            <x v="0"/>
          </reference>
          <reference field="8" count="1">
            <x v="4"/>
          </reference>
          <reference field="15" count="1" selected="0">
            <x v="2"/>
          </reference>
          <reference field="16" count="1" selected="0">
            <x v="3"/>
          </reference>
        </references>
      </pivotArea>
    </format>
    <format dxfId="26377">
      <pivotArea dataOnly="0" labelOnly="1" outline="0" fieldPosition="0">
        <references count="5">
          <reference field="3" count="1" selected="0">
            <x v="1"/>
          </reference>
          <reference field="5" count="1" selected="0">
            <x v="0"/>
          </reference>
          <reference field="8" count="4">
            <x v="0"/>
            <x v="1"/>
            <x v="3"/>
            <x v="4"/>
          </reference>
          <reference field="15" count="1" selected="0">
            <x v="2"/>
          </reference>
          <reference field="16" count="1" selected="0">
            <x v="3"/>
          </reference>
        </references>
      </pivotArea>
    </format>
    <format dxfId="26378">
      <pivotArea dataOnly="0" labelOnly="1" outline="0" fieldPosition="0">
        <references count="5">
          <reference field="3" count="1" selected="0">
            <x v="1"/>
          </reference>
          <reference field="5" count="1" selected="0">
            <x v="1"/>
          </reference>
          <reference field="8" count="3">
            <x v="0"/>
            <x v="2"/>
            <x v="4"/>
          </reference>
          <reference field="15" count="1" selected="0">
            <x v="2"/>
          </reference>
          <reference field="16" count="1" selected="0">
            <x v="3"/>
          </reference>
        </references>
      </pivotArea>
    </format>
    <format dxfId="26379">
      <pivotArea dataOnly="0" labelOnly="1" outline="0" fieldPosition="0">
        <references count="5">
          <reference field="3" count="1" selected="0">
            <x v="1"/>
          </reference>
          <reference field="5" count="1" selected="0">
            <x v="2"/>
          </reference>
          <reference field="8" count="2">
            <x v="1"/>
            <x v="3"/>
          </reference>
          <reference field="15" count="1" selected="0">
            <x v="2"/>
          </reference>
          <reference field="16" count="1" selected="0">
            <x v="3"/>
          </reference>
        </references>
      </pivotArea>
    </format>
    <format dxfId="26380">
      <pivotArea dataOnly="0" labelOnly="1" outline="0" fieldPosition="0">
        <references count="5">
          <reference field="3" count="1" selected="0">
            <x v="1"/>
          </reference>
          <reference field="5" count="1" selected="0">
            <x v="3"/>
          </reference>
          <reference field="8" count="1">
            <x v="1"/>
          </reference>
          <reference field="15" count="1" selected="0">
            <x v="2"/>
          </reference>
          <reference field="16" count="1" selected="0">
            <x v="3"/>
          </reference>
        </references>
      </pivotArea>
    </format>
    <format dxfId="26381">
      <pivotArea dataOnly="0" labelOnly="1" outline="0" fieldPosition="0">
        <references count="5">
          <reference field="3" count="1" selected="0">
            <x v="2"/>
          </reference>
          <reference field="5" count="1" selected="0">
            <x v="0"/>
          </reference>
          <reference field="8" count="3">
            <x v="0"/>
            <x v="1"/>
            <x v="2"/>
          </reference>
          <reference field="15" count="1" selected="0">
            <x v="2"/>
          </reference>
          <reference field="16" count="1" selected="0">
            <x v="3"/>
          </reference>
        </references>
      </pivotArea>
    </format>
    <format dxfId="26382">
      <pivotArea dataOnly="0" labelOnly="1" outline="0" fieldPosition="0">
        <references count="5">
          <reference field="3" count="1" selected="0">
            <x v="2"/>
          </reference>
          <reference field="5" count="1" selected="0">
            <x v="1"/>
          </reference>
          <reference field="8" count="2">
            <x v="3"/>
            <x v="4"/>
          </reference>
          <reference field="15" count="1" selected="0">
            <x v="2"/>
          </reference>
          <reference field="16" count="1" selected="0">
            <x v="3"/>
          </reference>
        </references>
      </pivotArea>
    </format>
    <format dxfId="26383">
      <pivotArea dataOnly="0" labelOnly="1" outline="0" fieldPosition="0">
        <references count="5">
          <reference field="3" count="1" selected="0">
            <x v="2"/>
          </reference>
          <reference field="5" count="1" selected="0">
            <x v="3"/>
          </reference>
          <reference field="8" count="1">
            <x v="1"/>
          </reference>
          <reference field="15" count="1" selected="0">
            <x v="2"/>
          </reference>
          <reference field="16" count="1" selected="0">
            <x v="3"/>
          </reference>
        </references>
      </pivotArea>
    </format>
    <format dxfId="26384">
      <pivotArea dataOnly="0" labelOnly="1" outline="0" fieldPosition="0">
        <references count="5">
          <reference field="3" count="1" selected="0">
            <x v="3"/>
          </reference>
          <reference field="5" count="1" selected="0">
            <x v="0"/>
          </reference>
          <reference field="8" count="3">
            <x v="1"/>
            <x v="2"/>
            <x v="4"/>
          </reference>
          <reference field="15" count="1" selected="0">
            <x v="2"/>
          </reference>
          <reference field="16" count="1" selected="0">
            <x v="3"/>
          </reference>
        </references>
      </pivotArea>
    </format>
    <format dxfId="26385">
      <pivotArea dataOnly="0" labelOnly="1" outline="0" fieldPosition="0">
        <references count="5">
          <reference field="3" count="1" selected="0">
            <x v="3"/>
          </reference>
          <reference field="5" count="1" selected="0">
            <x v="1"/>
          </reference>
          <reference field="8" count="1">
            <x v="3"/>
          </reference>
          <reference field="15" count="1" selected="0">
            <x v="2"/>
          </reference>
          <reference field="16" count="1" selected="0">
            <x v="3"/>
          </reference>
        </references>
      </pivotArea>
    </format>
    <format dxfId="26386">
      <pivotArea dataOnly="0" labelOnly="1" outline="0" fieldPosition="0">
        <references count="5">
          <reference field="3" count="1" selected="0">
            <x v="3"/>
          </reference>
          <reference field="5" count="1" selected="0">
            <x v="2"/>
          </reference>
          <reference field="8" count="1">
            <x v="3"/>
          </reference>
          <reference field="15" count="1" selected="0">
            <x v="2"/>
          </reference>
          <reference field="16" count="1" selected="0">
            <x v="3"/>
          </reference>
        </references>
      </pivotArea>
    </format>
    <format dxfId="26387">
      <pivotArea dataOnly="0" labelOnly="1" outline="0" fieldPosition="0">
        <references count="5">
          <reference field="3" count="1" selected="0">
            <x v="3"/>
          </reference>
          <reference field="5" count="1" selected="0">
            <x v="3"/>
          </reference>
          <reference field="8" count="1">
            <x v="2"/>
          </reference>
          <reference field="15" count="1" selected="0">
            <x v="2"/>
          </reference>
          <reference field="16" count="1" selected="0">
            <x v="3"/>
          </reference>
        </references>
      </pivotArea>
    </format>
    <format dxfId="26388">
      <pivotArea dataOnly="0" labelOnly="1" outline="0" fieldPosition="0">
        <references count="5">
          <reference field="3" count="1" selected="0">
            <x v="4"/>
          </reference>
          <reference field="5" count="1" selected="0">
            <x v="0"/>
          </reference>
          <reference field="8" count="1">
            <x v="2"/>
          </reference>
          <reference field="15" count="1" selected="0">
            <x v="2"/>
          </reference>
          <reference field="16" count="1" selected="0">
            <x v="3"/>
          </reference>
        </references>
      </pivotArea>
    </format>
    <format dxfId="26389">
      <pivotArea dataOnly="0" labelOnly="1" outline="0" fieldPosition="0">
        <references count="5">
          <reference field="3" count="1" selected="0">
            <x v="0"/>
          </reference>
          <reference field="5" count="1" selected="0">
            <x v="2"/>
          </reference>
          <reference field="8" count="1">
            <x v="1"/>
          </reference>
          <reference field="15" count="1" selected="0">
            <x v="3"/>
          </reference>
          <reference field="16" count="1" selected="0">
            <x v="3"/>
          </reference>
        </references>
      </pivotArea>
    </format>
    <format dxfId="26390">
      <pivotArea dataOnly="0" labelOnly="1" outline="0" fieldPosition="0">
        <references count="5">
          <reference field="3" count="1" selected="0">
            <x v="0"/>
          </reference>
          <reference field="5" count="1" selected="0">
            <x v="3"/>
          </reference>
          <reference field="8" count="1">
            <x v="3"/>
          </reference>
          <reference field="15" count="1" selected="0">
            <x v="3"/>
          </reference>
          <reference field="16" count="1" selected="0">
            <x v="3"/>
          </reference>
        </references>
      </pivotArea>
    </format>
    <format dxfId="26391">
      <pivotArea dataOnly="0" labelOnly="1" outline="0" fieldPosition="0">
        <references count="5">
          <reference field="3" count="1" selected="0">
            <x v="1"/>
          </reference>
          <reference field="5" count="1" selected="0">
            <x v="0"/>
          </reference>
          <reference field="8" count="4">
            <x v="0"/>
            <x v="1"/>
            <x v="2"/>
            <x v="4"/>
          </reference>
          <reference field="15" count="1" selected="0">
            <x v="3"/>
          </reference>
          <reference field="16" count="1" selected="0">
            <x v="3"/>
          </reference>
        </references>
      </pivotArea>
    </format>
    <format dxfId="26392">
      <pivotArea dataOnly="0" labelOnly="1" outline="0" fieldPosition="0">
        <references count="5">
          <reference field="3" count="1" selected="0">
            <x v="1"/>
          </reference>
          <reference field="5" count="1" selected="0">
            <x v="1"/>
          </reference>
          <reference field="8" count="0"/>
          <reference field="15" count="1" selected="0">
            <x v="3"/>
          </reference>
          <reference field="16" count="1" selected="0">
            <x v="3"/>
          </reference>
        </references>
      </pivotArea>
    </format>
    <format dxfId="26393">
      <pivotArea dataOnly="0" labelOnly="1" outline="0" fieldPosition="0">
        <references count="5">
          <reference field="3" count="1" selected="0">
            <x v="1"/>
          </reference>
          <reference field="5" count="1" selected="0">
            <x v="3"/>
          </reference>
          <reference field="8" count="1">
            <x v="2"/>
          </reference>
          <reference field="15" count="1" selected="0">
            <x v="3"/>
          </reference>
          <reference field="16" count="1" selected="0">
            <x v="3"/>
          </reference>
        </references>
      </pivotArea>
    </format>
    <format dxfId="26394">
      <pivotArea dataOnly="0" labelOnly="1" outline="0" fieldPosition="0">
        <references count="5">
          <reference field="3" count="1" selected="0">
            <x v="2"/>
          </reference>
          <reference field="5" count="1" selected="0">
            <x v="0"/>
          </reference>
          <reference field="8" count="4">
            <x v="0"/>
            <x v="1"/>
            <x v="3"/>
            <x v="4"/>
          </reference>
          <reference field="15" count="1" selected="0">
            <x v="3"/>
          </reference>
          <reference field="16" count="1" selected="0">
            <x v="3"/>
          </reference>
        </references>
      </pivotArea>
    </format>
    <format dxfId="26395">
      <pivotArea dataOnly="0" labelOnly="1" outline="0" fieldPosition="0">
        <references count="5">
          <reference field="3" count="1" selected="0">
            <x v="2"/>
          </reference>
          <reference field="5" count="1" selected="0">
            <x v="1"/>
          </reference>
          <reference field="8" count="1">
            <x v="2"/>
          </reference>
          <reference field="15" count="1" selected="0">
            <x v="3"/>
          </reference>
          <reference field="16" count="1" selected="0">
            <x v="3"/>
          </reference>
        </references>
      </pivotArea>
    </format>
    <format dxfId="26396">
      <pivotArea dataOnly="0" labelOnly="1" outline="0" fieldPosition="0">
        <references count="5">
          <reference field="3" count="1" selected="0">
            <x v="2"/>
          </reference>
          <reference field="5" count="1" selected="0">
            <x v="2"/>
          </reference>
          <reference field="8" count="1">
            <x v="2"/>
          </reference>
          <reference field="15" count="1" selected="0">
            <x v="3"/>
          </reference>
          <reference field="16" count="1" selected="0">
            <x v="3"/>
          </reference>
        </references>
      </pivotArea>
    </format>
    <format dxfId="26397">
      <pivotArea dataOnly="0" labelOnly="1" outline="0" fieldPosition="0">
        <references count="5">
          <reference field="3" count="1" selected="0">
            <x v="3"/>
          </reference>
          <reference field="5" count="1" selected="0">
            <x v="0"/>
          </reference>
          <reference field="8" count="1">
            <x v="2"/>
          </reference>
          <reference field="15" count="1" selected="0">
            <x v="3"/>
          </reference>
          <reference field="16" count="1" selected="0">
            <x v="3"/>
          </reference>
        </references>
      </pivotArea>
    </format>
    <format dxfId="26398">
      <pivotArea dataOnly="0" labelOnly="1" outline="0" fieldPosition="0">
        <references count="5">
          <reference field="3" count="1" selected="0">
            <x v="3"/>
          </reference>
          <reference field="5" count="1" selected="0">
            <x v="1"/>
          </reference>
          <reference field="8" count="1">
            <x v="3"/>
          </reference>
          <reference field="15" count="1" selected="0">
            <x v="3"/>
          </reference>
          <reference field="16" count="1" selected="0">
            <x v="3"/>
          </reference>
        </references>
      </pivotArea>
    </format>
    <format dxfId="26399">
      <pivotArea dataOnly="0" labelOnly="1" outline="0" fieldPosition="0">
        <references count="5">
          <reference field="3" count="1" selected="0">
            <x v="4"/>
          </reference>
          <reference field="5" count="1" selected="0">
            <x v="0"/>
          </reference>
          <reference field="8" count="2">
            <x v="0"/>
            <x v="1"/>
          </reference>
          <reference field="15" count="1" selected="0">
            <x v="3"/>
          </reference>
          <reference field="16" count="1" selected="0">
            <x v="3"/>
          </reference>
        </references>
      </pivotArea>
    </format>
    <format dxfId="26400">
      <pivotArea dataOnly="0" labelOnly="1" outline="0" fieldPosition="0">
        <references count="5">
          <reference field="3" count="1" selected="0">
            <x v="4"/>
          </reference>
          <reference field="5" count="1" selected="0">
            <x v="1"/>
          </reference>
          <reference field="8" count="3">
            <x v="0"/>
            <x v="1"/>
            <x v="3"/>
          </reference>
          <reference field="15" count="1" selected="0">
            <x v="3"/>
          </reference>
          <reference field="16" count="1" selected="0">
            <x v="3"/>
          </reference>
        </references>
      </pivotArea>
    </format>
    <format dxfId="26401">
      <pivotArea dataOnly="0" labelOnly="1" outline="0" fieldPosition="0">
        <references count="5">
          <reference field="3" count="1" selected="0">
            <x v="4"/>
          </reference>
          <reference field="5" count="1" selected="0">
            <x v="2"/>
          </reference>
          <reference field="8" count="2">
            <x v="2"/>
            <x v="3"/>
          </reference>
          <reference field="15" count="1" selected="0">
            <x v="3"/>
          </reference>
          <reference field="16" count="1" selected="0">
            <x v="3"/>
          </reference>
        </references>
      </pivotArea>
    </format>
    <format dxfId="26402">
      <pivotArea dataOnly="0" labelOnly="1" outline="0" fieldPosition="0">
        <references count="5">
          <reference field="3" count="1" selected="0">
            <x v="0"/>
          </reference>
          <reference field="5" count="1" selected="0">
            <x v="0"/>
          </reference>
          <reference field="8" count="3">
            <x v="0"/>
            <x v="3"/>
            <x v="4"/>
          </reference>
          <reference field="15" count="1" selected="0">
            <x v="4"/>
          </reference>
          <reference field="16" count="1" selected="0">
            <x v="3"/>
          </reference>
        </references>
      </pivotArea>
    </format>
    <format dxfId="26403">
      <pivotArea dataOnly="0" labelOnly="1" outline="0" fieldPosition="0">
        <references count="5">
          <reference field="3" count="1" selected="0">
            <x v="0"/>
          </reference>
          <reference field="5" count="1" selected="0">
            <x v="1"/>
          </reference>
          <reference field="8" count="1">
            <x v="3"/>
          </reference>
          <reference field="15" count="1" selected="0">
            <x v="4"/>
          </reference>
          <reference field="16" count="1" selected="0">
            <x v="3"/>
          </reference>
        </references>
      </pivotArea>
    </format>
    <format dxfId="26404">
      <pivotArea dataOnly="0" labelOnly="1" outline="0" fieldPosition="0">
        <references count="5">
          <reference field="3" count="1" selected="0">
            <x v="0"/>
          </reference>
          <reference field="5" count="1" selected="0">
            <x v="2"/>
          </reference>
          <reference field="8" count="1">
            <x v="4"/>
          </reference>
          <reference field="15" count="1" selected="0">
            <x v="4"/>
          </reference>
          <reference field="16" count="1" selected="0">
            <x v="3"/>
          </reference>
        </references>
      </pivotArea>
    </format>
    <format dxfId="26405">
      <pivotArea dataOnly="0" labelOnly="1" outline="0" fieldPosition="0">
        <references count="5">
          <reference field="3" count="1" selected="0">
            <x v="0"/>
          </reference>
          <reference field="5" count="1" selected="0">
            <x v="3"/>
          </reference>
          <reference field="8" count="1">
            <x v="3"/>
          </reference>
          <reference field="15" count="1" selected="0">
            <x v="4"/>
          </reference>
          <reference field="16" count="1" selected="0">
            <x v="3"/>
          </reference>
        </references>
      </pivotArea>
    </format>
    <format dxfId="26406">
      <pivotArea dataOnly="0" labelOnly="1" outline="0" fieldPosition="0">
        <references count="5">
          <reference field="3" count="1" selected="0">
            <x v="1"/>
          </reference>
          <reference field="5" count="1" selected="0">
            <x v="0"/>
          </reference>
          <reference field="8" count="0"/>
          <reference field="15" count="1" selected="0">
            <x v="4"/>
          </reference>
          <reference field="16" count="1" selected="0">
            <x v="3"/>
          </reference>
        </references>
      </pivotArea>
    </format>
    <format dxfId="26407">
      <pivotArea dataOnly="0" labelOnly="1" outline="0" fieldPosition="0">
        <references count="5">
          <reference field="3" count="1" selected="0">
            <x v="1"/>
          </reference>
          <reference field="5" count="1" selected="0">
            <x v="1"/>
          </reference>
          <reference field="8" count="4">
            <x v="0"/>
            <x v="1"/>
            <x v="3"/>
            <x v="4"/>
          </reference>
          <reference field="15" count="1" selected="0">
            <x v="4"/>
          </reference>
          <reference field="16" count="1" selected="0">
            <x v="3"/>
          </reference>
        </references>
      </pivotArea>
    </format>
    <format dxfId="26408">
      <pivotArea dataOnly="0" labelOnly="1" outline="0" fieldPosition="0">
        <references count="5">
          <reference field="3" count="1" selected="0">
            <x v="1"/>
          </reference>
          <reference field="5" count="1" selected="0">
            <x v="2"/>
          </reference>
          <reference field="8" count="3">
            <x v="0"/>
            <x v="1"/>
            <x v="2"/>
          </reference>
          <reference field="15" count="1" selected="0">
            <x v="4"/>
          </reference>
          <reference field="16" count="1" selected="0">
            <x v="3"/>
          </reference>
        </references>
      </pivotArea>
    </format>
    <format dxfId="26409">
      <pivotArea dataOnly="0" labelOnly="1" outline="0" fieldPosition="0">
        <references count="5">
          <reference field="3" count="1" selected="0">
            <x v="1"/>
          </reference>
          <reference field="5" count="1" selected="0">
            <x v="3"/>
          </reference>
          <reference field="8" count="3">
            <x v="0"/>
            <x v="2"/>
            <x v="4"/>
          </reference>
          <reference field="15" count="1" selected="0">
            <x v="4"/>
          </reference>
          <reference field="16" count="1" selected="0">
            <x v="3"/>
          </reference>
        </references>
      </pivotArea>
    </format>
    <format dxfId="26410">
      <pivotArea dataOnly="0" labelOnly="1" outline="0" fieldPosition="0">
        <references count="5">
          <reference field="3" count="1" selected="0">
            <x v="2"/>
          </reference>
          <reference field="5" count="1" selected="0">
            <x v="0"/>
          </reference>
          <reference field="8" count="3">
            <x v="1"/>
            <x v="3"/>
            <x v="4"/>
          </reference>
          <reference field="15" count="1" selected="0">
            <x v="4"/>
          </reference>
          <reference field="16" count="1" selected="0">
            <x v="3"/>
          </reference>
        </references>
      </pivotArea>
    </format>
    <format dxfId="26411">
      <pivotArea dataOnly="0" labelOnly="1" outline="0" fieldPosition="0">
        <references count="5">
          <reference field="3" count="1" selected="0">
            <x v="2"/>
          </reference>
          <reference field="5" count="1" selected="0">
            <x v="2"/>
          </reference>
          <reference field="8" count="1">
            <x v="2"/>
          </reference>
          <reference field="15" count="1" selected="0">
            <x v="4"/>
          </reference>
          <reference field="16" count="1" selected="0">
            <x v="3"/>
          </reference>
        </references>
      </pivotArea>
    </format>
    <format dxfId="26412">
      <pivotArea dataOnly="0" labelOnly="1" outline="0" fieldPosition="0">
        <references count="5">
          <reference field="3" count="1" selected="0">
            <x v="3"/>
          </reference>
          <reference field="5" count="1" selected="0">
            <x v="0"/>
          </reference>
          <reference field="8" count="3">
            <x v="1"/>
            <x v="2"/>
            <x v="3"/>
          </reference>
          <reference field="15" count="1" selected="0">
            <x v="4"/>
          </reference>
          <reference field="16" count="1" selected="0">
            <x v="3"/>
          </reference>
        </references>
      </pivotArea>
    </format>
    <format dxfId="26413">
      <pivotArea dataOnly="0" labelOnly="1" outline="0" fieldPosition="0">
        <references count="5">
          <reference field="3" count="1" selected="0">
            <x v="3"/>
          </reference>
          <reference field="5" count="1" selected="0">
            <x v="1"/>
          </reference>
          <reference field="8" count="1">
            <x v="0"/>
          </reference>
          <reference field="15" count="1" selected="0">
            <x v="4"/>
          </reference>
          <reference field="16" count="1" selected="0">
            <x v="3"/>
          </reference>
        </references>
      </pivotArea>
    </format>
    <format dxfId="26414">
      <pivotArea dataOnly="0" labelOnly="1" outline="0" fieldPosition="0">
        <references count="5">
          <reference field="3" count="1" selected="0">
            <x v="4"/>
          </reference>
          <reference field="5" count="1" selected="0">
            <x v="0"/>
          </reference>
          <reference field="8" count="4">
            <x v="0"/>
            <x v="1"/>
            <x v="3"/>
            <x v="4"/>
          </reference>
          <reference field="15" count="1" selected="0">
            <x v="4"/>
          </reference>
          <reference field="16" count="1" selected="0">
            <x v="3"/>
          </reference>
        </references>
      </pivotArea>
    </format>
    <format dxfId="26415">
      <pivotArea dataOnly="0" labelOnly="1" outline="0" fieldPosition="0">
        <references count="5">
          <reference field="3" count="1" selected="0">
            <x v="4"/>
          </reference>
          <reference field="5" count="1" selected="0">
            <x v="1"/>
          </reference>
          <reference field="8" count="1">
            <x v="0"/>
          </reference>
          <reference field="15" count="1" selected="0">
            <x v="4"/>
          </reference>
          <reference field="16" count="1" selected="0">
            <x v="3"/>
          </reference>
        </references>
      </pivotArea>
    </format>
    <format dxfId="26416">
      <pivotArea dataOnly="0" labelOnly="1" outline="0" fieldPosition="0">
        <references count="5">
          <reference field="3" count="1" selected="0">
            <x v="4"/>
          </reference>
          <reference field="5" count="1" selected="0">
            <x v="2"/>
          </reference>
          <reference field="8" count="4">
            <x v="0"/>
            <x v="1"/>
            <x v="2"/>
            <x v="4"/>
          </reference>
          <reference field="15" count="1" selected="0">
            <x v="4"/>
          </reference>
          <reference field="16" count="1" selected="0">
            <x v="3"/>
          </reference>
        </references>
      </pivotArea>
    </format>
    <format dxfId="26417">
      <pivotArea dataOnly="0" labelOnly="1" outline="0" fieldPosition="0">
        <references count="5">
          <reference field="3" count="1" selected="0">
            <x v="4"/>
          </reference>
          <reference field="5" count="1" selected="0">
            <x v="3"/>
          </reference>
          <reference field="8" count="1">
            <x v="2"/>
          </reference>
          <reference field="15" count="1" selected="0">
            <x v="4"/>
          </reference>
          <reference field="16" count="1" selected="0">
            <x v="3"/>
          </reference>
        </references>
      </pivotArea>
    </format>
    <format dxfId="26418">
      <pivotArea dataOnly="0" labelOnly="1" outline="0" fieldPosition="0">
        <references count="5">
          <reference field="3" count="1" selected="0">
            <x v="0"/>
          </reference>
          <reference field="5" count="1" selected="0">
            <x v="1"/>
          </reference>
          <reference field="8" count="1">
            <x v="2"/>
          </reference>
          <reference field="15" count="1" selected="0">
            <x v="5"/>
          </reference>
          <reference field="16" count="1" selected="0">
            <x v="3"/>
          </reference>
        </references>
      </pivotArea>
    </format>
    <format dxfId="26419">
      <pivotArea dataOnly="0" labelOnly="1" outline="0" fieldPosition="0">
        <references count="5">
          <reference field="3" count="1" selected="0">
            <x v="1"/>
          </reference>
          <reference field="5" count="1" selected="0">
            <x v="0"/>
          </reference>
          <reference field="8" count="0"/>
          <reference field="15" count="1" selected="0">
            <x v="5"/>
          </reference>
          <reference field="16" count="1" selected="0">
            <x v="3"/>
          </reference>
        </references>
      </pivotArea>
    </format>
    <format dxfId="26420">
      <pivotArea dataOnly="0" labelOnly="1" outline="0" fieldPosition="0">
        <references count="5">
          <reference field="3" count="1" selected="0">
            <x v="1"/>
          </reference>
          <reference field="5" count="1" selected="0">
            <x v="1"/>
          </reference>
          <reference field="8" count="3">
            <x v="1"/>
            <x v="2"/>
            <x v="3"/>
          </reference>
          <reference field="15" count="1" selected="0">
            <x v="5"/>
          </reference>
          <reference field="16" count="1" selected="0">
            <x v="3"/>
          </reference>
        </references>
      </pivotArea>
    </format>
    <format dxfId="26421">
      <pivotArea dataOnly="0" labelOnly="1" outline="0" fieldPosition="0">
        <references count="5">
          <reference field="3" count="1" selected="0">
            <x v="1"/>
          </reference>
          <reference field="5" count="1" selected="0">
            <x v="2"/>
          </reference>
          <reference field="8" count="3">
            <x v="1"/>
            <x v="3"/>
            <x v="4"/>
          </reference>
          <reference field="15" count="1" selected="0">
            <x v="5"/>
          </reference>
          <reference field="16" count="1" selected="0">
            <x v="3"/>
          </reference>
        </references>
      </pivotArea>
    </format>
    <format dxfId="26422">
      <pivotArea dataOnly="0" labelOnly="1" outline="0" fieldPosition="0">
        <references count="5">
          <reference field="3" count="1" selected="0">
            <x v="1"/>
          </reference>
          <reference field="5" count="1" selected="0">
            <x v="3"/>
          </reference>
          <reference field="8" count="2">
            <x v="3"/>
            <x v="4"/>
          </reference>
          <reference field="15" count="1" selected="0">
            <x v="5"/>
          </reference>
          <reference field="16" count="1" selected="0">
            <x v="3"/>
          </reference>
        </references>
      </pivotArea>
    </format>
    <format dxfId="26423">
      <pivotArea dataOnly="0" labelOnly="1" outline="0" fieldPosition="0">
        <references count="5">
          <reference field="3" count="1" selected="0">
            <x v="2"/>
          </reference>
          <reference field="5" count="1" selected="0">
            <x v="0"/>
          </reference>
          <reference field="8" count="3">
            <x v="2"/>
            <x v="3"/>
            <x v="4"/>
          </reference>
          <reference field="15" count="1" selected="0">
            <x v="5"/>
          </reference>
          <reference field="16" count="1" selected="0">
            <x v="3"/>
          </reference>
        </references>
      </pivotArea>
    </format>
    <format dxfId="26424">
      <pivotArea dataOnly="0" labelOnly="1" outline="0" fieldPosition="0">
        <references count="5">
          <reference field="3" count="1" selected="0">
            <x v="2"/>
          </reference>
          <reference field="5" count="1" selected="0">
            <x v="1"/>
          </reference>
          <reference field="8" count="1">
            <x v="0"/>
          </reference>
          <reference field="15" count="1" selected="0">
            <x v="5"/>
          </reference>
          <reference field="16" count="1" selected="0">
            <x v="3"/>
          </reference>
        </references>
      </pivotArea>
    </format>
    <format dxfId="26425">
      <pivotArea dataOnly="0" labelOnly="1" outline="0" fieldPosition="0">
        <references count="5">
          <reference field="3" count="1" selected="0">
            <x v="2"/>
          </reference>
          <reference field="5" count="1" selected="0">
            <x v="2"/>
          </reference>
          <reference field="8" count="2">
            <x v="0"/>
            <x v="1"/>
          </reference>
          <reference field="15" count="1" selected="0">
            <x v="5"/>
          </reference>
          <reference field="16" count="1" selected="0">
            <x v="3"/>
          </reference>
        </references>
      </pivotArea>
    </format>
    <format dxfId="26426">
      <pivotArea dataOnly="0" labelOnly="1" outline="0" fieldPosition="0">
        <references count="5">
          <reference field="3" count="1" selected="0">
            <x v="3"/>
          </reference>
          <reference field="5" count="1" selected="0">
            <x v="0"/>
          </reference>
          <reference field="8" count="3">
            <x v="0"/>
            <x v="1"/>
            <x v="2"/>
          </reference>
          <reference field="15" count="1" selected="0">
            <x v="5"/>
          </reference>
          <reference field="16" count="1" selected="0">
            <x v="3"/>
          </reference>
        </references>
      </pivotArea>
    </format>
    <format dxfId="26427">
      <pivotArea dataOnly="0" labelOnly="1" outline="0" fieldPosition="0">
        <references count="5">
          <reference field="3" count="1" selected="0">
            <x v="3"/>
          </reference>
          <reference field="5" count="1" selected="0">
            <x v="1"/>
          </reference>
          <reference field="8" count="1">
            <x v="0"/>
          </reference>
          <reference field="15" count="1" selected="0">
            <x v="5"/>
          </reference>
          <reference field="16" count="1" selected="0">
            <x v="3"/>
          </reference>
        </references>
      </pivotArea>
    </format>
    <format dxfId="26428">
      <pivotArea dataOnly="0" labelOnly="1" outline="0" fieldPosition="0">
        <references count="5">
          <reference field="3" count="1" selected="0">
            <x v="4"/>
          </reference>
          <reference field="5" count="1" selected="0">
            <x v="0"/>
          </reference>
          <reference field="8" count="4">
            <x v="1"/>
            <x v="2"/>
            <x v="3"/>
            <x v="4"/>
          </reference>
          <reference field="15" count="1" selected="0">
            <x v="5"/>
          </reference>
          <reference field="16" count="1" selected="0">
            <x v="3"/>
          </reference>
        </references>
      </pivotArea>
    </format>
    <format dxfId="26429">
      <pivotArea dataOnly="0" labelOnly="1" outline="0" fieldPosition="0">
        <references count="5">
          <reference field="3" count="1" selected="0">
            <x v="4"/>
          </reference>
          <reference field="5" count="1" selected="0">
            <x v="1"/>
          </reference>
          <reference field="8" count="3">
            <x v="0"/>
            <x v="2"/>
            <x v="4"/>
          </reference>
          <reference field="15" count="1" selected="0">
            <x v="5"/>
          </reference>
          <reference field="16" count="1" selected="0">
            <x v="3"/>
          </reference>
        </references>
      </pivotArea>
    </format>
    <format dxfId="26430">
      <pivotArea dataOnly="0" labelOnly="1" outline="0" fieldPosition="0">
        <references count="5">
          <reference field="3" count="1" selected="0">
            <x v="4"/>
          </reference>
          <reference field="5" count="1" selected="0">
            <x v="2"/>
          </reference>
          <reference field="8" count="1">
            <x v="1"/>
          </reference>
          <reference field="15" count="1" selected="0">
            <x v="5"/>
          </reference>
          <reference field="16" count="1" selected="0">
            <x v="3"/>
          </reference>
        </references>
      </pivotArea>
    </format>
    <format dxfId="264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C543D-9E4F-4045-A337-7049AC53093F}"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7">
  <location ref="BR1:BS6" firstHeaderRow="1" firstDataRow="1" firstDataCol="1"/>
  <pivotFields count="20">
    <pivotField compact="0" outline="0" showAll="0" defaultSubtotal="0"/>
    <pivotField compact="0" numFmtId="14" outline="0" showAll="0" defaultSubtotal="0"/>
    <pivotField compact="0" outline="0" showAll="0" defaultSubtotal="0"/>
    <pivotField compact="0" outline="0" showAll="0" defaultSubtotal="0">
      <items count="5">
        <item x="1"/>
        <item x="0"/>
        <item x="4"/>
        <item x="2"/>
        <item x="3"/>
      </items>
    </pivotField>
    <pivotField compact="0" outline="0" showAll="0" defaultSubtotal="0"/>
    <pivotField compact="0" outline="0" showAll="0" defaultSubtotal="0">
      <items count="4">
        <item x="1"/>
        <item x="0"/>
        <item x="2"/>
        <item x="3"/>
      </items>
    </pivotField>
    <pivotField compact="0" outline="0" showAll="0" defaultSubtotal="0"/>
    <pivotField axis="axisRow" compact="0" outline="0" showAll="0" measureFilter="1" sortType="ascending" defaultSubtotal="0">
      <items count="27">
        <item x="11"/>
        <item x="0"/>
        <item x="24"/>
        <item x="22"/>
        <item x="18"/>
        <item x="9"/>
        <item x="23"/>
        <item x="17"/>
        <item x="8"/>
        <item x="2"/>
        <item x="16"/>
        <item x="5"/>
        <item x="6"/>
        <item x="10"/>
        <item x="13"/>
        <item x="7"/>
        <item x="19"/>
        <item x="15"/>
        <item x="25"/>
        <item x="3"/>
        <item x="21"/>
        <item x="1"/>
        <item x="20"/>
        <item x="4"/>
        <item x="12"/>
        <item x="14"/>
        <item x="26"/>
      </items>
      <autoSortScope>
        <pivotArea dataOnly="0" outline="0" fieldPosition="0">
          <references count="1">
            <reference field="4294967294" count="1" selected="0">
              <x v="0"/>
            </reference>
          </references>
        </pivotArea>
      </autoSortScope>
    </pivotField>
    <pivotField compact="0" outline="0" showAll="0" defaultSubtotal="0">
      <items count="5">
        <item x="4"/>
        <item x="1"/>
        <item x="3"/>
        <item x="0"/>
        <item x="2"/>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items count="12">
        <item x="0"/>
        <item x="1"/>
        <item x="2"/>
        <item x="11"/>
        <item x="3"/>
        <item x="4"/>
        <item x="5"/>
        <item x="6"/>
        <item x="7"/>
        <item x="8"/>
        <item x="9"/>
        <item x="10"/>
      </items>
    </pivotField>
    <pivotField compact="0" outline="0" showAll="0" defaultSubtotal="0">
      <items count="4">
        <item x="0"/>
        <item x="1"/>
        <item x="2"/>
        <item x="3"/>
      </items>
    </pivotField>
    <pivotField compact="0" outline="0" subtotalTop="0" showAll="0" defaultSubtotal="0"/>
    <pivotField compact="0" outline="0" subtotalTop="0" showAll="0" defaultSubtotal="0"/>
    <pivotField compact="0" outline="0" subtotalTop="0" showAll="0" defaultSubtotal="0"/>
  </pivotFields>
  <rowFields count="1">
    <field x="7"/>
  </rowFields>
  <rowItems count="5">
    <i>
      <x v="26"/>
    </i>
    <i>
      <x v="14"/>
    </i>
    <i>
      <x v="22"/>
    </i>
    <i>
      <x v="23"/>
    </i>
    <i>
      <x v="11"/>
    </i>
  </rowItems>
  <colItems count="1">
    <i/>
  </colItems>
  <dataFields count="1">
    <dataField name="Sum of sales"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A5F5D-4DF9-4FCA-9F5C-09C792E046E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U1:BV2" firstHeaderRow="1" firstDataRow="1" firstDataCol="1"/>
  <pivotFields count="20">
    <pivotField showAll="0"/>
    <pivotField numFmtId="14" showAll="0"/>
    <pivotField showAll="0"/>
    <pivotField showAll="0">
      <items count="6">
        <item x="1"/>
        <item x="0"/>
        <item x="4"/>
        <item x="2"/>
        <item x="3"/>
        <item t="default"/>
      </items>
    </pivotField>
    <pivotField showAll="0"/>
    <pivotField showAll="0">
      <items count="5">
        <item x="1"/>
        <item x="0"/>
        <item x="2"/>
        <item x="3"/>
        <item t="default"/>
      </items>
    </pivotField>
    <pivotField showAll="0"/>
    <pivotField axis="axisRow" showAll="0" measureFilter="1">
      <items count="28">
        <item x="11"/>
        <item x="0"/>
        <item x="24"/>
        <item x="22"/>
        <item x="18"/>
        <item x="9"/>
        <item x="23"/>
        <item x="17"/>
        <item x="8"/>
        <item x="2"/>
        <item x="16"/>
        <item x="5"/>
        <item x="6"/>
        <item x="10"/>
        <item x="13"/>
        <item x="7"/>
        <item x="19"/>
        <item x="15"/>
        <item x="25"/>
        <item x="3"/>
        <item x="21"/>
        <item x="1"/>
        <item x="20"/>
        <item x="4"/>
        <item x="12"/>
        <item x="14"/>
        <item x="26"/>
        <item t="default"/>
      </items>
    </pivotField>
    <pivotField showAll="0">
      <items count="6">
        <item x="4"/>
        <item x="1"/>
        <item x="3"/>
        <item x="0"/>
        <item x="2"/>
        <item t="default"/>
      </items>
    </pivotField>
    <pivotField showAll="0"/>
    <pivotField showAll="0"/>
    <pivotField showAll="0"/>
    <pivotField showAll="0"/>
    <pivotField dataField="1" showAll="0"/>
    <pivotField showAll="0"/>
    <pivotField showAll="0">
      <items count="13">
        <item x="0"/>
        <item x="1"/>
        <item x="2"/>
        <item x="11"/>
        <item x="3"/>
        <item x="4"/>
        <item x="5"/>
        <item x="6"/>
        <item x="7"/>
        <item x="8"/>
        <item x="9"/>
        <item x="10"/>
        <item t="default"/>
      </items>
    </pivotField>
    <pivotField showAll="0">
      <items count="5">
        <item x="0"/>
        <item x="1"/>
        <item x="2"/>
        <item x="3"/>
        <item t="default"/>
      </items>
    </pivotField>
    <pivotField showAll="0"/>
    <pivotField showAll="0"/>
    <pivotField showAll="0"/>
  </pivotFields>
  <rowFields count="1">
    <field x="7"/>
  </rowFields>
  <rowItems count="1">
    <i>
      <x v="11"/>
    </i>
  </rowItems>
  <colItems count="1">
    <i/>
  </colItems>
  <dataFields count="1">
    <dataField name="Sum of sales" fld="13" baseField="0" baseItem="0" numFmtId="43"/>
  </dataFields>
  <formats count="1">
    <format dxfId="24782">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FD252-C24A-4DBC-A279-D8E522EAA7B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O1:BP5" firstHeaderRow="1" firstDataRow="1" firstDataCol="1"/>
  <pivotFields count="20">
    <pivotField showAll="0"/>
    <pivotField numFmtId="14" showAll="0"/>
    <pivotField showAll="0"/>
    <pivotField showAll="0">
      <items count="6">
        <item x="1"/>
        <item x="0"/>
        <item x="4"/>
        <item x="2"/>
        <item x="3"/>
        <item t="default"/>
      </items>
    </pivotField>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1"/>
        <item x="3"/>
        <item x="0"/>
        <item x="2"/>
        <item t="default"/>
      </items>
    </pivotField>
    <pivotField showAll="0"/>
    <pivotField showAll="0"/>
    <pivotField showAll="0"/>
    <pivotField showAll="0"/>
    <pivotField dataField="1" showAll="0"/>
    <pivotField showAll="0"/>
    <pivotField showAll="0">
      <items count="13">
        <item x="0"/>
        <item x="1"/>
        <item x="2"/>
        <item x="11"/>
        <item x="3"/>
        <item x="4"/>
        <item x="5"/>
        <item x="6"/>
        <item x="7"/>
        <item x="8"/>
        <item x="9"/>
        <item x="10"/>
        <item t="default"/>
      </items>
    </pivotField>
    <pivotField showAll="0">
      <items count="5">
        <item x="0"/>
        <item x="1"/>
        <item x="2"/>
        <item x="3"/>
        <item t="default"/>
      </items>
    </pivotField>
    <pivotField showAll="0"/>
    <pivotField showAll="0"/>
    <pivotField showAll="0"/>
  </pivotFields>
  <rowFields count="1">
    <field x="5"/>
  </rowFields>
  <rowItems count="4">
    <i>
      <x v="3"/>
    </i>
    <i>
      <x v="2"/>
    </i>
    <i>
      <x v="1"/>
    </i>
    <i>
      <x/>
    </i>
  </rowItems>
  <colItems count="1">
    <i/>
  </colItems>
  <dataFields count="1">
    <dataField name="Sum of sales" fld="13" baseField="0" baseItem="0"/>
  </dataField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293F98-9EC3-4647-BA4B-143B528B378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I1:BJ6" firstHeaderRow="1" firstDataRow="1" firstDataCol="1"/>
  <pivotFields count="20">
    <pivotField showAll="0"/>
    <pivotField numFmtId="14" showAll="0"/>
    <pivotField showAll="0"/>
    <pivotField showAll="0">
      <items count="6">
        <item x="1"/>
        <item x="0"/>
        <item x="4"/>
        <item x="2"/>
        <item x="3"/>
        <item t="default"/>
      </items>
    </pivotField>
    <pivotField showAll="0"/>
    <pivotField showAll="0">
      <items count="5">
        <item x="1"/>
        <item x="0"/>
        <item x="2"/>
        <item x="3"/>
        <item t="default"/>
      </items>
    </pivotField>
    <pivotField showAll="0"/>
    <pivotField showAll="0"/>
    <pivotField axis="axisRow" showAll="0" sortType="ascending">
      <items count="6">
        <item x="4"/>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3">
        <item x="0"/>
        <item x="1"/>
        <item x="2"/>
        <item x="11"/>
        <item x="3"/>
        <item x="4"/>
        <item x="5"/>
        <item x="6"/>
        <item x="7"/>
        <item x="8"/>
        <item x="9"/>
        <item x="10"/>
        <item t="default"/>
      </items>
    </pivotField>
    <pivotField showAll="0">
      <items count="5">
        <item x="0"/>
        <item x="1"/>
        <item x="2"/>
        <item x="3"/>
        <item t="default"/>
      </items>
    </pivotField>
    <pivotField showAll="0"/>
    <pivotField showAll="0"/>
    <pivotField showAll="0"/>
  </pivotFields>
  <rowFields count="1">
    <field x="8"/>
  </rowFields>
  <rowItems count="5">
    <i>
      <x/>
    </i>
    <i>
      <x v="3"/>
    </i>
    <i>
      <x v="4"/>
    </i>
    <i>
      <x v="2"/>
    </i>
    <i>
      <x v="1"/>
    </i>
  </rowItems>
  <colItems count="1">
    <i/>
  </colItems>
  <dataFields count="1">
    <dataField name="Sum of sales" fld="13"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3E1F8B7F-E61D-419F-B475-A26F7229DEDD}" autoFormatId="16" applyNumberFormats="0" applyBorderFormats="0" applyFontFormats="0" applyPatternFormats="0" applyAlignmentFormats="0" applyWidthHeightFormats="0">
  <queryTableRefresh nextId="16">
    <queryTableFields count="15">
      <queryTableField id="1" name="product_name" tableColumnId="1"/>
      <queryTableField id="2" name="mean_price" tableColumnId="2"/>
      <queryTableField id="3" name="order_id" tableColumnId="3"/>
      <queryTableField id="4" name="order_date" tableColumnId="4"/>
      <queryTableField id="5" name="store_id" tableColumnId="5"/>
      <queryTableField id="6" name="region" tableColumnId="6"/>
      <queryTableField id="7" name="customer_id" tableColumnId="7"/>
      <queryTableField id="8" name="segment" tableColumnId="8"/>
      <queryTableField id="9" name="product_id" tableColumnId="9"/>
      <queryTableField id="10" name="category" tableColumnId="10"/>
      <queryTableField id="11" name="quantity" tableColumnId="11"/>
      <queryTableField id="12" name="unit_price" tableColumnId="12"/>
      <queryTableField id="13" name="discount" tableColumnId="13"/>
      <queryTableField id="14" name="cost" tableColumnId="14"/>
      <queryTableField id="15" name="unit_price_clean"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7F53BC75-24A8-4F38-AAD7-79E59D3BFC4C}" autoFormatId="16" applyNumberFormats="0" applyBorderFormats="0" applyFontFormats="0" applyPatternFormats="0" applyAlignmentFormats="0" applyWidthHeightFormats="0">
  <queryTableRefresh nextId="2">
    <queryTableFields count="1">
      <queryTableField id="1" name="Median quantity"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EB182914-1B51-450E-ABF9-5C234EB40577}" autoFormatId="16" applyNumberFormats="0" applyBorderFormats="0" applyFontFormats="0" applyPatternFormats="0" applyAlignmentFormats="0" applyWidthHeightFormats="0">
  <queryTableRefresh nextId="2">
    <queryTableFields count="1">
      <queryTableField id="1" name="count after remove duplicate"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97A21125-5D1D-4258-B2F9-65386735B805}" autoFormatId="16" applyNumberFormats="0" applyBorderFormats="0" applyFontFormats="0" applyPatternFormats="0" applyAlignmentFormats="0" applyWidthHeightFormats="0">
  <queryTableRefresh nextId="2">
    <queryTableFields count="1">
      <queryTableField id="1" name="count before remove duplicate"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639843C5-E34C-40EB-8E4D-6A751159A951}" autoFormatId="16" applyNumberFormats="0" applyBorderFormats="0" applyFontFormats="0" applyPatternFormats="0" applyAlignmentFormats="0" applyWidthHeightFormats="0">
  <queryTableRefresh nextId="21" unboundColumnsRight="7">
    <queryTableFields count="20">
      <queryTableField id="1" name="order_id" tableColumnId="1"/>
      <queryTableField id="2" name="order_date" tableColumnId="2"/>
      <queryTableField id="3" name="store_id" tableColumnId="3"/>
      <queryTableField id="4" name="region" tableColumnId="4"/>
      <queryTableField id="5" name="customer_id" tableColumnId="5"/>
      <queryTableField id="6" name="segment" tableColumnId="6"/>
      <queryTableField id="7" name="product_id" tableColumnId="7"/>
      <queryTableField id="8" name="product_name" tableColumnId="8"/>
      <queryTableField id="9" name="category" tableColumnId="9"/>
      <queryTableField id="10" name="quantity" tableColumnId="10"/>
      <queryTableField id="11" name="unit_price" tableColumnId="11"/>
      <queryTableField id="12" name="discount" tableColumnId="12"/>
      <queryTableField id="13" name="cost"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1A10E9-60BA-4A67-A754-BC25DE4340D3}" sourceName="month">
  <pivotTables>
    <pivotTable tabId="1" name="PivotTable1"/>
    <pivotTable tabId="1" name="PivotTable8"/>
    <pivotTable tabId="1" name="PivotTable2"/>
    <pivotTable tabId="1" name="PivotTable3"/>
    <pivotTable tabId="1" name="PivotTable4"/>
    <pivotTable tabId="1" name="PivotTable5"/>
    <pivotTable tabId="1" name="PivotTable6"/>
  </pivotTables>
  <data>
    <tabular pivotCacheId="849688956" crossFilter="showItemsWithNoData">
      <items count="12">
        <i x="0" s="1"/>
        <i x="1" s="1"/>
        <i x="2" s="1"/>
        <i x="11"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40B7AF-C7F8-4DD9-9925-4A3ECA731126}" sourceName="year">
  <pivotTables>
    <pivotTable tabId="1" name="PivotTable1"/>
    <pivotTable tabId="1" name="PivotTable8"/>
    <pivotTable tabId="1" name="PivotTable2"/>
    <pivotTable tabId="1" name="PivotTable3"/>
    <pivotTable tabId="1" name="PivotTable4"/>
    <pivotTable tabId="1" name="PivotTable5"/>
    <pivotTable tabId="1" name="PivotTable6"/>
  </pivotTables>
  <data>
    <tabular pivotCacheId="849688956" crossFilter="showItemsWithNoData">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7A10B7-4CB7-4C62-8B7D-9DD3CB7C9FEA}" sourceName="region">
  <pivotTables>
    <pivotTable tabId="1" name="PivotTable1"/>
    <pivotTable tabId="1" name="PivotTable8"/>
    <pivotTable tabId="1" name="PivotTable2"/>
    <pivotTable tabId="1" name="PivotTable3"/>
    <pivotTable tabId="1" name="PivotTable4"/>
    <pivotTable tabId="1" name="PivotTable5"/>
    <pivotTable tabId="1" name="PivotTable6"/>
  </pivotTables>
  <data>
    <tabular pivotCacheId="849688956" crossFilter="showItemsWithNoData">
      <items count="5">
        <i x="1" s="1"/>
        <i x="0"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6B72DE-D855-4CEA-B403-7183E38069E2}" sourceName="segment">
  <pivotTables>
    <pivotTable tabId="1" name="PivotTable1"/>
    <pivotTable tabId="1" name="PivotTable8"/>
    <pivotTable tabId="1" name="PivotTable2"/>
    <pivotTable tabId="1" name="PivotTable3"/>
    <pivotTable tabId="1" name="PivotTable4"/>
    <pivotTable tabId="1" name="PivotTable5"/>
    <pivotTable tabId="1" name="PivotTable6"/>
  </pivotTables>
  <data>
    <tabular pivotCacheId="849688956" crossFilter="showItemsWithNoData">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8B135D-4917-4BF2-AE19-B694EE300DE2}" sourceName="category">
  <pivotTables>
    <pivotTable tabId="1" name="PivotTable1"/>
    <pivotTable tabId="1" name="PivotTable8"/>
    <pivotTable tabId="1" name="PivotTable2"/>
    <pivotTable tabId="1" name="PivotTable3"/>
    <pivotTable tabId="1" name="PivotTable4"/>
    <pivotTable tabId="1" name="PivotTable5"/>
    <pivotTable tabId="1" name="PivotTable6"/>
  </pivotTables>
  <data>
    <tabular pivotCacheId="849688956" crossFilter="showItemsWithNoData">
      <items count="5">
        <i x="4" s="1"/>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42C03F1-B75C-4AE2-A4DF-3846D9356C35}" cache="Slicer_month" caption="month" columnCount="3" style="SlicerStyleLight1" rowHeight="241300"/>
  <slicer name="year" xr10:uid="{C805A2E6-5963-4DEE-834C-4BFA341F16B1}" cache="Slicer_year" caption="year" style="SlicerStyleLight1" rowHeight="241300"/>
  <slicer name="region 1" xr10:uid="{70ED9DBC-0A47-4BE7-B3F9-725E26EED02B}" cache="Slicer_region" caption="region" style="SlicerStyleLight1" rowHeight="241300"/>
  <slicer name="segment 1" xr10:uid="{287C382E-925B-47AE-AE05-FFBCF90DC2AF}" cache="Slicer_segment" caption="segment" style="SlicerStyleLight1" rowHeight="241300"/>
  <slicer name="category 1" xr10:uid="{C6C15F0D-8C3A-4950-9AAE-8E5B908D88DB}" cache="Slicer_category" caption="category"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54C4A36-94AF-42F4-8CB6-A69B571A2C3D}" cache="Slicer_month" caption="month" columnCount="2" rowHeight="180000"/>
  <slicer name="year 1" xr10:uid="{986D3B63-842C-46EA-854B-B8055FFB85F3}" cache="Slicer_year" caption="year" columnCount="2" rowHeight="180000"/>
  <slicer name="region" xr10:uid="{46D8F144-6F03-4582-96DA-F8A6D87F9779}" cache="Slicer_region" caption="region" rowHeight="180000"/>
  <slicer name="segment" xr10:uid="{37B57BEE-41BC-4E9E-8A38-2E91AD65A26F}" cache="Slicer_segment" caption="segment" columnCount="4" rowHeight="180000"/>
  <slicer name="category" xr10:uid="{D55E6A88-F56E-47B9-89B9-00E3E5CC97B1}" cache="Slicer_category" caption="category" columnCount="5"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145B7D-1BD8-4D28-953E-A870AD334C38}" name="group_by_avg_product_name" displayName="group_by_avg_product_name" ref="A1:O1770" tableType="queryTable" totalsRowShown="0">
  <autoFilter ref="A1:O1770" xr:uid="{02145B7D-1BD8-4D28-953E-A870AD334C38}"/>
  <tableColumns count="15">
    <tableColumn id="1" xr3:uid="{E7F17793-7774-49D0-9001-32D5D9920726}" uniqueName="1" name="product_name" queryTableFieldId="1" dataDxfId="26464"/>
    <tableColumn id="2" xr3:uid="{1B044179-C40F-4D50-93AC-FED0A962212E}" uniqueName="2" name="mean_price" queryTableFieldId="2"/>
    <tableColumn id="3" xr3:uid="{C52854FC-2FF6-4AC2-B1F6-91C06E90EA91}" uniqueName="3" name="order_id" queryTableFieldId="3" dataDxfId="26463"/>
    <tableColumn id="4" xr3:uid="{5314C79C-1D43-4F41-A2DD-AD1740F24816}" uniqueName="4" name="order_date" queryTableFieldId="4" dataDxfId="26462"/>
    <tableColumn id="5" xr3:uid="{505D6455-F8AB-4592-A657-4AAF3514CA0A}" uniqueName="5" name="store_id" queryTableFieldId="5" dataDxfId="26461"/>
    <tableColumn id="6" xr3:uid="{3C48C6E5-836F-4586-97AA-BA4DCF7D23AA}" uniqueName="6" name="region" queryTableFieldId="6" dataDxfId="26460"/>
    <tableColumn id="7" xr3:uid="{D4A17635-D16C-444C-899F-FE0C52FF6C30}" uniqueName="7" name="customer_id" queryTableFieldId="7" dataDxfId="26459"/>
    <tableColumn id="8" xr3:uid="{72DF5178-1306-471D-8772-27F79252158F}" uniqueName="8" name="segment" queryTableFieldId="8" dataDxfId="26458"/>
    <tableColumn id="9" xr3:uid="{80D037A2-E1F4-4773-8368-6202C2BDCB73}" uniqueName="9" name="product_id" queryTableFieldId="9" dataDxfId="26457"/>
    <tableColumn id="10" xr3:uid="{27A3827A-B5A6-42B3-A8C0-DD78211B2ABD}" uniqueName="10" name="category" queryTableFieldId="10" dataDxfId="26456"/>
    <tableColumn id="11" xr3:uid="{DFA8C426-13DF-4F50-9223-5C795EB5A954}" uniqueName="11" name="quantity" queryTableFieldId="11"/>
    <tableColumn id="12" xr3:uid="{1564E474-FAFB-4208-9465-4F2D119F78E5}" uniqueName="12" name="unit_price" queryTableFieldId="12"/>
    <tableColumn id="13" xr3:uid="{4E1CBCB8-A199-4DAD-85BF-21FCD480FA4A}" uniqueName="13" name="discount" queryTableFieldId="13"/>
    <tableColumn id="14" xr3:uid="{D83F43D6-7B24-42C9-B67D-311AA4121E67}" uniqueName="14" name="cost" queryTableFieldId="14"/>
    <tableColumn id="15" xr3:uid="{9137BF12-9586-4ABC-9377-1379E6C81046}" uniqueName="15" name="unit_price_clean"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EB4FE3-75A6-441A-A714-AD10476766AF}" name="Median_quantity" displayName="Median_quantity" ref="A1:A2" tableType="queryTable" totalsRowShown="0">
  <autoFilter ref="A1:A2" xr:uid="{9FEB4FE3-75A6-441A-A714-AD10476766AF}"/>
  <tableColumns count="1">
    <tableColumn id="1" xr3:uid="{5212DF8F-DFD9-4A63-A809-1E86013BED0C}" uniqueName="1" name="Median quantity"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090182-00FF-4E6B-AC4B-C46205C81D35}" name="count_after_remove_duplicate" displayName="count_after_remove_duplicate" ref="A1:A2" tableType="queryTable" totalsRowShown="0">
  <autoFilter ref="A1:A2" xr:uid="{4E090182-00FF-4E6B-AC4B-C46205C81D35}"/>
  <tableColumns count="1">
    <tableColumn id="1" xr3:uid="{6613E9C5-FEA6-4C21-BF35-B83C154FFFFA}" uniqueName="1" name="count after remove duplicate"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531EF9-6ADB-40BB-A76E-95F1BC362660}" name="count_before_remove_duplicate" displayName="count_before_remove_duplicate" ref="A1:A2" tableType="queryTable" totalsRowShown="0">
  <autoFilter ref="A1:A2" xr:uid="{C2531EF9-6ADB-40BB-A76E-95F1BC362660}"/>
  <tableColumns count="1">
    <tableColumn id="1" xr3:uid="{F3331719-EC3A-4EF9-B6BC-3C290EA4C65B}" uniqueName="1" name="count before remove duplicate"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3D8DB-BA65-4C4A-9D64-2CD84913CC7C}" name="data" displayName="data" ref="A1:T1770" tableType="queryTable" totalsRowShown="0">
  <autoFilter ref="A1:T1770" xr:uid="{C893D8DB-BA65-4C4A-9D64-2CD84913CC7C}"/>
  <tableColumns count="20">
    <tableColumn id="1" xr3:uid="{3BCBDC94-9D79-47A8-8677-6D106E6B1210}" uniqueName="1" name="order_id" queryTableFieldId="1" dataDxfId="26455"/>
    <tableColumn id="2" xr3:uid="{A7610F3C-E60D-4A40-AC50-3398245975E7}" uniqueName="2" name="order_date" queryTableFieldId="2" dataDxfId="26454"/>
    <tableColumn id="3" xr3:uid="{9E7681D4-95C3-4F16-A6F6-D772A13D4C6A}" uniqueName="3" name="store_id" queryTableFieldId="3" dataDxfId="26453"/>
    <tableColumn id="4" xr3:uid="{2E2BE91F-8E21-40DC-8441-166996833A2B}" uniqueName="4" name="region" queryTableFieldId="4" dataDxfId="26452"/>
    <tableColumn id="5" xr3:uid="{C66896E3-0E93-4F53-8227-61820E275FAD}" uniqueName="5" name="customer_id" queryTableFieldId="5" dataDxfId="26451"/>
    <tableColumn id="6" xr3:uid="{E4C834D2-9704-419A-AF56-81D951D53701}" uniqueName="6" name="segment" queryTableFieldId="6" dataDxfId="26450"/>
    <tableColumn id="7" xr3:uid="{2090817C-CD25-492A-B1EE-D0981A228C2C}" uniqueName="7" name="product_id" queryTableFieldId="7" dataDxfId="26449"/>
    <tableColumn id="8" xr3:uid="{EA8969FF-4976-4666-A23B-50E089373728}" uniqueName="8" name="product_name" queryTableFieldId="8" dataDxfId="26448"/>
    <tableColumn id="9" xr3:uid="{E1DCFCD4-2683-41FF-A7AC-01CC2378BE70}" uniqueName="9" name="category" queryTableFieldId="9" dataDxfId="26447"/>
    <tableColumn id="10" xr3:uid="{C9FCBA8C-CD51-42AB-9274-7E4C3E5F7346}" uniqueName="10" name="quantity" queryTableFieldId="10"/>
    <tableColumn id="11" xr3:uid="{B180B4A3-3660-4316-A8F2-130289B586A7}" uniqueName="11" name="unit_price" queryTableFieldId="11"/>
    <tableColumn id="12" xr3:uid="{DEEFC8E7-E6C4-4B60-9CEC-0D9733A1D99B}" uniqueName="12" name="discount" queryTableFieldId="12"/>
    <tableColumn id="13" xr3:uid="{8AE3C3C1-1CA4-40DE-B21C-CDA9DE5C1FDE}" uniqueName="13" name="cost" queryTableFieldId="13"/>
    <tableColumn id="14" xr3:uid="{4981DE93-1F86-482E-A960-E5B6E2857B9B}" uniqueName="14" name="sales" queryTableFieldId="14" dataDxfId="26446">
      <calculatedColumnFormula>(data[[#This Row],[unit_price]]*data[[#This Row],[quantity]]) * (1-data[[#This Row],[discount]])</calculatedColumnFormula>
    </tableColumn>
    <tableColumn id="15" xr3:uid="{F32DC5AF-679D-4DC0-9662-A5B226D4A028}" uniqueName="15" name="profit" queryTableFieldId="15" dataDxfId="26445">
      <calculatedColumnFormula>data[[#This Row],[sales]]-data[[#This Row],[cost]]</calculatedColumnFormula>
    </tableColumn>
    <tableColumn id="16" xr3:uid="{74F820AD-DA6A-4F2D-907C-0A5207566377}" uniqueName="16" name="month" queryTableFieldId="16" dataDxfId="26444">
      <calculatedColumnFormula>TEXT(data[[#This Row],[order_date]],"mmm")</calculatedColumnFormula>
    </tableColumn>
    <tableColumn id="17" xr3:uid="{EAA53721-B5D7-46D3-BD4B-174F63C1673F}" uniqueName="17" name="year" queryTableFieldId="17" dataDxfId="26443">
      <calculatedColumnFormula>YEAR(data[[#This Row],[order_date]])</calculatedColumnFormula>
    </tableColumn>
    <tableColumn id="18" xr3:uid="{C53F7C6B-8EEF-4F74-B8D6-9313D8AF684A}" uniqueName="18" name="month_num" queryTableFieldId="18" dataDxfId="26442">
      <calculatedColumnFormula>MONTH(data[[#This Row],[order_date]])</calculatedColumnFormula>
    </tableColumn>
    <tableColumn id="19" xr3:uid="{C391EB9F-0DF0-4F40-B467-78D4A4676E51}" uniqueName="19" name="day" queryTableFieldId="19" dataDxfId="26441">
      <calculatedColumnFormula>DAY(data[[#This Row],[order_date]])</calculatedColumnFormula>
    </tableColumn>
    <tableColumn id="20" xr3:uid="{BA973077-88B0-456A-A74D-D3D72DEF2867}" uniqueName="20" name="margin %" queryTableFieldId="20" dataDxfId="26440">
      <calculatedColumnFormula>data[[#This Row],[profit]]/data[[#This Row],[sales]]</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63248D-58F8-4DA5-9AD3-E4E61BAD7747}" name="bulan" displayName="bulan" ref="M2:N14" totalsRowShown="0">
  <autoFilter ref="M2:N14" xr:uid="{AB63248D-58F8-4DA5-9AD3-E4E61BAD7747}"/>
  <tableColumns count="2">
    <tableColumn id="1" xr3:uid="{F36AD8F4-CDC0-445B-97E5-F72DFEB2CD14}" name="x"/>
    <tableColumn id="2" xr3:uid="{220E53F2-DBEB-4840-94E1-81318FEF5951}" name="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653A-4A30-4EBC-AB5B-4EF1AC2AC612}">
  <dimension ref="A1:O1770"/>
  <sheetViews>
    <sheetView topLeftCell="D1" workbookViewId="0"/>
  </sheetViews>
  <sheetFormatPr defaultRowHeight="14.5" x14ac:dyDescent="0.35"/>
  <cols>
    <col min="1" max="1" width="23.453125" bestFit="1" customWidth="1"/>
    <col min="2" max="2" width="12.90625" bestFit="1" customWidth="1"/>
    <col min="3" max="3" width="13" bestFit="1" customWidth="1"/>
    <col min="4" max="4" width="12.54296875" bestFit="1" customWidth="1"/>
    <col min="5" max="5" width="10" bestFit="1" customWidth="1"/>
    <col min="6" max="6" width="18.54296875" bestFit="1" customWidth="1"/>
    <col min="7" max="7" width="13.54296875" bestFit="1" customWidth="1"/>
    <col min="8" max="8" width="11.1796875" bestFit="1" customWidth="1"/>
    <col min="9" max="9" width="12.26953125" bestFit="1" customWidth="1"/>
    <col min="10" max="10" width="15.36328125" bestFit="1" customWidth="1"/>
    <col min="11" max="11" width="10.1796875" bestFit="1" customWidth="1"/>
    <col min="12" max="12" width="11.81640625" bestFit="1" customWidth="1"/>
    <col min="13" max="13" width="10.26953125" bestFit="1" customWidth="1"/>
    <col min="14" max="14" width="7.81640625" bestFit="1" customWidth="1"/>
    <col min="15" max="15" width="17" bestFit="1" customWidth="1"/>
  </cols>
  <sheetData>
    <row r="1" spans="1:15" x14ac:dyDescent="0.35">
      <c r="A1" t="s">
        <v>7</v>
      </c>
      <c r="B1" t="s">
        <v>2008</v>
      </c>
      <c r="C1" t="s">
        <v>0</v>
      </c>
      <c r="D1" t="s">
        <v>1</v>
      </c>
      <c r="E1" t="s">
        <v>2</v>
      </c>
      <c r="F1" t="s">
        <v>3</v>
      </c>
      <c r="G1" t="s">
        <v>4</v>
      </c>
      <c r="H1" t="s">
        <v>5</v>
      </c>
      <c r="I1" t="s">
        <v>6</v>
      </c>
      <c r="J1" t="s">
        <v>8</v>
      </c>
      <c r="K1" t="s">
        <v>9</v>
      </c>
      <c r="L1" t="s">
        <v>10</v>
      </c>
      <c r="M1" t="s">
        <v>11</v>
      </c>
      <c r="N1" t="s">
        <v>12</v>
      </c>
      <c r="O1" t="s">
        <v>2009</v>
      </c>
    </row>
    <row r="2" spans="1:15" x14ac:dyDescent="0.35">
      <c r="A2" t="s">
        <v>19</v>
      </c>
      <c r="B2">
        <v>386785.71428571426</v>
      </c>
      <c r="C2" t="s">
        <v>13</v>
      </c>
      <c r="D2" s="1">
        <v>44927</v>
      </c>
      <c r="E2" t="s">
        <v>14</v>
      </c>
      <c r="F2" t="s">
        <v>15</v>
      </c>
      <c r="G2" t="s">
        <v>16</v>
      </c>
      <c r="H2" t="s">
        <v>17</v>
      </c>
      <c r="I2" t="s">
        <v>18</v>
      </c>
      <c r="J2" t="s">
        <v>20</v>
      </c>
      <c r="K2">
        <v>1</v>
      </c>
      <c r="L2">
        <v>400000</v>
      </c>
      <c r="M2">
        <v>0</v>
      </c>
      <c r="N2">
        <v>303000</v>
      </c>
      <c r="O2">
        <v>400000</v>
      </c>
    </row>
    <row r="3" spans="1:15" x14ac:dyDescent="0.35">
      <c r="A3" t="s">
        <v>19</v>
      </c>
      <c r="B3">
        <v>386785.71428571426</v>
      </c>
      <c r="C3" t="s">
        <v>21</v>
      </c>
      <c r="D3" s="1">
        <v>44935</v>
      </c>
      <c r="E3" t="s">
        <v>14</v>
      </c>
      <c r="F3" t="s">
        <v>15</v>
      </c>
      <c r="G3" t="s">
        <v>22</v>
      </c>
      <c r="H3" t="s">
        <v>23</v>
      </c>
      <c r="I3" t="s">
        <v>18</v>
      </c>
      <c r="J3" t="s">
        <v>20</v>
      </c>
      <c r="K3">
        <v>1</v>
      </c>
      <c r="L3">
        <v>361000</v>
      </c>
      <c r="M3">
        <v>0.1</v>
      </c>
      <c r="N3">
        <v>264000</v>
      </c>
      <c r="O3">
        <v>361000</v>
      </c>
    </row>
    <row r="4" spans="1:15" x14ac:dyDescent="0.35">
      <c r="A4" t="s">
        <v>19</v>
      </c>
      <c r="B4">
        <v>386785.71428571426</v>
      </c>
      <c r="C4" t="s">
        <v>24</v>
      </c>
      <c r="D4" s="1">
        <v>44943</v>
      </c>
      <c r="E4" t="s">
        <v>25</v>
      </c>
      <c r="F4" t="s">
        <v>26</v>
      </c>
      <c r="G4" t="s">
        <v>27</v>
      </c>
      <c r="H4" t="s">
        <v>28</v>
      </c>
      <c r="I4" t="s">
        <v>18</v>
      </c>
      <c r="J4" t="s">
        <v>20</v>
      </c>
      <c r="K4">
        <v>5</v>
      </c>
      <c r="L4">
        <v>404000</v>
      </c>
      <c r="M4">
        <v>0</v>
      </c>
      <c r="N4">
        <v>294000</v>
      </c>
      <c r="O4">
        <v>404000</v>
      </c>
    </row>
    <row r="5" spans="1:15" x14ac:dyDescent="0.35">
      <c r="A5" t="s">
        <v>19</v>
      </c>
      <c r="B5">
        <v>386785.71428571426</v>
      </c>
      <c r="C5" t="s">
        <v>29</v>
      </c>
      <c r="D5" s="1">
        <v>44964</v>
      </c>
      <c r="E5" t="s">
        <v>14</v>
      </c>
      <c r="F5" t="s">
        <v>15</v>
      </c>
      <c r="G5" t="s">
        <v>30</v>
      </c>
      <c r="H5" t="s">
        <v>23</v>
      </c>
      <c r="I5" t="s">
        <v>18</v>
      </c>
      <c r="J5" t="s">
        <v>20</v>
      </c>
      <c r="K5">
        <v>1</v>
      </c>
      <c r="L5">
        <v>414000</v>
      </c>
      <c r="M5">
        <v>0</v>
      </c>
      <c r="N5">
        <v>298000</v>
      </c>
      <c r="O5">
        <v>414000</v>
      </c>
    </row>
    <row r="6" spans="1:15" x14ac:dyDescent="0.35">
      <c r="A6" t="s">
        <v>19</v>
      </c>
      <c r="B6">
        <v>386785.71428571426</v>
      </c>
      <c r="C6" t="s">
        <v>31</v>
      </c>
      <c r="D6" s="1">
        <v>44985</v>
      </c>
      <c r="E6" t="s">
        <v>14</v>
      </c>
      <c r="F6" t="s">
        <v>15</v>
      </c>
      <c r="G6" t="s">
        <v>32</v>
      </c>
      <c r="H6" t="s">
        <v>23</v>
      </c>
      <c r="I6" t="s">
        <v>18</v>
      </c>
      <c r="J6" t="s">
        <v>20</v>
      </c>
      <c r="K6">
        <v>2</v>
      </c>
      <c r="L6">
        <v>366000</v>
      </c>
      <c r="M6">
        <v>0</v>
      </c>
      <c r="N6">
        <v>269000</v>
      </c>
      <c r="O6">
        <v>366000</v>
      </c>
    </row>
    <row r="7" spans="1:15" x14ac:dyDescent="0.35">
      <c r="A7" t="s">
        <v>19</v>
      </c>
      <c r="B7">
        <v>386785.71428571426</v>
      </c>
      <c r="C7" t="s">
        <v>33</v>
      </c>
      <c r="D7" s="1">
        <v>45001</v>
      </c>
      <c r="E7" t="s">
        <v>14</v>
      </c>
      <c r="F7" t="s">
        <v>15</v>
      </c>
      <c r="G7" t="s">
        <v>34</v>
      </c>
      <c r="H7" t="s">
        <v>17</v>
      </c>
      <c r="I7" t="s">
        <v>18</v>
      </c>
      <c r="J7" t="s">
        <v>20</v>
      </c>
      <c r="K7">
        <v>2</v>
      </c>
      <c r="L7">
        <v>366000</v>
      </c>
      <c r="M7">
        <v>0</v>
      </c>
      <c r="N7">
        <v>275000</v>
      </c>
      <c r="O7">
        <v>366000</v>
      </c>
    </row>
    <row r="8" spans="1:15" x14ac:dyDescent="0.35">
      <c r="A8" t="s">
        <v>19</v>
      </c>
      <c r="B8">
        <v>386785.71428571426</v>
      </c>
      <c r="C8" t="s">
        <v>35</v>
      </c>
      <c r="D8" s="1">
        <v>45011</v>
      </c>
      <c r="E8" t="s">
        <v>36</v>
      </c>
      <c r="F8" t="s">
        <v>37</v>
      </c>
      <c r="G8" t="s">
        <v>34</v>
      </c>
      <c r="H8" t="s">
        <v>17</v>
      </c>
      <c r="I8" t="s">
        <v>18</v>
      </c>
      <c r="J8" t="s">
        <v>20</v>
      </c>
      <c r="K8">
        <v>2</v>
      </c>
      <c r="L8">
        <v>264000</v>
      </c>
      <c r="M8">
        <v>0.05</v>
      </c>
      <c r="N8">
        <v>201000</v>
      </c>
      <c r="O8">
        <v>264000</v>
      </c>
    </row>
    <row r="9" spans="1:15" x14ac:dyDescent="0.35">
      <c r="A9" t="s">
        <v>19</v>
      </c>
      <c r="B9">
        <v>386785.71428571426</v>
      </c>
      <c r="C9" t="s">
        <v>38</v>
      </c>
      <c r="D9" s="1">
        <v>45014</v>
      </c>
      <c r="E9" t="s">
        <v>14</v>
      </c>
      <c r="F9" t="s">
        <v>15</v>
      </c>
      <c r="G9" t="s">
        <v>39</v>
      </c>
      <c r="H9" t="s">
        <v>23</v>
      </c>
      <c r="I9" t="s">
        <v>18</v>
      </c>
      <c r="J9" t="s">
        <v>20</v>
      </c>
      <c r="K9">
        <v>1</v>
      </c>
      <c r="L9">
        <v>428000</v>
      </c>
      <c r="M9">
        <v>0</v>
      </c>
      <c r="N9">
        <v>310000</v>
      </c>
      <c r="O9">
        <v>428000</v>
      </c>
    </row>
    <row r="10" spans="1:15" x14ac:dyDescent="0.35">
      <c r="A10" t="s">
        <v>19</v>
      </c>
      <c r="B10">
        <v>386785.71428571426</v>
      </c>
      <c r="C10" t="s">
        <v>40</v>
      </c>
      <c r="D10" s="1">
        <v>45049</v>
      </c>
      <c r="E10" t="s">
        <v>41</v>
      </c>
      <c r="F10" t="s">
        <v>42</v>
      </c>
      <c r="G10" t="s">
        <v>43</v>
      </c>
      <c r="H10" t="s">
        <v>17</v>
      </c>
      <c r="I10" t="s">
        <v>18</v>
      </c>
      <c r="J10" t="s">
        <v>20</v>
      </c>
      <c r="K10">
        <v>1</v>
      </c>
      <c r="L10">
        <v>358000</v>
      </c>
      <c r="M10">
        <v>0</v>
      </c>
      <c r="N10">
        <v>268000</v>
      </c>
      <c r="O10">
        <v>358000</v>
      </c>
    </row>
    <row r="11" spans="1:15" x14ac:dyDescent="0.35">
      <c r="A11" t="s">
        <v>19</v>
      </c>
      <c r="B11">
        <v>386785.71428571426</v>
      </c>
      <c r="C11" t="s">
        <v>44</v>
      </c>
      <c r="D11" s="1">
        <v>45086</v>
      </c>
      <c r="E11" t="s">
        <v>14</v>
      </c>
      <c r="F11" t="s">
        <v>15</v>
      </c>
      <c r="G11" t="s">
        <v>45</v>
      </c>
      <c r="H11" t="s">
        <v>17</v>
      </c>
      <c r="I11" t="s">
        <v>18</v>
      </c>
      <c r="J11" t="s">
        <v>20</v>
      </c>
      <c r="K11">
        <v>3</v>
      </c>
      <c r="L11">
        <v>421000</v>
      </c>
      <c r="M11">
        <v>0.05</v>
      </c>
      <c r="N11">
        <v>312000</v>
      </c>
      <c r="O11">
        <v>421000</v>
      </c>
    </row>
    <row r="12" spans="1:15" x14ac:dyDescent="0.35">
      <c r="A12" t="s">
        <v>19</v>
      </c>
      <c r="B12">
        <v>386785.71428571426</v>
      </c>
      <c r="C12" t="s">
        <v>46</v>
      </c>
      <c r="D12" s="1">
        <v>45095</v>
      </c>
      <c r="E12" t="s">
        <v>14</v>
      </c>
      <c r="F12" t="s">
        <v>15</v>
      </c>
      <c r="G12" t="s">
        <v>47</v>
      </c>
      <c r="H12" t="s">
        <v>23</v>
      </c>
      <c r="I12" t="s">
        <v>18</v>
      </c>
      <c r="J12" t="s">
        <v>20</v>
      </c>
      <c r="K12">
        <v>1</v>
      </c>
      <c r="L12">
        <v>327000</v>
      </c>
      <c r="M12">
        <v>0.05</v>
      </c>
      <c r="N12">
        <v>244000</v>
      </c>
      <c r="O12">
        <v>327000</v>
      </c>
    </row>
    <row r="13" spans="1:15" x14ac:dyDescent="0.35">
      <c r="A13" t="s">
        <v>19</v>
      </c>
      <c r="B13">
        <v>386785.71428571426</v>
      </c>
      <c r="C13" t="s">
        <v>48</v>
      </c>
      <c r="D13" s="1">
        <v>45108</v>
      </c>
      <c r="E13" t="s">
        <v>49</v>
      </c>
      <c r="F13" t="s">
        <v>50</v>
      </c>
      <c r="G13" t="s">
        <v>51</v>
      </c>
      <c r="H13" t="s">
        <v>23</v>
      </c>
      <c r="I13" t="s">
        <v>18</v>
      </c>
      <c r="J13" t="s">
        <v>20</v>
      </c>
      <c r="K13">
        <v>2</v>
      </c>
      <c r="L13">
        <v>449000</v>
      </c>
      <c r="M13">
        <v>0</v>
      </c>
      <c r="N13">
        <v>327000</v>
      </c>
      <c r="O13">
        <v>449000</v>
      </c>
    </row>
    <row r="14" spans="1:15" x14ac:dyDescent="0.35">
      <c r="A14" t="s">
        <v>19</v>
      </c>
      <c r="B14">
        <v>386785.71428571426</v>
      </c>
      <c r="C14" t="s">
        <v>52</v>
      </c>
      <c r="D14" s="1">
        <v>45150</v>
      </c>
      <c r="E14" t="s">
        <v>14</v>
      </c>
      <c r="F14" t="s">
        <v>15</v>
      </c>
      <c r="G14" t="s">
        <v>53</v>
      </c>
      <c r="H14" t="s">
        <v>17</v>
      </c>
      <c r="I14" t="s">
        <v>18</v>
      </c>
      <c r="J14" t="s">
        <v>20</v>
      </c>
      <c r="K14">
        <v>1</v>
      </c>
      <c r="L14">
        <v>379000</v>
      </c>
      <c r="M14">
        <v>0</v>
      </c>
      <c r="N14">
        <v>284000</v>
      </c>
      <c r="O14">
        <v>379000</v>
      </c>
    </row>
    <row r="15" spans="1:15" x14ac:dyDescent="0.35">
      <c r="A15" t="s">
        <v>19</v>
      </c>
      <c r="B15">
        <v>386785.71428571426</v>
      </c>
      <c r="C15" t="s">
        <v>54</v>
      </c>
      <c r="D15" s="1">
        <v>45192</v>
      </c>
      <c r="E15" t="s">
        <v>14</v>
      </c>
      <c r="F15" t="s">
        <v>15</v>
      </c>
      <c r="G15" t="s">
        <v>55</v>
      </c>
      <c r="H15" t="s">
        <v>17</v>
      </c>
      <c r="I15" t="s">
        <v>18</v>
      </c>
      <c r="J15" t="s">
        <v>20</v>
      </c>
      <c r="K15">
        <v>1</v>
      </c>
      <c r="L15">
        <v>394000</v>
      </c>
      <c r="M15">
        <v>0</v>
      </c>
      <c r="N15">
        <v>294000</v>
      </c>
      <c r="O15">
        <v>394000</v>
      </c>
    </row>
    <row r="16" spans="1:15" x14ac:dyDescent="0.35">
      <c r="A16" t="s">
        <v>19</v>
      </c>
      <c r="B16">
        <v>386785.71428571426</v>
      </c>
      <c r="C16" t="s">
        <v>56</v>
      </c>
      <c r="D16" s="1">
        <v>45202</v>
      </c>
      <c r="E16" t="s">
        <v>41</v>
      </c>
      <c r="F16" t="s">
        <v>42</v>
      </c>
      <c r="G16" t="s">
        <v>57</v>
      </c>
      <c r="H16" t="s">
        <v>58</v>
      </c>
      <c r="I16" t="s">
        <v>18</v>
      </c>
      <c r="J16" t="s">
        <v>20</v>
      </c>
      <c r="K16">
        <v>1</v>
      </c>
      <c r="L16">
        <v>274000</v>
      </c>
      <c r="M16">
        <v>0.15</v>
      </c>
      <c r="N16">
        <v>203000</v>
      </c>
      <c r="O16">
        <v>274000</v>
      </c>
    </row>
    <row r="17" spans="1:15" x14ac:dyDescent="0.35">
      <c r="A17" t="s">
        <v>19</v>
      </c>
      <c r="B17">
        <v>386785.71428571426</v>
      </c>
      <c r="C17" t="s">
        <v>59</v>
      </c>
      <c r="D17" s="1">
        <v>45224</v>
      </c>
      <c r="E17" t="s">
        <v>36</v>
      </c>
      <c r="F17" t="s">
        <v>37</v>
      </c>
      <c r="G17" t="s">
        <v>43</v>
      </c>
      <c r="H17" t="s">
        <v>17</v>
      </c>
      <c r="I17" t="s">
        <v>18</v>
      </c>
      <c r="J17" t="s">
        <v>20</v>
      </c>
      <c r="K17">
        <v>1</v>
      </c>
      <c r="L17">
        <v>365000</v>
      </c>
      <c r="M17">
        <v>0</v>
      </c>
      <c r="N17">
        <v>277000</v>
      </c>
      <c r="O17">
        <v>365000</v>
      </c>
    </row>
    <row r="18" spans="1:15" x14ac:dyDescent="0.35">
      <c r="A18" t="s">
        <v>19</v>
      </c>
      <c r="B18">
        <v>386785.71428571426</v>
      </c>
      <c r="C18" t="s">
        <v>60</v>
      </c>
      <c r="D18" s="1">
        <v>45240</v>
      </c>
      <c r="E18" t="s">
        <v>14</v>
      </c>
      <c r="F18" t="s">
        <v>15</v>
      </c>
      <c r="G18" t="s">
        <v>61</v>
      </c>
      <c r="H18" t="s">
        <v>23</v>
      </c>
      <c r="I18" t="s">
        <v>18</v>
      </c>
      <c r="J18" t="s">
        <v>20</v>
      </c>
      <c r="K18">
        <v>2</v>
      </c>
      <c r="L18">
        <v>304000</v>
      </c>
      <c r="M18">
        <v>0</v>
      </c>
      <c r="N18">
        <v>226000</v>
      </c>
      <c r="O18">
        <v>304000</v>
      </c>
    </row>
    <row r="19" spans="1:15" x14ac:dyDescent="0.35">
      <c r="A19" t="s">
        <v>19</v>
      </c>
      <c r="B19">
        <v>386785.71428571426</v>
      </c>
      <c r="C19" t="s">
        <v>62</v>
      </c>
      <c r="D19" s="1">
        <v>45251</v>
      </c>
      <c r="E19" t="s">
        <v>14</v>
      </c>
      <c r="F19" t="s">
        <v>15</v>
      </c>
      <c r="G19" t="s">
        <v>63</v>
      </c>
      <c r="H19" t="s">
        <v>28</v>
      </c>
      <c r="I19" t="s">
        <v>18</v>
      </c>
      <c r="J19" t="s">
        <v>20</v>
      </c>
      <c r="K19">
        <v>1</v>
      </c>
      <c r="L19">
        <v>362000</v>
      </c>
      <c r="M19">
        <v>0</v>
      </c>
      <c r="N19">
        <v>274000</v>
      </c>
      <c r="O19">
        <v>362000</v>
      </c>
    </row>
    <row r="20" spans="1:15" x14ac:dyDescent="0.35">
      <c r="A20" t="s">
        <v>19</v>
      </c>
      <c r="B20">
        <v>386785.71428571426</v>
      </c>
      <c r="C20" t="s">
        <v>64</v>
      </c>
      <c r="D20" s="1">
        <v>45260</v>
      </c>
      <c r="E20" t="s">
        <v>36</v>
      </c>
      <c r="F20" t="s">
        <v>37</v>
      </c>
      <c r="G20" t="s">
        <v>65</v>
      </c>
      <c r="H20" t="s">
        <v>17</v>
      </c>
      <c r="I20" t="s">
        <v>18</v>
      </c>
      <c r="J20" t="s">
        <v>20</v>
      </c>
      <c r="K20">
        <v>2</v>
      </c>
      <c r="L20">
        <v>291000</v>
      </c>
      <c r="M20">
        <v>0</v>
      </c>
      <c r="N20">
        <v>219000</v>
      </c>
      <c r="O20">
        <v>291000</v>
      </c>
    </row>
    <row r="21" spans="1:15" x14ac:dyDescent="0.35">
      <c r="A21" t="s">
        <v>19</v>
      </c>
      <c r="B21">
        <v>386785.71428571426</v>
      </c>
      <c r="C21" t="s">
        <v>66</v>
      </c>
      <c r="D21" s="1">
        <v>45286</v>
      </c>
      <c r="E21" t="s">
        <v>41</v>
      </c>
      <c r="F21" t="s">
        <v>42</v>
      </c>
      <c r="G21" t="s">
        <v>65</v>
      </c>
      <c r="H21" t="s">
        <v>17</v>
      </c>
      <c r="I21" t="s">
        <v>18</v>
      </c>
      <c r="J21" t="s">
        <v>20</v>
      </c>
      <c r="K21">
        <v>1</v>
      </c>
      <c r="L21">
        <v>320000</v>
      </c>
      <c r="M21">
        <v>0</v>
      </c>
      <c r="N21">
        <v>236000</v>
      </c>
      <c r="O21">
        <v>320000</v>
      </c>
    </row>
    <row r="22" spans="1:15" x14ac:dyDescent="0.35">
      <c r="A22" t="s">
        <v>19</v>
      </c>
      <c r="B22">
        <v>386785.71428571426</v>
      </c>
      <c r="C22" t="s">
        <v>67</v>
      </c>
      <c r="D22" s="1">
        <v>45307</v>
      </c>
      <c r="E22" t="s">
        <v>36</v>
      </c>
      <c r="F22" t="s">
        <v>37</v>
      </c>
      <c r="G22" t="s">
        <v>27</v>
      </c>
      <c r="H22" t="s">
        <v>28</v>
      </c>
      <c r="I22" t="s">
        <v>18</v>
      </c>
      <c r="J22" t="s">
        <v>20</v>
      </c>
      <c r="K22">
        <v>1</v>
      </c>
      <c r="L22">
        <v>274000</v>
      </c>
      <c r="M22">
        <v>0</v>
      </c>
      <c r="N22">
        <v>201000</v>
      </c>
      <c r="O22">
        <v>274000</v>
      </c>
    </row>
    <row r="23" spans="1:15" x14ac:dyDescent="0.35">
      <c r="A23" t="s">
        <v>19</v>
      </c>
      <c r="B23">
        <v>386785.71428571426</v>
      </c>
      <c r="C23" t="s">
        <v>68</v>
      </c>
      <c r="D23" s="1">
        <v>45313</v>
      </c>
      <c r="E23" t="s">
        <v>49</v>
      </c>
      <c r="F23" t="s">
        <v>50</v>
      </c>
      <c r="G23" t="s">
        <v>69</v>
      </c>
      <c r="H23" t="s">
        <v>23</v>
      </c>
      <c r="I23" t="s">
        <v>18</v>
      </c>
      <c r="J23" t="s">
        <v>20</v>
      </c>
      <c r="K23">
        <v>1</v>
      </c>
      <c r="L23">
        <v>333000</v>
      </c>
      <c r="M23">
        <v>0</v>
      </c>
      <c r="N23">
        <v>249000</v>
      </c>
      <c r="O23">
        <v>333000</v>
      </c>
    </row>
    <row r="24" spans="1:15" x14ac:dyDescent="0.35">
      <c r="A24" t="s">
        <v>19</v>
      </c>
      <c r="B24">
        <v>386785.71428571426</v>
      </c>
      <c r="C24" t="s">
        <v>70</v>
      </c>
      <c r="D24" s="1">
        <v>45353</v>
      </c>
      <c r="E24" t="s">
        <v>49</v>
      </c>
      <c r="F24" t="s">
        <v>50</v>
      </c>
      <c r="G24" t="s">
        <v>71</v>
      </c>
      <c r="H24" t="s">
        <v>23</v>
      </c>
      <c r="I24" t="s">
        <v>18</v>
      </c>
      <c r="J24" t="s">
        <v>20</v>
      </c>
      <c r="K24">
        <v>2</v>
      </c>
      <c r="L24">
        <v>373000</v>
      </c>
      <c r="M24">
        <v>0</v>
      </c>
      <c r="N24">
        <v>270000</v>
      </c>
      <c r="O24">
        <v>373000</v>
      </c>
    </row>
    <row r="25" spans="1:15" x14ac:dyDescent="0.35">
      <c r="A25" t="s">
        <v>19</v>
      </c>
      <c r="B25">
        <v>386785.71428571426</v>
      </c>
      <c r="C25" t="s">
        <v>72</v>
      </c>
      <c r="D25" s="1">
        <v>45365</v>
      </c>
      <c r="E25" t="s">
        <v>14</v>
      </c>
      <c r="F25" t="s">
        <v>15</v>
      </c>
      <c r="G25" t="s">
        <v>61</v>
      </c>
      <c r="H25" t="s">
        <v>23</v>
      </c>
      <c r="I25" t="s">
        <v>18</v>
      </c>
      <c r="J25" t="s">
        <v>20</v>
      </c>
      <c r="K25">
        <v>3</v>
      </c>
      <c r="L25">
        <v>463000</v>
      </c>
      <c r="M25">
        <v>0.05</v>
      </c>
      <c r="N25">
        <v>336000</v>
      </c>
      <c r="O25">
        <v>463000</v>
      </c>
    </row>
    <row r="26" spans="1:15" x14ac:dyDescent="0.35">
      <c r="A26" t="s">
        <v>19</v>
      </c>
      <c r="B26">
        <v>386785.71428571426</v>
      </c>
      <c r="C26" t="s">
        <v>73</v>
      </c>
      <c r="D26" s="1">
        <v>45380</v>
      </c>
      <c r="E26" t="s">
        <v>41</v>
      </c>
      <c r="F26" t="s">
        <v>42</v>
      </c>
      <c r="G26" t="s">
        <v>74</v>
      </c>
      <c r="H26" t="s">
        <v>23</v>
      </c>
      <c r="I26" t="s">
        <v>18</v>
      </c>
      <c r="J26" t="s">
        <v>20</v>
      </c>
      <c r="K26">
        <v>1</v>
      </c>
      <c r="L26">
        <v>285000</v>
      </c>
      <c r="M26">
        <v>0</v>
      </c>
      <c r="N26">
        <v>207000</v>
      </c>
      <c r="O26">
        <v>285000</v>
      </c>
    </row>
    <row r="27" spans="1:15" x14ac:dyDescent="0.35">
      <c r="A27" t="s">
        <v>19</v>
      </c>
      <c r="B27">
        <v>386785.71428571426</v>
      </c>
      <c r="C27" t="s">
        <v>75</v>
      </c>
      <c r="D27" s="1">
        <v>45381</v>
      </c>
      <c r="E27" t="s">
        <v>14</v>
      </c>
      <c r="F27" t="s">
        <v>15</v>
      </c>
      <c r="G27" t="s">
        <v>76</v>
      </c>
      <c r="H27" t="s">
        <v>23</v>
      </c>
      <c r="I27" t="s">
        <v>18</v>
      </c>
      <c r="J27" t="s">
        <v>20</v>
      </c>
      <c r="K27">
        <v>3</v>
      </c>
      <c r="L27">
        <v>386785.71428571426</v>
      </c>
      <c r="M27">
        <v>0.1</v>
      </c>
      <c r="N27">
        <v>0</v>
      </c>
      <c r="O27">
        <v>386785.71428571426</v>
      </c>
    </row>
    <row r="28" spans="1:15" x14ac:dyDescent="0.35">
      <c r="A28" t="s">
        <v>19</v>
      </c>
      <c r="B28">
        <v>386785.71428571426</v>
      </c>
      <c r="C28" t="s">
        <v>77</v>
      </c>
      <c r="D28" s="1">
        <v>45389</v>
      </c>
      <c r="E28" t="s">
        <v>41</v>
      </c>
      <c r="F28" t="s">
        <v>42</v>
      </c>
      <c r="G28" t="s">
        <v>30</v>
      </c>
      <c r="H28" t="s">
        <v>23</v>
      </c>
      <c r="I28" t="s">
        <v>18</v>
      </c>
      <c r="J28" t="s">
        <v>20</v>
      </c>
      <c r="K28">
        <v>1</v>
      </c>
      <c r="L28">
        <v>399000</v>
      </c>
      <c r="M28">
        <v>0</v>
      </c>
      <c r="N28">
        <v>289000</v>
      </c>
      <c r="O28">
        <v>399000</v>
      </c>
    </row>
    <row r="29" spans="1:15" x14ac:dyDescent="0.35">
      <c r="A29" t="s">
        <v>19</v>
      </c>
      <c r="B29">
        <v>386785.71428571426</v>
      </c>
      <c r="C29" t="s">
        <v>78</v>
      </c>
      <c r="D29" s="1">
        <v>45405</v>
      </c>
      <c r="E29" t="s">
        <v>14</v>
      </c>
      <c r="F29" t="s">
        <v>15</v>
      </c>
      <c r="G29" t="s">
        <v>79</v>
      </c>
      <c r="H29" t="s">
        <v>17</v>
      </c>
      <c r="I29" t="s">
        <v>18</v>
      </c>
      <c r="J29" t="s">
        <v>20</v>
      </c>
      <c r="K29">
        <v>1</v>
      </c>
      <c r="L29">
        <v>396000</v>
      </c>
      <c r="M29">
        <v>0</v>
      </c>
      <c r="N29">
        <v>287000</v>
      </c>
      <c r="O29">
        <v>396000</v>
      </c>
    </row>
    <row r="30" spans="1:15" x14ac:dyDescent="0.35">
      <c r="A30" t="s">
        <v>19</v>
      </c>
      <c r="B30">
        <v>386785.71428571426</v>
      </c>
      <c r="C30" t="s">
        <v>80</v>
      </c>
      <c r="D30" s="1">
        <v>45419</v>
      </c>
      <c r="E30" t="s">
        <v>14</v>
      </c>
      <c r="F30" t="s">
        <v>15</v>
      </c>
      <c r="G30" t="s">
        <v>81</v>
      </c>
      <c r="H30" t="s">
        <v>17</v>
      </c>
      <c r="I30" t="s">
        <v>18</v>
      </c>
      <c r="J30" t="s">
        <v>20</v>
      </c>
      <c r="K30">
        <v>1</v>
      </c>
      <c r="L30">
        <v>314000</v>
      </c>
      <c r="M30">
        <v>0</v>
      </c>
      <c r="N30">
        <v>231000</v>
      </c>
      <c r="O30">
        <v>314000</v>
      </c>
    </row>
    <row r="31" spans="1:15" x14ac:dyDescent="0.35">
      <c r="A31" t="s">
        <v>19</v>
      </c>
      <c r="B31">
        <v>386785.71428571426</v>
      </c>
      <c r="C31" t="s">
        <v>82</v>
      </c>
      <c r="D31" s="1">
        <v>45427</v>
      </c>
      <c r="E31" t="s">
        <v>41</v>
      </c>
      <c r="F31" t="s">
        <v>42</v>
      </c>
      <c r="G31" t="s">
        <v>83</v>
      </c>
      <c r="H31" t="s">
        <v>23</v>
      </c>
      <c r="I31" t="s">
        <v>18</v>
      </c>
      <c r="J31" t="s">
        <v>20</v>
      </c>
      <c r="K31">
        <v>1</v>
      </c>
      <c r="L31">
        <v>343000</v>
      </c>
      <c r="M31">
        <v>0</v>
      </c>
      <c r="N31">
        <v>261000</v>
      </c>
      <c r="O31">
        <v>343000</v>
      </c>
    </row>
    <row r="32" spans="1:15" x14ac:dyDescent="0.35">
      <c r="A32" t="s">
        <v>19</v>
      </c>
      <c r="B32">
        <v>386785.71428571426</v>
      </c>
      <c r="C32" t="s">
        <v>84</v>
      </c>
      <c r="D32" s="1">
        <v>45434</v>
      </c>
      <c r="E32" t="s">
        <v>49</v>
      </c>
      <c r="F32" t="s">
        <v>50</v>
      </c>
      <c r="G32" t="s">
        <v>85</v>
      </c>
      <c r="H32" t="s">
        <v>23</v>
      </c>
      <c r="I32" t="s">
        <v>18</v>
      </c>
      <c r="J32" t="s">
        <v>20</v>
      </c>
      <c r="K32">
        <v>1</v>
      </c>
      <c r="L32">
        <v>364000</v>
      </c>
      <c r="M32">
        <v>0</v>
      </c>
      <c r="N32">
        <v>272000</v>
      </c>
      <c r="O32">
        <v>364000</v>
      </c>
    </row>
    <row r="33" spans="1:15" x14ac:dyDescent="0.35">
      <c r="A33" t="s">
        <v>19</v>
      </c>
      <c r="B33">
        <v>386785.71428571426</v>
      </c>
      <c r="C33" t="s">
        <v>86</v>
      </c>
      <c r="D33" s="1">
        <v>45447</v>
      </c>
      <c r="E33" t="s">
        <v>14</v>
      </c>
      <c r="F33" t="s">
        <v>15</v>
      </c>
      <c r="G33" t="s">
        <v>87</v>
      </c>
      <c r="H33" t="s">
        <v>17</v>
      </c>
      <c r="I33" t="s">
        <v>18</v>
      </c>
      <c r="J33" t="s">
        <v>20</v>
      </c>
      <c r="K33">
        <v>1</v>
      </c>
      <c r="L33">
        <v>386785.71428571426</v>
      </c>
      <c r="M33">
        <v>0</v>
      </c>
      <c r="N33">
        <v>0</v>
      </c>
      <c r="O33">
        <v>386785.71428571426</v>
      </c>
    </row>
    <row r="34" spans="1:15" x14ac:dyDescent="0.35">
      <c r="A34" t="s">
        <v>19</v>
      </c>
      <c r="B34">
        <v>386785.71428571426</v>
      </c>
      <c r="C34" t="s">
        <v>88</v>
      </c>
      <c r="D34" s="1">
        <v>45448</v>
      </c>
      <c r="E34" t="s">
        <v>25</v>
      </c>
      <c r="F34" t="s">
        <v>26</v>
      </c>
      <c r="G34" t="s">
        <v>89</v>
      </c>
      <c r="H34" t="s">
        <v>23</v>
      </c>
      <c r="I34" t="s">
        <v>18</v>
      </c>
      <c r="J34" t="s">
        <v>20</v>
      </c>
      <c r="K34">
        <v>3</v>
      </c>
      <c r="L34">
        <v>386785.71428571426</v>
      </c>
      <c r="M34">
        <v>0</v>
      </c>
      <c r="N34">
        <v>0</v>
      </c>
      <c r="O34">
        <v>386785.71428571426</v>
      </c>
    </row>
    <row r="35" spans="1:15" x14ac:dyDescent="0.35">
      <c r="A35" t="s">
        <v>19</v>
      </c>
      <c r="B35">
        <v>386785.71428571426</v>
      </c>
      <c r="C35" t="s">
        <v>90</v>
      </c>
      <c r="D35" s="1">
        <v>45471</v>
      </c>
      <c r="E35" t="s">
        <v>14</v>
      </c>
      <c r="F35" t="s">
        <v>15</v>
      </c>
      <c r="G35" t="s">
        <v>91</v>
      </c>
      <c r="H35" t="s">
        <v>23</v>
      </c>
      <c r="I35" t="s">
        <v>18</v>
      </c>
      <c r="J35" t="s">
        <v>20</v>
      </c>
      <c r="K35">
        <v>1</v>
      </c>
      <c r="L35">
        <v>328000</v>
      </c>
      <c r="M35">
        <v>0</v>
      </c>
      <c r="N35">
        <v>246000</v>
      </c>
      <c r="O35">
        <v>328000</v>
      </c>
    </row>
    <row r="36" spans="1:15" x14ac:dyDescent="0.35">
      <c r="A36" t="s">
        <v>19</v>
      </c>
      <c r="B36">
        <v>386785.71428571426</v>
      </c>
      <c r="C36" t="s">
        <v>92</v>
      </c>
      <c r="D36" s="1">
        <v>45477</v>
      </c>
      <c r="E36" t="s">
        <v>36</v>
      </c>
      <c r="F36" t="s">
        <v>37</v>
      </c>
      <c r="G36" t="s">
        <v>93</v>
      </c>
      <c r="H36" t="s">
        <v>23</v>
      </c>
      <c r="I36" t="s">
        <v>18</v>
      </c>
      <c r="J36" t="s">
        <v>20</v>
      </c>
      <c r="K36">
        <v>1</v>
      </c>
      <c r="L36">
        <v>460000</v>
      </c>
      <c r="M36">
        <v>0</v>
      </c>
      <c r="N36">
        <v>332000</v>
      </c>
      <c r="O36">
        <v>460000</v>
      </c>
    </row>
    <row r="37" spans="1:15" x14ac:dyDescent="0.35">
      <c r="A37" t="s">
        <v>19</v>
      </c>
      <c r="B37">
        <v>386785.71428571426</v>
      </c>
      <c r="C37" t="s">
        <v>94</v>
      </c>
      <c r="D37" s="1">
        <v>45507</v>
      </c>
      <c r="E37" t="s">
        <v>14</v>
      </c>
      <c r="F37" t="s">
        <v>15</v>
      </c>
      <c r="G37" t="s">
        <v>95</v>
      </c>
      <c r="H37" t="s">
        <v>23</v>
      </c>
      <c r="I37" t="s">
        <v>18</v>
      </c>
      <c r="J37" t="s">
        <v>20</v>
      </c>
      <c r="K37">
        <v>1</v>
      </c>
      <c r="L37">
        <v>371000</v>
      </c>
      <c r="M37">
        <v>0</v>
      </c>
      <c r="N37">
        <v>272000</v>
      </c>
      <c r="O37">
        <v>371000</v>
      </c>
    </row>
    <row r="38" spans="1:15" x14ac:dyDescent="0.35">
      <c r="A38" t="s">
        <v>19</v>
      </c>
      <c r="B38">
        <v>386785.71428571426</v>
      </c>
      <c r="C38" t="s">
        <v>96</v>
      </c>
      <c r="D38" s="1">
        <v>45549</v>
      </c>
      <c r="E38" t="s">
        <v>41</v>
      </c>
      <c r="F38" t="s">
        <v>42</v>
      </c>
      <c r="G38" t="s">
        <v>97</v>
      </c>
      <c r="H38" t="s">
        <v>23</v>
      </c>
      <c r="I38" t="s">
        <v>18</v>
      </c>
      <c r="J38" t="s">
        <v>20</v>
      </c>
      <c r="K38">
        <v>1</v>
      </c>
      <c r="L38">
        <v>470000</v>
      </c>
      <c r="M38">
        <v>0</v>
      </c>
      <c r="N38">
        <v>341000</v>
      </c>
      <c r="O38">
        <v>470000</v>
      </c>
    </row>
    <row r="39" spans="1:15" x14ac:dyDescent="0.35">
      <c r="A39" t="s">
        <v>19</v>
      </c>
      <c r="B39">
        <v>386785.71428571426</v>
      </c>
      <c r="C39" t="s">
        <v>98</v>
      </c>
      <c r="D39" s="1">
        <v>45556</v>
      </c>
      <c r="E39" t="s">
        <v>41</v>
      </c>
      <c r="F39" t="s">
        <v>42</v>
      </c>
      <c r="G39" t="s">
        <v>99</v>
      </c>
      <c r="H39" t="s">
        <v>23</v>
      </c>
      <c r="I39" t="s">
        <v>18</v>
      </c>
      <c r="J39" t="s">
        <v>20</v>
      </c>
      <c r="K39">
        <v>1</v>
      </c>
      <c r="L39">
        <v>377000</v>
      </c>
      <c r="M39">
        <v>0</v>
      </c>
      <c r="N39">
        <v>285000</v>
      </c>
      <c r="O39">
        <v>377000</v>
      </c>
    </row>
    <row r="40" spans="1:15" x14ac:dyDescent="0.35">
      <c r="A40" t="s">
        <v>19</v>
      </c>
      <c r="B40">
        <v>386785.71428571426</v>
      </c>
      <c r="C40" t="s">
        <v>100</v>
      </c>
      <c r="D40" s="1">
        <v>45558</v>
      </c>
      <c r="E40" t="s">
        <v>41</v>
      </c>
      <c r="F40" t="s">
        <v>42</v>
      </c>
      <c r="G40" t="s">
        <v>79</v>
      </c>
      <c r="H40" t="s">
        <v>17</v>
      </c>
      <c r="I40" t="s">
        <v>18</v>
      </c>
      <c r="J40" t="s">
        <v>20</v>
      </c>
      <c r="K40">
        <v>1</v>
      </c>
      <c r="L40">
        <v>288000</v>
      </c>
      <c r="M40">
        <v>0.1</v>
      </c>
      <c r="N40">
        <v>217000</v>
      </c>
      <c r="O40">
        <v>288000</v>
      </c>
    </row>
    <row r="41" spans="1:15" x14ac:dyDescent="0.35">
      <c r="A41" t="s">
        <v>19</v>
      </c>
      <c r="B41">
        <v>386785.71428571426</v>
      </c>
      <c r="C41" t="s">
        <v>101</v>
      </c>
      <c r="D41" s="1">
        <v>45633</v>
      </c>
      <c r="E41" t="s">
        <v>41</v>
      </c>
      <c r="F41" t="s">
        <v>42</v>
      </c>
      <c r="G41" t="s">
        <v>102</v>
      </c>
      <c r="H41" t="s">
        <v>58</v>
      </c>
      <c r="I41" t="s">
        <v>18</v>
      </c>
      <c r="J41" t="s">
        <v>20</v>
      </c>
      <c r="K41">
        <v>2</v>
      </c>
      <c r="L41">
        <v>469000</v>
      </c>
      <c r="M41">
        <v>0</v>
      </c>
      <c r="N41">
        <v>347000</v>
      </c>
      <c r="O41">
        <v>469000</v>
      </c>
    </row>
    <row r="42" spans="1:15" x14ac:dyDescent="0.35">
      <c r="A42" t="s">
        <v>19</v>
      </c>
      <c r="B42">
        <v>386785.71428571426</v>
      </c>
      <c r="C42" t="s">
        <v>103</v>
      </c>
      <c r="D42" s="1">
        <v>45637</v>
      </c>
      <c r="E42" t="s">
        <v>49</v>
      </c>
      <c r="F42" t="s">
        <v>50</v>
      </c>
      <c r="G42" t="s">
        <v>104</v>
      </c>
      <c r="H42" t="s">
        <v>28</v>
      </c>
      <c r="I42" t="s">
        <v>18</v>
      </c>
      <c r="J42" t="s">
        <v>20</v>
      </c>
      <c r="K42">
        <v>1</v>
      </c>
      <c r="L42">
        <v>408000</v>
      </c>
      <c r="M42">
        <v>0</v>
      </c>
      <c r="N42">
        <v>298000</v>
      </c>
      <c r="O42">
        <v>408000</v>
      </c>
    </row>
    <row r="43" spans="1:15" x14ac:dyDescent="0.35">
      <c r="A43" t="s">
        <v>19</v>
      </c>
      <c r="B43">
        <v>386785.71428571426</v>
      </c>
      <c r="C43" t="s">
        <v>105</v>
      </c>
      <c r="D43" s="1">
        <v>45660</v>
      </c>
      <c r="E43" t="s">
        <v>14</v>
      </c>
      <c r="F43" t="s">
        <v>15</v>
      </c>
      <c r="G43" t="s">
        <v>39</v>
      </c>
      <c r="H43" t="s">
        <v>23</v>
      </c>
      <c r="I43" t="s">
        <v>18</v>
      </c>
      <c r="J43" t="s">
        <v>20</v>
      </c>
      <c r="K43">
        <v>1</v>
      </c>
      <c r="L43">
        <v>446000</v>
      </c>
      <c r="M43">
        <v>0</v>
      </c>
      <c r="N43">
        <v>322000</v>
      </c>
      <c r="O43">
        <v>446000</v>
      </c>
    </row>
    <row r="44" spans="1:15" x14ac:dyDescent="0.35">
      <c r="A44" t="s">
        <v>19</v>
      </c>
      <c r="B44">
        <v>386785.71428571426</v>
      </c>
      <c r="C44" t="s">
        <v>106</v>
      </c>
      <c r="D44" s="1">
        <v>45693</v>
      </c>
      <c r="E44" t="s">
        <v>14</v>
      </c>
      <c r="F44" t="s">
        <v>15</v>
      </c>
      <c r="G44" t="s">
        <v>83</v>
      </c>
      <c r="H44" t="s">
        <v>23</v>
      </c>
      <c r="I44" t="s">
        <v>18</v>
      </c>
      <c r="J44" t="s">
        <v>20</v>
      </c>
      <c r="K44">
        <v>3</v>
      </c>
      <c r="L44">
        <v>326000</v>
      </c>
      <c r="M44">
        <v>0</v>
      </c>
      <c r="N44">
        <v>244000</v>
      </c>
      <c r="O44">
        <v>326000</v>
      </c>
    </row>
    <row r="45" spans="1:15" x14ac:dyDescent="0.35">
      <c r="A45" t="s">
        <v>19</v>
      </c>
      <c r="B45">
        <v>386785.71428571426</v>
      </c>
      <c r="C45" t="s">
        <v>107</v>
      </c>
      <c r="D45" s="1">
        <v>45739</v>
      </c>
      <c r="E45" t="s">
        <v>14</v>
      </c>
      <c r="F45" t="s">
        <v>15</v>
      </c>
      <c r="G45" t="s">
        <v>108</v>
      </c>
      <c r="H45" t="s">
        <v>23</v>
      </c>
      <c r="I45" t="s">
        <v>18</v>
      </c>
      <c r="J45" t="s">
        <v>20</v>
      </c>
      <c r="K45">
        <v>2</v>
      </c>
      <c r="L45">
        <v>464000</v>
      </c>
      <c r="M45">
        <v>0.1</v>
      </c>
      <c r="N45">
        <v>343000</v>
      </c>
      <c r="O45">
        <v>464000</v>
      </c>
    </row>
    <row r="46" spans="1:15" x14ac:dyDescent="0.35">
      <c r="A46" t="s">
        <v>19</v>
      </c>
      <c r="B46">
        <v>386785.71428571426</v>
      </c>
      <c r="C46" t="s">
        <v>109</v>
      </c>
      <c r="D46" s="1">
        <v>45744</v>
      </c>
      <c r="E46" t="s">
        <v>41</v>
      </c>
      <c r="F46" t="s">
        <v>42</v>
      </c>
      <c r="G46" t="s">
        <v>110</v>
      </c>
      <c r="H46" t="s">
        <v>23</v>
      </c>
      <c r="I46" t="s">
        <v>18</v>
      </c>
      <c r="J46" t="s">
        <v>20</v>
      </c>
      <c r="K46">
        <v>1</v>
      </c>
      <c r="L46">
        <v>422000</v>
      </c>
      <c r="M46">
        <v>0</v>
      </c>
      <c r="N46">
        <v>315000</v>
      </c>
      <c r="O46">
        <v>422000</v>
      </c>
    </row>
    <row r="47" spans="1:15" x14ac:dyDescent="0.35">
      <c r="A47" t="s">
        <v>19</v>
      </c>
      <c r="B47">
        <v>386785.71428571426</v>
      </c>
      <c r="C47" t="s">
        <v>111</v>
      </c>
      <c r="D47" s="1">
        <v>45773</v>
      </c>
      <c r="E47" t="s">
        <v>49</v>
      </c>
      <c r="F47" t="s">
        <v>50</v>
      </c>
      <c r="G47" t="s">
        <v>108</v>
      </c>
      <c r="H47" t="s">
        <v>23</v>
      </c>
      <c r="I47" t="s">
        <v>18</v>
      </c>
      <c r="J47" t="s">
        <v>20</v>
      </c>
      <c r="K47">
        <v>1</v>
      </c>
      <c r="L47">
        <v>305000</v>
      </c>
      <c r="M47">
        <v>0</v>
      </c>
      <c r="N47">
        <v>224000</v>
      </c>
      <c r="O47">
        <v>305000</v>
      </c>
    </row>
    <row r="48" spans="1:15" x14ac:dyDescent="0.35">
      <c r="A48" t="s">
        <v>19</v>
      </c>
      <c r="B48">
        <v>386785.71428571426</v>
      </c>
      <c r="C48" t="s">
        <v>112</v>
      </c>
      <c r="D48" s="1">
        <v>45790</v>
      </c>
      <c r="E48" t="s">
        <v>36</v>
      </c>
      <c r="F48" t="s">
        <v>37</v>
      </c>
      <c r="G48" t="s">
        <v>113</v>
      </c>
      <c r="H48" t="s">
        <v>23</v>
      </c>
      <c r="I48" t="s">
        <v>18</v>
      </c>
      <c r="J48" t="s">
        <v>20</v>
      </c>
      <c r="K48">
        <v>1</v>
      </c>
      <c r="L48">
        <v>390000</v>
      </c>
      <c r="M48">
        <v>0</v>
      </c>
      <c r="N48">
        <v>296000</v>
      </c>
      <c r="O48">
        <v>390000</v>
      </c>
    </row>
    <row r="49" spans="1:15" x14ac:dyDescent="0.35">
      <c r="A49" t="s">
        <v>19</v>
      </c>
      <c r="B49">
        <v>386785.71428571426</v>
      </c>
      <c r="C49" t="s">
        <v>114</v>
      </c>
      <c r="D49" s="1">
        <v>45804</v>
      </c>
      <c r="E49" t="s">
        <v>41</v>
      </c>
      <c r="F49" t="s">
        <v>42</v>
      </c>
      <c r="G49" t="s">
        <v>115</v>
      </c>
      <c r="H49" t="s">
        <v>23</v>
      </c>
      <c r="I49" t="s">
        <v>18</v>
      </c>
      <c r="J49" t="s">
        <v>20</v>
      </c>
      <c r="K49">
        <v>2</v>
      </c>
      <c r="L49">
        <v>386000</v>
      </c>
      <c r="M49">
        <v>0</v>
      </c>
      <c r="N49">
        <v>284000</v>
      </c>
      <c r="O49">
        <v>386000</v>
      </c>
    </row>
    <row r="50" spans="1:15" x14ac:dyDescent="0.35">
      <c r="A50" t="s">
        <v>19</v>
      </c>
      <c r="B50">
        <v>386785.71428571426</v>
      </c>
      <c r="C50" t="s">
        <v>116</v>
      </c>
      <c r="D50" s="1">
        <v>45823</v>
      </c>
      <c r="E50" t="s">
        <v>14</v>
      </c>
      <c r="F50" t="s">
        <v>15</v>
      </c>
      <c r="G50" t="s">
        <v>117</v>
      </c>
      <c r="H50" t="s">
        <v>23</v>
      </c>
      <c r="I50" t="s">
        <v>18</v>
      </c>
      <c r="J50" t="s">
        <v>20</v>
      </c>
      <c r="K50">
        <v>2</v>
      </c>
      <c r="L50">
        <v>452000</v>
      </c>
      <c r="M50">
        <v>0</v>
      </c>
      <c r="N50">
        <v>333000</v>
      </c>
      <c r="O50">
        <v>452000</v>
      </c>
    </row>
    <row r="51" spans="1:15" x14ac:dyDescent="0.35">
      <c r="A51" t="s">
        <v>19</v>
      </c>
      <c r="B51">
        <v>386785.71428571426</v>
      </c>
      <c r="C51" t="s">
        <v>118</v>
      </c>
      <c r="D51" s="1">
        <v>45824</v>
      </c>
      <c r="E51" t="s">
        <v>41</v>
      </c>
      <c r="F51" t="s">
        <v>42</v>
      </c>
      <c r="G51" t="s">
        <v>119</v>
      </c>
      <c r="H51" t="s">
        <v>23</v>
      </c>
      <c r="I51" t="s">
        <v>18</v>
      </c>
      <c r="J51" t="s">
        <v>20</v>
      </c>
      <c r="K51">
        <v>1</v>
      </c>
      <c r="L51">
        <v>405000</v>
      </c>
      <c r="M51">
        <v>0</v>
      </c>
      <c r="N51">
        <v>295000</v>
      </c>
      <c r="O51">
        <v>405000</v>
      </c>
    </row>
    <row r="52" spans="1:15" x14ac:dyDescent="0.35">
      <c r="A52" t="s">
        <v>19</v>
      </c>
      <c r="B52">
        <v>386785.71428571426</v>
      </c>
      <c r="C52" t="s">
        <v>120</v>
      </c>
      <c r="D52" s="1">
        <v>45861</v>
      </c>
      <c r="E52" t="s">
        <v>14</v>
      </c>
      <c r="F52" t="s">
        <v>15</v>
      </c>
      <c r="G52" t="s">
        <v>121</v>
      </c>
      <c r="H52" t="s">
        <v>23</v>
      </c>
      <c r="I52" t="s">
        <v>18</v>
      </c>
      <c r="J52" t="s">
        <v>20</v>
      </c>
      <c r="K52">
        <v>1</v>
      </c>
      <c r="L52">
        <v>451000</v>
      </c>
      <c r="M52">
        <v>0</v>
      </c>
      <c r="N52">
        <v>336000</v>
      </c>
      <c r="O52">
        <v>451000</v>
      </c>
    </row>
    <row r="53" spans="1:15" x14ac:dyDescent="0.35">
      <c r="A53" t="s">
        <v>19</v>
      </c>
      <c r="B53">
        <v>386785.71428571426</v>
      </c>
      <c r="C53" t="s">
        <v>122</v>
      </c>
      <c r="D53" s="1">
        <v>45862</v>
      </c>
      <c r="E53" t="s">
        <v>14</v>
      </c>
      <c r="F53" t="s">
        <v>15</v>
      </c>
      <c r="G53" t="s">
        <v>123</v>
      </c>
      <c r="H53" t="s">
        <v>28</v>
      </c>
      <c r="I53" t="s">
        <v>18</v>
      </c>
      <c r="J53" t="s">
        <v>20</v>
      </c>
      <c r="K53">
        <v>2</v>
      </c>
      <c r="L53">
        <v>447000</v>
      </c>
      <c r="M53">
        <v>0</v>
      </c>
      <c r="N53">
        <v>333000</v>
      </c>
      <c r="O53">
        <v>447000</v>
      </c>
    </row>
    <row r="54" spans="1:15" x14ac:dyDescent="0.35">
      <c r="A54" t="s">
        <v>19</v>
      </c>
      <c r="B54">
        <v>386785.71428571426</v>
      </c>
      <c r="C54" t="s">
        <v>124</v>
      </c>
      <c r="D54" s="1">
        <v>45872</v>
      </c>
      <c r="E54" t="s">
        <v>49</v>
      </c>
      <c r="F54" t="s">
        <v>50</v>
      </c>
      <c r="G54" t="s">
        <v>81</v>
      </c>
      <c r="H54" t="s">
        <v>17</v>
      </c>
      <c r="I54" t="s">
        <v>18</v>
      </c>
      <c r="J54" t="s">
        <v>20</v>
      </c>
      <c r="K54">
        <v>1</v>
      </c>
      <c r="L54">
        <v>351000</v>
      </c>
      <c r="M54">
        <v>0</v>
      </c>
      <c r="N54">
        <v>260000</v>
      </c>
      <c r="O54">
        <v>351000</v>
      </c>
    </row>
    <row r="55" spans="1:15" x14ac:dyDescent="0.35">
      <c r="A55" t="s">
        <v>19</v>
      </c>
      <c r="B55">
        <v>386785.71428571426</v>
      </c>
      <c r="C55" t="s">
        <v>125</v>
      </c>
      <c r="D55" s="1">
        <v>45888</v>
      </c>
      <c r="E55" t="s">
        <v>14</v>
      </c>
      <c r="F55" t="s">
        <v>15</v>
      </c>
      <c r="G55" t="s">
        <v>126</v>
      </c>
      <c r="H55" t="s">
        <v>17</v>
      </c>
      <c r="I55" t="s">
        <v>18</v>
      </c>
      <c r="J55" t="s">
        <v>20</v>
      </c>
      <c r="K55">
        <v>2</v>
      </c>
      <c r="L55">
        <v>404000</v>
      </c>
      <c r="M55">
        <v>0</v>
      </c>
      <c r="N55">
        <v>301000</v>
      </c>
      <c r="O55">
        <v>404000</v>
      </c>
    </row>
    <row r="56" spans="1:15" x14ac:dyDescent="0.35">
      <c r="A56" t="s">
        <v>19</v>
      </c>
      <c r="B56">
        <v>386785.71428571426</v>
      </c>
      <c r="C56" t="s">
        <v>127</v>
      </c>
      <c r="D56" s="1">
        <v>45896</v>
      </c>
      <c r="E56" t="s">
        <v>41</v>
      </c>
      <c r="F56" t="s">
        <v>42</v>
      </c>
      <c r="G56" t="s">
        <v>69</v>
      </c>
      <c r="H56" t="s">
        <v>23</v>
      </c>
      <c r="I56" t="s">
        <v>18</v>
      </c>
      <c r="J56" t="s">
        <v>20</v>
      </c>
      <c r="K56">
        <v>2</v>
      </c>
      <c r="L56">
        <v>381000</v>
      </c>
      <c r="M56">
        <v>0.15</v>
      </c>
      <c r="N56">
        <v>275000</v>
      </c>
      <c r="O56">
        <v>381000</v>
      </c>
    </row>
    <row r="57" spans="1:15" x14ac:dyDescent="0.35">
      <c r="A57" t="s">
        <v>19</v>
      </c>
      <c r="B57">
        <v>386785.71428571426</v>
      </c>
      <c r="C57" t="s">
        <v>128</v>
      </c>
      <c r="D57" s="1">
        <v>45908</v>
      </c>
      <c r="E57" t="s">
        <v>25</v>
      </c>
      <c r="F57" t="s">
        <v>26</v>
      </c>
      <c r="G57" t="s">
        <v>27</v>
      </c>
      <c r="H57" t="s">
        <v>28</v>
      </c>
      <c r="I57" t="s">
        <v>18</v>
      </c>
      <c r="J57" t="s">
        <v>20</v>
      </c>
      <c r="K57">
        <v>3</v>
      </c>
      <c r="L57">
        <v>330000</v>
      </c>
      <c r="M57">
        <v>0</v>
      </c>
      <c r="N57">
        <v>241000</v>
      </c>
      <c r="O57">
        <v>330000</v>
      </c>
    </row>
    <row r="58" spans="1:15" x14ac:dyDescent="0.35">
      <c r="A58" t="s">
        <v>19</v>
      </c>
      <c r="B58">
        <v>386785.71428571426</v>
      </c>
      <c r="C58" t="s">
        <v>129</v>
      </c>
      <c r="D58" s="1">
        <v>45932</v>
      </c>
      <c r="E58" t="s">
        <v>49</v>
      </c>
      <c r="F58" t="s">
        <v>50</v>
      </c>
      <c r="G58" t="s">
        <v>130</v>
      </c>
      <c r="H58" t="s">
        <v>28</v>
      </c>
      <c r="I58" t="s">
        <v>18</v>
      </c>
      <c r="J58" t="s">
        <v>20</v>
      </c>
      <c r="K58">
        <v>1</v>
      </c>
      <c r="L58">
        <v>421000</v>
      </c>
      <c r="M58">
        <v>0</v>
      </c>
      <c r="N58">
        <v>313000</v>
      </c>
      <c r="O58">
        <v>421000</v>
      </c>
    </row>
    <row r="59" spans="1:15" x14ac:dyDescent="0.35">
      <c r="A59" t="s">
        <v>19</v>
      </c>
      <c r="B59">
        <v>386785.71428571426</v>
      </c>
      <c r="C59" t="s">
        <v>131</v>
      </c>
      <c r="D59" s="1">
        <v>45974</v>
      </c>
      <c r="E59" t="s">
        <v>36</v>
      </c>
      <c r="F59" t="s">
        <v>37</v>
      </c>
      <c r="G59" t="s">
        <v>132</v>
      </c>
      <c r="H59" t="s">
        <v>28</v>
      </c>
      <c r="I59" t="s">
        <v>18</v>
      </c>
      <c r="J59" t="s">
        <v>20</v>
      </c>
      <c r="K59">
        <v>1</v>
      </c>
      <c r="L59">
        <v>395000</v>
      </c>
      <c r="M59">
        <v>0.05</v>
      </c>
      <c r="N59">
        <v>284000</v>
      </c>
      <c r="O59">
        <v>395000</v>
      </c>
    </row>
    <row r="60" spans="1:15" x14ac:dyDescent="0.35">
      <c r="A60" t="s">
        <v>19</v>
      </c>
      <c r="B60">
        <v>386785.71428571426</v>
      </c>
      <c r="C60" t="s">
        <v>133</v>
      </c>
      <c r="D60" s="1">
        <v>45982</v>
      </c>
      <c r="E60" t="s">
        <v>41</v>
      </c>
      <c r="F60" t="s">
        <v>42</v>
      </c>
      <c r="G60" t="s">
        <v>134</v>
      </c>
      <c r="H60" t="s">
        <v>28</v>
      </c>
      <c r="I60" t="s">
        <v>18</v>
      </c>
      <c r="J60" t="s">
        <v>20</v>
      </c>
      <c r="K60">
        <v>1</v>
      </c>
      <c r="L60">
        <v>468000</v>
      </c>
      <c r="M60">
        <v>0</v>
      </c>
      <c r="N60">
        <v>342000</v>
      </c>
      <c r="O60">
        <v>468000</v>
      </c>
    </row>
    <row r="61" spans="1:15" x14ac:dyDescent="0.35">
      <c r="A61" t="s">
        <v>19</v>
      </c>
      <c r="B61">
        <v>386785.71428571426</v>
      </c>
      <c r="C61" t="s">
        <v>135</v>
      </c>
      <c r="D61" s="1">
        <v>45982</v>
      </c>
      <c r="E61" t="s">
        <v>41</v>
      </c>
      <c r="F61" t="s">
        <v>42</v>
      </c>
      <c r="G61" t="s">
        <v>136</v>
      </c>
      <c r="H61" t="s">
        <v>23</v>
      </c>
      <c r="I61" t="s">
        <v>18</v>
      </c>
      <c r="J61" t="s">
        <v>20</v>
      </c>
      <c r="K61">
        <v>2</v>
      </c>
      <c r="L61">
        <v>387000</v>
      </c>
      <c r="M61">
        <v>0</v>
      </c>
      <c r="N61">
        <v>290000</v>
      </c>
      <c r="O61">
        <v>387000</v>
      </c>
    </row>
    <row r="62" spans="1:15" x14ac:dyDescent="0.35">
      <c r="A62" t="s">
        <v>19</v>
      </c>
      <c r="B62">
        <v>386785.71428571426</v>
      </c>
      <c r="C62" t="s">
        <v>137</v>
      </c>
      <c r="D62" s="1">
        <v>46006</v>
      </c>
      <c r="E62" t="s">
        <v>14</v>
      </c>
      <c r="F62" t="s">
        <v>15</v>
      </c>
      <c r="G62" t="s">
        <v>115</v>
      </c>
      <c r="H62" t="s">
        <v>23</v>
      </c>
      <c r="I62" t="s">
        <v>18</v>
      </c>
      <c r="J62" t="s">
        <v>20</v>
      </c>
      <c r="K62">
        <v>1</v>
      </c>
      <c r="L62">
        <v>406000</v>
      </c>
      <c r="M62">
        <v>0</v>
      </c>
      <c r="N62">
        <v>297000</v>
      </c>
      <c r="O62">
        <v>406000</v>
      </c>
    </row>
    <row r="63" spans="1:15" x14ac:dyDescent="0.35">
      <c r="A63" t="s">
        <v>19</v>
      </c>
      <c r="B63">
        <v>386785.71428571426</v>
      </c>
      <c r="C63" t="s">
        <v>138</v>
      </c>
      <c r="D63" s="1">
        <v>46012</v>
      </c>
      <c r="E63" t="s">
        <v>49</v>
      </c>
      <c r="F63" t="s">
        <v>50</v>
      </c>
      <c r="G63" t="s">
        <v>113</v>
      </c>
      <c r="H63" t="s">
        <v>23</v>
      </c>
      <c r="I63" t="s">
        <v>18</v>
      </c>
      <c r="J63" t="s">
        <v>20</v>
      </c>
      <c r="K63">
        <v>2</v>
      </c>
      <c r="L63">
        <v>358000</v>
      </c>
      <c r="M63">
        <v>0.05</v>
      </c>
      <c r="N63">
        <v>265000</v>
      </c>
      <c r="O63">
        <v>358000</v>
      </c>
    </row>
    <row r="64" spans="1:15" x14ac:dyDescent="0.35">
      <c r="A64" t="s">
        <v>19</v>
      </c>
      <c r="B64">
        <v>386785.71428571426</v>
      </c>
      <c r="C64" t="s">
        <v>139</v>
      </c>
      <c r="D64" s="1">
        <v>46040</v>
      </c>
      <c r="E64" t="s">
        <v>41</v>
      </c>
      <c r="F64" t="s">
        <v>42</v>
      </c>
      <c r="G64" t="s">
        <v>76</v>
      </c>
      <c r="H64" t="s">
        <v>23</v>
      </c>
      <c r="I64" t="s">
        <v>18</v>
      </c>
      <c r="J64" t="s">
        <v>20</v>
      </c>
      <c r="K64">
        <v>3</v>
      </c>
      <c r="L64">
        <v>418000</v>
      </c>
      <c r="M64">
        <v>0.05</v>
      </c>
      <c r="N64">
        <v>306000</v>
      </c>
      <c r="O64">
        <v>418000</v>
      </c>
    </row>
    <row r="65" spans="1:15" x14ac:dyDescent="0.35">
      <c r="A65" t="s">
        <v>19</v>
      </c>
      <c r="B65">
        <v>386785.71428571426</v>
      </c>
      <c r="C65" t="s">
        <v>140</v>
      </c>
      <c r="D65" s="1">
        <v>46041</v>
      </c>
      <c r="E65" t="s">
        <v>14</v>
      </c>
      <c r="F65" t="s">
        <v>15</v>
      </c>
      <c r="G65" t="s">
        <v>141</v>
      </c>
      <c r="H65" t="s">
        <v>17</v>
      </c>
      <c r="I65" t="s">
        <v>18</v>
      </c>
      <c r="J65" t="s">
        <v>20</v>
      </c>
      <c r="K65">
        <v>2</v>
      </c>
      <c r="L65">
        <v>434000</v>
      </c>
      <c r="M65">
        <v>0</v>
      </c>
      <c r="N65">
        <v>320000</v>
      </c>
      <c r="O65">
        <v>434000</v>
      </c>
    </row>
    <row r="66" spans="1:15" x14ac:dyDescent="0.35">
      <c r="A66" t="s">
        <v>19</v>
      </c>
      <c r="B66">
        <v>386785.71428571426</v>
      </c>
      <c r="C66" t="s">
        <v>142</v>
      </c>
      <c r="D66" s="1">
        <v>46055</v>
      </c>
      <c r="E66" t="s">
        <v>49</v>
      </c>
      <c r="F66" t="s">
        <v>50</v>
      </c>
      <c r="G66" t="s">
        <v>47</v>
      </c>
      <c r="H66" t="s">
        <v>23</v>
      </c>
      <c r="I66" t="s">
        <v>18</v>
      </c>
      <c r="J66" t="s">
        <v>20</v>
      </c>
      <c r="K66">
        <v>3</v>
      </c>
      <c r="L66">
        <v>474000</v>
      </c>
      <c r="M66">
        <v>0</v>
      </c>
      <c r="N66">
        <v>345000</v>
      </c>
      <c r="O66">
        <v>474000</v>
      </c>
    </row>
    <row r="67" spans="1:15" x14ac:dyDescent="0.35">
      <c r="A67" t="s">
        <v>19</v>
      </c>
      <c r="B67">
        <v>386785.71428571426</v>
      </c>
      <c r="C67" t="s">
        <v>143</v>
      </c>
      <c r="D67" s="1">
        <v>46060</v>
      </c>
      <c r="E67" t="s">
        <v>49</v>
      </c>
      <c r="F67" t="s">
        <v>50</v>
      </c>
      <c r="G67" t="s">
        <v>144</v>
      </c>
      <c r="H67" t="s">
        <v>23</v>
      </c>
      <c r="I67" t="s">
        <v>18</v>
      </c>
      <c r="J67" t="s">
        <v>20</v>
      </c>
      <c r="K67">
        <v>1</v>
      </c>
      <c r="L67">
        <v>515000</v>
      </c>
      <c r="M67">
        <v>0</v>
      </c>
      <c r="N67">
        <v>376000</v>
      </c>
      <c r="O67">
        <v>515000</v>
      </c>
    </row>
    <row r="68" spans="1:15" x14ac:dyDescent="0.35">
      <c r="A68" t="s">
        <v>19</v>
      </c>
      <c r="B68">
        <v>386785.71428571426</v>
      </c>
      <c r="C68" t="s">
        <v>145</v>
      </c>
      <c r="D68" s="1">
        <v>46083</v>
      </c>
      <c r="E68" t="s">
        <v>49</v>
      </c>
      <c r="F68" t="s">
        <v>50</v>
      </c>
      <c r="G68" t="s">
        <v>146</v>
      </c>
      <c r="H68" t="s">
        <v>17</v>
      </c>
      <c r="I68" t="s">
        <v>18</v>
      </c>
      <c r="J68" t="s">
        <v>20</v>
      </c>
      <c r="K68">
        <v>3</v>
      </c>
      <c r="L68">
        <v>420000</v>
      </c>
      <c r="M68">
        <v>0</v>
      </c>
      <c r="N68">
        <v>310000</v>
      </c>
      <c r="O68">
        <v>420000</v>
      </c>
    </row>
    <row r="69" spans="1:15" x14ac:dyDescent="0.35">
      <c r="A69" t="s">
        <v>19</v>
      </c>
      <c r="B69">
        <v>386785.71428571426</v>
      </c>
      <c r="C69" t="s">
        <v>147</v>
      </c>
      <c r="D69" s="1">
        <v>46093</v>
      </c>
      <c r="E69" t="s">
        <v>36</v>
      </c>
      <c r="F69" t="s">
        <v>37</v>
      </c>
      <c r="G69" t="s">
        <v>146</v>
      </c>
      <c r="H69" t="s">
        <v>17</v>
      </c>
      <c r="I69" t="s">
        <v>18</v>
      </c>
      <c r="J69" t="s">
        <v>20</v>
      </c>
      <c r="K69">
        <v>1</v>
      </c>
      <c r="L69">
        <v>503000</v>
      </c>
      <c r="M69">
        <v>0</v>
      </c>
      <c r="N69">
        <v>364000</v>
      </c>
      <c r="O69">
        <v>503000</v>
      </c>
    </row>
    <row r="70" spans="1:15" x14ac:dyDescent="0.35">
      <c r="A70" t="s">
        <v>19</v>
      </c>
      <c r="B70">
        <v>386785.71428571426</v>
      </c>
      <c r="C70" t="s">
        <v>148</v>
      </c>
      <c r="D70" s="1">
        <v>46127</v>
      </c>
      <c r="E70" t="s">
        <v>41</v>
      </c>
      <c r="F70" t="s">
        <v>42</v>
      </c>
      <c r="G70" t="s">
        <v>126</v>
      </c>
      <c r="H70" t="s">
        <v>17</v>
      </c>
      <c r="I70" t="s">
        <v>18</v>
      </c>
      <c r="J70" t="s">
        <v>20</v>
      </c>
      <c r="K70">
        <v>1</v>
      </c>
      <c r="L70">
        <v>326000</v>
      </c>
      <c r="M70">
        <v>0</v>
      </c>
      <c r="N70">
        <v>248000</v>
      </c>
      <c r="O70">
        <v>326000</v>
      </c>
    </row>
    <row r="71" spans="1:15" x14ac:dyDescent="0.35">
      <c r="A71" t="s">
        <v>19</v>
      </c>
      <c r="B71">
        <v>386785.71428571426</v>
      </c>
      <c r="C71" t="s">
        <v>149</v>
      </c>
      <c r="D71" s="1">
        <v>46135</v>
      </c>
      <c r="E71" t="s">
        <v>41</v>
      </c>
      <c r="F71" t="s">
        <v>42</v>
      </c>
      <c r="G71" t="s">
        <v>150</v>
      </c>
      <c r="H71" t="s">
        <v>28</v>
      </c>
      <c r="I71" t="s">
        <v>18</v>
      </c>
      <c r="J71" t="s">
        <v>20</v>
      </c>
      <c r="K71">
        <v>2</v>
      </c>
      <c r="L71">
        <v>376000</v>
      </c>
      <c r="M71">
        <v>0</v>
      </c>
      <c r="N71">
        <v>282000</v>
      </c>
      <c r="O71">
        <v>376000</v>
      </c>
    </row>
    <row r="72" spans="1:15" x14ac:dyDescent="0.35">
      <c r="A72" t="s">
        <v>19</v>
      </c>
      <c r="B72">
        <v>386785.71428571426</v>
      </c>
      <c r="C72" t="s">
        <v>151</v>
      </c>
      <c r="D72" s="1">
        <v>46153</v>
      </c>
      <c r="E72" t="s">
        <v>49</v>
      </c>
      <c r="F72" t="s">
        <v>50</v>
      </c>
      <c r="G72" t="s">
        <v>152</v>
      </c>
      <c r="H72" t="s">
        <v>23</v>
      </c>
      <c r="I72" t="s">
        <v>18</v>
      </c>
      <c r="J72" t="s">
        <v>20</v>
      </c>
      <c r="K72">
        <v>1</v>
      </c>
      <c r="L72">
        <v>517000</v>
      </c>
      <c r="M72">
        <v>0.1</v>
      </c>
      <c r="N72">
        <v>379000</v>
      </c>
      <c r="O72">
        <v>517000</v>
      </c>
    </row>
    <row r="73" spans="1:15" x14ac:dyDescent="0.35">
      <c r="A73" t="s">
        <v>19</v>
      </c>
      <c r="B73">
        <v>386785.71428571426</v>
      </c>
      <c r="C73" t="s">
        <v>153</v>
      </c>
      <c r="D73" s="1">
        <v>46153</v>
      </c>
      <c r="E73" t="s">
        <v>14</v>
      </c>
      <c r="F73" t="s">
        <v>15</v>
      </c>
      <c r="G73" t="s">
        <v>45</v>
      </c>
      <c r="H73" t="s">
        <v>17</v>
      </c>
      <c r="I73" t="s">
        <v>18</v>
      </c>
      <c r="J73" t="s">
        <v>20</v>
      </c>
      <c r="K73">
        <v>2</v>
      </c>
      <c r="L73">
        <v>404000</v>
      </c>
      <c r="M73">
        <v>0</v>
      </c>
      <c r="N73">
        <v>299000</v>
      </c>
      <c r="O73">
        <v>404000</v>
      </c>
    </row>
    <row r="74" spans="1:15" x14ac:dyDescent="0.35">
      <c r="A74" t="s">
        <v>19</v>
      </c>
      <c r="B74">
        <v>386785.71428571426</v>
      </c>
      <c r="C74" t="s">
        <v>154</v>
      </c>
      <c r="D74" s="1">
        <v>46181</v>
      </c>
      <c r="E74" t="s">
        <v>14</v>
      </c>
      <c r="F74" t="s">
        <v>15</v>
      </c>
      <c r="G74" t="s">
        <v>155</v>
      </c>
      <c r="H74" t="s">
        <v>58</v>
      </c>
      <c r="I74" t="s">
        <v>18</v>
      </c>
      <c r="J74" t="s">
        <v>20</v>
      </c>
      <c r="K74">
        <v>1</v>
      </c>
      <c r="L74">
        <v>331000</v>
      </c>
      <c r="M74">
        <v>0</v>
      </c>
      <c r="N74">
        <v>248000</v>
      </c>
      <c r="O74">
        <v>331000</v>
      </c>
    </row>
    <row r="75" spans="1:15" x14ac:dyDescent="0.35">
      <c r="A75" t="s">
        <v>159</v>
      </c>
      <c r="B75">
        <v>2511291.6666666665</v>
      </c>
      <c r="C75" t="s">
        <v>156</v>
      </c>
      <c r="D75" s="1">
        <v>44927</v>
      </c>
      <c r="E75" t="s">
        <v>25</v>
      </c>
      <c r="F75" t="s">
        <v>26</v>
      </c>
      <c r="G75" t="s">
        <v>157</v>
      </c>
      <c r="H75" t="s">
        <v>23</v>
      </c>
      <c r="I75" t="s">
        <v>158</v>
      </c>
      <c r="J75" t="s">
        <v>160</v>
      </c>
      <c r="K75">
        <v>1</v>
      </c>
      <c r="L75">
        <v>2395000</v>
      </c>
      <c r="M75">
        <v>0</v>
      </c>
      <c r="N75">
        <v>1726000</v>
      </c>
      <c r="O75">
        <v>2395000</v>
      </c>
    </row>
    <row r="76" spans="1:15" x14ac:dyDescent="0.35">
      <c r="A76" t="s">
        <v>159</v>
      </c>
      <c r="B76">
        <v>2511291.6666666665</v>
      </c>
      <c r="C76" t="s">
        <v>161</v>
      </c>
      <c r="D76" s="1">
        <v>45025</v>
      </c>
      <c r="E76" t="s">
        <v>36</v>
      </c>
      <c r="F76" t="s">
        <v>37</v>
      </c>
      <c r="G76" t="s">
        <v>162</v>
      </c>
      <c r="H76" t="s">
        <v>28</v>
      </c>
      <c r="I76" t="s">
        <v>158</v>
      </c>
      <c r="J76" t="s">
        <v>160</v>
      </c>
      <c r="K76">
        <v>1</v>
      </c>
      <c r="L76">
        <v>2828000</v>
      </c>
      <c r="M76">
        <v>0</v>
      </c>
      <c r="N76">
        <v>2048000</v>
      </c>
      <c r="O76">
        <v>2828000</v>
      </c>
    </row>
    <row r="77" spans="1:15" x14ac:dyDescent="0.35">
      <c r="A77" t="s">
        <v>159</v>
      </c>
      <c r="B77">
        <v>2511291.6666666665</v>
      </c>
      <c r="C77" t="s">
        <v>163</v>
      </c>
      <c r="D77" s="1">
        <v>45043</v>
      </c>
      <c r="E77" t="s">
        <v>14</v>
      </c>
      <c r="F77" t="s">
        <v>15</v>
      </c>
      <c r="G77" t="s">
        <v>164</v>
      </c>
      <c r="H77" t="s">
        <v>23</v>
      </c>
      <c r="I77" t="s">
        <v>158</v>
      </c>
      <c r="J77" t="s">
        <v>160</v>
      </c>
      <c r="K77">
        <v>2</v>
      </c>
      <c r="L77">
        <v>2644000</v>
      </c>
      <c r="M77">
        <v>0</v>
      </c>
      <c r="N77">
        <v>1906000</v>
      </c>
      <c r="O77">
        <v>2644000</v>
      </c>
    </row>
    <row r="78" spans="1:15" x14ac:dyDescent="0.35">
      <c r="A78" t="s">
        <v>159</v>
      </c>
      <c r="B78">
        <v>2511291.6666666665</v>
      </c>
      <c r="C78" t="s">
        <v>165</v>
      </c>
      <c r="D78" s="1">
        <v>45045</v>
      </c>
      <c r="E78" t="s">
        <v>14</v>
      </c>
      <c r="F78" t="s">
        <v>15</v>
      </c>
      <c r="G78" t="s">
        <v>166</v>
      </c>
      <c r="H78" t="s">
        <v>28</v>
      </c>
      <c r="I78" t="s">
        <v>158</v>
      </c>
      <c r="J78" t="s">
        <v>160</v>
      </c>
      <c r="K78">
        <v>1</v>
      </c>
      <c r="L78">
        <v>2647000</v>
      </c>
      <c r="M78">
        <v>0</v>
      </c>
      <c r="N78">
        <v>1954000</v>
      </c>
      <c r="O78">
        <v>2647000</v>
      </c>
    </row>
    <row r="79" spans="1:15" x14ac:dyDescent="0.35">
      <c r="A79" t="s">
        <v>159</v>
      </c>
      <c r="B79">
        <v>2511291.6666666665</v>
      </c>
      <c r="C79" t="s">
        <v>167</v>
      </c>
      <c r="D79" s="1">
        <v>45053</v>
      </c>
      <c r="E79" t="s">
        <v>14</v>
      </c>
      <c r="F79" t="s">
        <v>15</v>
      </c>
      <c r="G79" t="s">
        <v>168</v>
      </c>
      <c r="H79" t="s">
        <v>23</v>
      </c>
      <c r="I79" t="s">
        <v>158</v>
      </c>
      <c r="J79" t="s">
        <v>160</v>
      </c>
      <c r="K79">
        <v>3</v>
      </c>
      <c r="L79">
        <v>2934000</v>
      </c>
      <c r="M79">
        <v>0</v>
      </c>
      <c r="N79">
        <v>2132000</v>
      </c>
      <c r="O79">
        <v>2934000</v>
      </c>
    </row>
    <row r="80" spans="1:15" x14ac:dyDescent="0.35">
      <c r="A80" t="s">
        <v>159</v>
      </c>
      <c r="B80">
        <v>2511291.6666666665</v>
      </c>
      <c r="C80" t="s">
        <v>169</v>
      </c>
      <c r="D80" s="1">
        <v>45060</v>
      </c>
      <c r="E80" t="s">
        <v>49</v>
      </c>
      <c r="F80" t="s">
        <v>50</v>
      </c>
      <c r="G80" t="s">
        <v>76</v>
      </c>
      <c r="H80" t="s">
        <v>23</v>
      </c>
      <c r="I80" t="s">
        <v>158</v>
      </c>
      <c r="J80" t="s">
        <v>160</v>
      </c>
      <c r="K80">
        <v>1</v>
      </c>
      <c r="L80">
        <v>2476000</v>
      </c>
      <c r="M80">
        <v>0.05</v>
      </c>
      <c r="N80">
        <v>1787000</v>
      </c>
      <c r="O80">
        <v>2476000</v>
      </c>
    </row>
    <row r="81" spans="1:15" x14ac:dyDescent="0.35">
      <c r="A81" t="s">
        <v>159</v>
      </c>
      <c r="B81">
        <v>2511291.6666666665</v>
      </c>
      <c r="C81" t="s">
        <v>170</v>
      </c>
      <c r="D81" s="1">
        <v>45079</v>
      </c>
      <c r="E81" t="s">
        <v>14</v>
      </c>
      <c r="F81" t="s">
        <v>15</v>
      </c>
      <c r="G81" t="s">
        <v>155</v>
      </c>
      <c r="H81" t="s">
        <v>58</v>
      </c>
      <c r="I81" t="s">
        <v>158</v>
      </c>
      <c r="J81" t="s">
        <v>160</v>
      </c>
      <c r="K81">
        <v>5</v>
      </c>
      <c r="L81">
        <v>1869000</v>
      </c>
      <c r="M81">
        <v>0</v>
      </c>
      <c r="N81">
        <v>1339000</v>
      </c>
      <c r="O81">
        <v>1869000</v>
      </c>
    </row>
    <row r="82" spans="1:15" x14ac:dyDescent="0.35">
      <c r="A82" t="s">
        <v>159</v>
      </c>
      <c r="B82">
        <v>2511291.6666666665</v>
      </c>
      <c r="C82" t="s">
        <v>171</v>
      </c>
      <c r="D82" s="1">
        <v>45133</v>
      </c>
      <c r="E82" t="s">
        <v>14</v>
      </c>
      <c r="F82" t="s">
        <v>15</v>
      </c>
      <c r="G82" t="s">
        <v>172</v>
      </c>
      <c r="H82" t="s">
        <v>23</v>
      </c>
      <c r="I82" t="s">
        <v>158</v>
      </c>
      <c r="J82" t="s">
        <v>160</v>
      </c>
      <c r="K82">
        <v>1</v>
      </c>
      <c r="L82">
        <v>2789000</v>
      </c>
      <c r="M82">
        <v>0</v>
      </c>
      <c r="N82">
        <v>1961000</v>
      </c>
      <c r="O82">
        <v>2789000</v>
      </c>
    </row>
    <row r="83" spans="1:15" x14ac:dyDescent="0.35">
      <c r="A83" t="s">
        <v>159</v>
      </c>
      <c r="B83">
        <v>2511291.6666666665</v>
      </c>
      <c r="C83" t="s">
        <v>173</v>
      </c>
      <c r="D83" s="1">
        <v>45160</v>
      </c>
      <c r="E83" t="s">
        <v>41</v>
      </c>
      <c r="F83" t="s">
        <v>42</v>
      </c>
      <c r="G83" t="s">
        <v>174</v>
      </c>
      <c r="H83" t="s">
        <v>23</v>
      </c>
      <c r="I83" t="s">
        <v>158</v>
      </c>
      <c r="J83" t="s">
        <v>160</v>
      </c>
      <c r="K83">
        <v>1</v>
      </c>
      <c r="L83">
        <v>2142000</v>
      </c>
      <c r="M83">
        <v>0.05</v>
      </c>
      <c r="N83">
        <v>1540000</v>
      </c>
      <c r="O83">
        <v>2142000</v>
      </c>
    </row>
    <row r="84" spans="1:15" x14ac:dyDescent="0.35">
      <c r="A84" t="s">
        <v>159</v>
      </c>
      <c r="B84">
        <v>2511291.6666666665</v>
      </c>
      <c r="C84" t="s">
        <v>175</v>
      </c>
      <c r="D84" s="1">
        <v>45166</v>
      </c>
      <c r="E84" t="s">
        <v>14</v>
      </c>
      <c r="F84" t="s">
        <v>15</v>
      </c>
      <c r="G84" t="s">
        <v>27</v>
      </c>
      <c r="H84" t="s">
        <v>28</v>
      </c>
      <c r="I84" t="s">
        <v>158</v>
      </c>
      <c r="J84" t="s">
        <v>160</v>
      </c>
      <c r="K84">
        <v>2</v>
      </c>
      <c r="L84">
        <v>1882000</v>
      </c>
      <c r="M84">
        <v>0</v>
      </c>
      <c r="N84">
        <v>1321000</v>
      </c>
      <c r="O84">
        <v>1882000</v>
      </c>
    </row>
    <row r="85" spans="1:15" x14ac:dyDescent="0.35">
      <c r="A85" t="s">
        <v>159</v>
      </c>
      <c r="B85">
        <v>2511291.6666666665</v>
      </c>
      <c r="C85" t="s">
        <v>176</v>
      </c>
      <c r="D85" s="1">
        <v>45196</v>
      </c>
      <c r="E85" t="s">
        <v>14</v>
      </c>
      <c r="F85" t="s">
        <v>15</v>
      </c>
      <c r="G85" t="s">
        <v>177</v>
      </c>
      <c r="H85" t="s">
        <v>23</v>
      </c>
      <c r="I85" t="s">
        <v>158</v>
      </c>
      <c r="J85" t="s">
        <v>160</v>
      </c>
      <c r="K85">
        <v>1</v>
      </c>
      <c r="L85">
        <v>2653000</v>
      </c>
      <c r="M85">
        <v>0.1</v>
      </c>
      <c r="N85">
        <v>1903000</v>
      </c>
      <c r="O85">
        <v>2653000</v>
      </c>
    </row>
    <row r="86" spans="1:15" x14ac:dyDescent="0.35">
      <c r="A86" t="s">
        <v>159</v>
      </c>
      <c r="B86">
        <v>2511291.6666666665</v>
      </c>
      <c r="C86" t="s">
        <v>178</v>
      </c>
      <c r="D86" s="1">
        <v>45260</v>
      </c>
      <c r="E86" t="s">
        <v>49</v>
      </c>
      <c r="F86" t="s">
        <v>50</v>
      </c>
      <c r="G86" t="s">
        <v>179</v>
      </c>
      <c r="H86" t="s">
        <v>23</v>
      </c>
      <c r="I86" t="s">
        <v>158</v>
      </c>
      <c r="J86" t="s">
        <v>160</v>
      </c>
      <c r="K86">
        <v>3</v>
      </c>
      <c r="L86">
        <v>1986000</v>
      </c>
      <c r="M86">
        <v>0</v>
      </c>
      <c r="N86">
        <v>1409000</v>
      </c>
      <c r="O86">
        <v>1986000</v>
      </c>
    </row>
    <row r="87" spans="1:15" x14ac:dyDescent="0.35">
      <c r="A87" t="s">
        <v>159</v>
      </c>
      <c r="B87">
        <v>2511291.6666666665</v>
      </c>
      <c r="C87" t="s">
        <v>180</v>
      </c>
      <c r="D87" s="1">
        <v>45265</v>
      </c>
      <c r="E87" t="s">
        <v>14</v>
      </c>
      <c r="F87" t="s">
        <v>15</v>
      </c>
      <c r="G87" t="s">
        <v>39</v>
      </c>
      <c r="H87" t="s">
        <v>23</v>
      </c>
      <c r="I87" t="s">
        <v>158</v>
      </c>
      <c r="J87" t="s">
        <v>160</v>
      </c>
      <c r="K87">
        <v>1</v>
      </c>
      <c r="L87">
        <v>2070000</v>
      </c>
      <c r="M87">
        <v>0.05</v>
      </c>
      <c r="N87">
        <v>1521000</v>
      </c>
      <c r="O87">
        <v>2070000</v>
      </c>
    </row>
    <row r="88" spans="1:15" x14ac:dyDescent="0.35">
      <c r="A88" t="s">
        <v>159</v>
      </c>
      <c r="B88">
        <v>2511291.6666666665</v>
      </c>
      <c r="C88" t="s">
        <v>181</v>
      </c>
      <c r="D88" s="1">
        <v>45270</v>
      </c>
      <c r="E88" t="s">
        <v>41</v>
      </c>
      <c r="F88" t="s">
        <v>42</v>
      </c>
      <c r="G88" t="s">
        <v>182</v>
      </c>
      <c r="H88" t="s">
        <v>23</v>
      </c>
      <c r="I88" t="s">
        <v>158</v>
      </c>
      <c r="J88" t="s">
        <v>160</v>
      </c>
      <c r="K88">
        <v>1</v>
      </c>
      <c r="L88">
        <v>2167000</v>
      </c>
      <c r="M88">
        <v>0</v>
      </c>
      <c r="N88">
        <v>1539000</v>
      </c>
      <c r="O88">
        <v>2167000</v>
      </c>
    </row>
    <row r="89" spans="1:15" x14ac:dyDescent="0.35">
      <c r="A89" t="s">
        <v>159</v>
      </c>
      <c r="B89">
        <v>2511291.6666666665</v>
      </c>
      <c r="C89" t="s">
        <v>183</v>
      </c>
      <c r="D89" s="1">
        <v>45291</v>
      </c>
      <c r="E89" t="s">
        <v>14</v>
      </c>
      <c r="F89" t="s">
        <v>15</v>
      </c>
      <c r="G89" t="s">
        <v>166</v>
      </c>
      <c r="H89" t="s">
        <v>28</v>
      </c>
      <c r="I89" t="s">
        <v>158</v>
      </c>
      <c r="J89" t="s">
        <v>160</v>
      </c>
      <c r="K89">
        <v>1</v>
      </c>
      <c r="L89">
        <v>2226000</v>
      </c>
      <c r="M89">
        <v>0</v>
      </c>
      <c r="N89">
        <v>1589000</v>
      </c>
      <c r="O89">
        <v>2226000</v>
      </c>
    </row>
    <row r="90" spans="1:15" x14ac:dyDescent="0.35">
      <c r="A90" t="s">
        <v>159</v>
      </c>
      <c r="B90">
        <v>2511291.6666666665</v>
      </c>
      <c r="C90" t="s">
        <v>184</v>
      </c>
      <c r="D90" s="1">
        <v>45312</v>
      </c>
      <c r="E90" t="s">
        <v>49</v>
      </c>
      <c r="F90" t="s">
        <v>50</v>
      </c>
      <c r="G90" t="s">
        <v>74</v>
      </c>
      <c r="H90" t="s">
        <v>23</v>
      </c>
      <c r="I90" t="s">
        <v>158</v>
      </c>
      <c r="J90" t="s">
        <v>160</v>
      </c>
      <c r="K90">
        <v>1</v>
      </c>
      <c r="L90">
        <v>2260000</v>
      </c>
      <c r="M90">
        <v>0</v>
      </c>
      <c r="N90">
        <v>1618000</v>
      </c>
      <c r="O90">
        <v>2260000</v>
      </c>
    </row>
    <row r="91" spans="1:15" x14ac:dyDescent="0.35">
      <c r="A91" t="s">
        <v>159</v>
      </c>
      <c r="B91">
        <v>2511291.6666666665</v>
      </c>
      <c r="C91" t="s">
        <v>185</v>
      </c>
      <c r="D91" s="1">
        <v>45350</v>
      </c>
      <c r="E91" t="s">
        <v>41</v>
      </c>
      <c r="F91" t="s">
        <v>42</v>
      </c>
      <c r="G91" t="s">
        <v>186</v>
      </c>
      <c r="H91" t="s">
        <v>23</v>
      </c>
      <c r="I91" t="s">
        <v>158</v>
      </c>
      <c r="J91" t="s">
        <v>160</v>
      </c>
      <c r="K91">
        <v>3</v>
      </c>
      <c r="L91">
        <v>2836000</v>
      </c>
      <c r="M91">
        <v>0.1</v>
      </c>
      <c r="N91">
        <v>2017000</v>
      </c>
      <c r="O91">
        <v>2836000</v>
      </c>
    </row>
    <row r="92" spans="1:15" x14ac:dyDescent="0.35">
      <c r="A92" t="s">
        <v>159</v>
      </c>
      <c r="B92">
        <v>2511291.6666666665</v>
      </c>
      <c r="C92" t="s">
        <v>187</v>
      </c>
      <c r="D92" s="1">
        <v>45393</v>
      </c>
      <c r="E92" t="s">
        <v>14</v>
      </c>
      <c r="F92" t="s">
        <v>15</v>
      </c>
      <c r="G92" t="s">
        <v>134</v>
      </c>
      <c r="H92" t="s">
        <v>28</v>
      </c>
      <c r="I92" t="s">
        <v>158</v>
      </c>
      <c r="J92" t="s">
        <v>160</v>
      </c>
      <c r="K92">
        <v>2</v>
      </c>
      <c r="L92">
        <v>2250000</v>
      </c>
      <c r="M92">
        <v>0.1</v>
      </c>
      <c r="N92">
        <v>1582000</v>
      </c>
      <c r="O92">
        <v>2250000</v>
      </c>
    </row>
    <row r="93" spans="1:15" x14ac:dyDescent="0.35">
      <c r="A93" t="s">
        <v>159</v>
      </c>
      <c r="B93">
        <v>2511291.6666666665</v>
      </c>
      <c r="C93" t="s">
        <v>188</v>
      </c>
      <c r="D93" s="1">
        <v>45415</v>
      </c>
      <c r="E93" t="s">
        <v>14</v>
      </c>
      <c r="F93" t="s">
        <v>15</v>
      </c>
      <c r="G93" t="s">
        <v>89</v>
      </c>
      <c r="H93" t="s">
        <v>23</v>
      </c>
      <c r="I93" t="s">
        <v>158</v>
      </c>
      <c r="J93" t="s">
        <v>160</v>
      </c>
      <c r="K93">
        <v>2</v>
      </c>
      <c r="L93">
        <v>2563000</v>
      </c>
      <c r="M93">
        <v>0</v>
      </c>
      <c r="N93">
        <v>1874000</v>
      </c>
      <c r="O93">
        <v>2563000</v>
      </c>
    </row>
    <row r="94" spans="1:15" x14ac:dyDescent="0.35">
      <c r="A94" t="s">
        <v>159</v>
      </c>
      <c r="B94">
        <v>2511291.6666666665</v>
      </c>
      <c r="C94" t="s">
        <v>189</v>
      </c>
      <c r="D94" s="1">
        <v>45423</v>
      </c>
      <c r="E94" t="s">
        <v>14</v>
      </c>
      <c r="F94" t="s">
        <v>15</v>
      </c>
      <c r="G94" t="s">
        <v>121</v>
      </c>
      <c r="H94" t="s">
        <v>23</v>
      </c>
      <c r="I94" t="s">
        <v>158</v>
      </c>
      <c r="J94" t="s">
        <v>160</v>
      </c>
      <c r="K94">
        <v>1</v>
      </c>
      <c r="L94">
        <v>2020000</v>
      </c>
      <c r="M94">
        <v>0</v>
      </c>
      <c r="N94">
        <v>1485000</v>
      </c>
      <c r="O94">
        <v>2020000</v>
      </c>
    </row>
    <row r="95" spans="1:15" x14ac:dyDescent="0.35">
      <c r="A95" t="s">
        <v>159</v>
      </c>
      <c r="B95">
        <v>2511291.6666666665</v>
      </c>
      <c r="C95" t="s">
        <v>190</v>
      </c>
      <c r="D95" s="1">
        <v>45448</v>
      </c>
      <c r="E95" t="s">
        <v>14</v>
      </c>
      <c r="F95" t="s">
        <v>15</v>
      </c>
      <c r="G95" t="s">
        <v>191</v>
      </c>
      <c r="H95" t="s">
        <v>23</v>
      </c>
      <c r="I95" t="s">
        <v>158</v>
      </c>
      <c r="J95" t="s">
        <v>160</v>
      </c>
      <c r="K95">
        <v>1</v>
      </c>
      <c r="L95">
        <v>2060000</v>
      </c>
      <c r="M95">
        <v>0.1</v>
      </c>
      <c r="N95">
        <v>1480000</v>
      </c>
      <c r="O95">
        <v>2060000</v>
      </c>
    </row>
    <row r="96" spans="1:15" x14ac:dyDescent="0.35">
      <c r="A96" t="s">
        <v>159</v>
      </c>
      <c r="B96">
        <v>2511291.6666666665</v>
      </c>
      <c r="C96" t="s">
        <v>192</v>
      </c>
      <c r="D96" s="1">
        <v>45449</v>
      </c>
      <c r="E96" t="s">
        <v>49</v>
      </c>
      <c r="F96" t="s">
        <v>50</v>
      </c>
      <c r="G96" t="s">
        <v>193</v>
      </c>
      <c r="H96" t="s">
        <v>23</v>
      </c>
      <c r="I96" t="s">
        <v>158</v>
      </c>
      <c r="J96" t="s">
        <v>160</v>
      </c>
      <c r="K96">
        <v>1</v>
      </c>
      <c r="L96">
        <v>2229000</v>
      </c>
      <c r="M96">
        <v>0</v>
      </c>
      <c r="N96">
        <v>1576000</v>
      </c>
      <c r="O96">
        <v>2229000</v>
      </c>
    </row>
    <row r="97" spans="1:15" x14ac:dyDescent="0.35">
      <c r="A97" t="s">
        <v>159</v>
      </c>
      <c r="B97">
        <v>2511291.6666666665</v>
      </c>
      <c r="C97" t="s">
        <v>194</v>
      </c>
      <c r="D97" s="1">
        <v>45484</v>
      </c>
      <c r="E97" t="s">
        <v>41</v>
      </c>
      <c r="F97" t="s">
        <v>42</v>
      </c>
      <c r="G97" t="s">
        <v>195</v>
      </c>
      <c r="H97" t="s">
        <v>23</v>
      </c>
      <c r="I97" t="s">
        <v>158</v>
      </c>
      <c r="J97" t="s">
        <v>160</v>
      </c>
      <c r="K97">
        <v>2</v>
      </c>
      <c r="L97">
        <v>1947000</v>
      </c>
      <c r="M97">
        <v>0</v>
      </c>
      <c r="N97">
        <v>1397000</v>
      </c>
      <c r="O97">
        <v>1947000</v>
      </c>
    </row>
    <row r="98" spans="1:15" x14ac:dyDescent="0.35">
      <c r="A98" t="s">
        <v>159</v>
      </c>
      <c r="B98">
        <v>2511291.6666666665</v>
      </c>
      <c r="C98" t="s">
        <v>196</v>
      </c>
      <c r="D98" s="1">
        <v>45485</v>
      </c>
      <c r="E98" t="s">
        <v>14</v>
      </c>
      <c r="F98" t="s">
        <v>15</v>
      </c>
      <c r="G98" t="s">
        <v>197</v>
      </c>
      <c r="H98" t="s">
        <v>28</v>
      </c>
      <c r="I98" t="s">
        <v>158</v>
      </c>
      <c r="J98" t="s">
        <v>160</v>
      </c>
      <c r="K98">
        <v>1</v>
      </c>
      <c r="L98">
        <v>2451000</v>
      </c>
      <c r="M98">
        <v>0</v>
      </c>
      <c r="N98">
        <v>1793000</v>
      </c>
      <c r="O98">
        <v>2451000</v>
      </c>
    </row>
    <row r="99" spans="1:15" x14ac:dyDescent="0.35">
      <c r="A99" t="s">
        <v>159</v>
      </c>
      <c r="B99">
        <v>2511291.6666666665</v>
      </c>
      <c r="C99" t="s">
        <v>198</v>
      </c>
      <c r="D99" s="1">
        <v>45488</v>
      </c>
      <c r="E99" t="s">
        <v>14</v>
      </c>
      <c r="F99" t="s">
        <v>15</v>
      </c>
      <c r="G99" t="s">
        <v>83</v>
      </c>
      <c r="H99" t="s">
        <v>23</v>
      </c>
      <c r="I99" t="s">
        <v>158</v>
      </c>
      <c r="J99" t="s">
        <v>160</v>
      </c>
      <c r="K99">
        <v>1</v>
      </c>
      <c r="L99">
        <v>2602000</v>
      </c>
      <c r="M99">
        <v>0</v>
      </c>
      <c r="N99">
        <v>1852000</v>
      </c>
      <c r="O99">
        <v>2602000</v>
      </c>
    </row>
    <row r="100" spans="1:15" x14ac:dyDescent="0.35">
      <c r="A100" t="s">
        <v>159</v>
      </c>
      <c r="B100">
        <v>2511291.6666666665</v>
      </c>
      <c r="C100" t="s">
        <v>199</v>
      </c>
      <c r="D100" s="1">
        <v>45510</v>
      </c>
      <c r="E100" t="s">
        <v>49</v>
      </c>
      <c r="F100" t="s">
        <v>50</v>
      </c>
      <c r="G100" t="s">
        <v>45</v>
      </c>
      <c r="H100" t="s">
        <v>17</v>
      </c>
      <c r="I100" t="s">
        <v>158</v>
      </c>
      <c r="J100" t="s">
        <v>160</v>
      </c>
      <c r="K100">
        <v>1</v>
      </c>
      <c r="L100">
        <v>2372000</v>
      </c>
      <c r="M100">
        <v>0</v>
      </c>
      <c r="N100">
        <v>1699000</v>
      </c>
      <c r="O100">
        <v>2372000</v>
      </c>
    </row>
    <row r="101" spans="1:15" x14ac:dyDescent="0.35">
      <c r="A101" t="s">
        <v>159</v>
      </c>
      <c r="B101">
        <v>2511291.6666666665</v>
      </c>
      <c r="C101" t="s">
        <v>200</v>
      </c>
      <c r="D101" s="1">
        <v>45518</v>
      </c>
      <c r="E101" t="s">
        <v>14</v>
      </c>
      <c r="F101" t="s">
        <v>15</v>
      </c>
      <c r="G101" t="s">
        <v>201</v>
      </c>
      <c r="H101" t="s">
        <v>58</v>
      </c>
      <c r="I101" t="s">
        <v>158</v>
      </c>
      <c r="J101" t="s">
        <v>160</v>
      </c>
      <c r="K101">
        <v>2</v>
      </c>
      <c r="L101">
        <v>2442000</v>
      </c>
      <c r="M101">
        <v>0</v>
      </c>
      <c r="N101">
        <v>1745000</v>
      </c>
      <c r="O101">
        <v>2442000</v>
      </c>
    </row>
    <row r="102" spans="1:15" x14ac:dyDescent="0.35">
      <c r="A102" t="s">
        <v>159</v>
      </c>
      <c r="B102">
        <v>2511291.6666666665</v>
      </c>
      <c r="C102" t="s">
        <v>202</v>
      </c>
      <c r="D102" s="1">
        <v>45535</v>
      </c>
      <c r="E102" t="s">
        <v>14</v>
      </c>
      <c r="F102" t="s">
        <v>15</v>
      </c>
      <c r="G102" t="s">
        <v>203</v>
      </c>
      <c r="H102" t="s">
        <v>17</v>
      </c>
      <c r="I102" t="s">
        <v>158</v>
      </c>
      <c r="J102" t="s">
        <v>160</v>
      </c>
      <c r="K102">
        <v>1</v>
      </c>
      <c r="L102">
        <v>2754000</v>
      </c>
      <c r="M102">
        <v>0</v>
      </c>
      <c r="N102">
        <v>1938000</v>
      </c>
      <c r="O102">
        <v>2754000</v>
      </c>
    </row>
    <row r="103" spans="1:15" x14ac:dyDescent="0.35">
      <c r="A103" t="s">
        <v>159</v>
      </c>
      <c r="B103">
        <v>2511291.6666666665</v>
      </c>
      <c r="C103" t="s">
        <v>204</v>
      </c>
      <c r="D103" s="1">
        <v>45553</v>
      </c>
      <c r="E103" t="s">
        <v>41</v>
      </c>
      <c r="F103" t="s">
        <v>42</v>
      </c>
      <c r="G103" t="s">
        <v>205</v>
      </c>
      <c r="H103" t="s">
        <v>17</v>
      </c>
      <c r="I103" t="s">
        <v>158</v>
      </c>
      <c r="J103" t="s">
        <v>160</v>
      </c>
      <c r="K103">
        <v>2</v>
      </c>
      <c r="L103">
        <v>2388000</v>
      </c>
      <c r="M103">
        <v>0.05</v>
      </c>
      <c r="N103">
        <v>1723000</v>
      </c>
      <c r="O103">
        <v>2388000</v>
      </c>
    </row>
    <row r="104" spans="1:15" x14ac:dyDescent="0.35">
      <c r="A104" t="s">
        <v>159</v>
      </c>
      <c r="B104">
        <v>2511291.6666666665</v>
      </c>
      <c r="C104" t="s">
        <v>206</v>
      </c>
      <c r="D104" s="1">
        <v>45607</v>
      </c>
      <c r="E104" t="s">
        <v>25</v>
      </c>
      <c r="F104" t="s">
        <v>26</v>
      </c>
      <c r="G104" t="s">
        <v>45</v>
      </c>
      <c r="H104" t="s">
        <v>17</v>
      </c>
      <c r="I104" t="s">
        <v>158</v>
      </c>
      <c r="J104" t="s">
        <v>160</v>
      </c>
      <c r="K104">
        <v>1</v>
      </c>
      <c r="L104">
        <v>2155000</v>
      </c>
      <c r="M104">
        <v>0</v>
      </c>
      <c r="N104">
        <v>1570000</v>
      </c>
      <c r="O104">
        <v>2155000</v>
      </c>
    </row>
    <row r="105" spans="1:15" x14ac:dyDescent="0.35">
      <c r="A105" t="s">
        <v>159</v>
      </c>
      <c r="B105">
        <v>2511291.6666666665</v>
      </c>
      <c r="C105" t="s">
        <v>207</v>
      </c>
      <c r="D105" s="1">
        <v>45631</v>
      </c>
      <c r="E105" t="s">
        <v>14</v>
      </c>
      <c r="F105" t="s">
        <v>15</v>
      </c>
      <c r="G105" t="s">
        <v>208</v>
      </c>
      <c r="H105" t="s">
        <v>23</v>
      </c>
      <c r="I105" t="s">
        <v>158</v>
      </c>
      <c r="J105" t="s">
        <v>160</v>
      </c>
      <c r="K105">
        <v>1</v>
      </c>
      <c r="L105">
        <v>2662000</v>
      </c>
      <c r="M105">
        <v>0</v>
      </c>
      <c r="N105">
        <v>1872000</v>
      </c>
      <c r="O105">
        <v>2662000</v>
      </c>
    </row>
    <row r="106" spans="1:15" x14ac:dyDescent="0.35">
      <c r="A106" t="s">
        <v>159</v>
      </c>
      <c r="B106">
        <v>2511291.6666666665</v>
      </c>
      <c r="C106" t="s">
        <v>209</v>
      </c>
      <c r="D106" s="1">
        <v>45633</v>
      </c>
      <c r="E106" t="s">
        <v>14</v>
      </c>
      <c r="F106" t="s">
        <v>15</v>
      </c>
      <c r="G106" t="s">
        <v>210</v>
      </c>
      <c r="H106" t="s">
        <v>23</v>
      </c>
      <c r="I106" t="s">
        <v>158</v>
      </c>
      <c r="J106" t="s">
        <v>160</v>
      </c>
      <c r="K106">
        <v>1</v>
      </c>
      <c r="L106">
        <v>2009000</v>
      </c>
      <c r="M106">
        <v>0</v>
      </c>
      <c r="N106">
        <v>1461000</v>
      </c>
      <c r="O106">
        <v>2009000</v>
      </c>
    </row>
    <row r="107" spans="1:15" x14ac:dyDescent="0.35">
      <c r="A107" t="s">
        <v>159</v>
      </c>
      <c r="B107">
        <v>2511291.6666666665</v>
      </c>
      <c r="C107" t="s">
        <v>211</v>
      </c>
      <c r="D107" s="1">
        <v>45653</v>
      </c>
      <c r="E107" t="s">
        <v>14</v>
      </c>
      <c r="F107" t="s">
        <v>15</v>
      </c>
      <c r="G107" t="s">
        <v>212</v>
      </c>
      <c r="H107" t="s">
        <v>28</v>
      </c>
      <c r="I107" t="s">
        <v>158</v>
      </c>
      <c r="J107" t="s">
        <v>160</v>
      </c>
      <c r="K107">
        <v>1</v>
      </c>
      <c r="L107">
        <v>2433000</v>
      </c>
      <c r="M107">
        <v>0</v>
      </c>
      <c r="N107">
        <v>1737000</v>
      </c>
      <c r="O107">
        <v>2433000</v>
      </c>
    </row>
    <row r="108" spans="1:15" x14ac:dyDescent="0.35">
      <c r="A108" t="s">
        <v>159</v>
      </c>
      <c r="B108">
        <v>2511291.6666666665</v>
      </c>
      <c r="C108" t="s">
        <v>213</v>
      </c>
      <c r="D108" s="1">
        <v>45654</v>
      </c>
      <c r="E108" t="s">
        <v>14</v>
      </c>
      <c r="F108" t="s">
        <v>15</v>
      </c>
      <c r="G108" t="s">
        <v>214</v>
      </c>
      <c r="H108" t="s">
        <v>23</v>
      </c>
      <c r="I108" t="s">
        <v>158</v>
      </c>
      <c r="J108" t="s">
        <v>160</v>
      </c>
      <c r="K108">
        <v>1</v>
      </c>
      <c r="L108">
        <v>2672000</v>
      </c>
      <c r="M108">
        <v>0</v>
      </c>
      <c r="N108">
        <v>1883000</v>
      </c>
      <c r="O108">
        <v>2672000</v>
      </c>
    </row>
    <row r="109" spans="1:15" x14ac:dyDescent="0.35">
      <c r="A109" t="s">
        <v>159</v>
      </c>
      <c r="B109">
        <v>2511291.6666666665</v>
      </c>
      <c r="C109" t="s">
        <v>215</v>
      </c>
      <c r="D109" s="1">
        <v>45698</v>
      </c>
      <c r="E109" t="s">
        <v>49</v>
      </c>
      <c r="F109" t="s">
        <v>50</v>
      </c>
      <c r="G109" t="s">
        <v>216</v>
      </c>
      <c r="H109" t="s">
        <v>17</v>
      </c>
      <c r="I109" t="s">
        <v>158</v>
      </c>
      <c r="J109" t="s">
        <v>160</v>
      </c>
      <c r="K109">
        <v>1</v>
      </c>
      <c r="L109">
        <v>2954000</v>
      </c>
      <c r="M109">
        <v>0</v>
      </c>
      <c r="N109">
        <v>2087000</v>
      </c>
      <c r="O109">
        <v>2954000</v>
      </c>
    </row>
    <row r="110" spans="1:15" x14ac:dyDescent="0.35">
      <c r="A110" t="s">
        <v>159</v>
      </c>
      <c r="B110">
        <v>2511291.6666666665</v>
      </c>
      <c r="C110" t="s">
        <v>217</v>
      </c>
      <c r="D110" s="1">
        <v>45716</v>
      </c>
      <c r="E110" t="s">
        <v>41</v>
      </c>
      <c r="F110" t="s">
        <v>42</v>
      </c>
      <c r="G110" t="s">
        <v>218</v>
      </c>
      <c r="H110" t="s">
        <v>23</v>
      </c>
      <c r="I110" t="s">
        <v>158</v>
      </c>
      <c r="J110" t="s">
        <v>160</v>
      </c>
      <c r="K110">
        <v>1</v>
      </c>
      <c r="L110">
        <v>2723000</v>
      </c>
      <c r="M110">
        <v>0.1</v>
      </c>
      <c r="N110">
        <v>1932000</v>
      </c>
      <c r="O110">
        <v>2723000</v>
      </c>
    </row>
    <row r="111" spans="1:15" x14ac:dyDescent="0.35">
      <c r="A111" t="s">
        <v>159</v>
      </c>
      <c r="B111">
        <v>2511291.6666666665</v>
      </c>
      <c r="C111" t="s">
        <v>219</v>
      </c>
      <c r="D111" s="1">
        <v>45736</v>
      </c>
      <c r="E111" t="s">
        <v>41</v>
      </c>
      <c r="F111" t="s">
        <v>42</v>
      </c>
      <c r="G111" t="s">
        <v>83</v>
      </c>
      <c r="H111" t="s">
        <v>23</v>
      </c>
      <c r="I111" t="s">
        <v>158</v>
      </c>
      <c r="J111" t="s">
        <v>160</v>
      </c>
      <c r="K111">
        <v>1</v>
      </c>
      <c r="L111">
        <v>2297000</v>
      </c>
      <c r="M111">
        <v>0</v>
      </c>
      <c r="N111">
        <v>1679000</v>
      </c>
      <c r="O111">
        <v>2297000</v>
      </c>
    </row>
    <row r="112" spans="1:15" x14ac:dyDescent="0.35">
      <c r="A112" t="s">
        <v>159</v>
      </c>
      <c r="B112">
        <v>2511291.6666666665</v>
      </c>
      <c r="C112" t="s">
        <v>220</v>
      </c>
      <c r="D112" s="1">
        <v>45738</v>
      </c>
      <c r="E112" t="s">
        <v>14</v>
      </c>
      <c r="F112" t="s">
        <v>15</v>
      </c>
      <c r="G112" t="s">
        <v>221</v>
      </c>
      <c r="H112" t="s">
        <v>17</v>
      </c>
      <c r="I112" t="s">
        <v>158</v>
      </c>
      <c r="J112" t="s">
        <v>160</v>
      </c>
      <c r="K112">
        <v>2</v>
      </c>
      <c r="L112">
        <v>2004000</v>
      </c>
      <c r="M112">
        <v>0</v>
      </c>
      <c r="N112">
        <v>1439000</v>
      </c>
      <c r="O112">
        <v>2004000</v>
      </c>
    </row>
    <row r="113" spans="1:15" x14ac:dyDescent="0.35">
      <c r="A113" t="s">
        <v>159</v>
      </c>
      <c r="B113">
        <v>2511291.6666666665</v>
      </c>
      <c r="C113" t="s">
        <v>222</v>
      </c>
      <c r="D113" s="1">
        <v>45743</v>
      </c>
      <c r="E113" t="s">
        <v>14</v>
      </c>
      <c r="F113" t="s">
        <v>15</v>
      </c>
      <c r="G113" t="s">
        <v>91</v>
      </c>
      <c r="H113" t="s">
        <v>23</v>
      </c>
      <c r="I113" t="s">
        <v>158</v>
      </c>
      <c r="J113" t="s">
        <v>160</v>
      </c>
      <c r="K113">
        <v>1</v>
      </c>
      <c r="L113">
        <v>2139000</v>
      </c>
      <c r="M113">
        <v>0</v>
      </c>
      <c r="N113">
        <v>1520000</v>
      </c>
      <c r="O113">
        <v>2139000</v>
      </c>
    </row>
    <row r="114" spans="1:15" x14ac:dyDescent="0.35">
      <c r="A114" t="s">
        <v>159</v>
      </c>
      <c r="B114">
        <v>2511291.6666666665</v>
      </c>
      <c r="C114" t="s">
        <v>223</v>
      </c>
      <c r="D114" s="1">
        <v>45764</v>
      </c>
      <c r="E114" t="s">
        <v>14</v>
      </c>
      <c r="F114" t="s">
        <v>15</v>
      </c>
      <c r="G114" t="s">
        <v>224</v>
      </c>
      <c r="H114" t="s">
        <v>23</v>
      </c>
      <c r="I114" t="s">
        <v>158</v>
      </c>
      <c r="J114" t="s">
        <v>160</v>
      </c>
      <c r="K114">
        <v>1</v>
      </c>
      <c r="L114">
        <v>2318000</v>
      </c>
      <c r="M114">
        <v>0</v>
      </c>
      <c r="N114">
        <v>1710000</v>
      </c>
      <c r="O114">
        <v>2318000</v>
      </c>
    </row>
    <row r="115" spans="1:15" x14ac:dyDescent="0.35">
      <c r="A115" t="s">
        <v>159</v>
      </c>
      <c r="B115">
        <v>2511291.6666666665</v>
      </c>
      <c r="C115" t="s">
        <v>225</v>
      </c>
      <c r="D115" s="1">
        <v>45770</v>
      </c>
      <c r="E115" t="s">
        <v>14</v>
      </c>
      <c r="F115" t="s">
        <v>15</v>
      </c>
      <c r="G115" t="s">
        <v>226</v>
      </c>
      <c r="H115" t="s">
        <v>17</v>
      </c>
      <c r="I115" t="s">
        <v>158</v>
      </c>
      <c r="J115" t="s">
        <v>160</v>
      </c>
      <c r="K115">
        <v>1</v>
      </c>
      <c r="L115">
        <v>2816000</v>
      </c>
      <c r="M115">
        <v>0</v>
      </c>
      <c r="N115">
        <v>2009000</v>
      </c>
      <c r="O115">
        <v>2816000</v>
      </c>
    </row>
    <row r="116" spans="1:15" x14ac:dyDescent="0.35">
      <c r="A116" t="s">
        <v>159</v>
      </c>
      <c r="B116">
        <v>2511291.6666666665</v>
      </c>
      <c r="C116" t="s">
        <v>227</v>
      </c>
      <c r="D116" s="1">
        <v>45775</v>
      </c>
      <c r="E116" t="s">
        <v>25</v>
      </c>
      <c r="F116" t="s">
        <v>26</v>
      </c>
      <c r="G116" t="s">
        <v>228</v>
      </c>
      <c r="H116" t="s">
        <v>17</v>
      </c>
      <c r="I116" t="s">
        <v>158</v>
      </c>
      <c r="J116" t="s">
        <v>160</v>
      </c>
      <c r="K116">
        <v>3</v>
      </c>
      <c r="L116">
        <v>2473000</v>
      </c>
      <c r="M116">
        <v>0</v>
      </c>
      <c r="N116">
        <v>1803000</v>
      </c>
      <c r="O116">
        <v>2473000</v>
      </c>
    </row>
    <row r="117" spans="1:15" x14ac:dyDescent="0.35">
      <c r="A117" t="s">
        <v>159</v>
      </c>
      <c r="B117">
        <v>2511291.6666666665</v>
      </c>
      <c r="C117" t="s">
        <v>229</v>
      </c>
      <c r="D117" s="1">
        <v>45780</v>
      </c>
      <c r="E117" t="s">
        <v>14</v>
      </c>
      <c r="F117" t="s">
        <v>15</v>
      </c>
      <c r="G117" t="s">
        <v>230</v>
      </c>
      <c r="H117" t="s">
        <v>23</v>
      </c>
      <c r="I117" t="s">
        <v>158</v>
      </c>
      <c r="J117" t="s">
        <v>160</v>
      </c>
      <c r="K117">
        <v>3</v>
      </c>
      <c r="L117">
        <v>2590000</v>
      </c>
      <c r="M117">
        <v>0</v>
      </c>
      <c r="N117">
        <v>1858000</v>
      </c>
      <c r="O117">
        <v>2590000</v>
      </c>
    </row>
    <row r="118" spans="1:15" x14ac:dyDescent="0.35">
      <c r="A118" t="s">
        <v>159</v>
      </c>
      <c r="B118">
        <v>2511291.6666666665</v>
      </c>
      <c r="C118" t="s">
        <v>231</v>
      </c>
      <c r="D118" s="1">
        <v>45785</v>
      </c>
      <c r="E118" t="s">
        <v>14</v>
      </c>
      <c r="F118" t="s">
        <v>15</v>
      </c>
      <c r="G118" t="s">
        <v>102</v>
      </c>
      <c r="H118" t="s">
        <v>58</v>
      </c>
      <c r="I118" t="s">
        <v>158</v>
      </c>
      <c r="J118" t="s">
        <v>160</v>
      </c>
      <c r="K118">
        <v>1</v>
      </c>
      <c r="L118">
        <v>2170000</v>
      </c>
      <c r="M118">
        <v>0.15</v>
      </c>
      <c r="N118">
        <v>1528000</v>
      </c>
      <c r="O118">
        <v>2170000</v>
      </c>
    </row>
    <row r="119" spans="1:15" x14ac:dyDescent="0.35">
      <c r="A119" t="s">
        <v>159</v>
      </c>
      <c r="B119">
        <v>2511291.6666666665</v>
      </c>
      <c r="C119" t="s">
        <v>232</v>
      </c>
      <c r="D119" s="1">
        <v>45797</v>
      </c>
      <c r="E119" t="s">
        <v>41</v>
      </c>
      <c r="F119" t="s">
        <v>42</v>
      </c>
      <c r="G119" t="s">
        <v>174</v>
      </c>
      <c r="H119" t="s">
        <v>23</v>
      </c>
      <c r="I119" t="s">
        <v>158</v>
      </c>
      <c r="J119" t="s">
        <v>160</v>
      </c>
      <c r="K119">
        <v>1</v>
      </c>
      <c r="L119">
        <v>2928000</v>
      </c>
      <c r="M119">
        <v>0.1</v>
      </c>
      <c r="N119">
        <v>2061000</v>
      </c>
      <c r="O119">
        <v>2928000</v>
      </c>
    </row>
    <row r="120" spans="1:15" x14ac:dyDescent="0.35">
      <c r="A120" t="s">
        <v>159</v>
      </c>
      <c r="B120">
        <v>2511291.6666666665</v>
      </c>
      <c r="C120" t="s">
        <v>233</v>
      </c>
      <c r="D120" s="1">
        <v>45818</v>
      </c>
      <c r="E120" t="s">
        <v>41</v>
      </c>
      <c r="F120" t="s">
        <v>42</v>
      </c>
      <c r="G120" t="s">
        <v>234</v>
      </c>
      <c r="H120" t="s">
        <v>23</v>
      </c>
      <c r="I120" t="s">
        <v>158</v>
      </c>
      <c r="J120" t="s">
        <v>160</v>
      </c>
      <c r="K120">
        <v>3</v>
      </c>
      <c r="L120">
        <v>2013000</v>
      </c>
      <c r="M120">
        <v>0</v>
      </c>
      <c r="N120">
        <v>1481000</v>
      </c>
      <c r="O120">
        <v>2013000</v>
      </c>
    </row>
    <row r="121" spans="1:15" x14ac:dyDescent="0.35">
      <c r="A121" t="s">
        <v>159</v>
      </c>
      <c r="B121">
        <v>2511291.6666666665</v>
      </c>
      <c r="C121" t="s">
        <v>235</v>
      </c>
      <c r="D121" s="1">
        <v>45819</v>
      </c>
      <c r="E121" t="s">
        <v>14</v>
      </c>
      <c r="F121" t="s">
        <v>15</v>
      </c>
      <c r="G121" t="s">
        <v>236</v>
      </c>
      <c r="H121" t="s">
        <v>28</v>
      </c>
      <c r="I121" t="s">
        <v>158</v>
      </c>
      <c r="J121" t="s">
        <v>160</v>
      </c>
      <c r="K121">
        <v>1</v>
      </c>
      <c r="L121">
        <v>3151000</v>
      </c>
      <c r="M121">
        <v>0</v>
      </c>
      <c r="N121">
        <v>2227000</v>
      </c>
      <c r="O121">
        <v>3151000</v>
      </c>
    </row>
    <row r="122" spans="1:15" x14ac:dyDescent="0.35">
      <c r="A122" t="s">
        <v>159</v>
      </c>
      <c r="B122">
        <v>2511291.6666666665</v>
      </c>
      <c r="C122" t="s">
        <v>237</v>
      </c>
      <c r="D122" s="1">
        <v>45843</v>
      </c>
      <c r="E122" t="s">
        <v>14</v>
      </c>
      <c r="F122" t="s">
        <v>15</v>
      </c>
      <c r="G122" t="s">
        <v>117</v>
      </c>
      <c r="H122" t="s">
        <v>23</v>
      </c>
      <c r="I122" t="s">
        <v>158</v>
      </c>
      <c r="J122" t="s">
        <v>160</v>
      </c>
      <c r="K122">
        <v>1</v>
      </c>
      <c r="L122">
        <v>3039000</v>
      </c>
      <c r="M122">
        <v>0.1</v>
      </c>
      <c r="N122">
        <v>2179000</v>
      </c>
      <c r="O122">
        <v>3039000</v>
      </c>
    </row>
    <row r="123" spans="1:15" x14ac:dyDescent="0.35">
      <c r="A123" t="s">
        <v>159</v>
      </c>
      <c r="B123">
        <v>2511291.6666666665</v>
      </c>
      <c r="C123" t="s">
        <v>238</v>
      </c>
      <c r="D123" s="1">
        <v>45844</v>
      </c>
      <c r="E123" t="s">
        <v>14</v>
      </c>
      <c r="F123" t="s">
        <v>15</v>
      </c>
      <c r="G123" t="s">
        <v>239</v>
      </c>
      <c r="H123" t="s">
        <v>23</v>
      </c>
      <c r="I123" t="s">
        <v>158</v>
      </c>
      <c r="J123" t="s">
        <v>160</v>
      </c>
      <c r="K123">
        <v>1</v>
      </c>
      <c r="L123">
        <v>2085000</v>
      </c>
      <c r="M123">
        <v>0</v>
      </c>
      <c r="N123">
        <v>1490000</v>
      </c>
      <c r="O123">
        <v>2085000</v>
      </c>
    </row>
    <row r="124" spans="1:15" x14ac:dyDescent="0.35">
      <c r="A124" t="s">
        <v>159</v>
      </c>
      <c r="B124">
        <v>2511291.6666666665</v>
      </c>
      <c r="C124" t="s">
        <v>240</v>
      </c>
      <c r="D124" s="1">
        <v>45846</v>
      </c>
      <c r="E124" t="s">
        <v>14</v>
      </c>
      <c r="F124" t="s">
        <v>15</v>
      </c>
      <c r="G124" t="s">
        <v>47</v>
      </c>
      <c r="H124" t="s">
        <v>23</v>
      </c>
      <c r="I124" t="s">
        <v>158</v>
      </c>
      <c r="J124" t="s">
        <v>160</v>
      </c>
      <c r="K124">
        <v>1</v>
      </c>
      <c r="L124">
        <v>2646000</v>
      </c>
      <c r="M124">
        <v>0.15</v>
      </c>
      <c r="N124">
        <v>1872000</v>
      </c>
      <c r="O124">
        <v>2646000</v>
      </c>
    </row>
    <row r="125" spans="1:15" x14ac:dyDescent="0.35">
      <c r="A125" t="s">
        <v>159</v>
      </c>
      <c r="B125">
        <v>2511291.6666666665</v>
      </c>
      <c r="C125" t="s">
        <v>241</v>
      </c>
      <c r="D125" s="1">
        <v>45858</v>
      </c>
      <c r="E125" t="s">
        <v>14</v>
      </c>
      <c r="F125" t="s">
        <v>15</v>
      </c>
      <c r="G125" t="s">
        <v>242</v>
      </c>
      <c r="H125" t="s">
        <v>17</v>
      </c>
      <c r="I125" t="s">
        <v>158</v>
      </c>
      <c r="J125" t="s">
        <v>160</v>
      </c>
      <c r="K125">
        <v>1</v>
      </c>
      <c r="L125">
        <v>2723000</v>
      </c>
      <c r="M125">
        <v>0</v>
      </c>
      <c r="N125">
        <v>1951000</v>
      </c>
      <c r="O125">
        <v>2723000</v>
      </c>
    </row>
    <row r="126" spans="1:15" x14ac:dyDescent="0.35">
      <c r="A126" t="s">
        <v>159</v>
      </c>
      <c r="B126">
        <v>2511291.6666666665</v>
      </c>
      <c r="C126" t="s">
        <v>243</v>
      </c>
      <c r="D126" s="1">
        <v>45859</v>
      </c>
      <c r="E126" t="s">
        <v>49</v>
      </c>
      <c r="F126" t="s">
        <v>50</v>
      </c>
      <c r="G126" t="s">
        <v>244</v>
      </c>
      <c r="H126" t="s">
        <v>17</v>
      </c>
      <c r="I126" t="s">
        <v>158</v>
      </c>
      <c r="J126" t="s">
        <v>160</v>
      </c>
      <c r="K126">
        <v>1</v>
      </c>
      <c r="L126">
        <v>3080000</v>
      </c>
      <c r="M126">
        <v>0</v>
      </c>
      <c r="N126">
        <v>2268000</v>
      </c>
      <c r="O126">
        <v>3080000</v>
      </c>
    </row>
    <row r="127" spans="1:15" x14ac:dyDescent="0.35">
      <c r="A127" t="s">
        <v>159</v>
      </c>
      <c r="B127">
        <v>2511291.6666666665</v>
      </c>
      <c r="C127" t="s">
        <v>245</v>
      </c>
      <c r="D127" s="1">
        <v>45865</v>
      </c>
      <c r="E127" t="s">
        <v>14</v>
      </c>
      <c r="F127" t="s">
        <v>15</v>
      </c>
      <c r="G127" t="s">
        <v>30</v>
      </c>
      <c r="H127" t="s">
        <v>23</v>
      </c>
      <c r="I127" t="s">
        <v>158</v>
      </c>
      <c r="J127" t="s">
        <v>160</v>
      </c>
      <c r="K127">
        <v>1</v>
      </c>
      <c r="L127">
        <v>2267000</v>
      </c>
      <c r="M127">
        <v>0</v>
      </c>
      <c r="N127">
        <v>1667000</v>
      </c>
      <c r="O127">
        <v>2267000</v>
      </c>
    </row>
    <row r="128" spans="1:15" x14ac:dyDescent="0.35">
      <c r="A128" t="s">
        <v>159</v>
      </c>
      <c r="B128">
        <v>2511291.6666666665</v>
      </c>
      <c r="C128" t="s">
        <v>246</v>
      </c>
      <c r="D128" s="1">
        <v>45870</v>
      </c>
      <c r="E128" t="s">
        <v>49</v>
      </c>
      <c r="F128" t="s">
        <v>50</v>
      </c>
      <c r="G128" t="s">
        <v>247</v>
      </c>
      <c r="H128" t="s">
        <v>17</v>
      </c>
      <c r="I128" t="s">
        <v>158</v>
      </c>
      <c r="J128" t="s">
        <v>160</v>
      </c>
      <c r="K128">
        <v>1</v>
      </c>
      <c r="L128">
        <v>3046000</v>
      </c>
      <c r="M128">
        <v>0.15</v>
      </c>
      <c r="N128">
        <v>2180000</v>
      </c>
      <c r="O128">
        <v>3046000</v>
      </c>
    </row>
    <row r="129" spans="1:15" x14ac:dyDescent="0.35">
      <c r="A129" t="s">
        <v>159</v>
      </c>
      <c r="B129">
        <v>2511291.6666666665</v>
      </c>
      <c r="C129" t="s">
        <v>248</v>
      </c>
      <c r="D129" s="1">
        <v>45891</v>
      </c>
      <c r="E129" t="s">
        <v>36</v>
      </c>
      <c r="F129" t="s">
        <v>37</v>
      </c>
      <c r="G129" t="s">
        <v>93</v>
      </c>
      <c r="H129" t="s">
        <v>23</v>
      </c>
      <c r="I129" t="s">
        <v>158</v>
      </c>
      <c r="J129" t="s">
        <v>160</v>
      </c>
      <c r="K129">
        <v>2</v>
      </c>
      <c r="L129">
        <v>2111000</v>
      </c>
      <c r="M129">
        <v>0</v>
      </c>
      <c r="N129">
        <v>1488000</v>
      </c>
      <c r="O129">
        <v>2111000</v>
      </c>
    </row>
    <row r="130" spans="1:15" x14ac:dyDescent="0.35">
      <c r="A130" t="s">
        <v>159</v>
      </c>
      <c r="B130">
        <v>2511291.6666666665</v>
      </c>
      <c r="C130" t="s">
        <v>249</v>
      </c>
      <c r="D130" s="1">
        <v>45893</v>
      </c>
      <c r="E130" t="s">
        <v>14</v>
      </c>
      <c r="F130" t="s">
        <v>15</v>
      </c>
      <c r="G130" t="s">
        <v>244</v>
      </c>
      <c r="H130" t="s">
        <v>17</v>
      </c>
      <c r="I130" t="s">
        <v>158</v>
      </c>
      <c r="J130" t="s">
        <v>160</v>
      </c>
      <c r="K130">
        <v>1</v>
      </c>
      <c r="L130">
        <v>2449000</v>
      </c>
      <c r="M130">
        <v>0</v>
      </c>
      <c r="N130">
        <v>1788000</v>
      </c>
      <c r="O130">
        <v>2449000</v>
      </c>
    </row>
    <row r="131" spans="1:15" x14ac:dyDescent="0.35">
      <c r="A131" t="s">
        <v>159</v>
      </c>
      <c r="B131">
        <v>2511291.6666666665</v>
      </c>
      <c r="C131" t="s">
        <v>250</v>
      </c>
      <c r="D131" s="1">
        <v>45902</v>
      </c>
      <c r="E131" t="s">
        <v>49</v>
      </c>
      <c r="F131" t="s">
        <v>50</v>
      </c>
      <c r="G131" t="s">
        <v>205</v>
      </c>
      <c r="H131" t="s">
        <v>17</v>
      </c>
      <c r="I131" t="s">
        <v>158</v>
      </c>
      <c r="J131" t="s">
        <v>160</v>
      </c>
      <c r="K131">
        <v>1</v>
      </c>
      <c r="L131">
        <v>2664000</v>
      </c>
      <c r="M131">
        <v>0</v>
      </c>
      <c r="N131">
        <v>1959000</v>
      </c>
      <c r="O131">
        <v>2664000</v>
      </c>
    </row>
    <row r="132" spans="1:15" x14ac:dyDescent="0.35">
      <c r="A132" t="s">
        <v>159</v>
      </c>
      <c r="B132">
        <v>2511291.6666666665</v>
      </c>
      <c r="C132" t="s">
        <v>251</v>
      </c>
      <c r="D132" s="1">
        <v>45907</v>
      </c>
      <c r="E132" t="s">
        <v>41</v>
      </c>
      <c r="F132" t="s">
        <v>42</v>
      </c>
      <c r="G132" t="s">
        <v>99</v>
      </c>
      <c r="H132" t="s">
        <v>23</v>
      </c>
      <c r="I132" t="s">
        <v>158</v>
      </c>
      <c r="J132" t="s">
        <v>160</v>
      </c>
      <c r="K132">
        <v>1</v>
      </c>
      <c r="L132">
        <v>2858000</v>
      </c>
      <c r="M132">
        <v>0</v>
      </c>
      <c r="N132">
        <v>2062000</v>
      </c>
      <c r="O132">
        <v>2858000</v>
      </c>
    </row>
    <row r="133" spans="1:15" x14ac:dyDescent="0.35">
      <c r="A133" t="s">
        <v>159</v>
      </c>
      <c r="B133">
        <v>2511291.6666666665</v>
      </c>
      <c r="C133" t="s">
        <v>252</v>
      </c>
      <c r="D133" s="1">
        <v>45921</v>
      </c>
      <c r="E133" t="s">
        <v>49</v>
      </c>
      <c r="F133" t="s">
        <v>50</v>
      </c>
      <c r="G133" t="s">
        <v>162</v>
      </c>
      <c r="H133" t="s">
        <v>28</v>
      </c>
      <c r="I133" t="s">
        <v>158</v>
      </c>
      <c r="J133" t="s">
        <v>160</v>
      </c>
      <c r="K133">
        <v>1</v>
      </c>
      <c r="L133">
        <v>3259000</v>
      </c>
      <c r="M133">
        <v>0.1</v>
      </c>
      <c r="N133">
        <v>2366000</v>
      </c>
      <c r="O133">
        <v>3259000</v>
      </c>
    </row>
    <row r="134" spans="1:15" x14ac:dyDescent="0.35">
      <c r="A134" t="s">
        <v>159</v>
      </c>
      <c r="B134">
        <v>2511291.6666666665</v>
      </c>
      <c r="C134" t="s">
        <v>253</v>
      </c>
      <c r="D134" s="1">
        <v>45922</v>
      </c>
      <c r="E134" t="s">
        <v>36</v>
      </c>
      <c r="F134" t="s">
        <v>37</v>
      </c>
      <c r="G134" t="s">
        <v>95</v>
      </c>
      <c r="H134" t="s">
        <v>23</v>
      </c>
      <c r="I134" t="s">
        <v>158</v>
      </c>
      <c r="J134" t="s">
        <v>160</v>
      </c>
      <c r="K134">
        <v>1</v>
      </c>
      <c r="L134">
        <v>2623000</v>
      </c>
      <c r="M134">
        <v>0</v>
      </c>
      <c r="N134">
        <v>1910000</v>
      </c>
      <c r="O134">
        <v>2623000</v>
      </c>
    </row>
    <row r="135" spans="1:15" x14ac:dyDescent="0.35">
      <c r="A135" t="s">
        <v>159</v>
      </c>
      <c r="B135">
        <v>2511291.6666666665</v>
      </c>
      <c r="C135" t="s">
        <v>254</v>
      </c>
      <c r="D135" s="1">
        <v>45928</v>
      </c>
      <c r="E135" t="s">
        <v>14</v>
      </c>
      <c r="F135" t="s">
        <v>15</v>
      </c>
      <c r="G135" t="s">
        <v>255</v>
      </c>
      <c r="H135" t="s">
        <v>17</v>
      </c>
      <c r="I135" t="s">
        <v>158</v>
      </c>
      <c r="J135" t="s">
        <v>160</v>
      </c>
      <c r="K135">
        <v>1</v>
      </c>
      <c r="L135">
        <v>2720000</v>
      </c>
      <c r="M135">
        <v>0</v>
      </c>
      <c r="N135">
        <v>1944000</v>
      </c>
      <c r="O135">
        <v>2720000</v>
      </c>
    </row>
    <row r="136" spans="1:15" x14ac:dyDescent="0.35">
      <c r="A136" t="s">
        <v>159</v>
      </c>
      <c r="B136">
        <v>2511291.6666666665</v>
      </c>
      <c r="C136" t="s">
        <v>256</v>
      </c>
      <c r="D136" s="1">
        <v>45929</v>
      </c>
      <c r="E136" t="s">
        <v>36</v>
      </c>
      <c r="F136" t="s">
        <v>37</v>
      </c>
      <c r="G136" t="s">
        <v>132</v>
      </c>
      <c r="H136" t="s">
        <v>28</v>
      </c>
      <c r="I136" t="s">
        <v>158</v>
      </c>
      <c r="J136" t="s">
        <v>160</v>
      </c>
      <c r="K136">
        <v>1</v>
      </c>
      <c r="L136">
        <v>2485000</v>
      </c>
      <c r="M136">
        <v>0</v>
      </c>
      <c r="N136">
        <v>1839000</v>
      </c>
      <c r="O136">
        <v>2485000</v>
      </c>
    </row>
    <row r="137" spans="1:15" x14ac:dyDescent="0.35">
      <c r="A137" t="s">
        <v>159</v>
      </c>
      <c r="B137">
        <v>2511291.6666666665</v>
      </c>
      <c r="C137" t="s">
        <v>257</v>
      </c>
      <c r="D137" s="1">
        <v>45962</v>
      </c>
      <c r="E137" t="s">
        <v>14</v>
      </c>
      <c r="F137" t="s">
        <v>15</v>
      </c>
      <c r="G137" t="s">
        <v>258</v>
      </c>
      <c r="H137" t="s">
        <v>23</v>
      </c>
      <c r="I137" t="s">
        <v>158</v>
      </c>
      <c r="J137" t="s">
        <v>160</v>
      </c>
      <c r="K137">
        <v>2</v>
      </c>
      <c r="L137">
        <v>3227000</v>
      </c>
      <c r="M137">
        <v>0</v>
      </c>
      <c r="N137">
        <v>2300000</v>
      </c>
      <c r="O137">
        <v>3227000</v>
      </c>
    </row>
    <row r="138" spans="1:15" x14ac:dyDescent="0.35">
      <c r="A138" t="s">
        <v>159</v>
      </c>
      <c r="B138">
        <v>2511291.6666666665</v>
      </c>
      <c r="C138" t="s">
        <v>259</v>
      </c>
      <c r="D138" s="1">
        <v>45990</v>
      </c>
      <c r="E138" t="s">
        <v>14</v>
      </c>
      <c r="F138" t="s">
        <v>15</v>
      </c>
      <c r="G138" t="s">
        <v>260</v>
      </c>
      <c r="H138" t="s">
        <v>23</v>
      </c>
      <c r="I138" t="s">
        <v>158</v>
      </c>
      <c r="J138" t="s">
        <v>160</v>
      </c>
      <c r="K138">
        <v>3</v>
      </c>
      <c r="L138">
        <v>2573000</v>
      </c>
      <c r="M138">
        <v>0.05</v>
      </c>
      <c r="N138">
        <v>1889000</v>
      </c>
      <c r="O138">
        <v>2573000</v>
      </c>
    </row>
    <row r="139" spans="1:15" x14ac:dyDescent="0.35">
      <c r="A139" t="s">
        <v>159</v>
      </c>
      <c r="B139">
        <v>2511291.6666666665</v>
      </c>
      <c r="C139" t="s">
        <v>261</v>
      </c>
      <c r="D139" s="1">
        <v>46015</v>
      </c>
      <c r="E139" t="s">
        <v>36</v>
      </c>
      <c r="F139" t="s">
        <v>37</v>
      </c>
      <c r="G139" t="s">
        <v>262</v>
      </c>
      <c r="H139" t="s">
        <v>23</v>
      </c>
      <c r="I139" t="s">
        <v>158</v>
      </c>
      <c r="J139" t="s">
        <v>160</v>
      </c>
      <c r="K139">
        <v>1</v>
      </c>
      <c r="L139">
        <v>2511291.6666666665</v>
      </c>
      <c r="M139">
        <v>0</v>
      </c>
      <c r="N139">
        <v>1728000</v>
      </c>
      <c r="O139">
        <v>2511291.6666666665</v>
      </c>
    </row>
    <row r="140" spans="1:15" x14ac:dyDescent="0.35">
      <c r="A140" t="s">
        <v>159</v>
      </c>
      <c r="B140">
        <v>2511291.6666666665</v>
      </c>
      <c r="C140" t="s">
        <v>263</v>
      </c>
      <c r="D140" s="1">
        <v>46017</v>
      </c>
      <c r="E140" t="s">
        <v>14</v>
      </c>
      <c r="F140" t="s">
        <v>15</v>
      </c>
      <c r="G140" t="s">
        <v>117</v>
      </c>
      <c r="H140" t="s">
        <v>23</v>
      </c>
      <c r="I140" t="s">
        <v>158</v>
      </c>
      <c r="J140" t="s">
        <v>160</v>
      </c>
      <c r="K140">
        <v>1</v>
      </c>
      <c r="L140">
        <v>2241000</v>
      </c>
      <c r="M140">
        <v>0</v>
      </c>
      <c r="N140">
        <v>1620000</v>
      </c>
      <c r="O140">
        <v>2241000</v>
      </c>
    </row>
    <row r="141" spans="1:15" x14ac:dyDescent="0.35">
      <c r="A141" t="s">
        <v>159</v>
      </c>
      <c r="B141">
        <v>2511291.6666666665</v>
      </c>
      <c r="C141" t="s">
        <v>264</v>
      </c>
      <c r="D141" s="1">
        <v>46028</v>
      </c>
      <c r="E141" t="s">
        <v>14</v>
      </c>
      <c r="F141" t="s">
        <v>15</v>
      </c>
      <c r="G141" t="s">
        <v>265</v>
      </c>
      <c r="H141" t="s">
        <v>23</v>
      </c>
      <c r="I141" t="s">
        <v>158</v>
      </c>
      <c r="J141" t="s">
        <v>160</v>
      </c>
      <c r="K141">
        <v>1</v>
      </c>
      <c r="L141">
        <v>2745000</v>
      </c>
      <c r="M141">
        <v>0</v>
      </c>
      <c r="N141">
        <v>1995000</v>
      </c>
      <c r="O141">
        <v>2745000</v>
      </c>
    </row>
    <row r="142" spans="1:15" x14ac:dyDescent="0.35">
      <c r="A142" t="s">
        <v>159</v>
      </c>
      <c r="B142">
        <v>2511291.6666666665</v>
      </c>
      <c r="C142" t="s">
        <v>266</v>
      </c>
      <c r="D142" s="1">
        <v>46082</v>
      </c>
      <c r="E142" t="s">
        <v>14</v>
      </c>
      <c r="F142" t="s">
        <v>15</v>
      </c>
      <c r="G142" t="s">
        <v>155</v>
      </c>
      <c r="H142" t="s">
        <v>58</v>
      </c>
      <c r="I142" t="s">
        <v>158</v>
      </c>
      <c r="J142" t="s">
        <v>160</v>
      </c>
      <c r="K142">
        <v>1</v>
      </c>
      <c r="L142">
        <v>2865000</v>
      </c>
      <c r="M142">
        <v>0.1</v>
      </c>
      <c r="N142">
        <v>2057000</v>
      </c>
      <c r="O142">
        <v>2865000</v>
      </c>
    </row>
    <row r="143" spans="1:15" x14ac:dyDescent="0.35">
      <c r="A143" t="s">
        <v>159</v>
      </c>
      <c r="B143">
        <v>2511291.6666666665</v>
      </c>
      <c r="C143" t="s">
        <v>267</v>
      </c>
      <c r="D143" s="1">
        <v>46090</v>
      </c>
      <c r="E143" t="s">
        <v>49</v>
      </c>
      <c r="F143" t="s">
        <v>50</v>
      </c>
      <c r="G143" t="s">
        <v>182</v>
      </c>
      <c r="H143" t="s">
        <v>23</v>
      </c>
      <c r="I143" t="s">
        <v>158</v>
      </c>
      <c r="J143" t="s">
        <v>160</v>
      </c>
      <c r="K143">
        <v>1</v>
      </c>
      <c r="L143">
        <v>2976000</v>
      </c>
      <c r="M143">
        <v>0.1</v>
      </c>
      <c r="N143">
        <v>2195000</v>
      </c>
      <c r="O143">
        <v>2976000</v>
      </c>
    </row>
    <row r="144" spans="1:15" x14ac:dyDescent="0.35">
      <c r="A144" t="s">
        <v>159</v>
      </c>
      <c r="B144">
        <v>2511291.6666666665</v>
      </c>
      <c r="C144" t="s">
        <v>268</v>
      </c>
      <c r="D144" s="1">
        <v>46108</v>
      </c>
      <c r="E144" t="s">
        <v>49</v>
      </c>
      <c r="F144" t="s">
        <v>50</v>
      </c>
      <c r="G144" t="s">
        <v>201</v>
      </c>
      <c r="H144" t="s">
        <v>58</v>
      </c>
      <c r="I144" t="s">
        <v>158</v>
      </c>
      <c r="J144" t="s">
        <v>160</v>
      </c>
      <c r="K144">
        <v>1</v>
      </c>
      <c r="L144">
        <v>2625000</v>
      </c>
      <c r="M144">
        <v>0</v>
      </c>
      <c r="N144">
        <v>1937000</v>
      </c>
      <c r="O144">
        <v>2625000</v>
      </c>
    </row>
    <row r="145" spans="1:15" x14ac:dyDescent="0.35">
      <c r="A145" t="s">
        <v>159</v>
      </c>
      <c r="B145">
        <v>2511291.6666666665</v>
      </c>
      <c r="C145" t="s">
        <v>269</v>
      </c>
      <c r="D145" s="1">
        <v>46137</v>
      </c>
      <c r="E145" t="s">
        <v>14</v>
      </c>
      <c r="F145" t="s">
        <v>15</v>
      </c>
      <c r="G145" t="s">
        <v>270</v>
      </c>
      <c r="H145" t="s">
        <v>23</v>
      </c>
      <c r="I145" t="s">
        <v>158</v>
      </c>
      <c r="J145" t="s">
        <v>160</v>
      </c>
      <c r="K145">
        <v>1</v>
      </c>
      <c r="L145">
        <v>2109000</v>
      </c>
      <c r="M145">
        <v>0.05</v>
      </c>
      <c r="N145">
        <v>1521000</v>
      </c>
      <c r="O145">
        <v>2109000</v>
      </c>
    </row>
    <row r="146" spans="1:15" x14ac:dyDescent="0.35">
      <c r="A146" t="s">
        <v>159</v>
      </c>
      <c r="B146">
        <v>2511291.6666666665</v>
      </c>
      <c r="C146" t="s">
        <v>271</v>
      </c>
      <c r="D146" s="1">
        <v>46144</v>
      </c>
      <c r="E146" t="s">
        <v>14</v>
      </c>
      <c r="F146" t="s">
        <v>15</v>
      </c>
      <c r="G146" t="s">
        <v>141</v>
      </c>
      <c r="H146" t="s">
        <v>17</v>
      </c>
      <c r="I146" t="s">
        <v>158</v>
      </c>
      <c r="J146" t="s">
        <v>160</v>
      </c>
      <c r="K146">
        <v>3</v>
      </c>
      <c r="L146">
        <v>3067000</v>
      </c>
      <c r="M146">
        <v>0</v>
      </c>
      <c r="N146">
        <v>2217000</v>
      </c>
      <c r="O146">
        <v>3067000</v>
      </c>
    </row>
    <row r="147" spans="1:15" x14ac:dyDescent="0.35">
      <c r="A147" t="s">
        <v>159</v>
      </c>
      <c r="B147">
        <v>2511291.6666666665</v>
      </c>
      <c r="C147" t="s">
        <v>272</v>
      </c>
      <c r="D147" s="1">
        <v>46180</v>
      </c>
      <c r="E147" t="s">
        <v>14</v>
      </c>
      <c r="F147" t="s">
        <v>15</v>
      </c>
      <c r="G147" t="s">
        <v>197</v>
      </c>
      <c r="H147" t="s">
        <v>28</v>
      </c>
      <c r="I147" t="s">
        <v>158</v>
      </c>
      <c r="J147" t="s">
        <v>160</v>
      </c>
      <c r="K147">
        <v>1</v>
      </c>
      <c r="L147">
        <v>2941000</v>
      </c>
      <c r="M147">
        <v>0</v>
      </c>
      <c r="N147">
        <v>2173000</v>
      </c>
      <c r="O147">
        <v>2941000</v>
      </c>
    </row>
    <row r="148" spans="1:15" x14ac:dyDescent="0.35">
      <c r="A148" t="s">
        <v>276</v>
      </c>
      <c r="B148">
        <v>407183.33333333331</v>
      </c>
      <c r="C148" t="s">
        <v>273</v>
      </c>
      <c r="D148" s="1">
        <v>44929</v>
      </c>
      <c r="E148" t="s">
        <v>49</v>
      </c>
      <c r="F148" t="s">
        <v>50</v>
      </c>
      <c r="G148" t="s">
        <v>274</v>
      </c>
      <c r="H148" t="s">
        <v>58</v>
      </c>
      <c r="I148" t="s">
        <v>275</v>
      </c>
      <c r="J148" t="s">
        <v>20</v>
      </c>
      <c r="K148">
        <v>1</v>
      </c>
      <c r="L148">
        <v>302000</v>
      </c>
      <c r="M148">
        <v>0</v>
      </c>
      <c r="N148">
        <v>222000</v>
      </c>
      <c r="O148">
        <v>302000</v>
      </c>
    </row>
    <row r="149" spans="1:15" x14ac:dyDescent="0.35">
      <c r="A149" t="s">
        <v>276</v>
      </c>
      <c r="B149">
        <v>407183.33333333331</v>
      </c>
      <c r="C149" t="s">
        <v>277</v>
      </c>
      <c r="D149" s="1">
        <v>44963</v>
      </c>
      <c r="E149" t="s">
        <v>41</v>
      </c>
      <c r="F149" t="s">
        <v>42</v>
      </c>
      <c r="G149" t="s">
        <v>79</v>
      </c>
      <c r="H149" t="s">
        <v>17</v>
      </c>
      <c r="I149" t="s">
        <v>275</v>
      </c>
      <c r="J149" t="s">
        <v>20</v>
      </c>
      <c r="K149">
        <v>3</v>
      </c>
      <c r="L149">
        <v>487000</v>
      </c>
      <c r="M149">
        <v>0.15</v>
      </c>
      <c r="N149">
        <v>349000</v>
      </c>
      <c r="O149">
        <v>487000</v>
      </c>
    </row>
    <row r="150" spans="1:15" x14ac:dyDescent="0.35">
      <c r="A150" t="s">
        <v>276</v>
      </c>
      <c r="B150">
        <v>407183.33333333331</v>
      </c>
      <c r="C150" t="s">
        <v>278</v>
      </c>
      <c r="D150" s="1">
        <v>44978</v>
      </c>
      <c r="E150" t="s">
        <v>14</v>
      </c>
      <c r="F150" t="s">
        <v>15</v>
      </c>
      <c r="G150" t="s">
        <v>182</v>
      </c>
      <c r="H150" t="s">
        <v>23</v>
      </c>
      <c r="I150" t="s">
        <v>275</v>
      </c>
      <c r="J150" t="s">
        <v>20</v>
      </c>
      <c r="K150">
        <v>1</v>
      </c>
      <c r="L150">
        <v>434000</v>
      </c>
      <c r="M150">
        <v>0</v>
      </c>
      <c r="N150">
        <v>321000</v>
      </c>
      <c r="O150">
        <v>434000</v>
      </c>
    </row>
    <row r="151" spans="1:15" x14ac:dyDescent="0.35">
      <c r="A151" t="s">
        <v>276</v>
      </c>
      <c r="B151">
        <v>407183.33333333331</v>
      </c>
      <c r="C151" t="s">
        <v>279</v>
      </c>
      <c r="D151" s="1">
        <v>44983</v>
      </c>
      <c r="E151" t="s">
        <v>36</v>
      </c>
      <c r="F151" t="s">
        <v>37</v>
      </c>
      <c r="G151" t="s">
        <v>157</v>
      </c>
      <c r="H151" t="s">
        <v>23</v>
      </c>
      <c r="I151" t="s">
        <v>275</v>
      </c>
      <c r="J151" t="s">
        <v>20</v>
      </c>
      <c r="K151">
        <v>1</v>
      </c>
      <c r="L151">
        <v>229000</v>
      </c>
      <c r="M151">
        <v>0.05</v>
      </c>
      <c r="N151">
        <v>170000</v>
      </c>
      <c r="O151">
        <v>229000</v>
      </c>
    </row>
    <row r="152" spans="1:15" x14ac:dyDescent="0.35">
      <c r="A152" t="s">
        <v>276</v>
      </c>
      <c r="B152">
        <v>407183.33333333331</v>
      </c>
      <c r="C152" t="s">
        <v>280</v>
      </c>
      <c r="D152" s="1">
        <v>45007</v>
      </c>
      <c r="E152" t="s">
        <v>41</v>
      </c>
      <c r="F152" t="s">
        <v>42</v>
      </c>
      <c r="G152" t="s">
        <v>55</v>
      </c>
      <c r="H152" t="s">
        <v>17</v>
      </c>
      <c r="I152" t="s">
        <v>275</v>
      </c>
      <c r="J152" t="s">
        <v>20</v>
      </c>
      <c r="K152">
        <v>1</v>
      </c>
      <c r="L152">
        <v>481000</v>
      </c>
      <c r="M152">
        <v>0</v>
      </c>
      <c r="N152">
        <v>361000</v>
      </c>
      <c r="O152">
        <v>481000</v>
      </c>
    </row>
    <row r="153" spans="1:15" x14ac:dyDescent="0.35">
      <c r="A153" t="s">
        <v>276</v>
      </c>
      <c r="B153">
        <v>407183.33333333331</v>
      </c>
      <c r="C153" t="s">
        <v>281</v>
      </c>
      <c r="D153" s="1">
        <v>45039</v>
      </c>
      <c r="E153" t="s">
        <v>14</v>
      </c>
      <c r="F153" t="s">
        <v>15</v>
      </c>
      <c r="G153" t="s">
        <v>119</v>
      </c>
      <c r="H153" t="s">
        <v>23</v>
      </c>
      <c r="I153" t="s">
        <v>275</v>
      </c>
      <c r="J153" t="s">
        <v>20</v>
      </c>
      <c r="K153">
        <v>1</v>
      </c>
      <c r="L153">
        <v>429000</v>
      </c>
      <c r="M153">
        <v>0</v>
      </c>
      <c r="N153">
        <v>314000</v>
      </c>
      <c r="O153">
        <v>429000</v>
      </c>
    </row>
    <row r="154" spans="1:15" x14ac:dyDescent="0.35">
      <c r="A154" t="s">
        <v>276</v>
      </c>
      <c r="B154">
        <v>407183.33333333331</v>
      </c>
      <c r="C154" t="s">
        <v>282</v>
      </c>
      <c r="D154" s="1">
        <v>45047</v>
      </c>
      <c r="E154" t="s">
        <v>14</v>
      </c>
      <c r="F154" t="s">
        <v>15</v>
      </c>
      <c r="G154" t="s">
        <v>132</v>
      </c>
      <c r="H154" t="s">
        <v>28</v>
      </c>
      <c r="I154" t="s">
        <v>275</v>
      </c>
      <c r="J154" t="s">
        <v>20</v>
      </c>
      <c r="K154">
        <v>1</v>
      </c>
      <c r="L154">
        <v>499000</v>
      </c>
      <c r="M154">
        <v>0</v>
      </c>
      <c r="N154">
        <v>357000</v>
      </c>
      <c r="O154">
        <v>499000</v>
      </c>
    </row>
    <row r="155" spans="1:15" x14ac:dyDescent="0.35">
      <c r="A155" t="s">
        <v>276</v>
      </c>
      <c r="B155">
        <v>407183.33333333331</v>
      </c>
      <c r="C155" t="s">
        <v>283</v>
      </c>
      <c r="D155" s="1">
        <v>45064</v>
      </c>
      <c r="E155" t="s">
        <v>41</v>
      </c>
      <c r="F155" t="s">
        <v>42</v>
      </c>
      <c r="G155" t="s">
        <v>74</v>
      </c>
      <c r="H155" t="s">
        <v>23</v>
      </c>
      <c r="I155" t="s">
        <v>275</v>
      </c>
      <c r="J155" t="s">
        <v>20</v>
      </c>
      <c r="K155">
        <v>1</v>
      </c>
      <c r="L155">
        <v>499000</v>
      </c>
      <c r="M155">
        <v>0</v>
      </c>
      <c r="N155">
        <v>356000</v>
      </c>
      <c r="O155">
        <v>499000</v>
      </c>
    </row>
    <row r="156" spans="1:15" x14ac:dyDescent="0.35">
      <c r="A156" t="s">
        <v>276</v>
      </c>
      <c r="B156">
        <v>407183.33333333331</v>
      </c>
      <c r="C156" t="s">
        <v>284</v>
      </c>
      <c r="D156" s="1">
        <v>45096</v>
      </c>
      <c r="E156" t="s">
        <v>14</v>
      </c>
      <c r="F156" t="s">
        <v>15</v>
      </c>
      <c r="G156" t="s">
        <v>242</v>
      </c>
      <c r="H156" t="s">
        <v>17</v>
      </c>
      <c r="I156" t="s">
        <v>275</v>
      </c>
      <c r="J156" t="s">
        <v>20</v>
      </c>
      <c r="K156">
        <v>2</v>
      </c>
      <c r="L156">
        <v>488000</v>
      </c>
      <c r="M156">
        <v>0</v>
      </c>
      <c r="N156">
        <v>363000</v>
      </c>
      <c r="O156">
        <v>488000</v>
      </c>
    </row>
    <row r="157" spans="1:15" x14ac:dyDescent="0.35">
      <c r="A157" t="s">
        <v>276</v>
      </c>
      <c r="B157">
        <v>407183.33333333331</v>
      </c>
      <c r="C157" t="s">
        <v>285</v>
      </c>
      <c r="D157" s="1">
        <v>45107</v>
      </c>
      <c r="E157" t="s">
        <v>41</v>
      </c>
      <c r="F157" t="s">
        <v>42</v>
      </c>
      <c r="G157" t="s">
        <v>104</v>
      </c>
      <c r="H157" t="s">
        <v>28</v>
      </c>
      <c r="I157" t="s">
        <v>275</v>
      </c>
      <c r="J157" t="s">
        <v>20</v>
      </c>
      <c r="K157">
        <v>1</v>
      </c>
      <c r="L157">
        <v>434000</v>
      </c>
      <c r="M157">
        <v>0</v>
      </c>
      <c r="N157">
        <v>323000</v>
      </c>
      <c r="O157">
        <v>434000</v>
      </c>
    </row>
    <row r="158" spans="1:15" x14ac:dyDescent="0.35">
      <c r="A158" t="s">
        <v>276</v>
      </c>
      <c r="B158">
        <v>407183.33333333331</v>
      </c>
      <c r="C158" t="s">
        <v>286</v>
      </c>
      <c r="D158" s="1">
        <v>45121</v>
      </c>
      <c r="E158" t="s">
        <v>36</v>
      </c>
      <c r="F158" t="s">
        <v>37</v>
      </c>
      <c r="G158" t="s">
        <v>287</v>
      </c>
      <c r="H158" t="s">
        <v>28</v>
      </c>
      <c r="I158" t="s">
        <v>275</v>
      </c>
      <c r="J158" t="s">
        <v>20</v>
      </c>
      <c r="K158">
        <v>1</v>
      </c>
      <c r="L158">
        <v>327000</v>
      </c>
      <c r="M158">
        <v>0</v>
      </c>
      <c r="N158">
        <v>238000</v>
      </c>
      <c r="O158">
        <v>327000</v>
      </c>
    </row>
    <row r="159" spans="1:15" x14ac:dyDescent="0.35">
      <c r="A159" t="s">
        <v>276</v>
      </c>
      <c r="B159">
        <v>407183.33333333331</v>
      </c>
      <c r="C159" t="s">
        <v>288</v>
      </c>
      <c r="D159" s="1">
        <v>45131</v>
      </c>
      <c r="E159" t="s">
        <v>14</v>
      </c>
      <c r="F159" t="s">
        <v>15</v>
      </c>
      <c r="G159" t="s">
        <v>45</v>
      </c>
      <c r="H159" t="s">
        <v>17</v>
      </c>
      <c r="I159" t="s">
        <v>275</v>
      </c>
      <c r="J159" t="s">
        <v>20</v>
      </c>
      <c r="K159">
        <v>1</v>
      </c>
      <c r="L159">
        <v>326000</v>
      </c>
      <c r="M159">
        <v>0</v>
      </c>
      <c r="N159">
        <v>243000</v>
      </c>
      <c r="O159">
        <v>326000</v>
      </c>
    </row>
    <row r="160" spans="1:15" x14ac:dyDescent="0.35">
      <c r="A160" t="s">
        <v>276</v>
      </c>
      <c r="B160">
        <v>407183.33333333331</v>
      </c>
      <c r="C160" t="s">
        <v>289</v>
      </c>
      <c r="D160" s="1">
        <v>45136</v>
      </c>
      <c r="E160" t="s">
        <v>49</v>
      </c>
      <c r="F160" t="s">
        <v>50</v>
      </c>
      <c r="G160" t="s">
        <v>136</v>
      </c>
      <c r="H160" t="s">
        <v>23</v>
      </c>
      <c r="I160" t="s">
        <v>275</v>
      </c>
      <c r="J160" t="s">
        <v>20</v>
      </c>
      <c r="K160">
        <v>2</v>
      </c>
      <c r="L160">
        <v>370000</v>
      </c>
      <c r="M160">
        <v>0</v>
      </c>
      <c r="N160">
        <v>270000</v>
      </c>
      <c r="O160">
        <v>370000</v>
      </c>
    </row>
    <row r="161" spans="1:15" x14ac:dyDescent="0.35">
      <c r="A161" t="s">
        <v>276</v>
      </c>
      <c r="B161">
        <v>407183.33333333331</v>
      </c>
      <c r="C161" t="s">
        <v>290</v>
      </c>
      <c r="D161" s="1">
        <v>45144</v>
      </c>
      <c r="E161" t="s">
        <v>41</v>
      </c>
      <c r="F161" t="s">
        <v>42</v>
      </c>
      <c r="G161" t="s">
        <v>291</v>
      </c>
      <c r="H161" t="s">
        <v>17</v>
      </c>
      <c r="I161" t="s">
        <v>275</v>
      </c>
      <c r="J161" t="s">
        <v>20</v>
      </c>
      <c r="K161">
        <v>1</v>
      </c>
      <c r="L161">
        <v>235000</v>
      </c>
      <c r="M161">
        <v>0</v>
      </c>
      <c r="N161">
        <v>173000</v>
      </c>
      <c r="O161">
        <v>235000</v>
      </c>
    </row>
    <row r="162" spans="1:15" x14ac:dyDescent="0.35">
      <c r="A162" t="s">
        <v>276</v>
      </c>
      <c r="B162">
        <v>407183.33333333331</v>
      </c>
      <c r="C162" t="s">
        <v>292</v>
      </c>
      <c r="D162" s="1">
        <v>45145</v>
      </c>
      <c r="E162" t="s">
        <v>14</v>
      </c>
      <c r="F162" t="s">
        <v>15</v>
      </c>
      <c r="G162" t="s">
        <v>119</v>
      </c>
      <c r="H162" t="s">
        <v>23</v>
      </c>
      <c r="I162" t="s">
        <v>275</v>
      </c>
      <c r="J162" t="s">
        <v>20</v>
      </c>
      <c r="K162">
        <v>1</v>
      </c>
      <c r="L162">
        <v>483000</v>
      </c>
      <c r="M162">
        <v>0.05</v>
      </c>
      <c r="N162">
        <v>348000</v>
      </c>
      <c r="O162">
        <v>483000</v>
      </c>
    </row>
    <row r="163" spans="1:15" x14ac:dyDescent="0.35">
      <c r="A163" t="s">
        <v>276</v>
      </c>
      <c r="B163">
        <v>407183.33333333331</v>
      </c>
      <c r="C163" t="s">
        <v>293</v>
      </c>
      <c r="D163" s="1">
        <v>45148</v>
      </c>
      <c r="E163" t="s">
        <v>14</v>
      </c>
      <c r="F163" t="s">
        <v>15</v>
      </c>
      <c r="G163" t="s">
        <v>63</v>
      </c>
      <c r="H163" t="s">
        <v>28</v>
      </c>
      <c r="I163" t="s">
        <v>275</v>
      </c>
      <c r="J163" t="s">
        <v>20</v>
      </c>
      <c r="K163">
        <v>1</v>
      </c>
      <c r="L163">
        <v>263000</v>
      </c>
      <c r="M163">
        <v>0</v>
      </c>
      <c r="N163">
        <v>196000</v>
      </c>
      <c r="O163">
        <v>263000</v>
      </c>
    </row>
    <row r="164" spans="1:15" x14ac:dyDescent="0.35">
      <c r="A164" t="s">
        <v>276</v>
      </c>
      <c r="B164">
        <v>407183.33333333331</v>
      </c>
      <c r="C164" t="s">
        <v>294</v>
      </c>
      <c r="D164" s="1">
        <v>45154</v>
      </c>
      <c r="E164" t="s">
        <v>49</v>
      </c>
      <c r="F164" t="s">
        <v>50</v>
      </c>
      <c r="G164" t="s">
        <v>295</v>
      </c>
      <c r="H164" t="s">
        <v>23</v>
      </c>
      <c r="I164" t="s">
        <v>275</v>
      </c>
      <c r="J164" t="s">
        <v>20</v>
      </c>
      <c r="K164">
        <v>3</v>
      </c>
      <c r="L164">
        <v>368000</v>
      </c>
      <c r="M164">
        <v>0</v>
      </c>
      <c r="N164">
        <v>262000</v>
      </c>
      <c r="O164">
        <v>368000</v>
      </c>
    </row>
    <row r="165" spans="1:15" x14ac:dyDescent="0.35">
      <c r="A165" t="s">
        <v>276</v>
      </c>
      <c r="B165">
        <v>407183.33333333331</v>
      </c>
      <c r="C165" t="s">
        <v>296</v>
      </c>
      <c r="D165" s="1">
        <v>45198</v>
      </c>
      <c r="E165" t="s">
        <v>14</v>
      </c>
      <c r="F165" t="s">
        <v>15</v>
      </c>
      <c r="G165" t="s">
        <v>104</v>
      </c>
      <c r="H165" t="s">
        <v>28</v>
      </c>
      <c r="I165" t="s">
        <v>275</v>
      </c>
      <c r="J165" t="s">
        <v>20</v>
      </c>
      <c r="K165">
        <v>1</v>
      </c>
      <c r="L165">
        <v>358000</v>
      </c>
      <c r="M165">
        <v>0</v>
      </c>
      <c r="N165">
        <v>255000</v>
      </c>
      <c r="O165">
        <v>358000</v>
      </c>
    </row>
    <row r="166" spans="1:15" x14ac:dyDescent="0.35">
      <c r="A166" t="s">
        <v>276</v>
      </c>
      <c r="B166">
        <v>407183.33333333331</v>
      </c>
      <c r="C166" t="s">
        <v>297</v>
      </c>
      <c r="D166" s="1">
        <v>45235</v>
      </c>
      <c r="E166" t="s">
        <v>36</v>
      </c>
      <c r="F166" t="s">
        <v>37</v>
      </c>
      <c r="G166" t="s">
        <v>197</v>
      </c>
      <c r="H166" t="s">
        <v>28</v>
      </c>
      <c r="I166" t="s">
        <v>275</v>
      </c>
      <c r="J166" t="s">
        <v>20</v>
      </c>
      <c r="K166">
        <v>1</v>
      </c>
      <c r="L166">
        <v>337000</v>
      </c>
      <c r="M166">
        <v>0</v>
      </c>
      <c r="N166">
        <v>244000</v>
      </c>
      <c r="O166">
        <v>337000</v>
      </c>
    </row>
    <row r="167" spans="1:15" x14ac:dyDescent="0.35">
      <c r="A167" t="s">
        <v>276</v>
      </c>
      <c r="B167">
        <v>407183.33333333331</v>
      </c>
      <c r="C167" t="s">
        <v>298</v>
      </c>
      <c r="D167" s="1">
        <v>45238</v>
      </c>
      <c r="E167" t="s">
        <v>49</v>
      </c>
      <c r="F167" t="s">
        <v>50</v>
      </c>
      <c r="G167" t="s">
        <v>208</v>
      </c>
      <c r="H167" t="s">
        <v>23</v>
      </c>
      <c r="I167" t="s">
        <v>275</v>
      </c>
      <c r="J167" t="s">
        <v>20</v>
      </c>
      <c r="K167">
        <v>1</v>
      </c>
      <c r="L167">
        <v>496000</v>
      </c>
      <c r="M167">
        <v>0</v>
      </c>
      <c r="N167">
        <v>364000</v>
      </c>
      <c r="O167">
        <v>496000</v>
      </c>
    </row>
    <row r="168" spans="1:15" x14ac:dyDescent="0.35">
      <c r="A168" t="s">
        <v>276</v>
      </c>
      <c r="B168">
        <v>407183.33333333331</v>
      </c>
      <c r="C168" t="s">
        <v>299</v>
      </c>
      <c r="D168" s="1">
        <v>45278</v>
      </c>
      <c r="E168" t="s">
        <v>41</v>
      </c>
      <c r="F168" t="s">
        <v>42</v>
      </c>
      <c r="G168" t="s">
        <v>168</v>
      </c>
      <c r="H168" t="s">
        <v>23</v>
      </c>
      <c r="I168" t="s">
        <v>275</v>
      </c>
      <c r="J168" t="s">
        <v>20</v>
      </c>
      <c r="K168">
        <v>1</v>
      </c>
      <c r="L168">
        <v>283000</v>
      </c>
      <c r="M168">
        <v>0.1</v>
      </c>
      <c r="N168">
        <v>212000</v>
      </c>
      <c r="O168">
        <v>283000</v>
      </c>
    </row>
    <row r="169" spans="1:15" x14ac:dyDescent="0.35">
      <c r="A169" t="s">
        <v>276</v>
      </c>
      <c r="B169">
        <v>407183.33333333331</v>
      </c>
      <c r="C169" t="s">
        <v>300</v>
      </c>
      <c r="D169" s="1">
        <v>45288</v>
      </c>
      <c r="E169" t="s">
        <v>49</v>
      </c>
      <c r="F169" t="s">
        <v>50</v>
      </c>
      <c r="G169" t="s">
        <v>301</v>
      </c>
      <c r="H169" t="s">
        <v>28</v>
      </c>
      <c r="I169" t="s">
        <v>275</v>
      </c>
      <c r="J169" t="s">
        <v>20</v>
      </c>
      <c r="K169">
        <v>1</v>
      </c>
      <c r="L169">
        <v>207000</v>
      </c>
      <c r="M169">
        <v>0</v>
      </c>
      <c r="N169">
        <v>151000</v>
      </c>
      <c r="O169">
        <v>207000</v>
      </c>
    </row>
    <row r="170" spans="1:15" x14ac:dyDescent="0.35">
      <c r="A170" t="s">
        <v>276</v>
      </c>
      <c r="B170">
        <v>407183.33333333331</v>
      </c>
      <c r="C170" t="s">
        <v>302</v>
      </c>
      <c r="D170" s="1">
        <v>45299</v>
      </c>
      <c r="E170" t="s">
        <v>36</v>
      </c>
      <c r="F170" t="s">
        <v>37</v>
      </c>
      <c r="G170" t="s">
        <v>182</v>
      </c>
      <c r="H170" t="s">
        <v>23</v>
      </c>
      <c r="I170" t="s">
        <v>275</v>
      </c>
      <c r="J170" t="s">
        <v>20</v>
      </c>
      <c r="K170">
        <v>2</v>
      </c>
      <c r="L170">
        <v>407183.33333333331</v>
      </c>
      <c r="M170">
        <v>0.1</v>
      </c>
      <c r="N170">
        <v>256000</v>
      </c>
      <c r="O170">
        <v>407183.33333333331</v>
      </c>
    </row>
    <row r="171" spans="1:15" x14ac:dyDescent="0.35">
      <c r="A171" t="s">
        <v>276</v>
      </c>
      <c r="B171">
        <v>407183.33333333331</v>
      </c>
      <c r="C171" t="s">
        <v>303</v>
      </c>
      <c r="D171" s="1">
        <v>45322</v>
      </c>
      <c r="E171" t="s">
        <v>49</v>
      </c>
      <c r="F171" t="s">
        <v>50</v>
      </c>
      <c r="G171" t="s">
        <v>193</v>
      </c>
      <c r="H171" t="s">
        <v>23</v>
      </c>
      <c r="I171" t="s">
        <v>275</v>
      </c>
      <c r="J171" t="s">
        <v>20</v>
      </c>
      <c r="K171">
        <v>1</v>
      </c>
      <c r="L171">
        <v>441000</v>
      </c>
      <c r="M171">
        <v>0</v>
      </c>
      <c r="N171">
        <v>323000</v>
      </c>
      <c r="O171">
        <v>441000</v>
      </c>
    </row>
    <row r="172" spans="1:15" x14ac:dyDescent="0.35">
      <c r="A172" t="s">
        <v>276</v>
      </c>
      <c r="B172">
        <v>407183.33333333331</v>
      </c>
      <c r="C172" t="s">
        <v>304</v>
      </c>
      <c r="D172" s="1">
        <v>45364</v>
      </c>
      <c r="E172" t="s">
        <v>14</v>
      </c>
      <c r="F172" t="s">
        <v>15</v>
      </c>
      <c r="G172" t="s">
        <v>108</v>
      </c>
      <c r="H172" t="s">
        <v>23</v>
      </c>
      <c r="I172" t="s">
        <v>275</v>
      </c>
      <c r="J172" t="s">
        <v>20</v>
      </c>
      <c r="K172">
        <v>1</v>
      </c>
      <c r="L172">
        <v>352000</v>
      </c>
      <c r="M172">
        <v>0</v>
      </c>
      <c r="N172">
        <v>257000</v>
      </c>
      <c r="O172">
        <v>352000</v>
      </c>
    </row>
    <row r="173" spans="1:15" x14ac:dyDescent="0.35">
      <c r="A173" t="s">
        <v>276</v>
      </c>
      <c r="B173">
        <v>407183.33333333331</v>
      </c>
      <c r="C173" t="s">
        <v>305</v>
      </c>
      <c r="D173" s="1">
        <v>45409</v>
      </c>
      <c r="E173" t="s">
        <v>14</v>
      </c>
      <c r="F173" t="s">
        <v>15</v>
      </c>
      <c r="G173" t="s">
        <v>136</v>
      </c>
      <c r="H173" t="s">
        <v>23</v>
      </c>
      <c r="I173" t="s">
        <v>275</v>
      </c>
      <c r="J173" t="s">
        <v>20</v>
      </c>
      <c r="K173">
        <v>1</v>
      </c>
      <c r="L173">
        <v>387000</v>
      </c>
      <c r="M173">
        <v>0</v>
      </c>
      <c r="N173">
        <v>288000</v>
      </c>
      <c r="O173">
        <v>387000</v>
      </c>
    </row>
    <row r="174" spans="1:15" x14ac:dyDescent="0.35">
      <c r="A174" t="s">
        <v>276</v>
      </c>
      <c r="B174">
        <v>407183.33333333331</v>
      </c>
      <c r="C174" t="s">
        <v>306</v>
      </c>
      <c r="D174" s="1">
        <v>45426</v>
      </c>
      <c r="E174" t="s">
        <v>14</v>
      </c>
      <c r="F174" t="s">
        <v>15</v>
      </c>
      <c r="G174" t="s">
        <v>307</v>
      </c>
      <c r="H174" t="s">
        <v>28</v>
      </c>
      <c r="I174" t="s">
        <v>275</v>
      </c>
      <c r="J174" t="s">
        <v>20</v>
      </c>
      <c r="K174">
        <v>1</v>
      </c>
      <c r="L174">
        <v>377000</v>
      </c>
      <c r="M174">
        <v>0.1</v>
      </c>
      <c r="N174">
        <v>282000</v>
      </c>
      <c r="O174">
        <v>377000</v>
      </c>
    </row>
    <row r="175" spans="1:15" x14ac:dyDescent="0.35">
      <c r="A175" t="s">
        <v>276</v>
      </c>
      <c r="B175">
        <v>407183.33333333331</v>
      </c>
      <c r="C175" t="s">
        <v>308</v>
      </c>
      <c r="D175" s="1">
        <v>45444</v>
      </c>
      <c r="E175" t="s">
        <v>41</v>
      </c>
      <c r="F175" t="s">
        <v>42</v>
      </c>
      <c r="G175" t="s">
        <v>309</v>
      </c>
      <c r="H175" t="s">
        <v>23</v>
      </c>
      <c r="I175" t="s">
        <v>275</v>
      </c>
      <c r="J175" t="s">
        <v>20</v>
      </c>
      <c r="K175">
        <v>1</v>
      </c>
      <c r="L175">
        <v>506000</v>
      </c>
      <c r="M175">
        <v>0</v>
      </c>
      <c r="N175">
        <v>374000</v>
      </c>
      <c r="O175">
        <v>506000</v>
      </c>
    </row>
    <row r="176" spans="1:15" x14ac:dyDescent="0.35">
      <c r="A176" t="s">
        <v>276</v>
      </c>
      <c r="B176">
        <v>407183.33333333331</v>
      </c>
      <c r="C176" t="s">
        <v>310</v>
      </c>
      <c r="D176" s="1">
        <v>45450</v>
      </c>
      <c r="E176" t="s">
        <v>14</v>
      </c>
      <c r="F176" t="s">
        <v>15</v>
      </c>
      <c r="G176" t="s">
        <v>311</v>
      </c>
      <c r="H176" t="s">
        <v>17</v>
      </c>
      <c r="I176" t="s">
        <v>275</v>
      </c>
      <c r="J176" t="s">
        <v>20</v>
      </c>
      <c r="K176">
        <v>1</v>
      </c>
      <c r="L176">
        <v>493000</v>
      </c>
      <c r="M176">
        <v>0</v>
      </c>
      <c r="N176">
        <v>365000</v>
      </c>
      <c r="O176">
        <v>493000</v>
      </c>
    </row>
    <row r="177" spans="1:15" x14ac:dyDescent="0.35">
      <c r="A177" t="s">
        <v>276</v>
      </c>
      <c r="B177">
        <v>407183.33333333331</v>
      </c>
      <c r="C177" t="s">
        <v>312</v>
      </c>
      <c r="D177" s="1">
        <v>45475</v>
      </c>
      <c r="E177" t="s">
        <v>36</v>
      </c>
      <c r="F177" t="s">
        <v>37</v>
      </c>
      <c r="G177" t="s">
        <v>313</v>
      </c>
      <c r="H177" t="s">
        <v>17</v>
      </c>
      <c r="I177" t="s">
        <v>275</v>
      </c>
      <c r="J177" t="s">
        <v>20</v>
      </c>
      <c r="K177">
        <v>3</v>
      </c>
      <c r="L177">
        <v>266000</v>
      </c>
      <c r="M177">
        <v>0</v>
      </c>
      <c r="N177">
        <v>193000</v>
      </c>
      <c r="O177">
        <v>266000</v>
      </c>
    </row>
    <row r="178" spans="1:15" x14ac:dyDescent="0.35">
      <c r="A178" t="s">
        <v>276</v>
      </c>
      <c r="B178">
        <v>407183.33333333331</v>
      </c>
      <c r="C178" t="s">
        <v>314</v>
      </c>
      <c r="D178" s="1">
        <v>45484</v>
      </c>
      <c r="E178" t="s">
        <v>14</v>
      </c>
      <c r="F178" t="s">
        <v>15</v>
      </c>
      <c r="G178" t="s">
        <v>315</v>
      </c>
      <c r="H178" t="s">
        <v>23</v>
      </c>
      <c r="I178" t="s">
        <v>275</v>
      </c>
      <c r="J178" t="s">
        <v>20</v>
      </c>
      <c r="K178">
        <v>1</v>
      </c>
      <c r="L178">
        <v>338000</v>
      </c>
      <c r="M178">
        <v>0</v>
      </c>
      <c r="N178">
        <v>241000</v>
      </c>
      <c r="O178">
        <v>338000</v>
      </c>
    </row>
    <row r="179" spans="1:15" x14ac:dyDescent="0.35">
      <c r="A179" t="s">
        <v>276</v>
      </c>
      <c r="B179">
        <v>407183.33333333331</v>
      </c>
      <c r="C179" t="s">
        <v>316</v>
      </c>
      <c r="D179" s="1">
        <v>45518</v>
      </c>
      <c r="E179" t="s">
        <v>14</v>
      </c>
      <c r="F179" t="s">
        <v>15</v>
      </c>
      <c r="G179" t="s">
        <v>309</v>
      </c>
      <c r="H179" t="s">
        <v>23</v>
      </c>
      <c r="I179" t="s">
        <v>275</v>
      </c>
      <c r="J179" t="s">
        <v>20</v>
      </c>
      <c r="K179">
        <v>1</v>
      </c>
      <c r="L179">
        <v>366000</v>
      </c>
      <c r="M179">
        <v>0</v>
      </c>
      <c r="N179">
        <v>264000</v>
      </c>
      <c r="O179">
        <v>366000</v>
      </c>
    </row>
    <row r="180" spans="1:15" x14ac:dyDescent="0.35">
      <c r="A180" t="s">
        <v>276</v>
      </c>
      <c r="B180">
        <v>407183.33333333331</v>
      </c>
      <c r="C180" t="s">
        <v>317</v>
      </c>
      <c r="D180" s="1">
        <v>45521</v>
      </c>
      <c r="E180" t="s">
        <v>36</v>
      </c>
      <c r="F180" t="s">
        <v>37</v>
      </c>
      <c r="G180" t="s">
        <v>99</v>
      </c>
      <c r="H180" t="s">
        <v>23</v>
      </c>
      <c r="I180" t="s">
        <v>275</v>
      </c>
      <c r="J180" t="s">
        <v>20</v>
      </c>
      <c r="K180">
        <v>5</v>
      </c>
      <c r="L180">
        <v>398000</v>
      </c>
      <c r="M180">
        <v>0</v>
      </c>
      <c r="N180">
        <v>297000</v>
      </c>
      <c r="O180">
        <v>398000</v>
      </c>
    </row>
    <row r="181" spans="1:15" x14ac:dyDescent="0.35">
      <c r="A181" t="s">
        <v>276</v>
      </c>
      <c r="B181">
        <v>407183.33333333331</v>
      </c>
      <c r="C181" t="s">
        <v>318</v>
      </c>
      <c r="D181" s="1">
        <v>45528</v>
      </c>
      <c r="E181" t="s">
        <v>14</v>
      </c>
      <c r="F181" t="s">
        <v>15</v>
      </c>
      <c r="G181" t="s">
        <v>319</v>
      </c>
      <c r="H181" t="s">
        <v>23</v>
      </c>
      <c r="I181" t="s">
        <v>275</v>
      </c>
      <c r="J181" t="s">
        <v>20</v>
      </c>
      <c r="K181">
        <v>1</v>
      </c>
      <c r="L181">
        <v>271000</v>
      </c>
      <c r="M181">
        <v>0</v>
      </c>
      <c r="N181">
        <v>194000</v>
      </c>
      <c r="O181">
        <v>271000</v>
      </c>
    </row>
    <row r="182" spans="1:15" x14ac:dyDescent="0.35">
      <c r="A182" t="s">
        <v>276</v>
      </c>
      <c r="B182">
        <v>407183.33333333331</v>
      </c>
      <c r="C182" t="s">
        <v>320</v>
      </c>
      <c r="D182" s="1">
        <v>45529</v>
      </c>
      <c r="E182" t="s">
        <v>25</v>
      </c>
      <c r="F182" t="s">
        <v>26</v>
      </c>
      <c r="G182" t="s">
        <v>76</v>
      </c>
      <c r="H182" t="s">
        <v>23</v>
      </c>
      <c r="I182" t="s">
        <v>275</v>
      </c>
      <c r="J182" t="s">
        <v>20</v>
      </c>
      <c r="K182">
        <v>1</v>
      </c>
      <c r="L182">
        <v>431000</v>
      </c>
      <c r="M182">
        <v>0</v>
      </c>
      <c r="N182">
        <v>316000</v>
      </c>
      <c r="O182">
        <v>431000</v>
      </c>
    </row>
    <row r="183" spans="1:15" x14ac:dyDescent="0.35">
      <c r="A183" t="s">
        <v>276</v>
      </c>
      <c r="B183">
        <v>407183.33333333331</v>
      </c>
      <c r="C183" t="s">
        <v>321</v>
      </c>
      <c r="D183" s="1">
        <v>45541</v>
      </c>
      <c r="E183" t="s">
        <v>14</v>
      </c>
      <c r="F183" t="s">
        <v>15</v>
      </c>
      <c r="G183" t="s">
        <v>230</v>
      </c>
      <c r="H183" t="s">
        <v>23</v>
      </c>
      <c r="I183" t="s">
        <v>275</v>
      </c>
      <c r="J183" t="s">
        <v>20</v>
      </c>
      <c r="K183">
        <v>1</v>
      </c>
      <c r="L183">
        <v>407183.33333333331</v>
      </c>
      <c r="M183">
        <v>0</v>
      </c>
      <c r="N183">
        <v>0</v>
      </c>
      <c r="O183">
        <v>407183.33333333331</v>
      </c>
    </row>
    <row r="184" spans="1:15" x14ac:dyDescent="0.35">
      <c r="A184" t="s">
        <v>276</v>
      </c>
      <c r="B184">
        <v>407183.33333333331</v>
      </c>
      <c r="C184" t="s">
        <v>322</v>
      </c>
      <c r="D184" s="1">
        <v>45567</v>
      </c>
      <c r="E184" t="s">
        <v>14</v>
      </c>
      <c r="F184" t="s">
        <v>15</v>
      </c>
      <c r="G184" t="s">
        <v>323</v>
      </c>
      <c r="H184" t="s">
        <v>28</v>
      </c>
      <c r="I184" t="s">
        <v>275</v>
      </c>
      <c r="J184" t="s">
        <v>20</v>
      </c>
      <c r="K184">
        <v>2</v>
      </c>
      <c r="L184">
        <v>366000</v>
      </c>
      <c r="M184">
        <v>0</v>
      </c>
      <c r="N184">
        <v>260000</v>
      </c>
      <c r="O184">
        <v>366000</v>
      </c>
    </row>
    <row r="185" spans="1:15" x14ac:dyDescent="0.35">
      <c r="A185" t="s">
        <v>276</v>
      </c>
      <c r="B185">
        <v>407183.33333333331</v>
      </c>
      <c r="C185" t="s">
        <v>324</v>
      </c>
      <c r="D185" s="1">
        <v>45605</v>
      </c>
      <c r="E185" t="s">
        <v>14</v>
      </c>
      <c r="F185" t="s">
        <v>15</v>
      </c>
      <c r="G185" t="s">
        <v>119</v>
      </c>
      <c r="H185" t="s">
        <v>23</v>
      </c>
      <c r="I185" t="s">
        <v>275</v>
      </c>
      <c r="J185" t="s">
        <v>20</v>
      </c>
      <c r="K185">
        <v>2</v>
      </c>
      <c r="L185">
        <v>482000</v>
      </c>
      <c r="M185">
        <v>0</v>
      </c>
      <c r="N185">
        <v>345000</v>
      </c>
      <c r="O185">
        <v>482000</v>
      </c>
    </row>
    <row r="186" spans="1:15" x14ac:dyDescent="0.35">
      <c r="A186" t="s">
        <v>276</v>
      </c>
      <c r="B186">
        <v>407183.33333333331</v>
      </c>
      <c r="C186" t="s">
        <v>325</v>
      </c>
      <c r="D186" s="1">
        <v>45610</v>
      </c>
      <c r="E186" t="s">
        <v>49</v>
      </c>
      <c r="F186" t="s">
        <v>50</v>
      </c>
      <c r="G186" t="s">
        <v>295</v>
      </c>
      <c r="H186" t="s">
        <v>23</v>
      </c>
      <c r="I186" t="s">
        <v>275</v>
      </c>
      <c r="J186" t="s">
        <v>20</v>
      </c>
      <c r="K186">
        <v>2</v>
      </c>
      <c r="L186">
        <v>512000</v>
      </c>
      <c r="M186">
        <v>0</v>
      </c>
      <c r="N186">
        <v>371000</v>
      </c>
      <c r="O186">
        <v>512000</v>
      </c>
    </row>
    <row r="187" spans="1:15" x14ac:dyDescent="0.35">
      <c r="A187" t="s">
        <v>276</v>
      </c>
      <c r="B187">
        <v>407183.33333333331</v>
      </c>
      <c r="C187" t="s">
        <v>326</v>
      </c>
      <c r="D187" s="1">
        <v>45619</v>
      </c>
      <c r="E187" t="s">
        <v>41</v>
      </c>
      <c r="F187" t="s">
        <v>42</v>
      </c>
      <c r="G187" t="s">
        <v>327</v>
      </c>
      <c r="H187" t="s">
        <v>23</v>
      </c>
      <c r="I187" t="s">
        <v>275</v>
      </c>
      <c r="J187" t="s">
        <v>20</v>
      </c>
      <c r="K187">
        <v>1</v>
      </c>
      <c r="L187">
        <v>403000</v>
      </c>
      <c r="M187">
        <v>0</v>
      </c>
      <c r="N187">
        <v>291000</v>
      </c>
      <c r="O187">
        <v>403000</v>
      </c>
    </row>
    <row r="188" spans="1:15" x14ac:dyDescent="0.35">
      <c r="A188" t="s">
        <v>276</v>
      </c>
      <c r="B188">
        <v>407183.33333333331</v>
      </c>
      <c r="C188" t="s">
        <v>328</v>
      </c>
      <c r="D188" s="1">
        <v>45688</v>
      </c>
      <c r="E188" t="s">
        <v>14</v>
      </c>
      <c r="F188" t="s">
        <v>15</v>
      </c>
      <c r="G188" t="s">
        <v>329</v>
      </c>
      <c r="H188" t="s">
        <v>28</v>
      </c>
      <c r="I188" t="s">
        <v>275</v>
      </c>
      <c r="J188" t="s">
        <v>20</v>
      </c>
      <c r="K188">
        <v>1</v>
      </c>
      <c r="L188">
        <v>405000</v>
      </c>
      <c r="M188">
        <v>0</v>
      </c>
      <c r="N188">
        <v>302000</v>
      </c>
      <c r="O188">
        <v>405000</v>
      </c>
    </row>
    <row r="189" spans="1:15" x14ac:dyDescent="0.35">
      <c r="A189" t="s">
        <v>276</v>
      </c>
      <c r="B189">
        <v>407183.33333333331</v>
      </c>
      <c r="C189" t="s">
        <v>330</v>
      </c>
      <c r="D189" s="1">
        <v>45689</v>
      </c>
      <c r="E189" t="s">
        <v>41</v>
      </c>
      <c r="F189" t="s">
        <v>42</v>
      </c>
      <c r="G189" t="s">
        <v>97</v>
      </c>
      <c r="H189" t="s">
        <v>23</v>
      </c>
      <c r="I189" t="s">
        <v>275</v>
      </c>
      <c r="J189" t="s">
        <v>20</v>
      </c>
      <c r="K189">
        <v>2</v>
      </c>
      <c r="L189">
        <v>517000</v>
      </c>
      <c r="M189">
        <v>0</v>
      </c>
      <c r="N189">
        <v>369000</v>
      </c>
      <c r="O189">
        <v>517000</v>
      </c>
    </row>
    <row r="190" spans="1:15" x14ac:dyDescent="0.35">
      <c r="A190" t="s">
        <v>276</v>
      </c>
      <c r="B190">
        <v>407183.33333333331</v>
      </c>
      <c r="C190" t="s">
        <v>331</v>
      </c>
      <c r="D190" s="1">
        <v>45742</v>
      </c>
      <c r="E190" t="s">
        <v>14</v>
      </c>
      <c r="F190" t="s">
        <v>15</v>
      </c>
      <c r="G190" t="s">
        <v>132</v>
      </c>
      <c r="H190" t="s">
        <v>28</v>
      </c>
      <c r="I190" t="s">
        <v>275</v>
      </c>
      <c r="J190" t="s">
        <v>20</v>
      </c>
      <c r="K190">
        <v>2</v>
      </c>
      <c r="L190">
        <v>519000</v>
      </c>
      <c r="M190">
        <v>0</v>
      </c>
      <c r="N190">
        <v>388000</v>
      </c>
      <c r="O190">
        <v>519000</v>
      </c>
    </row>
    <row r="191" spans="1:15" x14ac:dyDescent="0.35">
      <c r="A191" t="s">
        <v>276</v>
      </c>
      <c r="B191">
        <v>407183.33333333331</v>
      </c>
      <c r="C191" t="s">
        <v>332</v>
      </c>
      <c r="D191" s="1">
        <v>45748</v>
      </c>
      <c r="E191" t="s">
        <v>41</v>
      </c>
      <c r="F191" t="s">
        <v>42</v>
      </c>
      <c r="G191" t="s">
        <v>333</v>
      </c>
      <c r="H191" t="s">
        <v>17</v>
      </c>
      <c r="I191" t="s">
        <v>275</v>
      </c>
      <c r="J191" t="s">
        <v>20</v>
      </c>
      <c r="K191">
        <v>1</v>
      </c>
      <c r="L191">
        <v>377000</v>
      </c>
      <c r="M191">
        <v>0.15</v>
      </c>
      <c r="N191">
        <v>274000</v>
      </c>
      <c r="O191">
        <v>377000</v>
      </c>
    </row>
    <row r="192" spans="1:15" x14ac:dyDescent="0.35">
      <c r="A192" t="s">
        <v>276</v>
      </c>
      <c r="B192">
        <v>407183.33333333331</v>
      </c>
      <c r="C192" t="s">
        <v>334</v>
      </c>
      <c r="D192" s="1">
        <v>45749</v>
      </c>
      <c r="E192" t="s">
        <v>14</v>
      </c>
      <c r="F192" t="s">
        <v>15</v>
      </c>
      <c r="G192" t="s">
        <v>335</v>
      </c>
      <c r="H192" t="s">
        <v>23</v>
      </c>
      <c r="I192" t="s">
        <v>275</v>
      </c>
      <c r="J192" t="s">
        <v>20</v>
      </c>
      <c r="K192">
        <v>1</v>
      </c>
      <c r="L192">
        <v>512000</v>
      </c>
      <c r="M192">
        <v>0</v>
      </c>
      <c r="N192">
        <v>368000</v>
      </c>
      <c r="O192">
        <v>512000</v>
      </c>
    </row>
    <row r="193" spans="1:15" x14ac:dyDescent="0.35">
      <c r="A193" t="s">
        <v>276</v>
      </c>
      <c r="B193">
        <v>407183.33333333331</v>
      </c>
      <c r="C193" t="s">
        <v>336</v>
      </c>
      <c r="D193" s="1">
        <v>45785</v>
      </c>
      <c r="E193" t="s">
        <v>14</v>
      </c>
      <c r="F193" t="s">
        <v>15</v>
      </c>
      <c r="G193" t="s">
        <v>337</v>
      </c>
      <c r="H193" t="s">
        <v>23</v>
      </c>
      <c r="I193" t="s">
        <v>275</v>
      </c>
      <c r="J193" t="s">
        <v>20</v>
      </c>
      <c r="K193">
        <v>1</v>
      </c>
      <c r="L193">
        <v>534000</v>
      </c>
      <c r="M193">
        <v>0</v>
      </c>
      <c r="N193">
        <v>384000</v>
      </c>
      <c r="O193">
        <v>534000</v>
      </c>
    </row>
    <row r="194" spans="1:15" x14ac:dyDescent="0.35">
      <c r="A194" t="s">
        <v>276</v>
      </c>
      <c r="B194">
        <v>407183.33333333331</v>
      </c>
      <c r="C194" t="s">
        <v>338</v>
      </c>
      <c r="D194" s="1">
        <v>45798</v>
      </c>
      <c r="E194" t="s">
        <v>14</v>
      </c>
      <c r="F194" t="s">
        <v>15</v>
      </c>
      <c r="G194" t="s">
        <v>95</v>
      </c>
      <c r="H194" t="s">
        <v>23</v>
      </c>
      <c r="I194" t="s">
        <v>275</v>
      </c>
      <c r="J194" t="s">
        <v>20</v>
      </c>
      <c r="K194">
        <v>1</v>
      </c>
      <c r="L194">
        <v>407183.33333333331</v>
      </c>
      <c r="M194">
        <v>0.05</v>
      </c>
      <c r="N194">
        <v>0</v>
      </c>
      <c r="O194">
        <v>407183.33333333331</v>
      </c>
    </row>
    <row r="195" spans="1:15" x14ac:dyDescent="0.35">
      <c r="A195" t="s">
        <v>276</v>
      </c>
      <c r="B195">
        <v>407183.33333333331</v>
      </c>
      <c r="C195" t="s">
        <v>339</v>
      </c>
      <c r="D195" s="1">
        <v>45805</v>
      </c>
      <c r="E195" t="s">
        <v>41</v>
      </c>
      <c r="F195" t="s">
        <v>42</v>
      </c>
      <c r="G195" t="s">
        <v>340</v>
      </c>
      <c r="H195" t="s">
        <v>23</v>
      </c>
      <c r="I195" t="s">
        <v>275</v>
      </c>
      <c r="J195" t="s">
        <v>20</v>
      </c>
      <c r="K195">
        <v>1</v>
      </c>
      <c r="L195">
        <v>342000</v>
      </c>
      <c r="M195">
        <v>0</v>
      </c>
      <c r="N195">
        <v>246000</v>
      </c>
      <c r="O195">
        <v>342000</v>
      </c>
    </row>
    <row r="196" spans="1:15" x14ac:dyDescent="0.35">
      <c r="A196" t="s">
        <v>276</v>
      </c>
      <c r="B196">
        <v>407183.33333333331</v>
      </c>
      <c r="C196" t="s">
        <v>341</v>
      </c>
      <c r="D196" s="1">
        <v>45823</v>
      </c>
      <c r="E196" t="s">
        <v>41</v>
      </c>
      <c r="F196" t="s">
        <v>42</v>
      </c>
      <c r="G196" t="s">
        <v>201</v>
      </c>
      <c r="H196" t="s">
        <v>58</v>
      </c>
      <c r="I196" t="s">
        <v>275</v>
      </c>
      <c r="J196" t="s">
        <v>20</v>
      </c>
      <c r="K196">
        <v>3</v>
      </c>
      <c r="L196">
        <v>510000</v>
      </c>
      <c r="M196">
        <v>0</v>
      </c>
      <c r="N196">
        <v>380000</v>
      </c>
      <c r="O196">
        <v>510000</v>
      </c>
    </row>
    <row r="197" spans="1:15" x14ac:dyDescent="0.35">
      <c r="A197" t="s">
        <v>276</v>
      </c>
      <c r="B197">
        <v>407183.33333333331</v>
      </c>
      <c r="C197" t="s">
        <v>342</v>
      </c>
      <c r="D197" s="1">
        <v>45833</v>
      </c>
      <c r="E197" t="s">
        <v>14</v>
      </c>
      <c r="F197" t="s">
        <v>15</v>
      </c>
      <c r="G197" t="s">
        <v>91</v>
      </c>
      <c r="H197" t="s">
        <v>23</v>
      </c>
      <c r="I197" t="s">
        <v>275</v>
      </c>
      <c r="J197" t="s">
        <v>20</v>
      </c>
      <c r="K197">
        <v>1</v>
      </c>
      <c r="L197">
        <v>477000</v>
      </c>
      <c r="M197">
        <v>0</v>
      </c>
      <c r="N197">
        <v>342000</v>
      </c>
      <c r="O197">
        <v>477000</v>
      </c>
    </row>
    <row r="198" spans="1:15" x14ac:dyDescent="0.35">
      <c r="A198" t="s">
        <v>276</v>
      </c>
      <c r="B198">
        <v>407183.33333333331</v>
      </c>
      <c r="C198" t="s">
        <v>343</v>
      </c>
      <c r="D198" s="1">
        <v>45835</v>
      </c>
      <c r="E198" t="s">
        <v>49</v>
      </c>
      <c r="F198" t="s">
        <v>50</v>
      </c>
      <c r="G198" t="s">
        <v>91</v>
      </c>
      <c r="H198" t="s">
        <v>23</v>
      </c>
      <c r="I198" t="s">
        <v>275</v>
      </c>
      <c r="J198" t="s">
        <v>20</v>
      </c>
      <c r="K198">
        <v>5</v>
      </c>
      <c r="L198">
        <v>305000</v>
      </c>
      <c r="M198">
        <v>0</v>
      </c>
      <c r="N198">
        <v>223000</v>
      </c>
      <c r="O198">
        <v>305000</v>
      </c>
    </row>
    <row r="199" spans="1:15" x14ac:dyDescent="0.35">
      <c r="A199" t="s">
        <v>276</v>
      </c>
      <c r="B199">
        <v>407183.33333333331</v>
      </c>
      <c r="C199" t="s">
        <v>344</v>
      </c>
      <c r="D199" s="1">
        <v>45877</v>
      </c>
      <c r="E199" t="s">
        <v>49</v>
      </c>
      <c r="F199" t="s">
        <v>50</v>
      </c>
      <c r="G199" t="s">
        <v>71</v>
      </c>
      <c r="H199" t="s">
        <v>23</v>
      </c>
      <c r="I199" t="s">
        <v>275</v>
      </c>
      <c r="J199" t="s">
        <v>20</v>
      </c>
      <c r="K199">
        <v>2</v>
      </c>
      <c r="L199">
        <v>456000</v>
      </c>
      <c r="M199">
        <v>0</v>
      </c>
      <c r="N199">
        <v>342000</v>
      </c>
      <c r="O199">
        <v>456000</v>
      </c>
    </row>
    <row r="200" spans="1:15" x14ac:dyDescent="0.35">
      <c r="A200" t="s">
        <v>276</v>
      </c>
      <c r="B200">
        <v>407183.33333333331</v>
      </c>
      <c r="C200" t="s">
        <v>345</v>
      </c>
      <c r="D200" s="1">
        <v>45899</v>
      </c>
      <c r="E200" t="s">
        <v>25</v>
      </c>
      <c r="F200" t="s">
        <v>26</v>
      </c>
      <c r="G200" t="s">
        <v>83</v>
      </c>
      <c r="H200" t="s">
        <v>23</v>
      </c>
      <c r="I200" t="s">
        <v>275</v>
      </c>
      <c r="J200" t="s">
        <v>20</v>
      </c>
      <c r="K200">
        <v>1</v>
      </c>
      <c r="L200">
        <v>372000</v>
      </c>
      <c r="M200">
        <v>0</v>
      </c>
      <c r="N200">
        <v>266000</v>
      </c>
      <c r="O200">
        <v>372000</v>
      </c>
    </row>
    <row r="201" spans="1:15" x14ac:dyDescent="0.35">
      <c r="A201" t="s">
        <v>276</v>
      </c>
      <c r="B201">
        <v>407183.33333333331</v>
      </c>
      <c r="C201" t="s">
        <v>346</v>
      </c>
      <c r="D201" s="1">
        <v>45907</v>
      </c>
      <c r="E201" t="s">
        <v>49</v>
      </c>
      <c r="F201" t="s">
        <v>50</v>
      </c>
      <c r="G201" t="s">
        <v>262</v>
      </c>
      <c r="H201" t="s">
        <v>23</v>
      </c>
      <c r="I201" t="s">
        <v>275</v>
      </c>
      <c r="J201" t="s">
        <v>20</v>
      </c>
      <c r="K201">
        <v>1</v>
      </c>
      <c r="L201">
        <v>377000</v>
      </c>
      <c r="M201">
        <v>0</v>
      </c>
      <c r="N201">
        <v>271000</v>
      </c>
      <c r="O201">
        <v>377000</v>
      </c>
    </row>
    <row r="202" spans="1:15" x14ac:dyDescent="0.35">
      <c r="A202" t="s">
        <v>276</v>
      </c>
      <c r="B202">
        <v>407183.33333333331</v>
      </c>
      <c r="C202" t="s">
        <v>347</v>
      </c>
      <c r="D202" s="1">
        <v>45912</v>
      </c>
      <c r="E202" t="s">
        <v>14</v>
      </c>
      <c r="F202" t="s">
        <v>15</v>
      </c>
      <c r="G202" t="s">
        <v>99</v>
      </c>
      <c r="H202" t="s">
        <v>23</v>
      </c>
      <c r="I202" t="s">
        <v>275</v>
      </c>
      <c r="J202" t="s">
        <v>20</v>
      </c>
      <c r="K202">
        <v>1</v>
      </c>
      <c r="L202">
        <v>441000</v>
      </c>
      <c r="M202">
        <v>0</v>
      </c>
      <c r="N202">
        <v>317000</v>
      </c>
      <c r="O202">
        <v>441000</v>
      </c>
    </row>
    <row r="203" spans="1:15" x14ac:dyDescent="0.35">
      <c r="A203" t="s">
        <v>276</v>
      </c>
      <c r="B203">
        <v>407183.33333333331</v>
      </c>
      <c r="C203" t="s">
        <v>348</v>
      </c>
      <c r="D203" s="1">
        <v>45918</v>
      </c>
      <c r="E203" t="s">
        <v>14</v>
      </c>
      <c r="F203" t="s">
        <v>15</v>
      </c>
      <c r="G203" t="s">
        <v>349</v>
      </c>
      <c r="H203" t="s">
        <v>23</v>
      </c>
      <c r="I203" t="s">
        <v>275</v>
      </c>
      <c r="J203" t="s">
        <v>20</v>
      </c>
      <c r="K203">
        <v>2</v>
      </c>
      <c r="L203">
        <v>465000</v>
      </c>
      <c r="M203">
        <v>0</v>
      </c>
      <c r="N203">
        <v>331000</v>
      </c>
      <c r="O203">
        <v>465000</v>
      </c>
    </row>
    <row r="204" spans="1:15" x14ac:dyDescent="0.35">
      <c r="A204" t="s">
        <v>276</v>
      </c>
      <c r="B204">
        <v>407183.33333333331</v>
      </c>
      <c r="C204" t="s">
        <v>350</v>
      </c>
      <c r="D204" s="1">
        <v>45935</v>
      </c>
      <c r="E204" t="s">
        <v>41</v>
      </c>
      <c r="F204" t="s">
        <v>42</v>
      </c>
      <c r="G204" t="s">
        <v>43</v>
      </c>
      <c r="H204" t="s">
        <v>17</v>
      </c>
      <c r="I204" t="s">
        <v>275</v>
      </c>
      <c r="J204" t="s">
        <v>20</v>
      </c>
      <c r="K204">
        <v>2</v>
      </c>
      <c r="L204">
        <v>412000</v>
      </c>
      <c r="M204">
        <v>0</v>
      </c>
      <c r="N204">
        <v>294000</v>
      </c>
      <c r="O204">
        <v>412000</v>
      </c>
    </row>
    <row r="205" spans="1:15" x14ac:dyDescent="0.35">
      <c r="A205" t="s">
        <v>276</v>
      </c>
      <c r="B205">
        <v>407183.33333333331</v>
      </c>
      <c r="C205" t="s">
        <v>351</v>
      </c>
      <c r="D205" s="1">
        <v>45936</v>
      </c>
      <c r="E205" t="s">
        <v>36</v>
      </c>
      <c r="F205" t="s">
        <v>37</v>
      </c>
      <c r="G205" t="s">
        <v>352</v>
      </c>
      <c r="H205" t="s">
        <v>23</v>
      </c>
      <c r="I205" t="s">
        <v>275</v>
      </c>
      <c r="J205" t="s">
        <v>20</v>
      </c>
      <c r="K205">
        <v>1</v>
      </c>
      <c r="L205">
        <v>334000</v>
      </c>
      <c r="M205">
        <v>0</v>
      </c>
      <c r="N205">
        <v>246000</v>
      </c>
      <c r="O205">
        <v>334000</v>
      </c>
    </row>
    <row r="206" spans="1:15" x14ac:dyDescent="0.35">
      <c r="A206" t="s">
        <v>276</v>
      </c>
      <c r="B206">
        <v>407183.33333333331</v>
      </c>
      <c r="C206" t="s">
        <v>353</v>
      </c>
      <c r="D206" s="1">
        <v>46066</v>
      </c>
      <c r="E206" t="s">
        <v>49</v>
      </c>
      <c r="F206" t="s">
        <v>50</v>
      </c>
      <c r="G206" t="s">
        <v>242</v>
      </c>
      <c r="H206" t="s">
        <v>17</v>
      </c>
      <c r="I206" t="s">
        <v>275</v>
      </c>
      <c r="J206" t="s">
        <v>20</v>
      </c>
      <c r="K206">
        <v>1</v>
      </c>
      <c r="L206">
        <v>269000</v>
      </c>
      <c r="M206">
        <v>0</v>
      </c>
      <c r="N206">
        <v>196000</v>
      </c>
      <c r="O206">
        <v>269000</v>
      </c>
    </row>
    <row r="207" spans="1:15" x14ac:dyDescent="0.35">
      <c r="A207" t="s">
        <v>276</v>
      </c>
      <c r="B207">
        <v>407183.33333333331</v>
      </c>
      <c r="C207" t="s">
        <v>354</v>
      </c>
      <c r="D207" s="1">
        <v>46068</v>
      </c>
      <c r="E207" t="s">
        <v>41</v>
      </c>
      <c r="F207" t="s">
        <v>42</v>
      </c>
      <c r="G207" t="s">
        <v>108</v>
      </c>
      <c r="H207" t="s">
        <v>23</v>
      </c>
      <c r="I207" t="s">
        <v>275</v>
      </c>
      <c r="J207" t="s">
        <v>20</v>
      </c>
      <c r="K207">
        <v>2</v>
      </c>
      <c r="L207">
        <v>407183.33333333331</v>
      </c>
      <c r="M207">
        <v>0</v>
      </c>
      <c r="N207">
        <v>256000</v>
      </c>
      <c r="O207">
        <v>407183.33333333331</v>
      </c>
    </row>
    <row r="208" spans="1:15" x14ac:dyDescent="0.35">
      <c r="A208" t="s">
        <v>276</v>
      </c>
      <c r="B208">
        <v>407183.33333333331</v>
      </c>
      <c r="C208" t="s">
        <v>355</v>
      </c>
      <c r="D208" s="1">
        <v>46068</v>
      </c>
      <c r="E208" t="s">
        <v>49</v>
      </c>
      <c r="F208" t="s">
        <v>50</v>
      </c>
      <c r="G208" t="s">
        <v>193</v>
      </c>
      <c r="H208" t="s">
        <v>23</v>
      </c>
      <c r="I208" t="s">
        <v>275</v>
      </c>
      <c r="J208" t="s">
        <v>20</v>
      </c>
      <c r="K208">
        <v>1</v>
      </c>
      <c r="L208">
        <v>441000</v>
      </c>
      <c r="M208">
        <v>0</v>
      </c>
      <c r="N208">
        <v>316000</v>
      </c>
      <c r="O208">
        <v>441000</v>
      </c>
    </row>
    <row r="209" spans="1:15" x14ac:dyDescent="0.35">
      <c r="A209" t="s">
        <v>276</v>
      </c>
      <c r="B209">
        <v>407183.33333333331</v>
      </c>
      <c r="C209" t="s">
        <v>356</v>
      </c>
      <c r="D209" s="1">
        <v>46167</v>
      </c>
      <c r="E209" t="s">
        <v>36</v>
      </c>
      <c r="F209" t="s">
        <v>37</v>
      </c>
      <c r="G209" t="s">
        <v>168</v>
      </c>
      <c r="H209" t="s">
        <v>23</v>
      </c>
      <c r="I209" t="s">
        <v>275</v>
      </c>
      <c r="J209" t="s">
        <v>20</v>
      </c>
      <c r="K209">
        <v>1</v>
      </c>
      <c r="L209">
        <v>552000</v>
      </c>
      <c r="M209">
        <v>0</v>
      </c>
      <c r="N209">
        <v>407000</v>
      </c>
      <c r="O209">
        <v>552000</v>
      </c>
    </row>
    <row r="210" spans="1:15" x14ac:dyDescent="0.35">
      <c r="A210" t="s">
        <v>276</v>
      </c>
      <c r="B210">
        <v>407183.33333333331</v>
      </c>
      <c r="C210" t="s">
        <v>357</v>
      </c>
      <c r="D210" s="1">
        <v>46168</v>
      </c>
      <c r="E210" t="s">
        <v>14</v>
      </c>
      <c r="F210" t="s">
        <v>15</v>
      </c>
      <c r="G210" t="s">
        <v>47</v>
      </c>
      <c r="H210" t="s">
        <v>23</v>
      </c>
      <c r="I210" t="s">
        <v>275</v>
      </c>
      <c r="J210" t="s">
        <v>20</v>
      </c>
      <c r="K210">
        <v>1</v>
      </c>
      <c r="L210">
        <v>573000</v>
      </c>
      <c r="M210">
        <v>0</v>
      </c>
      <c r="N210">
        <v>415000</v>
      </c>
      <c r="O210">
        <v>573000</v>
      </c>
    </row>
    <row r="211" spans="1:15" x14ac:dyDescent="0.35">
      <c r="A211" t="s">
        <v>276</v>
      </c>
      <c r="B211">
        <v>407183.33333333331</v>
      </c>
      <c r="C211" t="s">
        <v>358</v>
      </c>
      <c r="D211" s="1">
        <v>46170</v>
      </c>
      <c r="E211" t="s">
        <v>36</v>
      </c>
      <c r="F211" t="s">
        <v>37</v>
      </c>
      <c r="G211" t="s">
        <v>359</v>
      </c>
      <c r="H211" t="s">
        <v>23</v>
      </c>
      <c r="I211" t="s">
        <v>275</v>
      </c>
      <c r="J211" t="s">
        <v>20</v>
      </c>
      <c r="K211">
        <v>1</v>
      </c>
      <c r="L211">
        <v>517000</v>
      </c>
      <c r="M211">
        <v>0</v>
      </c>
      <c r="N211">
        <v>374000</v>
      </c>
      <c r="O211">
        <v>517000</v>
      </c>
    </row>
    <row r="212" spans="1:15" x14ac:dyDescent="0.35">
      <c r="A212" t="s">
        <v>362</v>
      </c>
      <c r="B212">
        <v>489024.69135802466</v>
      </c>
      <c r="C212" t="s">
        <v>360</v>
      </c>
      <c r="D212" s="1">
        <v>44929</v>
      </c>
      <c r="E212" t="s">
        <v>41</v>
      </c>
      <c r="F212" t="s">
        <v>42</v>
      </c>
      <c r="G212" t="s">
        <v>301</v>
      </c>
      <c r="H212" t="s">
        <v>28</v>
      </c>
      <c r="I212" t="s">
        <v>361</v>
      </c>
      <c r="J212" t="s">
        <v>363</v>
      </c>
      <c r="K212">
        <v>1</v>
      </c>
      <c r="L212">
        <v>322000</v>
      </c>
      <c r="M212">
        <v>0</v>
      </c>
      <c r="N212">
        <v>229000</v>
      </c>
      <c r="O212">
        <v>322000</v>
      </c>
    </row>
    <row r="213" spans="1:15" x14ac:dyDescent="0.35">
      <c r="A213" t="s">
        <v>362</v>
      </c>
      <c r="B213">
        <v>489024.69135802466</v>
      </c>
      <c r="C213" t="s">
        <v>364</v>
      </c>
      <c r="D213" s="1">
        <v>44930</v>
      </c>
      <c r="E213" t="s">
        <v>49</v>
      </c>
      <c r="F213" t="s">
        <v>50</v>
      </c>
      <c r="G213" t="s">
        <v>329</v>
      </c>
      <c r="H213" t="s">
        <v>28</v>
      </c>
      <c r="I213" t="s">
        <v>361</v>
      </c>
      <c r="J213" t="s">
        <v>363</v>
      </c>
      <c r="K213">
        <v>1</v>
      </c>
      <c r="L213">
        <v>318000</v>
      </c>
      <c r="M213">
        <v>0</v>
      </c>
      <c r="N213">
        <v>229000</v>
      </c>
      <c r="O213">
        <v>318000</v>
      </c>
    </row>
    <row r="214" spans="1:15" x14ac:dyDescent="0.35">
      <c r="A214" t="s">
        <v>362</v>
      </c>
      <c r="B214">
        <v>489024.69135802466</v>
      </c>
      <c r="C214" t="s">
        <v>365</v>
      </c>
      <c r="D214" s="1">
        <v>44931</v>
      </c>
      <c r="E214" t="s">
        <v>41</v>
      </c>
      <c r="F214" t="s">
        <v>42</v>
      </c>
      <c r="G214" t="s">
        <v>366</v>
      </c>
      <c r="H214" t="s">
        <v>58</v>
      </c>
      <c r="I214" t="s">
        <v>361</v>
      </c>
      <c r="J214" t="s">
        <v>363</v>
      </c>
      <c r="K214">
        <v>1</v>
      </c>
      <c r="L214">
        <v>520000</v>
      </c>
      <c r="M214">
        <v>0</v>
      </c>
      <c r="N214">
        <v>365000</v>
      </c>
      <c r="O214">
        <v>520000</v>
      </c>
    </row>
    <row r="215" spans="1:15" x14ac:dyDescent="0.35">
      <c r="A215" t="s">
        <v>362</v>
      </c>
      <c r="B215">
        <v>489024.69135802466</v>
      </c>
      <c r="C215" t="s">
        <v>367</v>
      </c>
      <c r="D215" s="1">
        <v>44938</v>
      </c>
      <c r="E215" t="s">
        <v>14</v>
      </c>
      <c r="F215" t="s">
        <v>15</v>
      </c>
      <c r="G215" t="s">
        <v>368</v>
      </c>
      <c r="H215" t="s">
        <v>23</v>
      </c>
      <c r="I215" t="s">
        <v>361</v>
      </c>
      <c r="J215" t="s">
        <v>363</v>
      </c>
      <c r="K215">
        <v>1</v>
      </c>
      <c r="L215">
        <v>489024.69135802472</v>
      </c>
      <c r="M215">
        <v>0</v>
      </c>
      <c r="N215">
        <v>324000</v>
      </c>
      <c r="O215">
        <v>489024.69135802472</v>
      </c>
    </row>
    <row r="216" spans="1:15" x14ac:dyDescent="0.35">
      <c r="A216" t="s">
        <v>362</v>
      </c>
      <c r="B216">
        <v>489024.69135802466</v>
      </c>
      <c r="C216" t="s">
        <v>369</v>
      </c>
      <c r="D216" s="1">
        <v>44984</v>
      </c>
      <c r="E216" t="s">
        <v>14</v>
      </c>
      <c r="F216" t="s">
        <v>15</v>
      </c>
      <c r="G216" t="s">
        <v>309</v>
      </c>
      <c r="H216" t="s">
        <v>23</v>
      </c>
      <c r="I216" t="s">
        <v>361</v>
      </c>
      <c r="J216" t="s">
        <v>363</v>
      </c>
      <c r="K216">
        <v>1</v>
      </c>
      <c r="L216">
        <v>381000</v>
      </c>
      <c r="M216">
        <v>0</v>
      </c>
      <c r="N216">
        <v>279000</v>
      </c>
      <c r="O216">
        <v>381000</v>
      </c>
    </row>
    <row r="217" spans="1:15" x14ac:dyDescent="0.35">
      <c r="A217" t="s">
        <v>362</v>
      </c>
      <c r="B217">
        <v>489024.69135802466</v>
      </c>
      <c r="C217" t="s">
        <v>370</v>
      </c>
      <c r="D217" s="1">
        <v>45060</v>
      </c>
      <c r="E217" t="s">
        <v>14</v>
      </c>
      <c r="F217" t="s">
        <v>15</v>
      </c>
      <c r="G217" t="s">
        <v>99</v>
      </c>
      <c r="H217" t="s">
        <v>23</v>
      </c>
      <c r="I217" t="s">
        <v>361</v>
      </c>
      <c r="J217" t="s">
        <v>363</v>
      </c>
      <c r="K217">
        <v>1</v>
      </c>
      <c r="L217">
        <v>410000</v>
      </c>
      <c r="M217">
        <v>0</v>
      </c>
      <c r="N217">
        <v>302000</v>
      </c>
      <c r="O217">
        <v>410000</v>
      </c>
    </row>
    <row r="218" spans="1:15" x14ac:dyDescent="0.35">
      <c r="A218" t="s">
        <v>362</v>
      </c>
      <c r="B218">
        <v>489024.69135802466</v>
      </c>
      <c r="C218" t="s">
        <v>371</v>
      </c>
      <c r="D218" s="1">
        <v>45078</v>
      </c>
      <c r="E218" t="s">
        <v>14</v>
      </c>
      <c r="F218" t="s">
        <v>15</v>
      </c>
      <c r="G218" t="s">
        <v>141</v>
      </c>
      <c r="H218" t="s">
        <v>17</v>
      </c>
      <c r="I218" t="s">
        <v>361</v>
      </c>
      <c r="J218" t="s">
        <v>363</v>
      </c>
      <c r="K218">
        <v>1</v>
      </c>
      <c r="L218">
        <v>586000</v>
      </c>
      <c r="M218">
        <v>0</v>
      </c>
      <c r="N218">
        <v>430000</v>
      </c>
      <c r="O218">
        <v>586000</v>
      </c>
    </row>
    <row r="219" spans="1:15" x14ac:dyDescent="0.35">
      <c r="A219" t="s">
        <v>362</v>
      </c>
      <c r="B219">
        <v>489024.69135802466</v>
      </c>
      <c r="C219" t="s">
        <v>372</v>
      </c>
      <c r="D219" s="1">
        <v>45117</v>
      </c>
      <c r="E219" t="s">
        <v>36</v>
      </c>
      <c r="F219" t="s">
        <v>37</v>
      </c>
      <c r="G219" t="s">
        <v>373</v>
      </c>
      <c r="H219" t="s">
        <v>23</v>
      </c>
      <c r="I219" t="s">
        <v>361</v>
      </c>
      <c r="J219" t="s">
        <v>363</v>
      </c>
      <c r="K219">
        <v>1</v>
      </c>
      <c r="L219">
        <v>528000</v>
      </c>
      <c r="M219">
        <v>0.1</v>
      </c>
      <c r="N219">
        <v>386000</v>
      </c>
      <c r="O219">
        <v>528000</v>
      </c>
    </row>
    <row r="220" spans="1:15" x14ac:dyDescent="0.35">
      <c r="A220" t="s">
        <v>362</v>
      </c>
      <c r="B220">
        <v>489024.69135802466</v>
      </c>
      <c r="C220" t="s">
        <v>374</v>
      </c>
      <c r="D220" s="1">
        <v>45117</v>
      </c>
      <c r="E220" t="s">
        <v>14</v>
      </c>
      <c r="F220" t="s">
        <v>15</v>
      </c>
      <c r="G220" t="s">
        <v>205</v>
      </c>
      <c r="H220" t="s">
        <v>17</v>
      </c>
      <c r="I220" t="s">
        <v>361</v>
      </c>
      <c r="J220" t="s">
        <v>363</v>
      </c>
      <c r="K220">
        <v>1</v>
      </c>
      <c r="L220">
        <v>346000</v>
      </c>
      <c r="M220">
        <v>0</v>
      </c>
      <c r="N220">
        <v>251000</v>
      </c>
      <c r="O220">
        <v>346000</v>
      </c>
    </row>
    <row r="221" spans="1:15" x14ac:dyDescent="0.35">
      <c r="A221" t="s">
        <v>362</v>
      </c>
      <c r="B221">
        <v>489024.69135802466</v>
      </c>
      <c r="C221" t="s">
        <v>375</v>
      </c>
      <c r="D221" s="1">
        <v>45120</v>
      </c>
      <c r="E221" t="s">
        <v>14</v>
      </c>
      <c r="F221" t="s">
        <v>15</v>
      </c>
      <c r="G221" t="s">
        <v>157</v>
      </c>
      <c r="H221" t="s">
        <v>23</v>
      </c>
      <c r="I221" t="s">
        <v>361</v>
      </c>
      <c r="J221" t="s">
        <v>363</v>
      </c>
      <c r="K221">
        <v>1</v>
      </c>
      <c r="L221">
        <v>454000</v>
      </c>
      <c r="M221">
        <v>0</v>
      </c>
      <c r="N221">
        <v>321000</v>
      </c>
      <c r="O221">
        <v>454000</v>
      </c>
    </row>
    <row r="222" spans="1:15" x14ac:dyDescent="0.35">
      <c r="A222" t="s">
        <v>362</v>
      </c>
      <c r="B222">
        <v>489024.69135802466</v>
      </c>
      <c r="C222" t="s">
        <v>376</v>
      </c>
      <c r="D222" s="1">
        <v>45127</v>
      </c>
      <c r="E222" t="s">
        <v>41</v>
      </c>
      <c r="F222" t="s">
        <v>42</v>
      </c>
      <c r="G222" t="s">
        <v>119</v>
      </c>
      <c r="H222" t="s">
        <v>23</v>
      </c>
      <c r="I222" t="s">
        <v>361</v>
      </c>
      <c r="J222" t="s">
        <v>363</v>
      </c>
      <c r="K222">
        <v>5</v>
      </c>
      <c r="L222">
        <v>518000</v>
      </c>
      <c r="M222">
        <v>0.15</v>
      </c>
      <c r="N222">
        <v>367000</v>
      </c>
      <c r="O222">
        <v>518000</v>
      </c>
    </row>
    <row r="223" spans="1:15" x14ac:dyDescent="0.35">
      <c r="A223" t="s">
        <v>362</v>
      </c>
      <c r="B223">
        <v>489024.69135802466</v>
      </c>
      <c r="C223" t="s">
        <v>377</v>
      </c>
      <c r="D223" s="1">
        <v>45136</v>
      </c>
      <c r="E223" t="s">
        <v>41</v>
      </c>
      <c r="F223" t="s">
        <v>42</v>
      </c>
      <c r="G223" t="s">
        <v>378</v>
      </c>
      <c r="H223" t="s">
        <v>23</v>
      </c>
      <c r="I223" t="s">
        <v>361</v>
      </c>
      <c r="J223" t="s">
        <v>363</v>
      </c>
      <c r="K223">
        <v>1</v>
      </c>
      <c r="L223">
        <v>305000</v>
      </c>
      <c r="M223">
        <v>0.05</v>
      </c>
      <c r="N223">
        <v>222000</v>
      </c>
      <c r="O223">
        <v>305000</v>
      </c>
    </row>
    <row r="224" spans="1:15" x14ac:dyDescent="0.35">
      <c r="A224" t="s">
        <v>362</v>
      </c>
      <c r="B224">
        <v>489024.69135802466</v>
      </c>
      <c r="C224" t="s">
        <v>379</v>
      </c>
      <c r="D224" s="1">
        <v>45151</v>
      </c>
      <c r="E224" t="s">
        <v>14</v>
      </c>
      <c r="F224" t="s">
        <v>15</v>
      </c>
      <c r="G224" t="s">
        <v>95</v>
      </c>
      <c r="H224" t="s">
        <v>23</v>
      </c>
      <c r="I224" t="s">
        <v>361</v>
      </c>
      <c r="J224" t="s">
        <v>363</v>
      </c>
      <c r="K224">
        <v>1</v>
      </c>
      <c r="L224">
        <v>519000</v>
      </c>
      <c r="M224">
        <v>0</v>
      </c>
      <c r="N224">
        <v>366000</v>
      </c>
      <c r="O224">
        <v>519000</v>
      </c>
    </row>
    <row r="225" spans="1:15" x14ac:dyDescent="0.35">
      <c r="A225" t="s">
        <v>362</v>
      </c>
      <c r="B225">
        <v>489024.69135802466</v>
      </c>
      <c r="C225" t="s">
        <v>380</v>
      </c>
      <c r="D225" s="1">
        <v>45151</v>
      </c>
      <c r="E225" t="s">
        <v>14</v>
      </c>
      <c r="F225" t="s">
        <v>15</v>
      </c>
      <c r="G225" t="s">
        <v>179</v>
      </c>
      <c r="H225" t="s">
        <v>23</v>
      </c>
      <c r="I225" t="s">
        <v>361</v>
      </c>
      <c r="J225" t="s">
        <v>363</v>
      </c>
      <c r="K225">
        <v>1</v>
      </c>
      <c r="L225">
        <v>317000</v>
      </c>
      <c r="M225">
        <v>0</v>
      </c>
      <c r="N225">
        <v>225000</v>
      </c>
      <c r="O225">
        <v>317000</v>
      </c>
    </row>
    <row r="226" spans="1:15" x14ac:dyDescent="0.35">
      <c r="A226" t="s">
        <v>362</v>
      </c>
      <c r="B226">
        <v>489024.69135802466</v>
      </c>
      <c r="C226" t="s">
        <v>381</v>
      </c>
      <c r="D226" s="1">
        <v>45179</v>
      </c>
      <c r="E226" t="s">
        <v>41</v>
      </c>
      <c r="F226" t="s">
        <v>42</v>
      </c>
      <c r="G226" t="s">
        <v>212</v>
      </c>
      <c r="H226" t="s">
        <v>28</v>
      </c>
      <c r="I226" t="s">
        <v>361</v>
      </c>
      <c r="J226" t="s">
        <v>363</v>
      </c>
      <c r="K226">
        <v>1</v>
      </c>
      <c r="L226">
        <v>550000</v>
      </c>
      <c r="M226">
        <v>0</v>
      </c>
      <c r="N226">
        <v>390000</v>
      </c>
      <c r="O226">
        <v>550000</v>
      </c>
    </row>
    <row r="227" spans="1:15" x14ac:dyDescent="0.35">
      <c r="A227" t="s">
        <v>362</v>
      </c>
      <c r="B227">
        <v>489024.69135802466</v>
      </c>
      <c r="C227" t="s">
        <v>382</v>
      </c>
      <c r="D227" s="1">
        <v>45190</v>
      </c>
      <c r="E227" t="s">
        <v>14</v>
      </c>
      <c r="F227" t="s">
        <v>15</v>
      </c>
      <c r="G227" t="s">
        <v>230</v>
      </c>
      <c r="H227" t="s">
        <v>23</v>
      </c>
      <c r="I227" t="s">
        <v>361</v>
      </c>
      <c r="J227" t="s">
        <v>363</v>
      </c>
      <c r="K227">
        <v>2</v>
      </c>
      <c r="L227">
        <v>344000</v>
      </c>
      <c r="M227">
        <v>0</v>
      </c>
      <c r="N227">
        <v>242000</v>
      </c>
      <c r="O227">
        <v>344000</v>
      </c>
    </row>
    <row r="228" spans="1:15" x14ac:dyDescent="0.35">
      <c r="A228" t="s">
        <v>362</v>
      </c>
      <c r="B228">
        <v>489024.69135802466</v>
      </c>
      <c r="C228" t="s">
        <v>383</v>
      </c>
      <c r="D228" s="1">
        <v>45197</v>
      </c>
      <c r="E228" t="s">
        <v>14</v>
      </c>
      <c r="F228" t="s">
        <v>15</v>
      </c>
      <c r="G228" t="s">
        <v>384</v>
      </c>
      <c r="H228" t="s">
        <v>23</v>
      </c>
      <c r="I228" t="s">
        <v>361</v>
      </c>
      <c r="J228" t="s">
        <v>363</v>
      </c>
      <c r="K228">
        <v>1</v>
      </c>
      <c r="L228">
        <v>560000</v>
      </c>
      <c r="M228">
        <v>0.1</v>
      </c>
      <c r="N228">
        <v>409000</v>
      </c>
      <c r="O228">
        <v>560000</v>
      </c>
    </row>
    <row r="229" spans="1:15" x14ac:dyDescent="0.35">
      <c r="A229" t="s">
        <v>362</v>
      </c>
      <c r="B229">
        <v>489024.69135802466</v>
      </c>
      <c r="C229" t="s">
        <v>385</v>
      </c>
      <c r="D229" s="1">
        <v>45206</v>
      </c>
      <c r="E229" t="s">
        <v>49</v>
      </c>
      <c r="F229" t="s">
        <v>50</v>
      </c>
      <c r="G229" t="s">
        <v>197</v>
      </c>
      <c r="H229" t="s">
        <v>28</v>
      </c>
      <c r="I229" t="s">
        <v>361</v>
      </c>
      <c r="J229" t="s">
        <v>363</v>
      </c>
      <c r="K229">
        <v>1</v>
      </c>
      <c r="L229">
        <v>543000</v>
      </c>
      <c r="M229">
        <v>0</v>
      </c>
      <c r="N229">
        <v>390000</v>
      </c>
      <c r="O229">
        <v>543000</v>
      </c>
    </row>
    <row r="230" spans="1:15" x14ac:dyDescent="0.35">
      <c r="A230" t="s">
        <v>362</v>
      </c>
      <c r="B230">
        <v>489024.69135802466</v>
      </c>
      <c r="C230" t="s">
        <v>386</v>
      </c>
      <c r="D230" s="1">
        <v>45214</v>
      </c>
      <c r="E230" t="s">
        <v>14</v>
      </c>
      <c r="F230" t="s">
        <v>15</v>
      </c>
      <c r="G230" t="s">
        <v>166</v>
      </c>
      <c r="H230" t="s">
        <v>28</v>
      </c>
      <c r="I230" t="s">
        <v>361</v>
      </c>
      <c r="J230" t="s">
        <v>363</v>
      </c>
      <c r="K230">
        <v>1</v>
      </c>
      <c r="L230">
        <v>556000</v>
      </c>
      <c r="M230">
        <v>0.05</v>
      </c>
      <c r="N230">
        <v>405000</v>
      </c>
      <c r="O230">
        <v>556000</v>
      </c>
    </row>
    <row r="231" spans="1:15" x14ac:dyDescent="0.35">
      <c r="A231" t="s">
        <v>362</v>
      </c>
      <c r="B231">
        <v>489024.69135802466</v>
      </c>
      <c r="C231" t="s">
        <v>387</v>
      </c>
      <c r="D231" s="1">
        <v>45258</v>
      </c>
      <c r="E231" t="s">
        <v>14</v>
      </c>
      <c r="F231" t="s">
        <v>15</v>
      </c>
      <c r="G231" t="s">
        <v>218</v>
      </c>
      <c r="H231" t="s">
        <v>23</v>
      </c>
      <c r="I231" t="s">
        <v>361</v>
      </c>
      <c r="J231" t="s">
        <v>363</v>
      </c>
      <c r="K231">
        <v>1</v>
      </c>
      <c r="L231">
        <v>589000</v>
      </c>
      <c r="M231">
        <v>0</v>
      </c>
      <c r="N231">
        <v>427000</v>
      </c>
      <c r="O231">
        <v>589000</v>
      </c>
    </row>
    <row r="232" spans="1:15" x14ac:dyDescent="0.35">
      <c r="A232" t="s">
        <v>362</v>
      </c>
      <c r="B232">
        <v>489024.69135802466</v>
      </c>
      <c r="C232" t="s">
        <v>388</v>
      </c>
      <c r="D232" s="1">
        <v>45271</v>
      </c>
      <c r="E232" t="s">
        <v>41</v>
      </c>
      <c r="F232" t="s">
        <v>42</v>
      </c>
      <c r="G232" t="s">
        <v>208</v>
      </c>
      <c r="H232" t="s">
        <v>23</v>
      </c>
      <c r="I232" t="s">
        <v>361</v>
      </c>
      <c r="J232" t="s">
        <v>363</v>
      </c>
      <c r="K232">
        <v>1</v>
      </c>
      <c r="L232">
        <v>377000</v>
      </c>
      <c r="M232">
        <v>0</v>
      </c>
      <c r="N232">
        <v>271000</v>
      </c>
      <c r="O232">
        <v>377000</v>
      </c>
    </row>
    <row r="233" spans="1:15" x14ac:dyDescent="0.35">
      <c r="A233" t="s">
        <v>362</v>
      </c>
      <c r="B233">
        <v>489024.69135802466</v>
      </c>
      <c r="C233" t="s">
        <v>389</v>
      </c>
      <c r="D233" s="1">
        <v>45294</v>
      </c>
      <c r="E233" t="s">
        <v>14</v>
      </c>
      <c r="F233" t="s">
        <v>15</v>
      </c>
      <c r="G233" t="s">
        <v>244</v>
      </c>
      <c r="H233" t="s">
        <v>17</v>
      </c>
      <c r="I233" t="s">
        <v>361</v>
      </c>
      <c r="J233" t="s">
        <v>363</v>
      </c>
      <c r="K233">
        <v>1</v>
      </c>
      <c r="L233">
        <v>432000</v>
      </c>
      <c r="M233">
        <v>0.1</v>
      </c>
      <c r="N233">
        <v>312000</v>
      </c>
      <c r="O233">
        <v>432000</v>
      </c>
    </row>
    <row r="234" spans="1:15" x14ac:dyDescent="0.35">
      <c r="A234" t="s">
        <v>362</v>
      </c>
      <c r="B234">
        <v>489024.69135802466</v>
      </c>
      <c r="C234" t="s">
        <v>390</v>
      </c>
      <c r="D234" s="1">
        <v>45308</v>
      </c>
      <c r="E234" t="s">
        <v>14</v>
      </c>
      <c r="F234" t="s">
        <v>15</v>
      </c>
      <c r="G234" t="s">
        <v>205</v>
      </c>
      <c r="H234" t="s">
        <v>17</v>
      </c>
      <c r="I234" t="s">
        <v>361</v>
      </c>
      <c r="J234" t="s">
        <v>363</v>
      </c>
      <c r="K234">
        <v>1</v>
      </c>
      <c r="L234">
        <v>372000</v>
      </c>
      <c r="M234">
        <v>0.1</v>
      </c>
      <c r="N234">
        <v>268000</v>
      </c>
      <c r="O234">
        <v>372000</v>
      </c>
    </row>
    <row r="235" spans="1:15" x14ac:dyDescent="0.35">
      <c r="A235" t="s">
        <v>362</v>
      </c>
      <c r="B235">
        <v>489024.69135802466</v>
      </c>
      <c r="C235" t="s">
        <v>391</v>
      </c>
      <c r="D235" s="1">
        <v>45352</v>
      </c>
      <c r="E235" t="s">
        <v>41</v>
      </c>
      <c r="F235" t="s">
        <v>42</v>
      </c>
      <c r="G235" t="s">
        <v>150</v>
      </c>
      <c r="H235" t="s">
        <v>28</v>
      </c>
      <c r="I235" t="s">
        <v>361</v>
      </c>
      <c r="J235" t="s">
        <v>363</v>
      </c>
      <c r="K235">
        <v>1</v>
      </c>
      <c r="L235">
        <v>580000</v>
      </c>
      <c r="M235">
        <v>0</v>
      </c>
      <c r="N235">
        <v>426000</v>
      </c>
      <c r="O235">
        <v>580000</v>
      </c>
    </row>
    <row r="236" spans="1:15" x14ac:dyDescent="0.35">
      <c r="A236" t="s">
        <v>362</v>
      </c>
      <c r="B236">
        <v>489024.69135802466</v>
      </c>
      <c r="C236" t="s">
        <v>392</v>
      </c>
      <c r="D236" s="1">
        <v>45357</v>
      </c>
      <c r="E236" t="s">
        <v>49</v>
      </c>
      <c r="F236" t="s">
        <v>50</v>
      </c>
      <c r="G236" t="s">
        <v>155</v>
      </c>
      <c r="H236" t="s">
        <v>58</v>
      </c>
      <c r="I236" t="s">
        <v>361</v>
      </c>
      <c r="J236" t="s">
        <v>363</v>
      </c>
      <c r="K236">
        <v>1</v>
      </c>
      <c r="L236">
        <v>427000</v>
      </c>
      <c r="M236">
        <v>0.15</v>
      </c>
      <c r="N236">
        <v>311000</v>
      </c>
      <c r="O236">
        <v>427000</v>
      </c>
    </row>
    <row r="237" spans="1:15" x14ac:dyDescent="0.35">
      <c r="A237" t="s">
        <v>362</v>
      </c>
      <c r="B237">
        <v>489024.69135802466</v>
      </c>
      <c r="C237" t="s">
        <v>393</v>
      </c>
      <c r="D237" s="1">
        <v>45372</v>
      </c>
      <c r="E237" t="s">
        <v>49</v>
      </c>
      <c r="F237" t="s">
        <v>50</v>
      </c>
      <c r="G237" t="s">
        <v>394</v>
      </c>
      <c r="H237" t="s">
        <v>23</v>
      </c>
      <c r="I237" t="s">
        <v>361</v>
      </c>
      <c r="J237" t="s">
        <v>363</v>
      </c>
      <c r="K237">
        <v>1</v>
      </c>
      <c r="L237">
        <v>515000</v>
      </c>
      <c r="M237">
        <v>0</v>
      </c>
      <c r="N237">
        <v>377000</v>
      </c>
      <c r="O237">
        <v>515000</v>
      </c>
    </row>
    <row r="238" spans="1:15" x14ac:dyDescent="0.35">
      <c r="A238" t="s">
        <v>362</v>
      </c>
      <c r="B238">
        <v>489024.69135802466</v>
      </c>
      <c r="C238" t="s">
        <v>395</v>
      </c>
      <c r="D238" s="1">
        <v>45373</v>
      </c>
      <c r="E238" t="s">
        <v>14</v>
      </c>
      <c r="F238" t="s">
        <v>15</v>
      </c>
      <c r="G238" t="s">
        <v>274</v>
      </c>
      <c r="H238" t="s">
        <v>58</v>
      </c>
      <c r="I238" t="s">
        <v>361</v>
      </c>
      <c r="J238" t="s">
        <v>363</v>
      </c>
      <c r="K238">
        <v>1</v>
      </c>
      <c r="L238">
        <v>598000</v>
      </c>
      <c r="M238">
        <v>0</v>
      </c>
      <c r="N238">
        <v>437000</v>
      </c>
      <c r="O238">
        <v>598000</v>
      </c>
    </row>
    <row r="239" spans="1:15" x14ac:dyDescent="0.35">
      <c r="A239" t="s">
        <v>362</v>
      </c>
      <c r="B239">
        <v>489024.69135802466</v>
      </c>
      <c r="C239" t="s">
        <v>396</v>
      </c>
      <c r="D239" s="1">
        <v>45408</v>
      </c>
      <c r="E239" t="s">
        <v>14</v>
      </c>
      <c r="F239" t="s">
        <v>15</v>
      </c>
      <c r="G239" t="s">
        <v>179</v>
      </c>
      <c r="H239" t="s">
        <v>23</v>
      </c>
      <c r="I239" t="s">
        <v>361</v>
      </c>
      <c r="J239" t="s">
        <v>363</v>
      </c>
      <c r="K239">
        <v>2</v>
      </c>
      <c r="L239">
        <v>388000</v>
      </c>
      <c r="M239">
        <v>0</v>
      </c>
      <c r="N239">
        <v>284000</v>
      </c>
      <c r="O239">
        <v>388000</v>
      </c>
    </row>
    <row r="240" spans="1:15" x14ac:dyDescent="0.35">
      <c r="A240" t="s">
        <v>362</v>
      </c>
      <c r="B240">
        <v>489024.69135802466</v>
      </c>
      <c r="C240" t="s">
        <v>397</v>
      </c>
      <c r="D240" s="1">
        <v>45410</v>
      </c>
      <c r="E240" t="s">
        <v>14</v>
      </c>
      <c r="F240" t="s">
        <v>15</v>
      </c>
      <c r="G240" t="s">
        <v>39</v>
      </c>
      <c r="H240" t="s">
        <v>23</v>
      </c>
      <c r="I240" t="s">
        <v>361</v>
      </c>
      <c r="J240" t="s">
        <v>363</v>
      </c>
      <c r="K240">
        <v>1</v>
      </c>
      <c r="L240">
        <v>612000</v>
      </c>
      <c r="M240">
        <v>0.05</v>
      </c>
      <c r="N240">
        <v>450000</v>
      </c>
      <c r="O240">
        <v>612000</v>
      </c>
    </row>
    <row r="241" spans="1:15" x14ac:dyDescent="0.35">
      <c r="A241" t="s">
        <v>362</v>
      </c>
      <c r="B241">
        <v>489024.69135802466</v>
      </c>
      <c r="C241" t="s">
        <v>398</v>
      </c>
      <c r="D241" s="1">
        <v>45424</v>
      </c>
      <c r="E241" t="s">
        <v>14</v>
      </c>
      <c r="F241" t="s">
        <v>15</v>
      </c>
      <c r="G241" t="s">
        <v>315</v>
      </c>
      <c r="H241" t="s">
        <v>23</v>
      </c>
      <c r="I241" t="s">
        <v>361</v>
      </c>
      <c r="J241" t="s">
        <v>363</v>
      </c>
      <c r="K241">
        <v>1</v>
      </c>
      <c r="L241">
        <v>479000</v>
      </c>
      <c r="M241">
        <v>0</v>
      </c>
      <c r="N241">
        <v>343000</v>
      </c>
      <c r="O241">
        <v>479000</v>
      </c>
    </row>
    <row r="242" spans="1:15" x14ac:dyDescent="0.35">
      <c r="A242" t="s">
        <v>362</v>
      </c>
      <c r="B242">
        <v>489024.69135802466</v>
      </c>
      <c r="C242" t="s">
        <v>399</v>
      </c>
      <c r="D242" s="1">
        <v>45424</v>
      </c>
      <c r="E242" t="s">
        <v>49</v>
      </c>
      <c r="F242" t="s">
        <v>50</v>
      </c>
      <c r="G242" t="s">
        <v>146</v>
      </c>
      <c r="H242" t="s">
        <v>17</v>
      </c>
      <c r="I242" t="s">
        <v>361</v>
      </c>
      <c r="J242" t="s">
        <v>363</v>
      </c>
      <c r="K242">
        <v>1</v>
      </c>
      <c r="L242">
        <v>372000</v>
      </c>
      <c r="M242">
        <v>0</v>
      </c>
      <c r="N242">
        <v>265000</v>
      </c>
      <c r="O242">
        <v>372000</v>
      </c>
    </row>
    <row r="243" spans="1:15" x14ac:dyDescent="0.35">
      <c r="A243" t="s">
        <v>362</v>
      </c>
      <c r="B243">
        <v>489024.69135802466</v>
      </c>
      <c r="C243" t="s">
        <v>400</v>
      </c>
      <c r="D243" s="1">
        <v>45450</v>
      </c>
      <c r="E243" t="s">
        <v>14</v>
      </c>
      <c r="F243" t="s">
        <v>15</v>
      </c>
      <c r="G243" t="s">
        <v>359</v>
      </c>
      <c r="H243" t="s">
        <v>23</v>
      </c>
      <c r="I243" t="s">
        <v>361</v>
      </c>
      <c r="J243" t="s">
        <v>363</v>
      </c>
      <c r="K243">
        <v>1</v>
      </c>
      <c r="L243">
        <v>489024.69135802472</v>
      </c>
      <c r="M243">
        <v>0</v>
      </c>
      <c r="N243">
        <v>324000</v>
      </c>
      <c r="O243">
        <v>489024.69135802472</v>
      </c>
    </row>
    <row r="244" spans="1:15" x14ac:dyDescent="0.35">
      <c r="A244" t="s">
        <v>362</v>
      </c>
      <c r="B244">
        <v>489024.69135802466</v>
      </c>
      <c r="C244" t="s">
        <v>401</v>
      </c>
      <c r="D244" s="1">
        <v>45466</v>
      </c>
      <c r="E244" t="s">
        <v>14</v>
      </c>
      <c r="F244" t="s">
        <v>15</v>
      </c>
      <c r="G244" t="s">
        <v>402</v>
      </c>
      <c r="H244" t="s">
        <v>23</v>
      </c>
      <c r="I244" t="s">
        <v>361</v>
      </c>
      <c r="J244" t="s">
        <v>363</v>
      </c>
      <c r="K244">
        <v>2</v>
      </c>
      <c r="L244">
        <v>500000</v>
      </c>
      <c r="M244">
        <v>0</v>
      </c>
      <c r="N244">
        <v>361000</v>
      </c>
      <c r="O244">
        <v>500000</v>
      </c>
    </row>
    <row r="245" spans="1:15" x14ac:dyDescent="0.35">
      <c r="A245" t="s">
        <v>362</v>
      </c>
      <c r="B245">
        <v>489024.69135802466</v>
      </c>
      <c r="C245" t="s">
        <v>403</v>
      </c>
      <c r="D245" s="1">
        <v>45482</v>
      </c>
      <c r="E245" t="s">
        <v>41</v>
      </c>
      <c r="F245" t="s">
        <v>42</v>
      </c>
      <c r="G245" t="s">
        <v>172</v>
      </c>
      <c r="H245" t="s">
        <v>23</v>
      </c>
      <c r="I245" t="s">
        <v>361</v>
      </c>
      <c r="J245" t="s">
        <v>363</v>
      </c>
      <c r="K245">
        <v>1</v>
      </c>
      <c r="L245">
        <v>608000</v>
      </c>
      <c r="M245">
        <v>0</v>
      </c>
      <c r="N245">
        <v>440000</v>
      </c>
      <c r="O245">
        <v>608000</v>
      </c>
    </row>
    <row r="246" spans="1:15" x14ac:dyDescent="0.35">
      <c r="A246" t="s">
        <v>362</v>
      </c>
      <c r="B246">
        <v>489024.69135802466</v>
      </c>
      <c r="C246" t="s">
        <v>404</v>
      </c>
      <c r="D246" s="1">
        <v>45485</v>
      </c>
      <c r="E246" t="s">
        <v>41</v>
      </c>
      <c r="F246" t="s">
        <v>42</v>
      </c>
      <c r="G246" t="s">
        <v>45</v>
      </c>
      <c r="H246" t="s">
        <v>17</v>
      </c>
      <c r="I246" t="s">
        <v>361</v>
      </c>
      <c r="J246" t="s">
        <v>363</v>
      </c>
      <c r="K246">
        <v>1</v>
      </c>
      <c r="L246">
        <v>566000</v>
      </c>
      <c r="M246">
        <v>0</v>
      </c>
      <c r="N246">
        <v>406000</v>
      </c>
      <c r="O246">
        <v>566000</v>
      </c>
    </row>
    <row r="247" spans="1:15" x14ac:dyDescent="0.35">
      <c r="A247" t="s">
        <v>362</v>
      </c>
      <c r="B247">
        <v>489024.69135802466</v>
      </c>
      <c r="C247" t="s">
        <v>405</v>
      </c>
      <c r="D247" s="1">
        <v>45488</v>
      </c>
      <c r="E247" t="s">
        <v>25</v>
      </c>
      <c r="F247" t="s">
        <v>26</v>
      </c>
      <c r="G247" t="s">
        <v>349</v>
      </c>
      <c r="H247" t="s">
        <v>23</v>
      </c>
      <c r="I247" t="s">
        <v>361</v>
      </c>
      <c r="J247" t="s">
        <v>363</v>
      </c>
      <c r="K247">
        <v>1</v>
      </c>
      <c r="L247">
        <v>565000</v>
      </c>
      <c r="M247">
        <v>0</v>
      </c>
      <c r="N247">
        <v>402000</v>
      </c>
      <c r="O247">
        <v>565000</v>
      </c>
    </row>
    <row r="248" spans="1:15" x14ac:dyDescent="0.35">
      <c r="A248" t="s">
        <v>362</v>
      </c>
      <c r="B248">
        <v>489024.69135802466</v>
      </c>
      <c r="C248" t="s">
        <v>406</v>
      </c>
      <c r="D248" s="1">
        <v>45509</v>
      </c>
      <c r="E248" t="s">
        <v>49</v>
      </c>
      <c r="F248" t="s">
        <v>50</v>
      </c>
      <c r="G248" t="s">
        <v>186</v>
      </c>
      <c r="H248" t="s">
        <v>23</v>
      </c>
      <c r="I248" t="s">
        <v>361</v>
      </c>
      <c r="J248" t="s">
        <v>363</v>
      </c>
      <c r="K248">
        <v>5</v>
      </c>
      <c r="L248">
        <v>517000</v>
      </c>
      <c r="M248">
        <v>0</v>
      </c>
      <c r="N248">
        <v>373000</v>
      </c>
      <c r="O248">
        <v>517000</v>
      </c>
    </row>
    <row r="249" spans="1:15" x14ac:dyDescent="0.35">
      <c r="A249" t="s">
        <v>362</v>
      </c>
      <c r="B249">
        <v>489024.69135802466</v>
      </c>
      <c r="C249" t="s">
        <v>407</v>
      </c>
      <c r="D249" s="1">
        <v>45515</v>
      </c>
      <c r="E249" t="s">
        <v>41</v>
      </c>
      <c r="F249" t="s">
        <v>42</v>
      </c>
      <c r="G249" t="s">
        <v>315</v>
      </c>
      <c r="H249" t="s">
        <v>23</v>
      </c>
      <c r="I249" t="s">
        <v>361</v>
      </c>
      <c r="J249" t="s">
        <v>363</v>
      </c>
      <c r="K249">
        <v>2</v>
      </c>
      <c r="L249">
        <v>385000</v>
      </c>
      <c r="M249">
        <v>0</v>
      </c>
      <c r="N249">
        <v>276000</v>
      </c>
      <c r="O249">
        <v>385000</v>
      </c>
    </row>
    <row r="250" spans="1:15" x14ac:dyDescent="0.35">
      <c r="A250" t="s">
        <v>362</v>
      </c>
      <c r="B250">
        <v>489024.69135802466</v>
      </c>
      <c r="C250" t="s">
        <v>408</v>
      </c>
      <c r="D250" s="1">
        <v>45538</v>
      </c>
      <c r="E250" t="s">
        <v>41</v>
      </c>
      <c r="F250" t="s">
        <v>42</v>
      </c>
      <c r="G250" t="s">
        <v>384</v>
      </c>
      <c r="H250" t="s">
        <v>23</v>
      </c>
      <c r="I250" t="s">
        <v>361</v>
      </c>
      <c r="J250" t="s">
        <v>363</v>
      </c>
      <c r="K250">
        <v>1</v>
      </c>
      <c r="L250">
        <v>343000</v>
      </c>
      <c r="M250">
        <v>0.15</v>
      </c>
      <c r="N250">
        <v>248000</v>
      </c>
      <c r="O250">
        <v>343000</v>
      </c>
    </row>
    <row r="251" spans="1:15" x14ac:dyDescent="0.35">
      <c r="A251" t="s">
        <v>362</v>
      </c>
      <c r="B251">
        <v>489024.69135802466</v>
      </c>
      <c r="C251" t="s">
        <v>409</v>
      </c>
      <c r="D251" s="1">
        <v>45572</v>
      </c>
      <c r="E251" t="s">
        <v>49</v>
      </c>
      <c r="F251" t="s">
        <v>50</v>
      </c>
      <c r="G251" t="s">
        <v>81</v>
      </c>
      <c r="H251" t="s">
        <v>17</v>
      </c>
      <c r="I251" t="s">
        <v>361</v>
      </c>
      <c r="J251" t="s">
        <v>363</v>
      </c>
      <c r="K251">
        <v>2</v>
      </c>
      <c r="L251">
        <v>590000</v>
      </c>
      <c r="M251">
        <v>0</v>
      </c>
      <c r="N251">
        <v>421000</v>
      </c>
      <c r="O251">
        <v>590000</v>
      </c>
    </row>
    <row r="252" spans="1:15" x14ac:dyDescent="0.35">
      <c r="A252" t="s">
        <v>362</v>
      </c>
      <c r="B252">
        <v>489024.69135802466</v>
      </c>
      <c r="C252" t="s">
        <v>410</v>
      </c>
      <c r="D252" s="1">
        <v>45600</v>
      </c>
      <c r="E252" t="s">
        <v>41</v>
      </c>
      <c r="F252" t="s">
        <v>42</v>
      </c>
      <c r="G252" t="s">
        <v>411</v>
      </c>
      <c r="H252" t="s">
        <v>28</v>
      </c>
      <c r="I252" t="s">
        <v>361</v>
      </c>
      <c r="J252" t="s">
        <v>363</v>
      </c>
      <c r="K252">
        <v>1</v>
      </c>
      <c r="L252">
        <v>562000</v>
      </c>
      <c r="M252">
        <v>0</v>
      </c>
      <c r="N252">
        <v>407000</v>
      </c>
      <c r="O252">
        <v>562000</v>
      </c>
    </row>
    <row r="253" spans="1:15" x14ac:dyDescent="0.35">
      <c r="A253" t="s">
        <v>362</v>
      </c>
      <c r="B253">
        <v>489024.69135802466</v>
      </c>
      <c r="C253" t="s">
        <v>412</v>
      </c>
      <c r="D253" s="1">
        <v>45604</v>
      </c>
      <c r="E253" t="s">
        <v>36</v>
      </c>
      <c r="F253" t="s">
        <v>37</v>
      </c>
      <c r="G253" t="s">
        <v>413</v>
      </c>
      <c r="H253" t="s">
        <v>23</v>
      </c>
      <c r="I253" t="s">
        <v>361</v>
      </c>
      <c r="J253" t="s">
        <v>363</v>
      </c>
      <c r="K253">
        <v>2</v>
      </c>
      <c r="L253">
        <v>438000</v>
      </c>
      <c r="M253">
        <v>0.1</v>
      </c>
      <c r="N253">
        <v>320000</v>
      </c>
      <c r="O253">
        <v>438000</v>
      </c>
    </row>
    <row r="254" spans="1:15" x14ac:dyDescent="0.35">
      <c r="A254" t="s">
        <v>362</v>
      </c>
      <c r="B254">
        <v>489024.69135802466</v>
      </c>
      <c r="C254" t="s">
        <v>414</v>
      </c>
      <c r="D254" s="1">
        <v>45622</v>
      </c>
      <c r="E254" t="s">
        <v>14</v>
      </c>
      <c r="F254" t="s">
        <v>15</v>
      </c>
      <c r="G254" t="s">
        <v>16</v>
      </c>
      <c r="H254" t="s">
        <v>17</v>
      </c>
      <c r="I254" t="s">
        <v>361</v>
      </c>
      <c r="J254" t="s">
        <v>363</v>
      </c>
      <c r="K254">
        <v>1</v>
      </c>
      <c r="L254">
        <v>416000</v>
      </c>
      <c r="M254">
        <v>0</v>
      </c>
      <c r="N254">
        <v>302000</v>
      </c>
      <c r="O254">
        <v>416000</v>
      </c>
    </row>
    <row r="255" spans="1:15" x14ac:dyDescent="0.35">
      <c r="A255" t="s">
        <v>362</v>
      </c>
      <c r="B255">
        <v>489024.69135802466</v>
      </c>
      <c r="C255" t="s">
        <v>415</v>
      </c>
      <c r="D255" s="1">
        <v>45631</v>
      </c>
      <c r="E255" t="s">
        <v>41</v>
      </c>
      <c r="F255" t="s">
        <v>42</v>
      </c>
      <c r="G255" t="s">
        <v>126</v>
      </c>
      <c r="H255" t="s">
        <v>17</v>
      </c>
      <c r="I255" t="s">
        <v>361</v>
      </c>
      <c r="J255" t="s">
        <v>363</v>
      </c>
      <c r="K255">
        <v>2</v>
      </c>
      <c r="L255">
        <v>342000</v>
      </c>
      <c r="M255">
        <v>0</v>
      </c>
      <c r="N255">
        <v>246000</v>
      </c>
      <c r="O255">
        <v>342000</v>
      </c>
    </row>
    <row r="256" spans="1:15" x14ac:dyDescent="0.35">
      <c r="A256" t="s">
        <v>362</v>
      </c>
      <c r="B256">
        <v>489024.69135802466</v>
      </c>
      <c r="C256" t="s">
        <v>416</v>
      </c>
      <c r="D256" s="1">
        <v>45642</v>
      </c>
      <c r="E256" t="s">
        <v>14</v>
      </c>
      <c r="F256" t="s">
        <v>15</v>
      </c>
      <c r="G256" t="s">
        <v>34</v>
      </c>
      <c r="H256" t="s">
        <v>17</v>
      </c>
      <c r="I256" t="s">
        <v>361</v>
      </c>
      <c r="J256" t="s">
        <v>363</v>
      </c>
      <c r="K256">
        <v>1</v>
      </c>
      <c r="L256">
        <v>331000</v>
      </c>
      <c r="M256">
        <v>0.1</v>
      </c>
      <c r="N256">
        <v>243000</v>
      </c>
      <c r="O256">
        <v>331000</v>
      </c>
    </row>
    <row r="257" spans="1:15" x14ac:dyDescent="0.35">
      <c r="A257" t="s">
        <v>362</v>
      </c>
      <c r="B257">
        <v>489024.69135802466</v>
      </c>
      <c r="C257" t="s">
        <v>417</v>
      </c>
      <c r="D257" s="1">
        <v>45665</v>
      </c>
      <c r="E257" t="s">
        <v>41</v>
      </c>
      <c r="F257" t="s">
        <v>42</v>
      </c>
      <c r="G257" t="s">
        <v>366</v>
      </c>
      <c r="H257" t="s">
        <v>58</v>
      </c>
      <c r="I257" t="s">
        <v>361</v>
      </c>
      <c r="J257" t="s">
        <v>363</v>
      </c>
      <c r="K257">
        <v>2</v>
      </c>
      <c r="L257">
        <v>603000</v>
      </c>
      <c r="M257">
        <v>0</v>
      </c>
      <c r="N257">
        <v>435000</v>
      </c>
      <c r="O257">
        <v>603000</v>
      </c>
    </row>
    <row r="258" spans="1:15" x14ac:dyDescent="0.35">
      <c r="A258" t="s">
        <v>362</v>
      </c>
      <c r="B258">
        <v>489024.69135802466</v>
      </c>
      <c r="C258" t="s">
        <v>418</v>
      </c>
      <c r="D258" s="1">
        <v>45668</v>
      </c>
      <c r="E258" t="s">
        <v>36</v>
      </c>
      <c r="F258" t="s">
        <v>37</v>
      </c>
      <c r="G258" t="s">
        <v>419</v>
      </c>
      <c r="H258" t="s">
        <v>17</v>
      </c>
      <c r="I258" t="s">
        <v>361</v>
      </c>
      <c r="J258" t="s">
        <v>363</v>
      </c>
      <c r="K258">
        <v>1</v>
      </c>
      <c r="L258">
        <v>548000</v>
      </c>
      <c r="M258">
        <v>0</v>
      </c>
      <c r="N258">
        <v>384000</v>
      </c>
      <c r="O258">
        <v>548000</v>
      </c>
    </row>
    <row r="259" spans="1:15" x14ac:dyDescent="0.35">
      <c r="A259" t="s">
        <v>362</v>
      </c>
      <c r="B259">
        <v>489024.69135802466</v>
      </c>
      <c r="C259" t="s">
        <v>420</v>
      </c>
      <c r="D259" s="1">
        <v>45676</v>
      </c>
      <c r="E259" t="s">
        <v>36</v>
      </c>
      <c r="F259" t="s">
        <v>37</v>
      </c>
      <c r="G259" t="s">
        <v>210</v>
      </c>
      <c r="H259" t="s">
        <v>23</v>
      </c>
      <c r="I259" t="s">
        <v>361</v>
      </c>
      <c r="J259" t="s">
        <v>363</v>
      </c>
      <c r="K259">
        <v>2</v>
      </c>
      <c r="L259">
        <v>489024.69135802472</v>
      </c>
      <c r="M259">
        <v>0</v>
      </c>
      <c r="N259">
        <v>0</v>
      </c>
      <c r="O259">
        <v>489024.69135802472</v>
      </c>
    </row>
    <row r="260" spans="1:15" x14ac:dyDescent="0.35">
      <c r="A260" t="s">
        <v>362</v>
      </c>
      <c r="B260">
        <v>489024.69135802466</v>
      </c>
      <c r="C260" t="s">
        <v>421</v>
      </c>
      <c r="D260" s="1">
        <v>45681</v>
      </c>
      <c r="E260" t="s">
        <v>49</v>
      </c>
      <c r="F260" t="s">
        <v>50</v>
      </c>
      <c r="G260" t="s">
        <v>27</v>
      </c>
      <c r="H260" t="s">
        <v>28</v>
      </c>
      <c r="I260" t="s">
        <v>361</v>
      </c>
      <c r="J260" t="s">
        <v>363</v>
      </c>
      <c r="K260">
        <v>1</v>
      </c>
      <c r="L260">
        <v>536000</v>
      </c>
      <c r="M260">
        <v>0</v>
      </c>
      <c r="N260">
        <v>383000</v>
      </c>
      <c r="O260">
        <v>536000</v>
      </c>
    </row>
    <row r="261" spans="1:15" x14ac:dyDescent="0.35">
      <c r="A261" t="s">
        <v>362</v>
      </c>
      <c r="B261">
        <v>489024.69135802466</v>
      </c>
      <c r="C261" t="s">
        <v>422</v>
      </c>
      <c r="D261" s="1">
        <v>45697</v>
      </c>
      <c r="E261" t="s">
        <v>14</v>
      </c>
      <c r="F261" t="s">
        <v>15</v>
      </c>
      <c r="G261" t="s">
        <v>423</v>
      </c>
      <c r="H261" t="s">
        <v>17</v>
      </c>
      <c r="I261" t="s">
        <v>361</v>
      </c>
      <c r="J261" t="s">
        <v>363</v>
      </c>
      <c r="K261">
        <v>1</v>
      </c>
      <c r="L261">
        <v>537000</v>
      </c>
      <c r="M261">
        <v>0</v>
      </c>
      <c r="N261">
        <v>396000</v>
      </c>
      <c r="O261">
        <v>537000</v>
      </c>
    </row>
    <row r="262" spans="1:15" x14ac:dyDescent="0.35">
      <c r="A262" t="s">
        <v>362</v>
      </c>
      <c r="B262">
        <v>489024.69135802466</v>
      </c>
      <c r="C262" t="s">
        <v>424</v>
      </c>
      <c r="D262" s="1">
        <v>45699</v>
      </c>
      <c r="E262" t="s">
        <v>41</v>
      </c>
      <c r="F262" t="s">
        <v>42</v>
      </c>
      <c r="G262" t="s">
        <v>319</v>
      </c>
      <c r="H262" t="s">
        <v>23</v>
      </c>
      <c r="I262" t="s">
        <v>361</v>
      </c>
      <c r="J262" t="s">
        <v>363</v>
      </c>
      <c r="K262">
        <v>1</v>
      </c>
      <c r="L262">
        <v>539000</v>
      </c>
      <c r="M262">
        <v>0</v>
      </c>
      <c r="N262">
        <v>391000</v>
      </c>
      <c r="O262">
        <v>539000</v>
      </c>
    </row>
    <row r="263" spans="1:15" x14ac:dyDescent="0.35">
      <c r="A263" t="s">
        <v>362</v>
      </c>
      <c r="B263">
        <v>489024.69135802466</v>
      </c>
      <c r="C263" t="s">
        <v>425</v>
      </c>
      <c r="D263" s="1">
        <v>45735</v>
      </c>
      <c r="E263" t="s">
        <v>49</v>
      </c>
      <c r="F263" t="s">
        <v>50</v>
      </c>
      <c r="G263" t="s">
        <v>195</v>
      </c>
      <c r="H263" t="s">
        <v>23</v>
      </c>
      <c r="I263" t="s">
        <v>361</v>
      </c>
      <c r="J263" t="s">
        <v>363</v>
      </c>
      <c r="K263">
        <v>2</v>
      </c>
      <c r="L263">
        <v>421000</v>
      </c>
      <c r="M263">
        <v>0</v>
      </c>
      <c r="N263">
        <v>301000</v>
      </c>
      <c r="O263">
        <v>421000</v>
      </c>
    </row>
    <row r="264" spans="1:15" x14ac:dyDescent="0.35">
      <c r="A264" t="s">
        <v>362</v>
      </c>
      <c r="B264">
        <v>489024.69135802466</v>
      </c>
      <c r="C264" t="s">
        <v>426</v>
      </c>
      <c r="D264" s="1">
        <v>45737</v>
      </c>
      <c r="E264" t="s">
        <v>41</v>
      </c>
      <c r="F264" t="s">
        <v>42</v>
      </c>
      <c r="G264" t="s">
        <v>373</v>
      </c>
      <c r="H264" t="s">
        <v>23</v>
      </c>
      <c r="I264" t="s">
        <v>361</v>
      </c>
      <c r="J264" t="s">
        <v>363</v>
      </c>
      <c r="K264">
        <v>1</v>
      </c>
      <c r="L264">
        <v>657000</v>
      </c>
      <c r="M264">
        <v>0</v>
      </c>
      <c r="N264">
        <v>476000</v>
      </c>
      <c r="O264">
        <v>657000</v>
      </c>
    </row>
    <row r="265" spans="1:15" x14ac:dyDescent="0.35">
      <c r="A265" t="s">
        <v>362</v>
      </c>
      <c r="B265">
        <v>489024.69135802466</v>
      </c>
      <c r="C265" t="s">
        <v>427</v>
      </c>
      <c r="D265" s="1">
        <v>45740</v>
      </c>
      <c r="E265" t="s">
        <v>41</v>
      </c>
      <c r="F265" t="s">
        <v>42</v>
      </c>
      <c r="G265" t="s">
        <v>216</v>
      </c>
      <c r="H265" t="s">
        <v>17</v>
      </c>
      <c r="I265" t="s">
        <v>361</v>
      </c>
      <c r="J265" t="s">
        <v>363</v>
      </c>
      <c r="K265">
        <v>2</v>
      </c>
      <c r="L265">
        <v>467000</v>
      </c>
      <c r="M265">
        <v>0</v>
      </c>
      <c r="N265">
        <v>336000</v>
      </c>
      <c r="O265">
        <v>467000</v>
      </c>
    </row>
    <row r="266" spans="1:15" x14ac:dyDescent="0.35">
      <c r="A266" t="s">
        <v>362</v>
      </c>
      <c r="B266">
        <v>489024.69135802466</v>
      </c>
      <c r="C266" t="s">
        <v>428</v>
      </c>
      <c r="D266" s="1">
        <v>45759</v>
      </c>
      <c r="E266" t="s">
        <v>14</v>
      </c>
      <c r="F266" t="s">
        <v>15</v>
      </c>
      <c r="G266" t="s">
        <v>30</v>
      </c>
      <c r="H266" t="s">
        <v>23</v>
      </c>
      <c r="I266" t="s">
        <v>361</v>
      </c>
      <c r="J266" t="s">
        <v>363</v>
      </c>
      <c r="K266">
        <v>1</v>
      </c>
      <c r="L266">
        <v>525000</v>
      </c>
      <c r="M266">
        <v>0</v>
      </c>
      <c r="N266">
        <v>373000</v>
      </c>
      <c r="O266">
        <v>525000</v>
      </c>
    </row>
    <row r="267" spans="1:15" x14ac:dyDescent="0.35">
      <c r="A267" t="s">
        <v>362</v>
      </c>
      <c r="B267">
        <v>489024.69135802466</v>
      </c>
      <c r="C267" t="s">
        <v>429</v>
      </c>
      <c r="D267" s="1">
        <v>45772</v>
      </c>
      <c r="E267" t="s">
        <v>14</v>
      </c>
      <c r="F267" t="s">
        <v>15</v>
      </c>
      <c r="G267" t="s">
        <v>359</v>
      </c>
      <c r="H267" t="s">
        <v>23</v>
      </c>
      <c r="I267" t="s">
        <v>361</v>
      </c>
      <c r="J267" t="s">
        <v>363</v>
      </c>
      <c r="K267">
        <v>1</v>
      </c>
      <c r="L267">
        <v>611000</v>
      </c>
      <c r="M267">
        <v>0</v>
      </c>
      <c r="N267">
        <v>444000</v>
      </c>
      <c r="O267">
        <v>611000</v>
      </c>
    </row>
    <row r="268" spans="1:15" x14ac:dyDescent="0.35">
      <c r="A268" t="s">
        <v>362</v>
      </c>
      <c r="B268">
        <v>489024.69135802466</v>
      </c>
      <c r="C268" t="s">
        <v>430</v>
      </c>
      <c r="D268" s="1">
        <v>45790</v>
      </c>
      <c r="E268" t="s">
        <v>49</v>
      </c>
      <c r="F268" t="s">
        <v>50</v>
      </c>
      <c r="G268" t="s">
        <v>152</v>
      </c>
      <c r="H268" t="s">
        <v>23</v>
      </c>
      <c r="I268" t="s">
        <v>361</v>
      </c>
      <c r="J268" t="s">
        <v>363</v>
      </c>
      <c r="K268">
        <v>1</v>
      </c>
      <c r="L268">
        <v>432000</v>
      </c>
      <c r="M268">
        <v>0.05</v>
      </c>
      <c r="N268">
        <v>315000</v>
      </c>
      <c r="O268">
        <v>432000</v>
      </c>
    </row>
    <row r="269" spans="1:15" x14ac:dyDescent="0.35">
      <c r="A269" t="s">
        <v>362</v>
      </c>
      <c r="B269">
        <v>489024.69135802466</v>
      </c>
      <c r="C269" t="s">
        <v>431</v>
      </c>
      <c r="D269" s="1">
        <v>45790</v>
      </c>
      <c r="E269" t="s">
        <v>14</v>
      </c>
      <c r="F269" t="s">
        <v>15</v>
      </c>
      <c r="G269" t="s">
        <v>432</v>
      </c>
      <c r="H269" t="s">
        <v>23</v>
      </c>
      <c r="I269" t="s">
        <v>361</v>
      </c>
      <c r="J269" t="s">
        <v>363</v>
      </c>
      <c r="K269">
        <v>1</v>
      </c>
      <c r="L269">
        <v>336000</v>
      </c>
      <c r="M269">
        <v>0</v>
      </c>
      <c r="N269">
        <v>238000</v>
      </c>
      <c r="O269">
        <v>336000</v>
      </c>
    </row>
    <row r="270" spans="1:15" x14ac:dyDescent="0.35">
      <c r="A270" t="s">
        <v>362</v>
      </c>
      <c r="B270">
        <v>489024.69135802466</v>
      </c>
      <c r="C270" t="s">
        <v>433</v>
      </c>
      <c r="D270" s="1">
        <v>45805</v>
      </c>
      <c r="E270" t="s">
        <v>41</v>
      </c>
      <c r="F270" t="s">
        <v>42</v>
      </c>
      <c r="G270" t="s">
        <v>155</v>
      </c>
      <c r="H270" t="s">
        <v>58</v>
      </c>
      <c r="I270" t="s">
        <v>361</v>
      </c>
      <c r="J270" t="s">
        <v>363</v>
      </c>
      <c r="K270">
        <v>2</v>
      </c>
      <c r="L270">
        <v>553000</v>
      </c>
      <c r="M270">
        <v>0.15</v>
      </c>
      <c r="N270">
        <v>401000</v>
      </c>
      <c r="O270">
        <v>553000</v>
      </c>
    </row>
    <row r="271" spans="1:15" x14ac:dyDescent="0.35">
      <c r="A271" t="s">
        <v>362</v>
      </c>
      <c r="B271">
        <v>489024.69135802466</v>
      </c>
      <c r="C271" t="s">
        <v>434</v>
      </c>
      <c r="D271" s="1">
        <v>45830</v>
      </c>
      <c r="E271" t="s">
        <v>14</v>
      </c>
      <c r="F271" t="s">
        <v>15</v>
      </c>
      <c r="G271" t="s">
        <v>244</v>
      </c>
      <c r="H271" t="s">
        <v>17</v>
      </c>
      <c r="I271" t="s">
        <v>361</v>
      </c>
      <c r="J271" t="s">
        <v>363</v>
      </c>
      <c r="K271">
        <v>1</v>
      </c>
      <c r="L271">
        <v>633000</v>
      </c>
      <c r="M271">
        <v>0</v>
      </c>
      <c r="N271">
        <v>450000</v>
      </c>
      <c r="O271">
        <v>633000</v>
      </c>
    </row>
    <row r="272" spans="1:15" x14ac:dyDescent="0.35">
      <c r="A272" t="s">
        <v>362</v>
      </c>
      <c r="B272">
        <v>489024.69135802466</v>
      </c>
      <c r="C272" t="s">
        <v>435</v>
      </c>
      <c r="D272" s="1">
        <v>45857</v>
      </c>
      <c r="E272" t="s">
        <v>14</v>
      </c>
      <c r="F272" t="s">
        <v>15</v>
      </c>
      <c r="G272" t="s">
        <v>47</v>
      </c>
      <c r="H272" t="s">
        <v>23</v>
      </c>
      <c r="I272" t="s">
        <v>361</v>
      </c>
      <c r="J272" t="s">
        <v>363</v>
      </c>
      <c r="K272">
        <v>1</v>
      </c>
      <c r="L272">
        <v>485000</v>
      </c>
      <c r="M272">
        <v>0</v>
      </c>
      <c r="N272">
        <v>342000</v>
      </c>
      <c r="O272">
        <v>485000</v>
      </c>
    </row>
    <row r="273" spans="1:15" x14ac:dyDescent="0.35">
      <c r="A273" t="s">
        <v>362</v>
      </c>
      <c r="B273">
        <v>489024.69135802466</v>
      </c>
      <c r="C273" t="s">
        <v>436</v>
      </c>
      <c r="D273" s="1">
        <v>45867</v>
      </c>
      <c r="E273" t="s">
        <v>14</v>
      </c>
      <c r="F273" t="s">
        <v>15</v>
      </c>
      <c r="G273" t="s">
        <v>166</v>
      </c>
      <c r="H273" t="s">
        <v>28</v>
      </c>
      <c r="I273" t="s">
        <v>361</v>
      </c>
      <c r="J273" t="s">
        <v>363</v>
      </c>
      <c r="K273">
        <v>1</v>
      </c>
      <c r="L273">
        <v>533000</v>
      </c>
      <c r="M273">
        <v>0</v>
      </c>
      <c r="N273">
        <v>386000</v>
      </c>
      <c r="O273">
        <v>533000</v>
      </c>
    </row>
    <row r="274" spans="1:15" x14ac:dyDescent="0.35">
      <c r="A274" t="s">
        <v>362</v>
      </c>
      <c r="B274">
        <v>489024.69135802466</v>
      </c>
      <c r="C274" t="s">
        <v>437</v>
      </c>
      <c r="D274" s="1">
        <v>45904</v>
      </c>
      <c r="E274" t="s">
        <v>49</v>
      </c>
      <c r="F274" t="s">
        <v>50</v>
      </c>
      <c r="G274" t="s">
        <v>115</v>
      </c>
      <c r="H274" t="s">
        <v>23</v>
      </c>
      <c r="I274" t="s">
        <v>361</v>
      </c>
      <c r="J274" t="s">
        <v>363</v>
      </c>
      <c r="K274">
        <v>1</v>
      </c>
      <c r="L274">
        <v>534000</v>
      </c>
      <c r="M274">
        <v>0</v>
      </c>
      <c r="N274">
        <v>387000</v>
      </c>
      <c r="O274">
        <v>534000</v>
      </c>
    </row>
    <row r="275" spans="1:15" x14ac:dyDescent="0.35">
      <c r="A275" t="s">
        <v>362</v>
      </c>
      <c r="B275">
        <v>489024.69135802466</v>
      </c>
      <c r="C275" t="s">
        <v>438</v>
      </c>
      <c r="D275" s="1">
        <v>45946</v>
      </c>
      <c r="E275" t="s">
        <v>41</v>
      </c>
      <c r="F275" t="s">
        <v>42</v>
      </c>
      <c r="G275" t="s">
        <v>141</v>
      </c>
      <c r="H275" t="s">
        <v>17</v>
      </c>
      <c r="I275" t="s">
        <v>361</v>
      </c>
      <c r="J275" t="s">
        <v>363</v>
      </c>
      <c r="K275">
        <v>2</v>
      </c>
      <c r="L275">
        <v>484000</v>
      </c>
      <c r="M275">
        <v>0</v>
      </c>
      <c r="N275">
        <v>347000</v>
      </c>
      <c r="O275">
        <v>484000</v>
      </c>
    </row>
    <row r="276" spans="1:15" x14ac:dyDescent="0.35">
      <c r="A276" t="s">
        <v>362</v>
      </c>
      <c r="B276">
        <v>489024.69135802466</v>
      </c>
      <c r="C276" t="s">
        <v>439</v>
      </c>
      <c r="D276" s="1">
        <v>45954</v>
      </c>
      <c r="E276" t="s">
        <v>41</v>
      </c>
      <c r="F276" t="s">
        <v>42</v>
      </c>
      <c r="G276" t="s">
        <v>144</v>
      </c>
      <c r="H276" t="s">
        <v>23</v>
      </c>
      <c r="I276" t="s">
        <v>361</v>
      </c>
      <c r="J276" t="s">
        <v>363</v>
      </c>
      <c r="K276">
        <v>2</v>
      </c>
      <c r="L276">
        <v>443000</v>
      </c>
      <c r="M276">
        <v>0</v>
      </c>
      <c r="N276">
        <v>311000</v>
      </c>
      <c r="O276">
        <v>443000</v>
      </c>
    </row>
    <row r="277" spans="1:15" x14ac:dyDescent="0.35">
      <c r="A277" t="s">
        <v>362</v>
      </c>
      <c r="B277">
        <v>489024.69135802466</v>
      </c>
      <c r="C277" t="s">
        <v>440</v>
      </c>
      <c r="D277" s="1">
        <v>45996</v>
      </c>
      <c r="E277" t="s">
        <v>14</v>
      </c>
      <c r="F277" t="s">
        <v>15</v>
      </c>
      <c r="G277" t="s">
        <v>258</v>
      </c>
      <c r="H277" t="s">
        <v>23</v>
      </c>
      <c r="I277" t="s">
        <v>361</v>
      </c>
      <c r="J277" t="s">
        <v>363</v>
      </c>
      <c r="K277">
        <v>1</v>
      </c>
      <c r="L277">
        <v>460000</v>
      </c>
      <c r="M277">
        <v>0.15</v>
      </c>
      <c r="N277">
        <v>336000</v>
      </c>
      <c r="O277">
        <v>460000</v>
      </c>
    </row>
    <row r="278" spans="1:15" x14ac:dyDescent="0.35">
      <c r="A278" t="s">
        <v>362</v>
      </c>
      <c r="B278">
        <v>489024.69135802466</v>
      </c>
      <c r="C278" t="s">
        <v>441</v>
      </c>
      <c r="D278" s="1">
        <v>46013</v>
      </c>
      <c r="E278" t="s">
        <v>41</v>
      </c>
      <c r="F278" t="s">
        <v>42</v>
      </c>
      <c r="G278" t="s">
        <v>359</v>
      </c>
      <c r="H278" t="s">
        <v>23</v>
      </c>
      <c r="I278" t="s">
        <v>361</v>
      </c>
      <c r="J278" t="s">
        <v>363</v>
      </c>
      <c r="K278">
        <v>2</v>
      </c>
      <c r="L278">
        <v>371000</v>
      </c>
      <c r="M278">
        <v>0</v>
      </c>
      <c r="N278">
        <v>272000</v>
      </c>
      <c r="O278">
        <v>371000</v>
      </c>
    </row>
    <row r="279" spans="1:15" x14ac:dyDescent="0.35">
      <c r="A279" t="s">
        <v>362</v>
      </c>
      <c r="B279">
        <v>489024.69135802466</v>
      </c>
      <c r="C279" t="s">
        <v>442</v>
      </c>
      <c r="D279" s="1">
        <v>46027</v>
      </c>
      <c r="E279" t="s">
        <v>36</v>
      </c>
      <c r="F279" t="s">
        <v>37</v>
      </c>
      <c r="G279" t="s">
        <v>411</v>
      </c>
      <c r="H279" t="s">
        <v>28</v>
      </c>
      <c r="I279" t="s">
        <v>361</v>
      </c>
      <c r="J279" t="s">
        <v>363</v>
      </c>
      <c r="K279">
        <v>1</v>
      </c>
      <c r="L279">
        <v>509000</v>
      </c>
      <c r="M279">
        <v>0</v>
      </c>
      <c r="N279">
        <v>368000</v>
      </c>
      <c r="O279">
        <v>509000</v>
      </c>
    </row>
    <row r="280" spans="1:15" x14ac:dyDescent="0.35">
      <c r="A280" t="s">
        <v>362</v>
      </c>
      <c r="B280">
        <v>489024.69135802466</v>
      </c>
      <c r="C280" t="s">
        <v>443</v>
      </c>
      <c r="D280" s="1">
        <v>46062</v>
      </c>
      <c r="E280" t="s">
        <v>36</v>
      </c>
      <c r="F280" t="s">
        <v>37</v>
      </c>
      <c r="G280" t="s">
        <v>65</v>
      </c>
      <c r="H280" t="s">
        <v>17</v>
      </c>
      <c r="I280" t="s">
        <v>361</v>
      </c>
      <c r="J280" t="s">
        <v>363</v>
      </c>
      <c r="K280">
        <v>1</v>
      </c>
      <c r="L280">
        <v>566000</v>
      </c>
      <c r="M280">
        <v>0</v>
      </c>
      <c r="N280">
        <v>408000</v>
      </c>
      <c r="O280">
        <v>566000</v>
      </c>
    </row>
    <row r="281" spans="1:15" x14ac:dyDescent="0.35">
      <c r="A281" t="s">
        <v>362</v>
      </c>
      <c r="B281">
        <v>489024.69135802466</v>
      </c>
      <c r="C281" t="s">
        <v>444</v>
      </c>
      <c r="D281" s="1">
        <v>46078</v>
      </c>
      <c r="E281" t="s">
        <v>14</v>
      </c>
      <c r="F281" t="s">
        <v>15</v>
      </c>
      <c r="G281" t="s">
        <v>327</v>
      </c>
      <c r="H281" t="s">
        <v>23</v>
      </c>
      <c r="I281" t="s">
        <v>361</v>
      </c>
      <c r="J281" t="s">
        <v>363</v>
      </c>
      <c r="K281">
        <v>3</v>
      </c>
      <c r="L281">
        <v>653000</v>
      </c>
      <c r="M281">
        <v>0</v>
      </c>
      <c r="N281">
        <v>474000</v>
      </c>
      <c r="O281">
        <v>653000</v>
      </c>
    </row>
    <row r="282" spans="1:15" x14ac:dyDescent="0.35">
      <c r="A282" t="s">
        <v>362</v>
      </c>
      <c r="B282">
        <v>489024.69135802466</v>
      </c>
      <c r="C282" t="s">
        <v>445</v>
      </c>
      <c r="D282" s="1">
        <v>46086</v>
      </c>
      <c r="E282" t="s">
        <v>14</v>
      </c>
      <c r="F282" t="s">
        <v>15</v>
      </c>
      <c r="G282" t="s">
        <v>255</v>
      </c>
      <c r="H282" t="s">
        <v>17</v>
      </c>
      <c r="I282" t="s">
        <v>361</v>
      </c>
      <c r="J282" t="s">
        <v>363</v>
      </c>
      <c r="K282">
        <v>2</v>
      </c>
      <c r="L282">
        <v>570000</v>
      </c>
      <c r="M282">
        <v>0.1</v>
      </c>
      <c r="N282">
        <v>404000</v>
      </c>
      <c r="O282">
        <v>570000</v>
      </c>
    </row>
    <row r="283" spans="1:15" x14ac:dyDescent="0.35">
      <c r="A283" t="s">
        <v>362</v>
      </c>
      <c r="B283">
        <v>489024.69135802466</v>
      </c>
      <c r="C283" t="s">
        <v>446</v>
      </c>
      <c r="D283" s="1">
        <v>46093</v>
      </c>
      <c r="E283" t="s">
        <v>25</v>
      </c>
      <c r="F283" t="s">
        <v>26</v>
      </c>
      <c r="G283" t="s">
        <v>447</v>
      </c>
      <c r="H283" t="s">
        <v>23</v>
      </c>
      <c r="I283" t="s">
        <v>361</v>
      </c>
      <c r="J283" t="s">
        <v>363</v>
      </c>
      <c r="K283">
        <v>1</v>
      </c>
      <c r="L283">
        <v>369000</v>
      </c>
      <c r="M283">
        <v>0</v>
      </c>
      <c r="N283">
        <v>267000</v>
      </c>
      <c r="O283">
        <v>369000</v>
      </c>
    </row>
    <row r="284" spans="1:15" x14ac:dyDescent="0.35">
      <c r="A284" t="s">
        <v>362</v>
      </c>
      <c r="B284">
        <v>489024.69135802466</v>
      </c>
      <c r="C284" t="s">
        <v>448</v>
      </c>
      <c r="D284" s="1">
        <v>46108</v>
      </c>
      <c r="E284" t="s">
        <v>36</v>
      </c>
      <c r="F284" t="s">
        <v>37</v>
      </c>
      <c r="G284" t="s">
        <v>152</v>
      </c>
      <c r="H284" t="s">
        <v>23</v>
      </c>
      <c r="I284" t="s">
        <v>361</v>
      </c>
      <c r="J284" t="s">
        <v>363</v>
      </c>
      <c r="K284">
        <v>1</v>
      </c>
      <c r="L284">
        <v>660000</v>
      </c>
      <c r="M284">
        <v>0</v>
      </c>
      <c r="N284">
        <v>487000</v>
      </c>
      <c r="O284">
        <v>660000</v>
      </c>
    </row>
    <row r="285" spans="1:15" x14ac:dyDescent="0.35">
      <c r="A285" t="s">
        <v>362</v>
      </c>
      <c r="B285">
        <v>489024.69135802466</v>
      </c>
      <c r="C285" t="s">
        <v>449</v>
      </c>
      <c r="D285" s="1">
        <v>46115</v>
      </c>
      <c r="E285" t="s">
        <v>14</v>
      </c>
      <c r="F285" t="s">
        <v>15</v>
      </c>
      <c r="G285" t="s">
        <v>419</v>
      </c>
      <c r="H285" t="s">
        <v>17</v>
      </c>
      <c r="I285" t="s">
        <v>361</v>
      </c>
      <c r="J285" t="s">
        <v>363</v>
      </c>
      <c r="K285">
        <v>1</v>
      </c>
      <c r="L285">
        <v>582000</v>
      </c>
      <c r="M285">
        <v>0</v>
      </c>
      <c r="N285">
        <v>423000</v>
      </c>
      <c r="O285">
        <v>582000</v>
      </c>
    </row>
    <row r="286" spans="1:15" x14ac:dyDescent="0.35">
      <c r="A286" t="s">
        <v>362</v>
      </c>
      <c r="B286">
        <v>489024.69135802466</v>
      </c>
      <c r="C286" t="s">
        <v>450</v>
      </c>
      <c r="D286" s="1">
        <v>46146</v>
      </c>
      <c r="E286" t="s">
        <v>41</v>
      </c>
      <c r="F286" t="s">
        <v>42</v>
      </c>
      <c r="G286" t="s">
        <v>212</v>
      </c>
      <c r="H286" t="s">
        <v>28</v>
      </c>
      <c r="I286" t="s">
        <v>361</v>
      </c>
      <c r="J286" t="s">
        <v>363</v>
      </c>
      <c r="K286">
        <v>1</v>
      </c>
      <c r="L286">
        <v>605000</v>
      </c>
      <c r="M286">
        <v>0</v>
      </c>
      <c r="N286">
        <v>441000</v>
      </c>
      <c r="O286">
        <v>605000</v>
      </c>
    </row>
    <row r="287" spans="1:15" x14ac:dyDescent="0.35">
      <c r="A287" t="s">
        <v>362</v>
      </c>
      <c r="B287">
        <v>489024.69135802466</v>
      </c>
      <c r="C287" t="s">
        <v>451</v>
      </c>
      <c r="D287" s="1">
        <v>46147</v>
      </c>
      <c r="E287" t="s">
        <v>25</v>
      </c>
      <c r="F287" t="s">
        <v>26</v>
      </c>
      <c r="G287" t="s">
        <v>413</v>
      </c>
      <c r="H287" t="s">
        <v>23</v>
      </c>
      <c r="I287" t="s">
        <v>361</v>
      </c>
      <c r="J287" t="s">
        <v>363</v>
      </c>
      <c r="K287">
        <v>3</v>
      </c>
      <c r="L287">
        <v>473000</v>
      </c>
      <c r="M287">
        <v>0</v>
      </c>
      <c r="N287">
        <v>342000</v>
      </c>
      <c r="O287">
        <v>473000</v>
      </c>
    </row>
    <row r="288" spans="1:15" x14ac:dyDescent="0.35">
      <c r="A288" t="s">
        <v>362</v>
      </c>
      <c r="B288">
        <v>489024.69135802466</v>
      </c>
      <c r="C288" t="s">
        <v>452</v>
      </c>
      <c r="D288" s="1">
        <v>46149</v>
      </c>
      <c r="E288" t="s">
        <v>41</v>
      </c>
      <c r="F288" t="s">
        <v>42</v>
      </c>
      <c r="G288" t="s">
        <v>179</v>
      </c>
      <c r="H288" t="s">
        <v>23</v>
      </c>
      <c r="I288" t="s">
        <v>361</v>
      </c>
      <c r="J288" t="s">
        <v>363</v>
      </c>
      <c r="K288">
        <v>1</v>
      </c>
      <c r="L288">
        <v>452000</v>
      </c>
      <c r="M288">
        <v>0</v>
      </c>
      <c r="N288">
        <v>326000</v>
      </c>
      <c r="O288">
        <v>452000</v>
      </c>
    </row>
    <row r="289" spans="1:15" x14ac:dyDescent="0.35">
      <c r="A289" t="s">
        <v>362</v>
      </c>
      <c r="B289">
        <v>489024.69135802466</v>
      </c>
      <c r="C289" t="s">
        <v>453</v>
      </c>
      <c r="D289" s="1">
        <v>46151</v>
      </c>
      <c r="E289" t="s">
        <v>14</v>
      </c>
      <c r="F289" t="s">
        <v>15</v>
      </c>
      <c r="G289" t="s">
        <v>102</v>
      </c>
      <c r="H289" t="s">
        <v>58</v>
      </c>
      <c r="I289" t="s">
        <v>361</v>
      </c>
      <c r="J289" t="s">
        <v>363</v>
      </c>
      <c r="K289">
        <v>3</v>
      </c>
      <c r="L289">
        <v>689000</v>
      </c>
      <c r="M289">
        <v>0</v>
      </c>
      <c r="N289">
        <v>492000</v>
      </c>
      <c r="O289">
        <v>689000</v>
      </c>
    </row>
    <row r="290" spans="1:15" x14ac:dyDescent="0.35">
      <c r="A290" t="s">
        <v>362</v>
      </c>
      <c r="B290">
        <v>489024.69135802466</v>
      </c>
      <c r="C290" t="s">
        <v>454</v>
      </c>
      <c r="D290" s="1">
        <v>46169</v>
      </c>
      <c r="E290" t="s">
        <v>25</v>
      </c>
      <c r="F290" t="s">
        <v>26</v>
      </c>
      <c r="G290" t="s">
        <v>104</v>
      </c>
      <c r="H290" t="s">
        <v>28</v>
      </c>
      <c r="I290" t="s">
        <v>361</v>
      </c>
      <c r="J290" t="s">
        <v>363</v>
      </c>
      <c r="K290">
        <v>1</v>
      </c>
      <c r="L290">
        <v>455000</v>
      </c>
      <c r="M290">
        <v>0.1</v>
      </c>
      <c r="N290">
        <v>321000</v>
      </c>
      <c r="O290">
        <v>455000</v>
      </c>
    </row>
    <row r="291" spans="1:15" x14ac:dyDescent="0.35">
      <c r="A291" t="s">
        <v>362</v>
      </c>
      <c r="B291">
        <v>489024.69135802466</v>
      </c>
      <c r="C291" t="s">
        <v>455</v>
      </c>
      <c r="D291" s="1">
        <v>46180</v>
      </c>
      <c r="E291" t="s">
        <v>14</v>
      </c>
      <c r="F291" t="s">
        <v>15</v>
      </c>
      <c r="G291" t="s">
        <v>456</v>
      </c>
      <c r="H291" t="s">
        <v>23</v>
      </c>
      <c r="I291" t="s">
        <v>361</v>
      </c>
      <c r="J291" t="s">
        <v>363</v>
      </c>
      <c r="K291">
        <v>1</v>
      </c>
      <c r="L291">
        <v>392000</v>
      </c>
      <c r="M291">
        <v>0</v>
      </c>
      <c r="N291">
        <v>285000</v>
      </c>
      <c r="O291">
        <v>392000</v>
      </c>
    </row>
    <row r="292" spans="1:15" x14ac:dyDescent="0.35">
      <c r="A292" t="s">
        <v>362</v>
      </c>
      <c r="B292">
        <v>489024.69135802466</v>
      </c>
      <c r="C292" t="s">
        <v>457</v>
      </c>
      <c r="D292" s="1">
        <v>46193</v>
      </c>
      <c r="E292" t="s">
        <v>14</v>
      </c>
      <c r="F292" t="s">
        <v>15</v>
      </c>
      <c r="G292" t="s">
        <v>152</v>
      </c>
      <c r="H292" t="s">
        <v>23</v>
      </c>
      <c r="I292" t="s">
        <v>361</v>
      </c>
      <c r="J292" t="s">
        <v>363</v>
      </c>
      <c r="K292">
        <v>1</v>
      </c>
      <c r="L292">
        <v>607000</v>
      </c>
      <c r="M292">
        <v>0.1</v>
      </c>
      <c r="N292">
        <v>438000</v>
      </c>
      <c r="O292">
        <v>607000</v>
      </c>
    </row>
    <row r="293" spans="1:15" x14ac:dyDescent="0.35">
      <c r="A293" t="s">
        <v>362</v>
      </c>
      <c r="B293">
        <v>489024.69135802466</v>
      </c>
      <c r="C293" t="s">
        <v>458</v>
      </c>
      <c r="D293" s="1">
        <v>46195</v>
      </c>
      <c r="E293" t="s">
        <v>41</v>
      </c>
      <c r="F293" t="s">
        <v>42</v>
      </c>
      <c r="G293" t="s">
        <v>239</v>
      </c>
      <c r="H293" t="s">
        <v>23</v>
      </c>
      <c r="I293" t="s">
        <v>361</v>
      </c>
      <c r="J293" t="s">
        <v>363</v>
      </c>
      <c r="K293">
        <v>1</v>
      </c>
      <c r="L293">
        <v>374000</v>
      </c>
      <c r="M293">
        <v>0</v>
      </c>
      <c r="N293">
        <v>265000</v>
      </c>
      <c r="O293">
        <v>374000</v>
      </c>
    </row>
    <row r="294" spans="1:15" x14ac:dyDescent="0.35">
      <c r="A294" t="s">
        <v>362</v>
      </c>
      <c r="B294">
        <v>489024.69135802466</v>
      </c>
      <c r="C294" t="s">
        <v>459</v>
      </c>
      <c r="D294" s="1">
        <v>46197</v>
      </c>
      <c r="E294" t="s">
        <v>14</v>
      </c>
      <c r="F294" t="s">
        <v>15</v>
      </c>
      <c r="G294" t="s">
        <v>57</v>
      </c>
      <c r="H294" t="s">
        <v>58</v>
      </c>
      <c r="I294" t="s">
        <v>361</v>
      </c>
      <c r="J294" t="s">
        <v>363</v>
      </c>
      <c r="K294">
        <v>1</v>
      </c>
      <c r="L294">
        <v>354000</v>
      </c>
      <c r="M294">
        <v>0.05</v>
      </c>
      <c r="N294">
        <v>249000</v>
      </c>
      <c r="O294">
        <v>354000</v>
      </c>
    </row>
    <row r="295" spans="1:15" x14ac:dyDescent="0.35">
      <c r="A295" t="s">
        <v>362</v>
      </c>
      <c r="B295">
        <v>489024.69135802466</v>
      </c>
      <c r="C295" t="s">
        <v>460</v>
      </c>
      <c r="D295" s="1">
        <v>46197</v>
      </c>
      <c r="E295" t="s">
        <v>41</v>
      </c>
      <c r="F295" t="s">
        <v>42</v>
      </c>
      <c r="G295" t="s">
        <v>108</v>
      </c>
      <c r="H295" t="s">
        <v>23</v>
      </c>
      <c r="I295" t="s">
        <v>361</v>
      </c>
      <c r="J295" t="s">
        <v>363</v>
      </c>
      <c r="K295">
        <v>2</v>
      </c>
      <c r="L295">
        <v>612000</v>
      </c>
      <c r="M295">
        <v>0.05</v>
      </c>
      <c r="N295">
        <v>451000</v>
      </c>
      <c r="O295">
        <v>612000</v>
      </c>
    </row>
    <row r="296" spans="1:15" x14ac:dyDescent="0.35">
      <c r="A296" t="s">
        <v>464</v>
      </c>
      <c r="B296">
        <v>5330521.7391304346</v>
      </c>
      <c r="C296" t="s">
        <v>461</v>
      </c>
      <c r="D296" s="1">
        <v>44930</v>
      </c>
      <c r="E296" t="s">
        <v>14</v>
      </c>
      <c r="F296" t="s">
        <v>15</v>
      </c>
      <c r="G296" t="s">
        <v>462</v>
      </c>
      <c r="H296" t="s">
        <v>58</v>
      </c>
      <c r="I296" t="s">
        <v>463</v>
      </c>
      <c r="J296" t="s">
        <v>465</v>
      </c>
      <c r="K296">
        <v>1</v>
      </c>
      <c r="L296">
        <v>5952000</v>
      </c>
      <c r="M296">
        <v>0</v>
      </c>
      <c r="N296">
        <v>4571000</v>
      </c>
      <c r="O296">
        <v>5952000</v>
      </c>
    </row>
    <row r="297" spans="1:15" x14ac:dyDescent="0.35">
      <c r="A297" t="s">
        <v>464</v>
      </c>
      <c r="B297">
        <v>5330521.7391304346</v>
      </c>
      <c r="C297" t="s">
        <v>466</v>
      </c>
      <c r="D297" s="1">
        <v>44961</v>
      </c>
      <c r="E297" t="s">
        <v>14</v>
      </c>
      <c r="F297" t="s">
        <v>15</v>
      </c>
      <c r="G297" t="s">
        <v>119</v>
      </c>
      <c r="H297" t="s">
        <v>23</v>
      </c>
      <c r="I297" t="s">
        <v>463</v>
      </c>
      <c r="J297" t="s">
        <v>465</v>
      </c>
      <c r="K297">
        <v>2</v>
      </c>
      <c r="L297">
        <v>5427000</v>
      </c>
      <c r="M297">
        <v>0</v>
      </c>
      <c r="N297">
        <v>4031000</v>
      </c>
      <c r="O297">
        <v>5427000</v>
      </c>
    </row>
    <row r="298" spans="1:15" x14ac:dyDescent="0.35">
      <c r="A298" t="s">
        <v>464</v>
      </c>
      <c r="B298">
        <v>5330521.7391304346</v>
      </c>
      <c r="C298" t="s">
        <v>467</v>
      </c>
      <c r="D298" s="1">
        <v>44973</v>
      </c>
      <c r="E298" t="s">
        <v>14</v>
      </c>
      <c r="F298" t="s">
        <v>15</v>
      </c>
      <c r="G298" t="s">
        <v>102</v>
      </c>
      <c r="H298" t="s">
        <v>58</v>
      </c>
      <c r="I298" t="s">
        <v>463</v>
      </c>
      <c r="J298" t="s">
        <v>465</v>
      </c>
      <c r="K298">
        <v>1</v>
      </c>
      <c r="L298">
        <v>5919000</v>
      </c>
      <c r="M298">
        <v>0</v>
      </c>
      <c r="N298">
        <v>4516000</v>
      </c>
      <c r="O298">
        <v>5919000</v>
      </c>
    </row>
    <row r="299" spans="1:15" x14ac:dyDescent="0.35">
      <c r="A299" t="s">
        <v>464</v>
      </c>
      <c r="B299">
        <v>5330521.7391304346</v>
      </c>
      <c r="C299" t="s">
        <v>468</v>
      </c>
      <c r="D299" s="1">
        <v>44975</v>
      </c>
      <c r="E299" t="s">
        <v>14</v>
      </c>
      <c r="F299" t="s">
        <v>15</v>
      </c>
      <c r="G299" t="s">
        <v>43</v>
      </c>
      <c r="H299" t="s">
        <v>17</v>
      </c>
      <c r="I299" t="s">
        <v>463</v>
      </c>
      <c r="J299" t="s">
        <v>465</v>
      </c>
      <c r="K299">
        <v>1</v>
      </c>
      <c r="L299">
        <v>5905000</v>
      </c>
      <c r="M299">
        <v>0</v>
      </c>
      <c r="N299">
        <v>4590000</v>
      </c>
      <c r="O299">
        <v>5905000</v>
      </c>
    </row>
    <row r="300" spans="1:15" x14ac:dyDescent="0.35">
      <c r="A300" t="s">
        <v>464</v>
      </c>
      <c r="B300">
        <v>5330521.7391304346</v>
      </c>
      <c r="C300" t="s">
        <v>469</v>
      </c>
      <c r="D300" s="1">
        <v>44980</v>
      </c>
      <c r="E300" t="s">
        <v>14</v>
      </c>
      <c r="F300" t="s">
        <v>15</v>
      </c>
      <c r="G300" t="s">
        <v>327</v>
      </c>
      <c r="H300" t="s">
        <v>23</v>
      </c>
      <c r="I300" t="s">
        <v>463</v>
      </c>
      <c r="J300" t="s">
        <v>465</v>
      </c>
      <c r="K300">
        <v>1</v>
      </c>
      <c r="L300">
        <v>4351000</v>
      </c>
      <c r="M300">
        <v>0</v>
      </c>
      <c r="N300">
        <v>3372000</v>
      </c>
      <c r="O300">
        <v>4351000</v>
      </c>
    </row>
    <row r="301" spans="1:15" x14ac:dyDescent="0.35">
      <c r="A301" t="s">
        <v>464</v>
      </c>
      <c r="B301">
        <v>5330521.7391304346</v>
      </c>
      <c r="C301" t="s">
        <v>470</v>
      </c>
      <c r="D301" s="1">
        <v>44983</v>
      </c>
      <c r="E301" t="s">
        <v>14</v>
      </c>
      <c r="F301" t="s">
        <v>15</v>
      </c>
      <c r="G301" t="s">
        <v>144</v>
      </c>
      <c r="H301" t="s">
        <v>23</v>
      </c>
      <c r="I301" t="s">
        <v>463</v>
      </c>
      <c r="J301" t="s">
        <v>465</v>
      </c>
      <c r="K301">
        <v>1</v>
      </c>
      <c r="L301">
        <v>3891000</v>
      </c>
      <c r="M301">
        <v>0</v>
      </c>
      <c r="N301">
        <v>2911000</v>
      </c>
      <c r="O301">
        <v>3891000</v>
      </c>
    </row>
    <row r="302" spans="1:15" x14ac:dyDescent="0.35">
      <c r="A302" t="s">
        <v>464</v>
      </c>
      <c r="B302">
        <v>5330521.7391304346</v>
      </c>
      <c r="C302" t="s">
        <v>471</v>
      </c>
      <c r="D302" s="1">
        <v>44992</v>
      </c>
      <c r="E302" t="s">
        <v>49</v>
      </c>
      <c r="F302" t="s">
        <v>50</v>
      </c>
      <c r="G302" t="s">
        <v>309</v>
      </c>
      <c r="H302" t="s">
        <v>23</v>
      </c>
      <c r="I302" t="s">
        <v>463</v>
      </c>
      <c r="J302" t="s">
        <v>465</v>
      </c>
      <c r="K302">
        <v>1</v>
      </c>
      <c r="L302">
        <v>5568000</v>
      </c>
      <c r="M302">
        <v>0</v>
      </c>
      <c r="N302">
        <v>4297000</v>
      </c>
      <c r="O302">
        <v>5568000</v>
      </c>
    </row>
    <row r="303" spans="1:15" x14ac:dyDescent="0.35">
      <c r="A303" t="s">
        <v>464</v>
      </c>
      <c r="B303">
        <v>5330521.7391304346</v>
      </c>
      <c r="C303" t="s">
        <v>472</v>
      </c>
      <c r="D303" s="1">
        <v>44993</v>
      </c>
      <c r="E303" t="s">
        <v>14</v>
      </c>
      <c r="F303" t="s">
        <v>15</v>
      </c>
      <c r="G303" t="s">
        <v>76</v>
      </c>
      <c r="H303" t="s">
        <v>23</v>
      </c>
      <c r="I303" t="s">
        <v>463</v>
      </c>
      <c r="J303" t="s">
        <v>465</v>
      </c>
      <c r="K303">
        <v>1</v>
      </c>
      <c r="L303">
        <v>6341000</v>
      </c>
      <c r="M303">
        <v>0</v>
      </c>
      <c r="N303">
        <v>4871000</v>
      </c>
      <c r="O303">
        <v>6341000</v>
      </c>
    </row>
    <row r="304" spans="1:15" x14ac:dyDescent="0.35">
      <c r="A304" t="s">
        <v>464</v>
      </c>
      <c r="B304">
        <v>5330521.7391304346</v>
      </c>
      <c r="C304" t="s">
        <v>473</v>
      </c>
      <c r="D304" s="1">
        <v>44995</v>
      </c>
      <c r="E304" t="s">
        <v>36</v>
      </c>
      <c r="F304" t="s">
        <v>37</v>
      </c>
      <c r="G304" t="s">
        <v>274</v>
      </c>
      <c r="H304" t="s">
        <v>58</v>
      </c>
      <c r="I304" t="s">
        <v>463</v>
      </c>
      <c r="J304" t="s">
        <v>465</v>
      </c>
      <c r="K304">
        <v>1</v>
      </c>
      <c r="L304">
        <v>4500000</v>
      </c>
      <c r="M304">
        <v>0</v>
      </c>
      <c r="N304">
        <v>3506000</v>
      </c>
      <c r="O304">
        <v>4500000</v>
      </c>
    </row>
    <row r="305" spans="1:15" x14ac:dyDescent="0.35">
      <c r="A305" t="s">
        <v>464</v>
      </c>
      <c r="B305">
        <v>5330521.7391304346</v>
      </c>
      <c r="C305" t="s">
        <v>474</v>
      </c>
      <c r="D305" s="1">
        <v>45004</v>
      </c>
      <c r="E305" t="s">
        <v>41</v>
      </c>
      <c r="F305" t="s">
        <v>42</v>
      </c>
      <c r="G305" t="s">
        <v>136</v>
      </c>
      <c r="H305" t="s">
        <v>23</v>
      </c>
      <c r="I305" t="s">
        <v>463</v>
      </c>
      <c r="J305" t="s">
        <v>465</v>
      </c>
      <c r="K305">
        <v>1</v>
      </c>
      <c r="L305">
        <v>4743000</v>
      </c>
      <c r="M305">
        <v>0</v>
      </c>
      <c r="N305">
        <v>3656000</v>
      </c>
      <c r="O305">
        <v>4743000</v>
      </c>
    </row>
    <row r="306" spans="1:15" x14ac:dyDescent="0.35">
      <c r="A306" t="s">
        <v>464</v>
      </c>
      <c r="B306">
        <v>5330521.7391304346</v>
      </c>
      <c r="C306" t="s">
        <v>475</v>
      </c>
      <c r="D306" s="1">
        <v>45016</v>
      </c>
      <c r="E306" t="s">
        <v>41</v>
      </c>
      <c r="F306" t="s">
        <v>42</v>
      </c>
      <c r="G306" t="s">
        <v>45</v>
      </c>
      <c r="H306" t="s">
        <v>17</v>
      </c>
      <c r="I306" t="s">
        <v>463</v>
      </c>
      <c r="J306" t="s">
        <v>465</v>
      </c>
      <c r="K306">
        <v>1</v>
      </c>
      <c r="L306">
        <v>4816000</v>
      </c>
      <c r="M306">
        <v>0</v>
      </c>
      <c r="N306">
        <v>3678000</v>
      </c>
      <c r="O306">
        <v>4816000</v>
      </c>
    </row>
    <row r="307" spans="1:15" x14ac:dyDescent="0.35">
      <c r="A307" t="s">
        <v>464</v>
      </c>
      <c r="B307">
        <v>5330521.7391304346</v>
      </c>
      <c r="C307" t="s">
        <v>476</v>
      </c>
      <c r="D307" s="1">
        <v>45051</v>
      </c>
      <c r="E307" t="s">
        <v>41</v>
      </c>
      <c r="F307" t="s">
        <v>42</v>
      </c>
      <c r="G307" t="s">
        <v>244</v>
      </c>
      <c r="H307" t="s">
        <v>17</v>
      </c>
      <c r="I307" t="s">
        <v>463</v>
      </c>
      <c r="J307" t="s">
        <v>465</v>
      </c>
      <c r="K307">
        <v>5</v>
      </c>
      <c r="L307">
        <v>5983000</v>
      </c>
      <c r="M307">
        <v>0</v>
      </c>
      <c r="N307">
        <v>4428000</v>
      </c>
      <c r="O307">
        <v>5983000</v>
      </c>
    </row>
    <row r="308" spans="1:15" x14ac:dyDescent="0.35">
      <c r="A308" t="s">
        <v>464</v>
      </c>
      <c r="B308">
        <v>5330521.7391304346</v>
      </c>
      <c r="C308" t="s">
        <v>477</v>
      </c>
      <c r="D308" s="1">
        <v>45062</v>
      </c>
      <c r="E308" t="s">
        <v>49</v>
      </c>
      <c r="F308" t="s">
        <v>50</v>
      </c>
      <c r="G308" t="s">
        <v>134</v>
      </c>
      <c r="H308" t="s">
        <v>28</v>
      </c>
      <c r="I308" t="s">
        <v>463</v>
      </c>
      <c r="J308" t="s">
        <v>465</v>
      </c>
      <c r="K308">
        <v>1</v>
      </c>
      <c r="L308">
        <v>5330521.7391304346</v>
      </c>
      <c r="M308">
        <v>0</v>
      </c>
      <c r="N308">
        <v>0</v>
      </c>
      <c r="O308">
        <v>5330521.7391304346</v>
      </c>
    </row>
    <row r="309" spans="1:15" x14ac:dyDescent="0.35">
      <c r="A309" t="s">
        <v>464</v>
      </c>
      <c r="B309">
        <v>5330521.7391304346</v>
      </c>
      <c r="C309" t="s">
        <v>478</v>
      </c>
      <c r="D309" s="1">
        <v>45106</v>
      </c>
      <c r="E309" t="s">
        <v>14</v>
      </c>
      <c r="F309" t="s">
        <v>15</v>
      </c>
      <c r="G309" t="s">
        <v>39</v>
      </c>
      <c r="H309" t="s">
        <v>23</v>
      </c>
      <c r="I309" t="s">
        <v>463</v>
      </c>
      <c r="J309" t="s">
        <v>465</v>
      </c>
      <c r="K309">
        <v>1</v>
      </c>
      <c r="L309">
        <v>4153000</v>
      </c>
      <c r="M309">
        <v>0</v>
      </c>
      <c r="N309">
        <v>3188000</v>
      </c>
      <c r="O309">
        <v>4153000</v>
      </c>
    </row>
    <row r="310" spans="1:15" x14ac:dyDescent="0.35">
      <c r="A310" t="s">
        <v>464</v>
      </c>
      <c r="B310">
        <v>5330521.7391304346</v>
      </c>
      <c r="C310" t="s">
        <v>479</v>
      </c>
      <c r="D310" s="1">
        <v>45110</v>
      </c>
      <c r="E310" t="s">
        <v>49</v>
      </c>
      <c r="F310" t="s">
        <v>50</v>
      </c>
      <c r="G310" t="s">
        <v>191</v>
      </c>
      <c r="H310" t="s">
        <v>23</v>
      </c>
      <c r="I310" t="s">
        <v>463</v>
      </c>
      <c r="J310" t="s">
        <v>465</v>
      </c>
      <c r="K310">
        <v>1</v>
      </c>
      <c r="L310">
        <v>4386000</v>
      </c>
      <c r="M310">
        <v>0.1</v>
      </c>
      <c r="N310">
        <v>3346000</v>
      </c>
      <c r="O310">
        <v>4386000</v>
      </c>
    </row>
    <row r="311" spans="1:15" x14ac:dyDescent="0.35">
      <c r="A311" t="s">
        <v>464</v>
      </c>
      <c r="B311">
        <v>5330521.7391304346</v>
      </c>
      <c r="C311" t="s">
        <v>480</v>
      </c>
      <c r="D311" s="1">
        <v>45120</v>
      </c>
      <c r="E311" t="s">
        <v>14</v>
      </c>
      <c r="F311" t="s">
        <v>15</v>
      </c>
      <c r="G311" t="s">
        <v>79</v>
      </c>
      <c r="H311" t="s">
        <v>17</v>
      </c>
      <c r="I311" t="s">
        <v>463</v>
      </c>
      <c r="J311" t="s">
        <v>465</v>
      </c>
      <c r="K311">
        <v>2</v>
      </c>
      <c r="L311">
        <v>6004000</v>
      </c>
      <c r="M311">
        <v>0</v>
      </c>
      <c r="N311">
        <v>4617000</v>
      </c>
      <c r="O311">
        <v>6004000</v>
      </c>
    </row>
    <row r="312" spans="1:15" x14ac:dyDescent="0.35">
      <c r="A312" t="s">
        <v>464</v>
      </c>
      <c r="B312">
        <v>5330521.7391304346</v>
      </c>
      <c r="C312" t="s">
        <v>481</v>
      </c>
      <c r="D312" s="1">
        <v>45129</v>
      </c>
      <c r="E312" t="s">
        <v>14</v>
      </c>
      <c r="F312" t="s">
        <v>15</v>
      </c>
      <c r="G312" t="s">
        <v>182</v>
      </c>
      <c r="H312" t="s">
        <v>23</v>
      </c>
      <c r="I312" t="s">
        <v>463</v>
      </c>
      <c r="J312" t="s">
        <v>465</v>
      </c>
      <c r="K312">
        <v>5</v>
      </c>
      <c r="L312">
        <v>5192000</v>
      </c>
      <c r="M312">
        <v>0</v>
      </c>
      <c r="N312">
        <v>3941000</v>
      </c>
      <c r="O312">
        <v>5192000</v>
      </c>
    </row>
    <row r="313" spans="1:15" x14ac:dyDescent="0.35">
      <c r="A313" t="s">
        <v>464</v>
      </c>
      <c r="B313">
        <v>5330521.7391304346</v>
      </c>
      <c r="C313" t="s">
        <v>482</v>
      </c>
      <c r="D313" s="1">
        <v>45162</v>
      </c>
      <c r="E313" t="s">
        <v>14</v>
      </c>
      <c r="F313" t="s">
        <v>15</v>
      </c>
      <c r="G313" t="s">
        <v>402</v>
      </c>
      <c r="H313" t="s">
        <v>23</v>
      </c>
      <c r="I313" t="s">
        <v>463</v>
      </c>
      <c r="J313" t="s">
        <v>465</v>
      </c>
      <c r="K313">
        <v>3</v>
      </c>
      <c r="L313">
        <v>4501000</v>
      </c>
      <c r="M313">
        <v>0</v>
      </c>
      <c r="N313">
        <v>3464000</v>
      </c>
      <c r="O313">
        <v>4501000</v>
      </c>
    </row>
    <row r="314" spans="1:15" x14ac:dyDescent="0.35">
      <c r="A314" t="s">
        <v>464</v>
      </c>
      <c r="B314">
        <v>5330521.7391304346</v>
      </c>
      <c r="C314" t="s">
        <v>483</v>
      </c>
      <c r="D314" s="1">
        <v>45165</v>
      </c>
      <c r="E314" t="s">
        <v>41</v>
      </c>
      <c r="F314" t="s">
        <v>42</v>
      </c>
      <c r="G314" t="s">
        <v>242</v>
      </c>
      <c r="H314" t="s">
        <v>17</v>
      </c>
      <c r="I314" t="s">
        <v>463</v>
      </c>
      <c r="J314" t="s">
        <v>465</v>
      </c>
      <c r="K314">
        <v>3</v>
      </c>
      <c r="L314">
        <v>6476000</v>
      </c>
      <c r="M314">
        <v>0.1</v>
      </c>
      <c r="N314">
        <v>4907000</v>
      </c>
      <c r="O314">
        <v>6476000</v>
      </c>
    </row>
    <row r="315" spans="1:15" x14ac:dyDescent="0.35">
      <c r="A315" t="s">
        <v>464</v>
      </c>
      <c r="B315">
        <v>5330521.7391304346</v>
      </c>
      <c r="C315" t="s">
        <v>484</v>
      </c>
      <c r="D315" s="1">
        <v>45173</v>
      </c>
      <c r="E315" t="s">
        <v>41</v>
      </c>
      <c r="F315" t="s">
        <v>42</v>
      </c>
      <c r="G315" t="s">
        <v>71</v>
      </c>
      <c r="H315" t="s">
        <v>23</v>
      </c>
      <c r="I315" t="s">
        <v>463</v>
      </c>
      <c r="J315" t="s">
        <v>465</v>
      </c>
      <c r="K315">
        <v>2</v>
      </c>
      <c r="L315">
        <v>4561000</v>
      </c>
      <c r="M315">
        <v>0</v>
      </c>
      <c r="N315">
        <v>3378000</v>
      </c>
      <c r="O315">
        <v>4561000</v>
      </c>
    </row>
    <row r="316" spans="1:15" x14ac:dyDescent="0.35">
      <c r="A316" t="s">
        <v>464</v>
      </c>
      <c r="B316">
        <v>5330521.7391304346</v>
      </c>
      <c r="C316" t="s">
        <v>485</v>
      </c>
      <c r="D316" s="1">
        <v>45176</v>
      </c>
      <c r="E316" t="s">
        <v>25</v>
      </c>
      <c r="F316" t="s">
        <v>26</v>
      </c>
      <c r="G316" t="s">
        <v>141</v>
      </c>
      <c r="H316" t="s">
        <v>17</v>
      </c>
      <c r="I316" t="s">
        <v>463</v>
      </c>
      <c r="J316" t="s">
        <v>465</v>
      </c>
      <c r="K316">
        <v>1</v>
      </c>
      <c r="L316">
        <v>6176000</v>
      </c>
      <c r="M316">
        <v>0</v>
      </c>
      <c r="N316">
        <v>4776000</v>
      </c>
      <c r="O316">
        <v>6176000</v>
      </c>
    </row>
    <row r="317" spans="1:15" x14ac:dyDescent="0.35">
      <c r="A317" t="s">
        <v>464</v>
      </c>
      <c r="B317">
        <v>5330521.7391304346</v>
      </c>
      <c r="C317" t="s">
        <v>486</v>
      </c>
      <c r="D317" s="1">
        <v>45178</v>
      </c>
      <c r="E317" t="s">
        <v>14</v>
      </c>
      <c r="F317" t="s">
        <v>15</v>
      </c>
      <c r="G317" t="s">
        <v>146</v>
      </c>
      <c r="H317" t="s">
        <v>17</v>
      </c>
      <c r="I317" t="s">
        <v>463</v>
      </c>
      <c r="J317" t="s">
        <v>465</v>
      </c>
      <c r="K317">
        <v>1</v>
      </c>
      <c r="L317">
        <v>5809000</v>
      </c>
      <c r="M317">
        <v>0</v>
      </c>
      <c r="N317">
        <v>4464000</v>
      </c>
      <c r="O317">
        <v>5809000</v>
      </c>
    </row>
    <row r="318" spans="1:15" x14ac:dyDescent="0.35">
      <c r="A318" t="s">
        <v>464</v>
      </c>
      <c r="B318">
        <v>5330521.7391304346</v>
      </c>
      <c r="C318" t="s">
        <v>487</v>
      </c>
      <c r="D318" s="1">
        <v>45192</v>
      </c>
      <c r="E318" t="s">
        <v>14</v>
      </c>
      <c r="F318" t="s">
        <v>15</v>
      </c>
      <c r="G318" t="s">
        <v>119</v>
      </c>
      <c r="H318" t="s">
        <v>23</v>
      </c>
      <c r="I318" t="s">
        <v>463</v>
      </c>
      <c r="J318" t="s">
        <v>465</v>
      </c>
      <c r="K318">
        <v>2</v>
      </c>
      <c r="L318">
        <v>5077000</v>
      </c>
      <c r="M318">
        <v>0</v>
      </c>
      <c r="N318">
        <v>3943000</v>
      </c>
      <c r="O318">
        <v>5077000</v>
      </c>
    </row>
    <row r="319" spans="1:15" x14ac:dyDescent="0.35">
      <c r="A319" t="s">
        <v>464</v>
      </c>
      <c r="B319">
        <v>5330521.7391304346</v>
      </c>
      <c r="C319" t="s">
        <v>488</v>
      </c>
      <c r="D319" s="1">
        <v>45193</v>
      </c>
      <c r="E319" t="s">
        <v>14</v>
      </c>
      <c r="F319" t="s">
        <v>15</v>
      </c>
      <c r="G319" t="s">
        <v>489</v>
      </c>
      <c r="H319" t="s">
        <v>17</v>
      </c>
      <c r="I319" t="s">
        <v>463</v>
      </c>
      <c r="J319" t="s">
        <v>465</v>
      </c>
      <c r="K319">
        <v>1</v>
      </c>
      <c r="L319">
        <v>5330521.7391304346</v>
      </c>
      <c r="M319">
        <v>0.05</v>
      </c>
      <c r="N319">
        <v>3800000</v>
      </c>
      <c r="O319">
        <v>5330521.7391304346</v>
      </c>
    </row>
    <row r="320" spans="1:15" x14ac:dyDescent="0.35">
      <c r="A320" t="s">
        <v>464</v>
      </c>
      <c r="B320">
        <v>5330521.7391304346</v>
      </c>
      <c r="C320" t="s">
        <v>490</v>
      </c>
      <c r="D320" s="1">
        <v>45195</v>
      </c>
      <c r="E320" t="s">
        <v>25</v>
      </c>
      <c r="F320" t="s">
        <v>26</v>
      </c>
      <c r="G320" t="s">
        <v>337</v>
      </c>
      <c r="H320" t="s">
        <v>23</v>
      </c>
      <c r="I320" t="s">
        <v>463</v>
      </c>
      <c r="J320" t="s">
        <v>465</v>
      </c>
      <c r="K320">
        <v>1</v>
      </c>
      <c r="L320">
        <v>4225000</v>
      </c>
      <c r="M320">
        <v>0</v>
      </c>
      <c r="N320">
        <v>3213000</v>
      </c>
      <c r="O320">
        <v>4225000</v>
      </c>
    </row>
    <row r="321" spans="1:15" x14ac:dyDescent="0.35">
      <c r="A321" t="s">
        <v>464</v>
      </c>
      <c r="B321">
        <v>5330521.7391304346</v>
      </c>
      <c r="C321" t="s">
        <v>491</v>
      </c>
      <c r="D321" s="1">
        <v>45202</v>
      </c>
      <c r="E321" t="s">
        <v>14</v>
      </c>
      <c r="F321" t="s">
        <v>15</v>
      </c>
      <c r="G321" t="s">
        <v>218</v>
      </c>
      <c r="H321" t="s">
        <v>23</v>
      </c>
      <c r="I321" t="s">
        <v>463</v>
      </c>
      <c r="J321" t="s">
        <v>465</v>
      </c>
      <c r="K321">
        <v>1</v>
      </c>
      <c r="L321">
        <v>6470000</v>
      </c>
      <c r="M321">
        <v>0</v>
      </c>
      <c r="N321">
        <v>5009000</v>
      </c>
      <c r="O321">
        <v>6470000</v>
      </c>
    </row>
    <row r="322" spans="1:15" x14ac:dyDescent="0.35">
      <c r="A322" t="s">
        <v>464</v>
      </c>
      <c r="B322">
        <v>5330521.7391304346</v>
      </c>
      <c r="C322" t="s">
        <v>492</v>
      </c>
      <c r="D322" s="1">
        <v>45267</v>
      </c>
      <c r="E322" t="s">
        <v>14</v>
      </c>
      <c r="F322" t="s">
        <v>15</v>
      </c>
      <c r="G322" t="s">
        <v>493</v>
      </c>
      <c r="H322" t="s">
        <v>23</v>
      </c>
      <c r="I322" t="s">
        <v>463</v>
      </c>
      <c r="J322" t="s">
        <v>465</v>
      </c>
      <c r="K322">
        <v>1</v>
      </c>
      <c r="L322">
        <v>5330521.7391304346</v>
      </c>
      <c r="M322">
        <v>0</v>
      </c>
      <c r="N322">
        <v>3800000</v>
      </c>
      <c r="O322">
        <v>5330521.7391304346</v>
      </c>
    </row>
    <row r="323" spans="1:15" x14ac:dyDescent="0.35">
      <c r="A323" t="s">
        <v>464</v>
      </c>
      <c r="B323">
        <v>5330521.7391304346</v>
      </c>
      <c r="C323" t="s">
        <v>494</v>
      </c>
      <c r="D323" s="1">
        <v>45314</v>
      </c>
      <c r="E323" t="s">
        <v>14</v>
      </c>
      <c r="F323" t="s">
        <v>15</v>
      </c>
      <c r="G323" t="s">
        <v>307</v>
      </c>
      <c r="H323" t="s">
        <v>28</v>
      </c>
      <c r="I323" t="s">
        <v>463</v>
      </c>
      <c r="J323" t="s">
        <v>465</v>
      </c>
      <c r="K323">
        <v>1</v>
      </c>
      <c r="L323">
        <v>5805000</v>
      </c>
      <c r="M323">
        <v>0</v>
      </c>
      <c r="N323">
        <v>4348000</v>
      </c>
      <c r="O323">
        <v>5805000</v>
      </c>
    </row>
    <row r="324" spans="1:15" x14ac:dyDescent="0.35">
      <c r="A324" t="s">
        <v>464</v>
      </c>
      <c r="B324">
        <v>5330521.7391304346</v>
      </c>
      <c r="C324" t="s">
        <v>495</v>
      </c>
      <c r="D324" s="1">
        <v>45320</v>
      </c>
      <c r="E324" t="s">
        <v>41</v>
      </c>
      <c r="F324" t="s">
        <v>42</v>
      </c>
      <c r="G324" t="s">
        <v>493</v>
      </c>
      <c r="H324" t="s">
        <v>23</v>
      </c>
      <c r="I324" t="s">
        <v>463</v>
      </c>
      <c r="J324" t="s">
        <v>465</v>
      </c>
      <c r="K324">
        <v>3</v>
      </c>
      <c r="L324">
        <v>5625000</v>
      </c>
      <c r="M324">
        <v>0</v>
      </c>
      <c r="N324">
        <v>4336000</v>
      </c>
      <c r="O324">
        <v>5625000</v>
      </c>
    </row>
    <row r="325" spans="1:15" x14ac:dyDescent="0.35">
      <c r="A325" t="s">
        <v>464</v>
      </c>
      <c r="B325">
        <v>5330521.7391304346</v>
      </c>
      <c r="C325" t="s">
        <v>496</v>
      </c>
      <c r="D325" s="1">
        <v>45321</v>
      </c>
      <c r="E325" t="s">
        <v>14</v>
      </c>
      <c r="F325" t="s">
        <v>15</v>
      </c>
      <c r="G325" t="s">
        <v>43</v>
      </c>
      <c r="H325" t="s">
        <v>17</v>
      </c>
      <c r="I325" t="s">
        <v>463</v>
      </c>
      <c r="J325" t="s">
        <v>465</v>
      </c>
      <c r="K325">
        <v>5</v>
      </c>
      <c r="L325">
        <v>5489000</v>
      </c>
      <c r="M325">
        <v>0</v>
      </c>
      <c r="N325">
        <v>4068000</v>
      </c>
      <c r="O325">
        <v>5489000</v>
      </c>
    </row>
    <row r="326" spans="1:15" x14ac:dyDescent="0.35">
      <c r="A326" t="s">
        <v>464</v>
      </c>
      <c r="B326">
        <v>5330521.7391304346</v>
      </c>
      <c r="C326" t="s">
        <v>497</v>
      </c>
      <c r="D326" s="1">
        <v>45349</v>
      </c>
      <c r="E326" t="s">
        <v>49</v>
      </c>
      <c r="F326" t="s">
        <v>50</v>
      </c>
      <c r="G326" t="s">
        <v>498</v>
      </c>
      <c r="H326" t="s">
        <v>23</v>
      </c>
      <c r="I326" t="s">
        <v>463</v>
      </c>
      <c r="J326" t="s">
        <v>465</v>
      </c>
      <c r="K326">
        <v>1</v>
      </c>
      <c r="L326">
        <v>6360000</v>
      </c>
      <c r="M326">
        <v>0</v>
      </c>
      <c r="N326">
        <v>4863000</v>
      </c>
      <c r="O326">
        <v>6360000</v>
      </c>
    </row>
    <row r="327" spans="1:15" x14ac:dyDescent="0.35">
      <c r="A327" t="s">
        <v>464</v>
      </c>
      <c r="B327">
        <v>5330521.7391304346</v>
      </c>
      <c r="C327" t="s">
        <v>499</v>
      </c>
      <c r="D327" s="1">
        <v>45372</v>
      </c>
      <c r="E327" t="s">
        <v>25</v>
      </c>
      <c r="F327" t="s">
        <v>26</v>
      </c>
      <c r="G327" t="s">
        <v>117</v>
      </c>
      <c r="H327" t="s">
        <v>23</v>
      </c>
      <c r="I327" t="s">
        <v>463</v>
      </c>
      <c r="J327" t="s">
        <v>465</v>
      </c>
      <c r="K327">
        <v>1</v>
      </c>
      <c r="L327">
        <v>4091000</v>
      </c>
      <c r="M327">
        <v>0</v>
      </c>
      <c r="N327">
        <v>3139000</v>
      </c>
      <c r="O327">
        <v>4091000</v>
      </c>
    </row>
    <row r="328" spans="1:15" x14ac:dyDescent="0.35">
      <c r="A328" t="s">
        <v>464</v>
      </c>
      <c r="B328">
        <v>5330521.7391304346</v>
      </c>
      <c r="C328" t="s">
        <v>500</v>
      </c>
      <c r="D328" s="1">
        <v>45373</v>
      </c>
      <c r="E328" t="s">
        <v>41</v>
      </c>
      <c r="F328" t="s">
        <v>42</v>
      </c>
      <c r="G328" t="s">
        <v>91</v>
      </c>
      <c r="H328" t="s">
        <v>23</v>
      </c>
      <c r="I328" t="s">
        <v>463</v>
      </c>
      <c r="J328" t="s">
        <v>465</v>
      </c>
      <c r="K328">
        <v>1</v>
      </c>
      <c r="L328">
        <v>3930000</v>
      </c>
      <c r="M328">
        <v>0</v>
      </c>
      <c r="N328">
        <v>2928000</v>
      </c>
      <c r="O328">
        <v>3930000</v>
      </c>
    </row>
    <row r="329" spans="1:15" x14ac:dyDescent="0.35">
      <c r="A329" t="s">
        <v>464</v>
      </c>
      <c r="B329">
        <v>5330521.7391304346</v>
      </c>
      <c r="C329" t="s">
        <v>501</v>
      </c>
      <c r="D329" s="1">
        <v>45427</v>
      </c>
      <c r="E329" t="s">
        <v>14</v>
      </c>
      <c r="F329" t="s">
        <v>15</v>
      </c>
      <c r="G329" t="s">
        <v>144</v>
      </c>
      <c r="H329" t="s">
        <v>23</v>
      </c>
      <c r="I329" t="s">
        <v>463</v>
      </c>
      <c r="J329" t="s">
        <v>465</v>
      </c>
      <c r="K329">
        <v>2</v>
      </c>
      <c r="L329">
        <v>5174000</v>
      </c>
      <c r="M329">
        <v>0.1</v>
      </c>
      <c r="N329">
        <v>4010000</v>
      </c>
      <c r="O329">
        <v>5174000</v>
      </c>
    </row>
    <row r="330" spans="1:15" x14ac:dyDescent="0.35">
      <c r="A330" t="s">
        <v>464</v>
      </c>
      <c r="B330">
        <v>5330521.7391304346</v>
      </c>
      <c r="C330" t="s">
        <v>502</v>
      </c>
      <c r="D330" s="1">
        <v>45473</v>
      </c>
      <c r="E330" t="s">
        <v>41</v>
      </c>
      <c r="F330" t="s">
        <v>42</v>
      </c>
      <c r="G330" t="s">
        <v>333</v>
      </c>
      <c r="H330" t="s">
        <v>17</v>
      </c>
      <c r="I330" t="s">
        <v>463</v>
      </c>
      <c r="J330" t="s">
        <v>465</v>
      </c>
      <c r="K330">
        <v>2</v>
      </c>
      <c r="L330">
        <v>5776000</v>
      </c>
      <c r="M330">
        <v>0.05</v>
      </c>
      <c r="N330">
        <v>4457000</v>
      </c>
      <c r="O330">
        <v>5776000</v>
      </c>
    </row>
    <row r="331" spans="1:15" x14ac:dyDescent="0.35">
      <c r="A331" t="s">
        <v>464</v>
      </c>
      <c r="B331">
        <v>5330521.7391304346</v>
      </c>
      <c r="C331" t="s">
        <v>503</v>
      </c>
      <c r="D331" s="1">
        <v>45474</v>
      </c>
      <c r="E331" t="s">
        <v>25</v>
      </c>
      <c r="F331" t="s">
        <v>26</v>
      </c>
      <c r="G331" t="s">
        <v>182</v>
      </c>
      <c r="H331" t="s">
        <v>23</v>
      </c>
      <c r="I331" t="s">
        <v>463</v>
      </c>
      <c r="J331" t="s">
        <v>465</v>
      </c>
      <c r="K331">
        <v>1</v>
      </c>
      <c r="L331">
        <v>4584000</v>
      </c>
      <c r="M331">
        <v>0</v>
      </c>
      <c r="N331">
        <v>3469000</v>
      </c>
      <c r="O331">
        <v>4584000</v>
      </c>
    </row>
    <row r="332" spans="1:15" x14ac:dyDescent="0.35">
      <c r="A332" t="s">
        <v>464</v>
      </c>
      <c r="B332">
        <v>5330521.7391304346</v>
      </c>
      <c r="C332" t="s">
        <v>504</v>
      </c>
      <c r="D332" s="1">
        <v>45485</v>
      </c>
      <c r="E332" t="s">
        <v>14</v>
      </c>
      <c r="F332" t="s">
        <v>15</v>
      </c>
      <c r="G332" t="s">
        <v>32</v>
      </c>
      <c r="H332" t="s">
        <v>23</v>
      </c>
      <c r="I332" t="s">
        <v>463</v>
      </c>
      <c r="J332" t="s">
        <v>465</v>
      </c>
      <c r="K332">
        <v>1</v>
      </c>
      <c r="L332">
        <v>3840000</v>
      </c>
      <c r="M332">
        <v>0</v>
      </c>
      <c r="N332">
        <v>2899000</v>
      </c>
      <c r="O332">
        <v>3840000</v>
      </c>
    </row>
    <row r="333" spans="1:15" x14ac:dyDescent="0.35">
      <c r="A333" t="s">
        <v>464</v>
      </c>
      <c r="B333">
        <v>5330521.7391304346</v>
      </c>
      <c r="C333" t="s">
        <v>505</v>
      </c>
      <c r="D333" s="1">
        <v>45503</v>
      </c>
      <c r="E333" t="s">
        <v>14</v>
      </c>
      <c r="F333" t="s">
        <v>15</v>
      </c>
      <c r="G333" t="s">
        <v>309</v>
      </c>
      <c r="H333" t="s">
        <v>23</v>
      </c>
      <c r="I333" t="s">
        <v>463</v>
      </c>
      <c r="J333" t="s">
        <v>465</v>
      </c>
      <c r="K333">
        <v>1</v>
      </c>
      <c r="L333">
        <v>6103000</v>
      </c>
      <c r="M333">
        <v>0</v>
      </c>
      <c r="N333">
        <v>4696000</v>
      </c>
      <c r="O333">
        <v>6103000</v>
      </c>
    </row>
    <row r="334" spans="1:15" x14ac:dyDescent="0.35">
      <c r="A334" t="s">
        <v>464</v>
      </c>
      <c r="B334">
        <v>5330521.7391304346</v>
      </c>
      <c r="C334" t="s">
        <v>506</v>
      </c>
      <c r="D334" s="1">
        <v>45507</v>
      </c>
      <c r="E334" t="s">
        <v>14</v>
      </c>
      <c r="F334" t="s">
        <v>15</v>
      </c>
      <c r="G334" t="s">
        <v>489</v>
      </c>
      <c r="H334" t="s">
        <v>17</v>
      </c>
      <c r="I334" t="s">
        <v>463</v>
      </c>
      <c r="J334" t="s">
        <v>465</v>
      </c>
      <c r="K334">
        <v>1</v>
      </c>
      <c r="L334">
        <v>4339000</v>
      </c>
      <c r="M334">
        <v>0</v>
      </c>
      <c r="N334">
        <v>3297000</v>
      </c>
      <c r="O334">
        <v>4339000</v>
      </c>
    </row>
    <row r="335" spans="1:15" x14ac:dyDescent="0.35">
      <c r="A335" t="s">
        <v>464</v>
      </c>
      <c r="B335">
        <v>5330521.7391304346</v>
      </c>
      <c r="C335" t="s">
        <v>507</v>
      </c>
      <c r="D335" s="1">
        <v>45515</v>
      </c>
      <c r="E335" t="s">
        <v>25</v>
      </c>
      <c r="F335" t="s">
        <v>26</v>
      </c>
      <c r="G335" t="s">
        <v>193</v>
      </c>
      <c r="H335" t="s">
        <v>23</v>
      </c>
      <c r="I335" t="s">
        <v>463</v>
      </c>
      <c r="J335" t="s">
        <v>465</v>
      </c>
      <c r="K335">
        <v>1</v>
      </c>
      <c r="L335">
        <v>6356000</v>
      </c>
      <c r="M335">
        <v>0</v>
      </c>
      <c r="N335">
        <v>4816000</v>
      </c>
      <c r="O335">
        <v>6356000</v>
      </c>
    </row>
    <row r="336" spans="1:15" x14ac:dyDescent="0.35">
      <c r="A336" t="s">
        <v>464</v>
      </c>
      <c r="B336">
        <v>5330521.7391304346</v>
      </c>
      <c r="C336" t="s">
        <v>508</v>
      </c>
      <c r="D336" s="1">
        <v>45536</v>
      </c>
      <c r="E336" t="s">
        <v>49</v>
      </c>
      <c r="F336" t="s">
        <v>50</v>
      </c>
      <c r="G336" t="s">
        <v>126</v>
      </c>
      <c r="H336" t="s">
        <v>17</v>
      </c>
      <c r="I336" t="s">
        <v>463</v>
      </c>
      <c r="J336" t="s">
        <v>465</v>
      </c>
      <c r="K336">
        <v>1</v>
      </c>
      <c r="L336">
        <v>6820000</v>
      </c>
      <c r="M336">
        <v>0.1</v>
      </c>
      <c r="N336">
        <v>5222000</v>
      </c>
      <c r="O336">
        <v>6820000</v>
      </c>
    </row>
    <row r="337" spans="1:15" x14ac:dyDescent="0.35">
      <c r="A337" t="s">
        <v>464</v>
      </c>
      <c r="B337">
        <v>5330521.7391304346</v>
      </c>
      <c r="C337" t="s">
        <v>509</v>
      </c>
      <c r="D337" s="1">
        <v>45553</v>
      </c>
      <c r="E337" t="s">
        <v>14</v>
      </c>
      <c r="F337" t="s">
        <v>15</v>
      </c>
      <c r="G337" t="s">
        <v>221</v>
      </c>
      <c r="H337" t="s">
        <v>17</v>
      </c>
      <c r="I337" t="s">
        <v>463</v>
      </c>
      <c r="J337" t="s">
        <v>465</v>
      </c>
      <c r="K337">
        <v>1</v>
      </c>
      <c r="L337">
        <v>5330521.7391304346</v>
      </c>
      <c r="M337">
        <v>0</v>
      </c>
      <c r="N337">
        <v>0</v>
      </c>
      <c r="O337">
        <v>5330521.7391304346</v>
      </c>
    </row>
    <row r="338" spans="1:15" x14ac:dyDescent="0.35">
      <c r="A338" t="s">
        <v>464</v>
      </c>
      <c r="B338">
        <v>5330521.7391304346</v>
      </c>
      <c r="C338" t="s">
        <v>510</v>
      </c>
      <c r="D338" s="1">
        <v>45582</v>
      </c>
      <c r="E338" t="s">
        <v>49</v>
      </c>
      <c r="F338" t="s">
        <v>50</v>
      </c>
      <c r="G338" t="s">
        <v>57</v>
      </c>
      <c r="H338" t="s">
        <v>58</v>
      </c>
      <c r="I338" t="s">
        <v>463</v>
      </c>
      <c r="J338" t="s">
        <v>465</v>
      </c>
      <c r="K338">
        <v>1</v>
      </c>
      <c r="L338">
        <v>5506000</v>
      </c>
      <c r="M338">
        <v>0</v>
      </c>
      <c r="N338">
        <v>4092000</v>
      </c>
      <c r="O338">
        <v>5506000</v>
      </c>
    </row>
    <row r="339" spans="1:15" x14ac:dyDescent="0.35">
      <c r="A339" t="s">
        <v>464</v>
      </c>
      <c r="B339">
        <v>5330521.7391304346</v>
      </c>
      <c r="C339" t="s">
        <v>511</v>
      </c>
      <c r="D339" s="1">
        <v>45582</v>
      </c>
      <c r="E339" t="s">
        <v>14</v>
      </c>
      <c r="F339" t="s">
        <v>15</v>
      </c>
      <c r="G339" t="s">
        <v>329</v>
      </c>
      <c r="H339" t="s">
        <v>28</v>
      </c>
      <c r="I339" t="s">
        <v>463</v>
      </c>
      <c r="J339" t="s">
        <v>465</v>
      </c>
      <c r="K339">
        <v>1</v>
      </c>
      <c r="L339">
        <v>3997000</v>
      </c>
      <c r="M339">
        <v>0</v>
      </c>
      <c r="N339">
        <v>3093000</v>
      </c>
      <c r="O339">
        <v>3997000</v>
      </c>
    </row>
    <row r="340" spans="1:15" x14ac:dyDescent="0.35">
      <c r="A340" t="s">
        <v>464</v>
      </c>
      <c r="B340">
        <v>5330521.7391304346</v>
      </c>
      <c r="C340" t="s">
        <v>512</v>
      </c>
      <c r="D340" s="1">
        <v>45618</v>
      </c>
      <c r="E340" t="s">
        <v>49</v>
      </c>
      <c r="F340" t="s">
        <v>50</v>
      </c>
      <c r="G340" t="s">
        <v>97</v>
      </c>
      <c r="H340" t="s">
        <v>23</v>
      </c>
      <c r="I340" t="s">
        <v>463</v>
      </c>
      <c r="J340" t="s">
        <v>465</v>
      </c>
      <c r="K340">
        <v>1</v>
      </c>
      <c r="L340">
        <v>6428000</v>
      </c>
      <c r="M340">
        <v>0</v>
      </c>
      <c r="N340">
        <v>4824000</v>
      </c>
      <c r="O340">
        <v>6428000</v>
      </c>
    </row>
    <row r="341" spans="1:15" x14ac:dyDescent="0.35">
      <c r="A341" t="s">
        <v>464</v>
      </c>
      <c r="B341">
        <v>5330521.7391304346</v>
      </c>
      <c r="C341" t="s">
        <v>513</v>
      </c>
      <c r="D341" s="1">
        <v>45620</v>
      </c>
      <c r="E341" t="s">
        <v>25</v>
      </c>
      <c r="F341" t="s">
        <v>26</v>
      </c>
      <c r="G341" t="s">
        <v>81</v>
      </c>
      <c r="H341" t="s">
        <v>17</v>
      </c>
      <c r="I341" t="s">
        <v>463</v>
      </c>
      <c r="J341" t="s">
        <v>465</v>
      </c>
      <c r="K341">
        <v>1</v>
      </c>
      <c r="L341">
        <v>6340000</v>
      </c>
      <c r="M341">
        <v>0</v>
      </c>
      <c r="N341">
        <v>4842000</v>
      </c>
      <c r="O341">
        <v>6340000</v>
      </c>
    </row>
    <row r="342" spans="1:15" x14ac:dyDescent="0.35">
      <c r="A342" t="s">
        <v>464</v>
      </c>
      <c r="B342">
        <v>5330521.7391304346</v>
      </c>
      <c r="C342" t="s">
        <v>514</v>
      </c>
      <c r="D342" s="1">
        <v>45624</v>
      </c>
      <c r="E342" t="s">
        <v>14</v>
      </c>
      <c r="F342" t="s">
        <v>15</v>
      </c>
      <c r="G342" t="s">
        <v>333</v>
      </c>
      <c r="H342" t="s">
        <v>17</v>
      </c>
      <c r="I342" t="s">
        <v>463</v>
      </c>
      <c r="J342" t="s">
        <v>465</v>
      </c>
      <c r="K342">
        <v>1</v>
      </c>
      <c r="L342">
        <v>5844000</v>
      </c>
      <c r="M342">
        <v>0</v>
      </c>
      <c r="N342">
        <v>4482000</v>
      </c>
      <c r="O342">
        <v>5844000</v>
      </c>
    </row>
    <row r="343" spans="1:15" x14ac:dyDescent="0.35">
      <c r="A343" t="s">
        <v>464</v>
      </c>
      <c r="B343">
        <v>5330521.7391304346</v>
      </c>
      <c r="C343" t="s">
        <v>515</v>
      </c>
      <c r="D343" s="1">
        <v>45641</v>
      </c>
      <c r="E343" t="s">
        <v>14</v>
      </c>
      <c r="F343" t="s">
        <v>15</v>
      </c>
      <c r="G343" t="s">
        <v>119</v>
      </c>
      <c r="H343" t="s">
        <v>23</v>
      </c>
      <c r="I343" t="s">
        <v>463</v>
      </c>
      <c r="J343" t="s">
        <v>465</v>
      </c>
      <c r="K343">
        <v>1</v>
      </c>
      <c r="L343">
        <v>4997000</v>
      </c>
      <c r="M343">
        <v>0.1</v>
      </c>
      <c r="N343">
        <v>3814000</v>
      </c>
      <c r="O343">
        <v>4997000</v>
      </c>
    </row>
    <row r="344" spans="1:15" x14ac:dyDescent="0.35">
      <c r="A344" t="s">
        <v>464</v>
      </c>
      <c r="B344">
        <v>5330521.7391304346</v>
      </c>
      <c r="C344" t="s">
        <v>516</v>
      </c>
      <c r="D344" s="1">
        <v>45644</v>
      </c>
      <c r="E344" t="s">
        <v>41</v>
      </c>
      <c r="F344" t="s">
        <v>42</v>
      </c>
      <c r="G344" t="s">
        <v>517</v>
      </c>
      <c r="H344" t="s">
        <v>23</v>
      </c>
      <c r="I344" t="s">
        <v>463</v>
      </c>
      <c r="J344" t="s">
        <v>465</v>
      </c>
      <c r="K344">
        <v>1</v>
      </c>
      <c r="L344">
        <v>5492000</v>
      </c>
      <c r="M344">
        <v>0</v>
      </c>
      <c r="N344">
        <v>4221000</v>
      </c>
      <c r="O344">
        <v>5492000</v>
      </c>
    </row>
    <row r="345" spans="1:15" x14ac:dyDescent="0.35">
      <c r="A345" t="s">
        <v>464</v>
      </c>
      <c r="B345">
        <v>5330521.7391304346</v>
      </c>
      <c r="C345" t="s">
        <v>518</v>
      </c>
      <c r="D345" s="1">
        <v>45656</v>
      </c>
      <c r="E345" t="s">
        <v>49</v>
      </c>
      <c r="F345" t="s">
        <v>50</v>
      </c>
      <c r="G345" t="s">
        <v>89</v>
      </c>
      <c r="H345" t="s">
        <v>23</v>
      </c>
      <c r="I345" t="s">
        <v>463</v>
      </c>
      <c r="J345" t="s">
        <v>465</v>
      </c>
      <c r="K345">
        <v>1</v>
      </c>
      <c r="L345">
        <v>5792000</v>
      </c>
      <c r="M345">
        <v>0.05</v>
      </c>
      <c r="N345">
        <v>4472000</v>
      </c>
      <c r="O345">
        <v>5792000</v>
      </c>
    </row>
    <row r="346" spans="1:15" x14ac:dyDescent="0.35">
      <c r="A346" t="s">
        <v>464</v>
      </c>
      <c r="B346">
        <v>5330521.7391304346</v>
      </c>
      <c r="C346" t="s">
        <v>519</v>
      </c>
      <c r="D346" s="1">
        <v>45683</v>
      </c>
      <c r="E346" t="s">
        <v>14</v>
      </c>
      <c r="F346" t="s">
        <v>15</v>
      </c>
      <c r="G346" t="s">
        <v>152</v>
      </c>
      <c r="H346" t="s">
        <v>23</v>
      </c>
      <c r="I346" t="s">
        <v>463</v>
      </c>
      <c r="J346" t="s">
        <v>465</v>
      </c>
      <c r="K346">
        <v>3</v>
      </c>
      <c r="L346">
        <v>5099000</v>
      </c>
      <c r="M346">
        <v>0</v>
      </c>
      <c r="N346">
        <v>3809000</v>
      </c>
      <c r="O346">
        <v>5099000</v>
      </c>
    </row>
    <row r="347" spans="1:15" x14ac:dyDescent="0.35">
      <c r="A347" t="s">
        <v>464</v>
      </c>
      <c r="B347">
        <v>5330521.7391304346</v>
      </c>
      <c r="C347" t="s">
        <v>520</v>
      </c>
      <c r="D347" s="1">
        <v>45694</v>
      </c>
      <c r="E347" t="s">
        <v>25</v>
      </c>
      <c r="F347" t="s">
        <v>26</v>
      </c>
      <c r="G347" t="s">
        <v>93</v>
      </c>
      <c r="H347" t="s">
        <v>23</v>
      </c>
      <c r="I347" t="s">
        <v>463</v>
      </c>
      <c r="J347" t="s">
        <v>465</v>
      </c>
      <c r="K347">
        <v>1</v>
      </c>
      <c r="L347">
        <v>4540000</v>
      </c>
      <c r="M347">
        <v>0</v>
      </c>
      <c r="N347">
        <v>3381000</v>
      </c>
      <c r="O347">
        <v>4540000</v>
      </c>
    </row>
    <row r="348" spans="1:15" x14ac:dyDescent="0.35">
      <c r="A348" t="s">
        <v>464</v>
      </c>
      <c r="B348">
        <v>5330521.7391304346</v>
      </c>
      <c r="C348" t="s">
        <v>521</v>
      </c>
      <c r="D348" s="1">
        <v>45720</v>
      </c>
      <c r="E348" t="s">
        <v>14</v>
      </c>
      <c r="F348" t="s">
        <v>15</v>
      </c>
      <c r="G348" t="s">
        <v>522</v>
      </c>
      <c r="H348" t="s">
        <v>23</v>
      </c>
      <c r="I348" t="s">
        <v>463</v>
      </c>
      <c r="J348" t="s">
        <v>465</v>
      </c>
      <c r="K348">
        <v>1</v>
      </c>
      <c r="L348">
        <v>4194000</v>
      </c>
      <c r="M348">
        <v>0.1</v>
      </c>
      <c r="N348">
        <v>3130000</v>
      </c>
      <c r="O348">
        <v>4194000</v>
      </c>
    </row>
    <row r="349" spans="1:15" x14ac:dyDescent="0.35">
      <c r="A349" t="s">
        <v>464</v>
      </c>
      <c r="B349">
        <v>5330521.7391304346</v>
      </c>
      <c r="C349" t="s">
        <v>523</v>
      </c>
      <c r="D349" s="1">
        <v>45728</v>
      </c>
      <c r="E349" t="s">
        <v>41</v>
      </c>
      <c r="F349" t="s">
        <v>42</v>
      </c>
      <c r="G349" t="s">
        <v>524</v>
      </c>
      <c r="H349" t="s">
        <v>17</v>
      </c>
      <c r="I349" t="s">
        <v>463</v>
      </c>
      <c r="J349" t="s">
        <v>465</v>
      </c>
      <c r="K349">
        <v>1</v>
      </c>
      <c r="L349">
        <v>6521000</v>
      </c>
      <c r="M349">
        <v>0.05</v>
      </c>
      <c r="N349">
        <v>5048000</v>
      </c>
      <c r="O349">
        <v>6521000</v>
      </c>
    </row>
    <row r="350" spans="1:15" x14ac:dyDescent="0.35">
      <c r="A350" t="s">
        <v>464</v>
      </c>
      <c r="B350">
        <v>5330521.7391304346</v>
      </c>
      <c r="C350" t="s">
        <v>525</v>
      </c>
      <c r="D350" s="1">
        <v>45729</v>
      </c>
      <c r="E350" t="s">
        <v>14</v>
      </c>
      <c r="F350" t="s">
        <v>15</v>
      </c>
      <c r="G350" t="s">
        <v>97</v>
      </c>
      <c r="H350" t="s">
        <v>23</v>
      </c>
      <c r="I350" t="s">
        <v>463</v>
      </c>
      <c r="J350" t="s">
        <v>465</v>
      </c>
      <c r="K350">
        <v>1</v>
      </c>
      <c r="L350">
        <v>5910000</v>
      </c>
      <c r="M350">
        <v>0</v>
      </c>
      <c r="N350">
        <v>4579000</v>
      </c>
      <c r="O350">
        <v>5910000</v>
      </c>
    </row>
    <row r="351" spans="1:15" x14ac:dyDescent="0.35">
      <c r="A351" t="s">
        <v>464</v>
      </c>
      <c r="B351">
        <v>5330521.7391304346</v>
      </c>
      <c r="C351" t="s">
        <v>526</v>
      </c>
      <c r="D351" s="1">
        <v>45745</v>
      </c>
      <c r="E351" t="s">
        <v>14</v>
      </c>
      <c r="F351" t="s">
        <v>15</v>
      </c>
      <c r="G351" t="s">
        <v>51</v>
      </c>
      <c r="H351" t="s">
        <v>23</v>
      </c>
      <c r="I351" t="s">
        <v>463</v>
      </c>
      <c r="J351" t="s">
        <v>465</v>
      </c>
      <c r="K351">
        <v>1</v>
      </c>
      <c r="L351">
        <v>6007000</v>
      </c>
      <c r="M351">
        <v>0</v>
      </c>
      <c r="N351">
        <v>4618000</v>
      </c>
      <c r="O351">
        <v>6007000</v>
      </c>
    </row>
    <row r="352" spans="1:15" x14ac:dyDescent="0.35">
      <c r="A352" t="s">
        <v>464</v>
      </c>
      <c r="B352">
        <v>5330521.7391304346</v>
      </c>
      <c r="C352" t="s">
        <v>527</v>
      </c>
      <c r="D352" s="1">
        <v>45782</v>
      </c>
      <c r="E352" t="s">
        <v>14</v>
      </c>
      <c r="F352" t="s">
        <v>15</v>
      </c>
      <c r="G352" t="s">
        <v>329</v>
      </c>
      <c r="H352" t="s">
        <v>28</v>
      </c>
      <c r="I352" t="s">
        <v>463</v>
      </c>
      <c r="J352" t="s">
        <v>465</v>
      </c>
      <c r="K352">
        <v>1</v>
      </c>
      <c r="L352">
        <v>5258000</v>
      </c>
      <c r="M352">
        <v>0</v>
      </c>
      <c r="N352">
        <v>4002000</v>
      </c>
      <c r="O352">
        <v>5258000</v>
      </c>
    </row>
    <row r="353" spans="1:15" x14ac:dyDescent="0.35">
      <c r="A353" t="s">
        <v>464</v>
      </c>
      <c r="B353">
        <v>5330521.7391304346</v>
      </c>
      <c r="C353" t="s">
        <v>528</v>
      </c>
      <c r="D353" s="1">
        <v>45828</v>
      </c>
      <c r="E353" t="s">
        <v>14</v>
      </c>
      <c r="F353" t="s">
        <v>15</v>
      </c>
      <c r="G353" t="s">
        <v>327</v>
      </c>
      <c r="H353" t="s">
        <v>23</v>
      </c>
      <c r="I353" t="s">
        <v>463</v>
      </c>
      <c r="J353" t="s">
        <v>465</v>
      </c>
      <c r="K353">
        <v>1</v>
      </c>
      <c r="L353">
        <v>6253000</v>
      </c>
      <c r="M353">
        <v>0</v>
      </c>
      <c r="N353">
        <v>4714000</v>
      </c>
      <c r="O353">
        <v>6253000</v>
      </c>
    </row>
    <row r="354" spans="1:15" x14ac:dyDescent="0.35">
      <c r="A354" t="s">
        <v>464</v>
      </c>
      <c r="B354">
        <v>5330521.7391304346</v>
      </c>
      <c r="C354" t="s">
        <v>529</v>
      </c>
      <c r="D354" s="1">
        <v>45913</v>
      </c>
      <c r="E354" t="s">
        <v>49</v>
      </c>
      <c r="F354" t="s">
        <v>50</v>
      </c>
      <c r="G354" t="s">
        <v>104</v>
      </c>
      <c r="H354" t="s">
        <v>28</v>
      </c>
      <c r="I354" t="s">
        <v>463</v>
      </c>
      <c r="J354" t="s">
        <v>465</v>
      </c>
      <c r="K354">
        <v>3</v>
      </c>
      <c r="L354">
        <v>6757000</v>
      </c>
      <c r="M354">
        <v>0</v>
      </c>
      <c r="N354">
        <v>5217000</v>
      </c>
      <c r="O354">
        <v>6757000</v>
      </c>
    </row>
    <row r="355" spans="1:15" x14ac:dyDescent="0.35">
      <c r="A355" t="s">
        <v>464</v>
      </c>
      <c r="B355">
        <v>5330521.7391304346</v>
      </c>
      <c r="C355" t="s">
        <v>530</v>
      </c>
      <c r="D355" s="1">
        <v>45926</v>
      </c>
      <c r="E355" t="s">
        <v>49</v>
      </c>
      <c r="F355" t="s">
        <v>50</v>
      </c>
      <c r="G355" t="s">
        <v>205</v>
      </c>
      <c r="H355" t="s">
        <v>17</v>
      </c>
      <c r="I355" t="s">
        <v>463</v>
      </c>
      <c r="J355" t="s">
        <v>465</v>
      </c>
      <c r="K355">
        <v>1</v>
      </c>
      <c r="L355">
        <v>3890000</v>
      </c>
      <c r="M355">
        <v>0</v>
      </c>
      <c r="N355">
        <v>2976000</v>
      </c>
      <c r="O355">
        <v>3890000</v>
      </c>
    </row>
    <row r="356" spans="1:15" x14ac:dyDescent="0.35">
      <c r="A356" t="s">
        <v>464</v>
      </c>
      <c r="B356">
        <v>5330521.7391304346</v>
      </c>
      <c r="C356" t="s">
        <v>531</v>
      </c>
      <c r="D356" s="1">
        <v>45933</v>
      </c>
      <c r="E356" t="s">
        <v>14</v>
      </c>
      <c r="F356" t="s">
        <v>15</v>
      </c>
      <c r="G356" t="s">
        <v>309</v>
      </c>
      <c r="H356" t="s">
        <v>23</v>
      </c>
      <c r="I356" t="s">
        <v>463</v>
      </c>
      <c r="J356" t="s">
        <v>465</v>
      </c>
      <c r="K356">
        <v>2</v>
      </c>
      <c r="L356">
        <v>5660000</v>
      </c>
      <c r="M356">
        <v>0.05</v>
      </c>
      <c r="N356">
        <v>4230000</v>
      </c>
      <c r="O356">
        <v>5660000</v>
      </c>
    </row>
    <row r="357" spans="1:15" x14ac:dyDescent="0.35">
      <c r="A357" t="s">
        <v>464</v>
      </c>
      <c r="B357">
        <v>5330521.7391304346</v>
      </c>
      <c r="C357" t="s">
        <v>532</v>
      </c>
      <c r="D357" s="1">
        <v>45939</v>
      </c>
      <c r="E357" t="s">
        <v>14</v>
      </c>
      <c r="F357" t="s">
        <v>15</v>
      </c>
      <c r="G357" t="s">
        <v>39</v>
      </c>
      <c r="H357" t="s">
        <v>23</v>
      </c>
      <c r="I357" t="s">
        <v>463</v>
      </c>
      <c r="J357" t="s">
        <v>465</v>
      </c>
      <c r="K357">
        <v>3</v>
      </c>
      <c r="L357">
        <v>6370000</v>
      </c>
      <c r="M357">
        <v>0.15</v>
      </c>
      <c r="N357">
        <v>4783000</v>
      </c>
      <c r="O357">
        <v>6370000</v>
      </c>
    </row>
    <row r="358" spans="1:15" x14ac:dyDescent="0.35">
      <c r="A358" t="s">
        <v>464</v>
      </c>
      <c r="B358">
        <v>5330521.7391304346</v>
      </c>
      <c r="C358" t="s">
        <v>533</v>
      </c>
      <c r="D358" s="1">
        <v>45995</v>
      </c>
      <c r="E358" t="s">
        <v>14</v>
      </c>
      <c r="F358" t="s">
        <v>15</v>
      </c>
      <c r="G358" t="s">
        <v>226</v>
      </c>
      <c r="H358" t="s">
        <v>17</v>
      </c>
      <c r="I358" t="s">
        <v>463</v>
      </c>
      <c r="J358" t="s">
        <v>465</v>
      </c>
      <c r="K358">
        <v>1</v>
      </c>
      <c r="L358">
        <v>4233000</v>
      </c>
      <c r="M358">
        <v>0</v>
      </c>
      <c r="N358">
        <v>3221000</v>
      </c>
      <c r="O358">
        <v>4233000</v>
      </c>
    </row>
    <row r="359" spans="1:15" x14ac:dyDescent="0.35">
      <c r="A359" t="s">
        <v>464</v>
      </c>
      <c r="B359">
        <v>5330521.7391304346</v>
      </c>
      <c r="C359" t="s">
        <v>534</v>
      </c>
      <c r="D359" s="1">
        <v>46007</v>
      </c>
      <c r="E359" t="s">
        <v>25</v>
      </c>
      <c r="F359" t="s">
        <v>26</v>
      </c>
      <c r="G359" t="s">
        <v>359</v>
      </c>
      <c r="H359" t="s">
        <v>23</v>
      </c>
      <c r="I359" t="s">
        <v>463</v>
      </c>
      <c r="J359" t="s">
        <v>465</v>
      </c>
      <c r="K359">
        <v>2</v>
      </c>
      <c r="L359">
        <v>3955000</v>
      </c>
      <c r="M359">
        <v>0</v>
      </c>
      <c r="N359">
        <v>3066000</v>
      </c>
      <c r="O359">
        <v>3955000</v>
      </c>
    </row>
    <row r="360" spans="1:15" x14ac:dyDescent="0.35">
      <c r="A360" t="s">
        <v>464</v>
      </c>
      <c r="B360">
        <v>5330521.7391304346</v>
      </c>
      <c r="C360" t="s">
        <v>535</v>
      </c>
      <c r="D360" s="1">
        <v>46016</v>
      </c>
      <c r="E360" t="s">
        <v>41</v>
      </c>
      <c r="F360" t="s">
        <v>42</v>
      </c>
      <c r="G360" t="s">
        <v>311</v>
      </c>
      <c r="H360" t="s">
        <v>17</v>
      </c>
      <c r="I360" t="s">
        <v>463</v>
      </c>
      <c r="J360" t="s">
        <v>465</v>
      </c>
      <c r="K360">
        <v>1</v>
      </c>
      <c r="L360">
        <v>5330521.7391304346</v>
      </c>
      <c r="M360">
        <v>0</v>
      </c>
      <c r="N360">
        <v>0</v>
      </c>
      <c r="O360">
        <v>5330521.7391304346</v>
      </c>
    </row>
    <row r="361" spans="1:15" x14ac:dyDescent="0.35">
      <c r="A361" t="s">
        <v>464</v>
      </c>
      <c r="B361">
        <v>5330521.7391304346</v>
      </c>
      <c r="C361" t="s">
        <v>536</v>
      </c>
      <c r="D361" s="1">
        <v>46037</v>
      </c>
      <c r="E361" t="s">
        <v>14</v>
      </c>
      <c r="F361" t="s">
        <v>15</v>
      </c>
      <c r="G361" t="s">
        <v>462</v>
      </c>
      <c r="H361" t="s">
        <v>58</v>
      </c>
      <c r="I361" t="s">
        <v>463</v>
      </c>
      <c r="J361" t="s">
        <v>465</v>
      </c>
      <c r="K361">
        <v>1</v>
      </c>
      <c r="L361">
        <v>5330521.7391304346</v>
      </c>
      <c r="M361">
        <v>0.05</v>
      </c>
      <c r="N361">
        <v>0</v>
      </c>
      <c r="O361">
        <v>5330521.7391304346</v>
      </c>
    </row>
    <row r="362" spans="1:15" x14ac:dyDescent="0.35">
      <c r="A362" t="s">
        <v>464</v>
      </c>
      <c r="B362">
        <v>5330521.7391304346</v>
      </c>
      <c r="C362" t="s">
        <v>537</v>
      </c>
      <c r="D362" s="1">
        <v>46068</v>
      </c>
      <c r="E362" t="s">
        <v>14</v>
      </c>
      <c r="F362" t="s">
        <v>15</v>
      </c>
      <c r="G362" t="s">
        <v>121</v>
      </c>
      <c r="H362" t="s">
        <v>23</v>
      </c>
      <c r="I362" t="s">
        <v>463</v>
      </c>
      <c r="J362" t="s">
        <v>465</v>
      </c>
      <c r="K362">
        <v>2</v>
      </c>
      <c r="L362">
        <v>4025000</v>
      </c>
      <c r="M362">
        <v>0</v>
      </c>
      <c r="N362">
        <v>3003000</v>
      </c>
      <c r="O362">
        <v>4025000</v>
      </c>
    </row>
    <row r="363" spans="1:15" x14ac:dyDescent="0.35">
      <c r="A363" t="s">
        <v>464</v>
      </c>
      <c r="B363">
        <v>5330521.7391304346</v>
      </c>
      <c r="C363" t="s">
        <v>538</v>
      </c>
      <c r="D363" s="1">
        <v>46070</v>
      </c>
      <c r="E363" t="s">
        <v>25</v>
      </c>
      <c r="F363" t="s">
        <v>26</v>
      </c>
      <c r="G363" t="s">
        <v>197</v>
      </c>
      <c r="H363" t="s">
        <v>28</v>
      </c>
      <c r="I363" t="s">
        <v>463</v>
      </c>
      <c r="J363" t="s">
        <v>465</v>
      </c>
      <c r="K363">
        <v>1</v>
      </c>
      <c r="L363">
        <v>4418000</v>
      </c>
      <c r="M363">
        <v>0</v>
      </c>
      <c r="N363">
        <v>3431000</v>
      </c>
      <c r="O363">
        <v>4418000</v>
      </c>
    </row>
    <row r="364" spans="1:15" x14ac:dyDescent="0.35">
      <c r="A364" t="s">
        <v>464</v>
      </c>
      <c r="B364">
        <v>5330521.7391304346</v>
      </c>
      <c r="C364" t="s">
        <v>539</v>
      </c>
      <c r="D364" s="1">
        <v>46086</v>
      </c>
      <c r="E364" t="s">
        <v>36</v>
      </c>
      <c r="F364" t="s">
        <v>37</v>
      </c>
      <c r="G364" t="s">
        <v>295</v>
      </c>
      <c r="H364" t="s">
        <v>23</v>
      </c>
      <c r="I364" t="s">
        <v>463</v>
      </c>
      <c r="J364" t="s">
        <v>465</v>
      </c>
      <c r="K364">
        <v>1</v>
      </c>
      <c r="L364">
        <v>5631000</v>
      </c>
      <c r="M364">
        <v>0</v>
      </c>
      <c r="N364">
        <v>4234000</v>
      </c>
      <c r="O364">
        <v>5631000</v>
      </c>
    </row>
    <row r="365" spans="1:15" x14ac:dyDescent="0.35">
      <c r="A365" t="s">
        <v>464</v>
      </c>
      <c r="B365">
        <v>5330521.7391304346</v>
      </c>
      <c r="C365" t="s">
        <v>540</v>
      </c>
      <c r="D365" s="1">
        <v>46136</v>
      </c>
      <c r="E365" t="s">
        <v>14</v>
      </c>
      <c r="F365" t="s">
        <v>15</v>
      </c>
      <c r="G365" t="s">
        <v>53</v>
      </c>
      <c r="H365" t="s">
        <v>17</v>
      </c>
      <c r="I365" t="s">
        <v>463</v>
      </c>
      <c r="J365" t="s">
        <v>465</v>
      </c>
      <c r="K365">
        <v>3</v>
      </c>
      <c r="L365">
        <v>6474000</v>
      </c>
      <c r="M365">
        <v>0</v>
      </c>
      <c r="N365">
        <v>4935000</v>
      </c>
      <c r="O365">
        <v>6474000</v>
      </c>
    </row>
    <row r="366" spans="1:15" x14ac:dyDescent="0.35">
      <c r="A366" t="s">
        <v>464</v>
      </c>
      <c r="B366">
        <v>5330521.7391304346</v>
      </c>
      <c r="C366" t="s">
        <v>541</v>
      </c>
      <c r="D366" s="1">
        <v>46155</v>
      </c>
      <c r="E366" t="s">
        <v>36</v>
      </c>
      <c r="F366" t="s">
        <v>37</v>
      </c>
      <c r="G366" t="s">
        <v>373</v>
      </c>
      <c r="H366" t="s">
        <v>23</v>
      </c>
      <c r="I366" t="s">
        <v>463</v>
      </c>
      <c r="J366" t="s">
        <v>465</v>
      </c>
      <c r="K366">
        <v>2</v>
      </c>
      <c r="L366">
        <v>5070000</v>
      </c>
      <c r="M366">
        <v>0</v>
      </c>
      <c r="N366">
        <v>3797000</v>
      </c>
      <c r="O366">
        <v>5070000</v>
      </c>
    </row>
    <row r="367" spans="1:15" x14ac:dyDescent="0.35">
      <c r="A367" t="s">
        <v>464</v>
      </c>
      <c r="B367">
        <v>5330521.7391304346</v>
      </c>
      <c r="C367" t="s">
        <v>542</v>
      </c>
      <c r="D367" s="1">
        <v>46160</v>
      </c>
      <c r="E367" t="s">
        <v>14</v>
      </c>
      <c r="F367" t="s">
        <v>15</v>
      </c>
      <c r="G367" t="s">
        <v>57</v>
      </c>
      <c r="H367" t="s">
        <v>58</v>
      </c>
      <c r="I367" t="s">
        <v>463</v>
      </c>
      <c r="J367" t="s">
        <v>465</v>
      </c>
      <c r="K367">
        <v>1</v>
      </c>
      <c r="L367">
        <v>5330521.7391304346</v>
      </c>
      <c r="M367">
        <v>0</v>
      </c>
      <c r="N367">
        <v>3800000</v>
      </c>
      <c r="O367">
        <v>5330521.7391304346</v>
      </c>
    </row>
    <row r="368" spans="1:15" x14ac:dyDescent="0.35">
      <c r="A368" t="s">
        <v>464</v>
      </c>
      <c r="B368">
        <v>5330521.7391304346</v>
      </c>
      <c r="C368" t="s">
        <v>543</v>
      </c>
      <c r="D368" s="1">
        <v>46174</v>
      </c>
      <c r="E368" t="s">
        <v>41</v>
      </c>
      <c r="F368" t="s">
        <v>42</v>
      </c>
      <c r="G368" t="s">
        <v>247</v>
      </c>
      <c r="H368" t="s">
        <v>17</v>
      </c>
      <c r="I368" t="s">
        <v>463</v>
      </c>
      <c r="J368" t="s">
        <v>465</v>
      </c>
      <c r="K368">
        <v>1</v>
      </c>
      <c r="L368">
        <v>6509000</v>
      </c>
      <c r="M368">
        <v>0.1</v>
      </c>
      <c r="N368">
        <v>4845000</v>
      </c>
      <c r="O368">
        <v>6509000</v>
      </c>
    </row>
    <row r="369" spans="1:15" x14ac:dyDescent="0.35">
      <c r="A369" t="s">
        <v>464</v>
      </c>
      <c r="B369">
        <v>5330521.7391304346</v>
      </c>
      <c r="C369" t="s">
        <v>544</v>
      </c>
      <c r="D369" s="1">
        <v>46182</v>
      </c>
      <c r="E369" t="s">
        <v>14</v>
      </c>
      <c r="F369" t="s">
        <v>15</v>
      </c>
      <c r="G369" t="s">
        <v>172</v>
      </c>
      <c r="H369" t="s">
        <v>23</v>
      </c>
      <c r="I369" t="s">
        <v>463</v>
      </c>
      <c r="J369" t="s">
        <v>465</v>
      </c>
      <c r="K369">
        <v>1</v>
      </c>
      <c r="L369">
        <v>4771000</v>
      </c>
      <c r="M369">
        <v>0</v>
      </c>
      <c r="N369">
        <v>3611000</v>
      </c>
      <c r="O369">
        <v>4771000</v>
      </c>
    </row>
    <row r="370" spans="1:15" x14ac:dyDescent="0.35">
      <c r="A370" t="s">
        <v>464</v>
      </c>
      <c r="B370">
        <v>5330521.7391304346</v>
      </c>
      <c r="C370" t="s">
        <v>545</v>
      </c>
      <c r="D370" s="1">
        <v>46197</v>
      </c>
      <c r="E370" t="s">
        <v>36</v>
      </c>
      <c r="F370" t="s">
        <v>37</v>
      </c>
      <c r="G370" t="s">
        <v>97</v>
      </c>
      <c r="H370" t="s">
        <v>23</v>
      </c>
      <c r="I370" t="s">
        <v>463</v>
      </c>
      <c r="J370" t="s">
        <v>465</v>
      </c>
      <c r="K370">
        <v>1</v>
      </c>
      <c r="L370">
        <v>4654000</v>
      </c>
      <c r="M370">
        <v>0</v>
      </c>
      <c r="N370">
        <v>3542000</v>
      </c>
      <c r="O370">
        <v>4654000</v>
      </c>
    </row>
    <row r="371" spans="1:15" x14ac:dyDescent="0.35">
      <c r="A371" t="s">
        <v>464</v>
      </c>
      <c r="B371">
        <v>5330521.7391304346</v>
      </c>
      <c r="C371" t="s">
        <v>546</v>
      </c>
      <c r="D371" s="1">
        <v>46202</v>
      </c>
      <c r="E371" t="s">
        <v>14</v>
      </c>
      <c r="F371" t="s">
        <v>15</v>
      </c>
      <c r="G371" t="s">
        <v>218</v>
      </c>
      <c r="H371" t="s">
        <v>23</v>
      </c>
      <c r="I371" t="s">
        <v>463</v>
      </c>
      <c r="J371" t="s">
        <v>465</v>
      </c>
      <c r="K371">
        <v>1</v>
      </c>
      <c r="L371">
        <v>6493000</v>
      </c>
      <c r="M371">
        <v>0</v>
      </c>
      <c r="N371">
        <v>4994000</v>
      </c>
      <c r="O371">
        <v>6493000</v>
      </c>
    </row>
    <row r="372" spans="1:15" x14ac:dyDescent="0.35">
      <c r="A372" t="s">
        <v>549</v>
      </c>
      <c r="B372">
        <v>6447234.375</v>
      </c>
      <c r="C372" t="s">
        <v>547</v>
      </c>
      <c r="D372" s="1">
        <v>44933</v>
      </c>
      <c r="E372" t="s">
        <v>14</v>
      </c>
      <c r="F372" t="s">
        <v>15</v>
      </c>
      <c r="G372" t="s">
        <v>274</v>
      </c>
      <c r="H372" t="s">
        <v>58</v>
      </c>
      <c r="I372" t="s">
        <v>548</v>
      </c>
      <c r="J372" t="s">
        <v>160</v>
      </c>
      <c r="K372">
        <v>1</v>
      </c>
      <c r="L372">
        <v>5879000</v>
      </c>
      <c r="M372">
        <v>0</v>
      </c>
      <c r="N372">
        <v>4011000</v>
      </c>
      <c r="O372">
        <v>5879000</v>
      </c>
    </row>
    <row r="373" spans="1:15" x14ac:dyDescent="0.35">
      <c r="A373" t="s">
        <v>549</v>
      </c>
      <c r="B373">
        <v>6447234.375</v>
      </c>
      <c r="C373" t="s">
        <v>550</v>
      </c>
      <c r="D373" s="1">
        <v>44934</v>
      </c>
      <c r="E373" t="s">
        <v>36</v>
      </c>
      <c r="F373" t="s">
        <v>37</v>
      </c>
      <c r="G373" t="s">
        <v>150</v>
      </c>
      <c r="H373" t="s">
        <v>28</v>
      </c>
      <c r="I373" t="s">
        <v>548</v>
      </c>
      <c r="J373" t="s">
        <v>160</v>
      </c>
      <c r="K373">
        <v>1</v>
      </c>
      <c r="L373">
        <v>7342000</v>
      </c>
      <c r="M373">
        <v>0.15</v>
      </c>
      <c r="N373">
        <v>5079000</v>
      </c>
      <c r="O373">
        <v>7342000</v>
      </c>
    </row>
    <row r="374" spans="1:15" x14ac:dyDescent="0.35">
      <c r="A374" t="s">
        <v>549</v>
      </c>
      <c r="B374">
        <v>6447234.375</v>
      </c>
      <c r="C374" t="s">
        <v>551</v>
      </c>
      <c r="D374" s="1">
        <v>44943</v>
      </c>
      <c r="E374" t="s">
        <v>14</v>
      </c>
      <c r="F374" t="s">
        <v>15</v>
      </c>
      <c r="G374" t="s">
        <v>228</v>
      </c>
      <c r="H374" t="s">
        <v>17</v>
      </c>
      <c r="I374" t="s">
        <v>548</v>
      </c>
      <c r="J374" t="s">
        <v>160</v>
      </c>
      <c r="K374">
        <v>1</v>
      </c>
      <c r="L374">
        <v>5188000</v>
      </c>
      <c r="M374">
        <v>0.1</v>
      </c>
      <c r="N374">
        <v>3527000</v>
      </c>
      <c r="O374">
        <v>5188000</v>
      </c>
    </row>
    <row r="375" spans="1:15" x14ac:dyDescent="0.35">
      <c r="A375" t="s">
        <v>549</v>
      </c>
      <c r="B375">
        <v>6447234.375</v>
      </c>
      <c r="C375" t="s">
        <v>552</v>
      </c>
      <c r="D375" s="1">
        <v>44947</v>
      </c>
      <c r="E375" t="s">
        <v>41</v>
      </c>
      <c r="F375" t="s">
        <v>42</v>
      </c>
      <c r="G375" t="s">
        <v>553</v>
      </c>
      <c r="H375" t="s">
        <v>17</v>
      </c>
      <c r="I375" t="s">
        <v>548</v>
      </c>
      <c r="J375" t="s">
        <v>160</v>
      </c>
      <c r="K375">
        <v>1</v>
      </c>
      <c r="L375">
        <v>5901000</v>
      </c>
      <c r="M375">
        <v>0</v>
      </c>
      <c r="N375">
        <v>4097000</v>
      </c>
      <c r="O375">
        <v>5901000</v>
      </c>
    </row>
    <row r="376" spans="1:15" x14ac:dyDescent="0.35">
      <c r="A376" t="s">
        <v>549</v>
      </c>
      <c r="B376">
        <v>6447234.375</v>
      </c>
      <c r="C376" t="s">
        <v>554</v>
      </c>
      <c r="D376" s="1">
        <v>44989</v>
      </c>
      <c r="E376" t="s">
        <v>41</v>
      </c>
      <c r="F376" t="s">
        <v>42</v>
      </c>
      <c r="G376" t="s">
        <v>228</v>
      </c>
      <c r="H376" t="s">
        <v>17</v>
      </c>
      <c r="I376" t="s">
        <v>548</v>
      </c>
      <c r="J376" t="s">
        <v>160</v>
      </c>
      <c r="K376">
        <v>2</v>
      </c>
      <c r="L376">
        <v>5642000</v>
      </c>
      <c r="M376">
        <v>0</v>
      </c>
      <c r="N376">
        <v>3779000</v>
      </c>
      <c r="O376">
        <v>5642000</v>
      </c>
    </row>
    <row r="377" spans="1:15" x14ac:dyDescent="0.35">
      <c r="A377" t="s">
        <v>549</v>
      </c>
      <c r="B377">
        <v>6447234.375</v>
      </c>
      <c r="C377" t="s">
        <v>555</v>
      </c>
      <c r="D377" s="1">
        <v>45020</v>
      </c>
      <c r="E377" t="s">
        <v>41</v>
      </c>
      <c r="F377" t="s">
        <v>42</v>
      </c>
      <c r="G377" t="s">
        <v>270</v>
      </c>
      <c r="H377" t="s">
        <v>23</v>
      </c>
      <c r="I377" t="s">
        <v>548</v>
      </c>
      <c r="J377" t="s">
        <v>160</v>
      </c>
      <c r="K377">
        <v>1</v>
      </c>
      <c r="L377">
        <v>6301000</v>
      </c>
      <c r="M377">
        <v>0</v>
      </c>
      <c r="N377">
        <v>4284000</v>
      </c>
      <c r="O377">
        <v>6301000</v>
      </c>
    </row>
    <row r="378" spans="1:15" x14ac:dyDescent="0.35">
      <c r="A378" t="s">
        <v>549</v>
      </c>
      <c r="B378">
        <v>6447234.375</v>
      </c>
      <c r="C378" t="s">
        <v>556</v>
      </c>
      <c r="D378" s="1">
        <v>45025</v>
      </c>
      <c r="E378" t="s">
        <v>36</v>
      </c>
      <c r="F378" t="s">
        <v>37</v>
      </c>
      <c r="G378" t="s">
        <v>423</v>
      </c>
      <c r="H378" t="s">
        <v>17</v>
      </c>
      <c r="I378" t="s">
        <v>548</v>
      </c>
      <c r="J378" t="s">
        <v>160</v>
      </c>
      <c r="K378">
        <v>1</v>
      </c>
      <c r="L378">
        <v>5588000</v>
      </c>
      <c r="M378">
        <v>0</v>
      </c>
      <c r="N378">
        <v>3869000</v>
      </c>
      <c r="O378">
        <v>5588000</v>
      </c>
    </row>
    <row r="379" spans="1:15" x14ac:dyDescent="0.35">
      <c r="A379" t="s">
        <v>549</v>
      </c>
      <c r="B379">
        <v>6447234.375</v>
      </c>
      <c r="C379" t="s">
        <v>557</v>
      </c>
      <c r="D379" s="1">
        <v>45039</v>
      </c>
      <c r="E379" t="s">
        <v>41</v>
      </c>
      <c r="F379" t="s">
        <v>42</v>
      </c>
      <c r="G379" t="s">
        <v>197</v>
      </c>
      <c r="H379" t="s">
        <v>28</v>
      </c>
      <c r="I379" t="s">
        <v>548</v>
      </c>
      <c r="J379" t="s">
        <v>160</v>
      </c>
      <c r="K379">
        <v>3</v>
      </c>
      <c r="L379">
        <v>6108000</v>
      </c>
      <c r="M379">
        <v>0.05</v>
      </c>
      <c r="N379">
        <v>4246000</v>
      </c>
      <c r="O379">
        <v>6108000</v>
      </c>
    </row>
    <row r="380" spans="1:15" x14ac:dyDescent="0.35">
      <c r="A380" t="s">
        <v>549</v>
      </c>
      <c r="B380">
        <v>6447234.375</v>
      </c>
      <c r="C380" t="s">
        <v>558</v>
      </c>
      <c r="D380" s="1">
        <v>45060</v>
      </c>
      <c r="E380" t="s">
        <v>49</v>
      </c>
      <c r="F380" t="s">
        <v>50</v>
      </c>
      <c r="G380" t="s">
        <v>559</v>
      </c>
      <c r="H380" t="s">
        <v>23</v>
      </c>
      <c r="I380" t="s">
        <v>548</v>
      </c>
      <c r="J380" t="s">
        <v>160</v>
      </c>
      <c r="K380">
        <v>2</v>
      </c>
      <c r="L380">
        <v>6120000</v>
      </c>
      <c r="M380">
        <v>0</v>
      </c>
      <c r="N380">
        <v>4205000</v>
      </c>
      <c r="O380">
        <v>6120000</v>
      </c>
    </row>
    <row r="381" spans="1:15" x14ac:dyDescent="0.35">
      <c r="A381" t="s">
        <v>549</v>
      </c>
      <c r="B381">
        <v>6447234.375</v>
      </c>
      <c r="C381" t="s">
        <v>560</v>
      </c>
      <c r="D381" s="1">
        <v>45065</v>
      </c>
      <c r="E381" t="s">
        <v>14</v>
      </c>
      <c r="F381" t="s">
        <v>15</v>
      </c>
      <c r="G381" t="s">
        <v>230</v>
      </c>
      <c r="H381" t="s">
        <v>23</v>
      </c>
      <c r="I381" t="s">
        <v>548</v>
      </c>
      <c r="J381" t="s">
        <v>160</v>
      </c>
      <c r="K381">
        <v>1</v>
      </c>
      <c r="L381">
        <v>6698000</v>
      </c>
      <c r="M381">
        <v>0</v>
      </c>
      <c r="N381">
        <v>4530000</v>
      </c>
      <c r="O381">
        <v>6698000</v>
      </c>
    </row>
    <row r="382" spans="1:15" x14ac:dyDescent="0.35">
      <c r="A382" t="s">
        <v>549</v>
      </c>
      <c r="B382">
        <v>6447234.375</v>
      </c>
      <c r="C382" t="s">
        <v>561</v>
      </c>
      <c r="D382" s="1">
        <v>45066</v>
      </c>
      <c r="E382" t="s">
        <v>41</v>
      </c>
      <c r="F382" t="s">
        <v>42</v>
      </c>
      <c r="G382" t="s">
        <v>197</v>
      </c>
      <c r="H382" t="s">
        <v>28</v>
      </c>
      <c r="I382" t="s">
        <v>548</v>
      </c>
      <c r="J382" t="s">
        <v>160</v>
      </c>
      <c r="K382">
        <v>2</v>
      </c>
      <c r="L382">
        <v>6146000</v>
      </c>
      <c r="M382">
        <v>0.1</v>
      </c>
      <c r="N382">
        <v>4176000</v>
      </c>
      <c r="O382">
        <v>6146000</v>
      </c>
    </row>
    <row r="383" spans="1:15" x14ac:dyDescent="0.35">
      <c r="A383" t="s">
        <v>549</v>
      </c>
      <c r="B383">
        <v>6447234.375</v>
      </c>
      <c r="C383" t="s">
        <v>562</v>
      </c>
      <c r="D383" s="1">
        <v>45068</v>
      </c>
      <c r="E383" t="s">
        <v>41</v>
      </c>
      <c r="F383" t="s">
        <v>42</v>
      </c>
      <c r="G383" t="s">
        <v>39</v>
      </c>
      <c r="H383" t="s">
        <v>23</v>
      </c>
      <c r="I383" t="s">
        <v>548</v>
      </c>
      <c r="J383" t="s">
        <v>160</v>
      </c>
      <c r="K383">
        <v>1</v>
      </c>
      <c r="L383">
        <v>5780000</v>
      </c>
      <c r="M383">
        <v>0.15</v>
      </c>
      <c r="N383">
        <v>3959000</v>
      </c>
      <c r="O383">
        <v>5780000</v>
      </c>
    </row>
    <row r="384" spans="1:15" x14ac:dyDescent="0.35">
      <c r="A384" t="s">
        <v>549</v>
      </c>
      <c r="B384">
        <v>6447234.375</v>
      </c>
      <c r="C384" t="s">
        <v>563</v>
      </c>
      <c r="D384" s="1">
        <v>45172</v>
      </c>
      <c r="E384" t="s">
        <v>14</v>
      </c>
      <c r="F384" t="s">
        <v>15</v>
      </c>
      <c r="G384" t="s">
        <v>295</v>
      </c>
      <c r="H384" t="s">
        <v>23</v>
      </c>
      <c r="I384" t="s">
        <v>548</v>
      </c>
      <c r="J384" t="s">
        <v>160</v>
      </c>
      <c r="K384">
        <v>2</v>
      </c>
      <c r="L384">
        <v>7442000</v>
      </c>
      <c r="M384">
        <v>0.05</v>
      </c>
      <c r="N384">
        <v>5088000</v>
      </c>
      <c r="O384">
        <v>7442000</v>
      </c>
    </row>
    <row r="385" spans="1:15" x14ac:dyDescent="0.35">
      <c r="A385" t="s">
        <v>549</v>
      </c>
      <c r="B385">
        <v>6447234.375</v>
      </c>
      <c r="C385" t="s">
        <v>564</v>
      </c>
      <c r="D385" s="1">
        <v>45174</v>
      </c>
      <c r="E385" t="s">
        <v>14</v>
      </c>
      <c r="F385" t="s">
        <v>15</v>
      </c>
      <c r="G385" t="s">
        <v>166</v>
      </c>
      <c r="H385" t="s">
        <v>28</v>
      </c>
      <c r="I385" t="s">
        <v>548</v>
      </c>
      <c r="J385" t="s">
        <v>160</v>
      </c>
      <c r="K385">
        <v>1</v>
      </c>
      <c r="L385">
        <v>6954000</v>
      </c>
      <c r="M385">
        <v>0</v>
      </c>
      <c r="N385">
        <v>4662000</v>
      </c>
      <c r="O385">
        <v>6954000</v>
      </c>
    </row>
    <row r="386" spans="1:15" x14ac:dyDescent="0.35">
      <c r="A386" t="s">
        <v>549</v>
      </c>
      <c r="B386">
        <v>6447234.375</v>
      </c>
      <c r="C386" t="s">
        <v>565</v>
      </c>
      <c r="D386" s="1">
        <v>45181</v>
      </c>
      <c r="E386" t="s">
        <v>25</v>
      </c>
      <c r="F386" t="s">
        <v>26</v>
      </c>
      <c r="G386" t="s">
        <v>179</v>
      </c>
      <c r="H386" t="s">
        <v>23</v>
      </c>
      <c r="I386" t="s">
        <v>548</v>
      </c>
      <c r="J386" t="s">
        <v>160</v>
      </c>
      <c r="K386">
        <v>1</v>
      </c>
      <c r="L386">
        <v>6331000</v>
      </c>
      <c r="M386">
        <v>0</v>
      </c>
      <c r="N386">
        <v>4426000</v>
      </c>
      <c r="O386">
        <v>6331000</v>
      </c>
    </row>
    <row r="387" spans="1:15" x14ac:dyDescent="0.35">
      <c r="A387" t="s">
        <v>549</v>
      </c>
      <c r="B387">
        <v>6447234.375</v>
      </c>
      <c r="C387" t="s">
        <v>566</v>
      </c>
      <c r="D387" s="1">
        <v>45199</v>
      </c>
      <c r="E387" t="s">
        <v>14</v>
      </c>
      <c r="F387" t="s">
        <v>15</v>
      </c>
      <c r="G387" t="s">
        <v>110</v>
      </c>
      <c r="H387" t="s">
        <v>23</v>
      </c>
      <c r="I387" t="s">
        <v>548</v>
      </c>
      <c r="J387" t="s">
        <v>160</v>
      </c>
      <c r="K387">
        <v>1</v>
      </c>
      <c r="L387">
        <v>5991000</v>
      </c>
      <c r="M387">
        <v>0</v>
      </c>
      <c r="N387">
        <v>4163000</v>
      </c>
      <c r="O387">
        <v>5991000</v>
      </c>
    </row>
    <row r="388" spans="1:15" x14ac:dyDescent="0.35">
      <c r="A388" t="s">
        <v>549</v>
      </c>
      <c r="B388">
        <v>6447234.375</v>
      </c>
      <c r="C388" t="s">
        <v>567</v>
      </c>
      <c r="D388" s="1">
        <v>45201</v>
      </c>
      <c r="E388" t="s">
        <v>41</v>
      </c>
      <c r="F388" t="s">
        <v>42</v>
      </c>
      <c r="G388" t="s">
        <v>201</v>
      </c>
      <c r="H388" t="s">
        <v>58</v>
      </c>
      <c r="I388" t="s">
        <v>548</v>
      </c>
      <c r="J388" t="s">
        <v>160</v>
      </c>
      <c r="K388">
        <v>3</v>
      </c>
      <c r="L388">
        <v>4665000</v>
      </c>
      <c r="M388">
        <v>0</v>
      </c>
      <c r="N388">
        <v>3112000</v>
      </c>
      <c r="O388">
        <v>4665000</v>
      </c>
    </row>
    <row r="389" spans="1:15" x14ac:dyDescent="0.35">
      <c r="A389" t="s">
        <v>549</v>
      </c>
      <c r="B389">
        <v>6447234.375</v>
      </c>
      <c r="C389" t="s">
        <v>568</v>
      </c>
      <c r="D389" s="1">
        <v>45207</v>
      </c>
      <c r="E389" t="s">
        <v>36</v>
      </c>
      <c r="F389" t="s">
        <v>37</v>
      </c>
      <c r="G389" t="s">
        <v>569</v>
      </c>
      <c r="H389" t="s">
        <v>23</v>
      </c>
      <c r="I389" t="s">
        <v>548</v>
      </c>
      <c r="J389" t="s">
        <v>160</v>
      </c>
      <c r="K389">
        <v>1</v>
      </c>
      <c r="L389">
        <v>7229000</v>
      </c>
      <c r="M389">
        <v>0</v>
      </c>
      <c r="N389">
        <v>4856000</v>
      </c>
      <c r="O389">
        <v>7229000</v>
      </c>
    </row>
    <row r="390" spans="1:15" x14ac:dyDescent="0.35">
      <c r="A390" t="s">
        <v>549</v>
      </c>
      <c r="B390">
        <v>6447234.375</v>
      </c>
      <c r="C390" t="s">
        <v>570</v>
      </c>
      <c r="D390" s="1">
        <v>45244</v>
      </c>
      <c r="E390" t="s">
        <v>14</v>
      </c>
      <c r="F390" t="s">
        <v>15</v>
      </c>
      <c r="G390" t="s">
        <v>258</v>
      </c>
      <c r="H390" t="s">
        <v>23</v>
      </c>
      <c r="I390" t="s">
        <v>548</v>
      </c>
      <c r="J390" t="s">
        <v>160</v>
      </c>
      <c r="K390">
        <v>2</v>
      </c>
      <c r="L390">
        <v>4657000</v>
      </c>
      <c r="M390">
        <v>0</v>
      </c>
      <c r="N390">
        <v>3087000</v>
      </c>
      <c r="O390">
        <v>4657000</v>
      </c>
    </row>
    <row r="391" spans="1:15" x14ac:dyDescent="0.35">
      <c r="A391" t="s">
        <v>549</v>
      </c>
      <c r="B391">
        <v>6447234.375</v>
      </c>
      <c r="C391" t="s">
        <v>571</v>
      </c>
      <c r="D391" s="1">
        <v>45245</v>
      </c>
      <c r="E391" t="s">
        <v>36</v>
      </c>
      <c r="F391" t="s">
        <v>37</v>
      </c>
      <c r="G391" t="s">
        <v>456</v>
      </c>
      <c r="H391" t="s">
        <v>23</v>
      </c>
      <c r="I391" t="s">
        <v>548</v>
      </c>
      <c r="J391" t="s">
        <v>160</v>
      </c>
      <c r="K391">
        <v>1</v>
      </c>
      <c r="L391">
        <v>4978000</v>
      </c>
      <c r="M391">
        <v>0</v>
      </c>
      <c r="N391">
        <v>3384000</v>
      </c>
      <c r="O391">
        <v>4978000</v>
      </c>
    </row>
    <row r="392" spans="1:15" x14ac:dyDescent="0.35">
      <c r="A392" t="s">
        <v>549</v>
      </c>
      <c r="B392">
        <v>6447234.375</v>
      </c>
      <c r="C392" t="s">
        <v>572</v>
      </c>
      <c r="D392" s="1">
        <v>45248</v>
      </c>
      <c r="E392" t="s">
        <v>36</v>
      </c>
      <c r="F392" t="s">
        <v>37</v>
      </c>
      <c r="G392" t="s">
        <v>152</v>
      </c>
      <c r="H392" t="s">
        <v>23</v>
      </c>
      <c r="I392" t="s">
        <v>548</v>
      </c>
      <c r="J392" t="s">
        <v>160</v>
      </c>
      <c r="K392">
        <v>1</v>
      </c>
      <c r="L392">
        <v>6647000</v>
      </c>
      <c r="M392">
        <v>0.05</v>
      </c>
      <c r="N392">
        <v>4417000</v>
      </c>
      <c r="O392">
        <v>6647000</v>
      </c>
    </row>
    <row r="393" spans="1:15" x14ac:dyDescent="0.35">
      <c r="A393" t="s">
        <v>549</v>
      </c>
      <c r="B393">
        <v>6447234.375</v>
      </c>
      <c r="C393" t="s">
        <v>573</v>
      </c>
      <c r="D393" s="1">
        <v>45364</v>
      </c>
      <c r="E393" t="s">
        <v>36</v>
      </c>
      <c r="F393" t="s">
        <v>37</v>
      </c>
      <c r="G393" t="s">
        <v>95</v>
      </c>
      <c r="H393" t="s">
        <v>23</v>
      </c>
      <c r="I393" t="s">
        <v>548</v>
      </c>
      <c r="J393" t="s">
        <v>160</v>
      </c>
      <c r="K393">
        <v>5</v>
      </c>
      <c r="L393">
        <v>5697000</v>
      </c>
      <c r="M393">
        <v>0</v>
      </c>
      <c r="N393">
        <v>3958000</v>
      </c>
      <c r="O393">
        <v>5697000</v>
      </c>
    </row>
    <row r="394" spans="1:15" x14ac:dyDescent="0.35">
      <c r="A394" t="s">
        <v>549</v>
      </c>
      <c r="B394">
        <v>6447234.375</v>
      </c>
      <c r="C394" t="s">
        <v>574</v>
      </c>
      <c r="D394" s="1">
        <v>45433</v>
      </c>
      <c r="E394" t="s">
        <v>14</v>
      </c>
      <c r="F394" t="s">
        <v>15</v>
      </c>
      <c r="G394" t="s">
        <v>186</v>
      </c>
      <c r="H394" t="s">
        <v>23</v>
      </c>
      <c r="I394" t="s">
        <v>548</v>
      </c>
      <c r="J394" t="s">
        <v>160</v>
      </c>
      <c r="K394">
        <v>2</v>
      </c>
      <c r="L394">
        <v>4864000</v>
      </c>
      <c r="M394">
        <v>0</v>
      </c>
      <c r="N394">
        <v>3275000</v>
      </c>
      <c r="O394">
        <v>4864000</v>
      </c>
    </row>
    <row r="395" spans="1:15" x14ac:dyDescent="0.35">
      <c r="A395" t="s">
        <v>549</v>
      </c>
      <c r="B395">
        <v>6447234.375</v>
      </c>
      <c r="C395" t="s">
        <v>575</v>
      </c>
      <c r="D395" s="1">
        <v>45436</v>
      </c>
      <c r="E395" t="s">
        <v>14</v>
      </c>
      <c r="F395" t="s">
        <v>15</v>
      </c>
      <c r="G395" t="s">
        <v>95</v>
      </c>
      <c r="H395" t="s">
        <v>23</v>
      </c>
      <c r="I395" t="s">
        <v>548</v>
      </c>
      <c r="J395" t="s">
        <v>160</v>
      </c>
      <c r="K395">
        <v>1</v>
      </c>
      <c r="L395">
        <v>6025000</v>
      </c>
      <c r="M395">
        <v>0</v>
      </c>
      <c r="N395">
        <v>4069000</v>
      </c>
      <c r="O395">
        <v>6025000</v>
      </c>
    </row>
    <row r="396" spans="1:15" x14ac:dyDescent="0.35">
      <c r="A396" t="s">
        <v>549</v>
      </c>
      <c r="B396">
        <v>6447234.375</v>
      </c>
      <c r="C396" t="s">
        <v>576</v>
      </c>
      <c r="D396" s="1">
        <v>45441</v>
      </c>
      <c r="E396" t="s">
        <v>41</v>
      </c>
      <c r="F396" t="s">
        <v>42</v>
      </c>
      <c r="G396" t="s">
        <v>166</v>
      </c>
      <c r="H396" t="s">
        <v>28</v>
      </c>
      <c r="I396" t="s">
        <v>548</v>
      </c>
      <c r="J396" t="s">
        <v>160</v>
      </c>
      <c r="K396">
        <v>1</v>
      </c>
      <c r="L396">
        <v>7673000</v>
      </c>
      <c r="M396">
        <v>0</v>
      </c>
      <c r="N396">
        <v>5342000</v>
      </c>
      <c r="O396">
        <v>7673000</v>
      </c>
    </row>
    <row r="397" spans="1:15" x14ac:dyDescent="0.35">
      <c r="A397" t="s">
        <v>549</v>
      </c>
      <c r="B397">
        <v>6447234.375</v>
      </c>
      <c r="C397" t="s">
        <v>577</v>
      </c>
      <c r="D397" s="1">
        <v>45467</v>
      </c>
      <c r="E397" t="s">
        <v>14</v>
      </c>
      <c r="F397" t="s">
        <v>15</v>
      </c>
      <c r="G397" t="s">
        <v>89</v>
      </c>
      <c r="H397" t="s">
        <v>23</v>
      </c>
      <c r="I397" t="s">
        <v>548</v>
      </c>
      <c r="J397" t="s">
        <v>160</v>
      </c>
      <c r="K397">
        <v>3</v>
      </c>
      <c r="L397">
        <v>7686000</v>
      </c>
      <c r="M397">
        <v>0.05</v>
      </c>
      <c r="N397">
        <v>5330000</v>
      </c>
      <c r="O397">
        <v>7686000</v>
      </c>
    </row>
    <row r="398" spans="1:15" x14ac:dyDescent="0.35">
      <c r="A398" t="s">
        <v>549</v>
      </c>
      <c r="B398">
        <v>6447234.375</v>
      </c>
      <c r="C398" t="s">
        <v>578</v>
      </c>
      <c r="D398" s="1">
        <v>45468</v>
      </c>
      <c r="E398" t="s">
        <v>49</v>
      </c>
      <c r="F398" t="s">
        <v>50</v>
      </c>
      <c r="G398" t="s">
        <v>270</v>
      </c>
      <c r="H398" t="s">
        <v>23</v>
      </c>
      <c r="I398" t="s">
        <v>548</v>
      </c>
      <c r="J398" t="s">
        <v>160</v>
      </c>
      <c r="K398">
        <v>3</v>
      </c>
      <c r="L398">
        <v>6154000</v>
      </c>
      <c r="M398">
        <v>0</v>
      </c>
      <c r="N398">
        <v>4152000</v>
      </c>
      <c r="O398">
        <v>6154000</v>
      </c>
    </row>
    <row r="399" spans="1:15" x14ac:dyDescent="0.35">
      <c r="A399" t="s">
        <v>549</v>
      </c>
      <c r="B399">
        <v>6447234.375</v>
      </c>
      <c r="C399" t="s">
        <v>579</v>
      </c>
      <c r="D399" s="1">
        <v>45490</v>
      </c>
      <c r="E399" t="s">
        <v>49</v>
      </c>
      <c r="F399" t="s">
        <v>50</v>
      </c>
      <c r="G399" t="s">
        <v>203</v>
      </c>
      <c r="H399" t="s">
        <v>17</v>
      </c>
      <c r="I399" t="s">
        <v>548</v>
      </c>
      <c r="J399" t="s">
        <v>160</v>
      </c>
      <c r="K399">
        <v>1</v>
      </c>
      <c r="L399">
        <v>5012000</v>
      </c>
      <c r="M399">
        <v>0</v>
      </c>
      <c r="N399">
        <v>3364000</v>
      </c>
      <c r="O399">
        <v>5012000</v>
      </c>
    </row>
    <row r="400" spans="1:15" x14ac:dyDescent="0.35">
      <c r="A400" t="s">
        <v>549</v>
      </c>
      <c r="B400">
        <v>6447234.375</v>
      </c>
      <c r="C400" t="s">
        <v>580</v>
      </c>
      <c r="D400" s="1">
        <v>45517</v>
      </c>
      <c r="E400" t="s">
        <v>14</v>
      </c>
      <c r="F400" t="s">
        <v>15</v>
      </c>
      <c r="G400" t="s">
        <v>340</v>
      </c>
      <c r="H400" t="s">
        <v>23</v>
      </c>
      <c r="I400" t="s">
        <v>548</v>
      </c>
      <c r="J400" t="s">
        <v>160</v>
      </c>
      <c r="K400">
        <v>1</v>
      </c>
      <c r="L400">
        <v>7086000</v>
      </c>
      <c r="M400">
        <v>0</v>
      </c>
      <c r="N400">
        <v>4763000</v>
      </c>
      <c r="O400">
        <v>7086000</v>
      </c>
    </row>
    <row r="401" spans="1:15" x14ac:dyDescent="0.35">
      <c r="A401" t="s">
        <v>549</v>
      </c>
      <c r="B401">
        <v>6447234.375</v>
      </c>
      <c r="C401" t="s">
        <v>581</v>
      </c>
      <c r="D401" s="1">
        <v>45522</v>
      </c>
      <c r="E401" t="s">
        <v>49</v>
      </c>
      <c r="F401" t="s">
        <v>50</v>
      </c>
      <c r="G401" t="s">
        <v>582</v>
      </c>
      <c r="H401" t="s">
        <v>17</v>
      </c>
      <c r="I401" t="s">
        <v>548</v>
      </c>
      <c r="J401" t="s">
        <v>160</v>
      </c>
      <c r="K401">
        <v>3</v>
      </c>
      <c r="L401">
        <v>6254000</v>
      </c>
      <c r="M401">
        <v>0.1</v>
      </c>
      <c r="N401">
        <v>4242000</v>
      </c>
      <c r="O401">
        <v>6254000</v>
      </c>
    </row>
    <row r="402" spans="1:15" x14ac:dyDescent="0.35">
      <c r="A402" t="s">
        <v>549</v>
      </c>
      <c r="B402">
        <v>6447234.375</v>
      </c>
      <c r="C402" t="s">
        <v>583</v>
      </c>
      <c r="D402" s="1">
        <v>45543</v>
      </c>
      <c r="E402" t="s">
        <v>41</v>
      </c>
      <c r="F402" t="s">
        <v>42</v>
      </c>
      <c r="G402" t="s">
        <v>102</v>
      </c>
      <c r="H402" t="s">
        <v>58</v>
      </c>
      <c r="I402" t="s">
        <v>548</v>
      </c>
      <c r="J402" t="s">
        <v>160</v>
      </c>
      <c r="K402">
        <v>1</v>
      </c>
      <c r="L402">
        <v>7820000</v>
      </c>
      <c r="M402">
        <v>0</v>
      </c>
      <c r="N402">
        <v>5361000</v>
      </c>
      <c r="O402">
        <v>7820000</v>
      </c>
    </row>
    <row r="403" spans="1:15" x14ac:dyDescent="0.35">
      <c r="A403" t="s">
        <v>549</v>
      </c>
      <c r="B403">
        <v>6447234.375</v>
      </c>
      <c r="C403" t="s">
        <v>584</v>
      </c>
      <c r="D403" s="1">
        <v>45562</v>
      </c>
      <c r="E403" t="s">
        <v>14</v>
      </c>
      <c r="F403" t="s">
        <v>15</v>
      </c>
      <c r="G403" t="s">
        <v>97</v>
      </c>
      <c r="H403" t="s">
        <v>23</v>
      </c>
      <c r="I403" t="s">
        <v>548</v>
      </c>
      <c r="J403" t="s">
        <v>160</v>
      </c>
      <c r="K403">
        <v>1</v>
      </c>
      <c r="L403">
        <v>5774000</v>
      </c>
      <c r="M403">
        <v>0</v>
      </c>
      <c r="N403">
        <v>4013000</v>
      </c>
      <c r="O403">
        <v>5774000</v>
      </c>
    </row>
    <row r="404" spans="1:15" x14ac:dyDescent="0.35">
      <c r="A404" t="s">
        <v>549</v>
      </c>
      <c r="B404">
        <v>6447234.375</v>
      </c>
      <c r="C404" t="s">
        <v>585</v>
      </c>
      <c r="D404" s="1">
        <v>45606</v>
      </c>
      <c r="E404" t="s">
        <v>14</v>
      </c>
      <c r="F404" t="s">
        <v>15</v>
      </c>
      <c r="G404" t="s">
        <v>247</v>
      </c>
      <c r="H404" t="s">
        <v>17</v>
      </c>
      <c r="I404" t="s">
        <v>548</v>
      </c>
      <c r="J404" t="s">
        <v>160</v>
      </c>
      <c r="K404">
        <v>1</v>
      </c>
      <c r="L404">
        <v>6447234.375</v>
      </c>
      <c r="M404">
        <v>0</v>
      </c>
      <c r="N404">
        <v>0</v>
      </c>
      <c r="O404">
        <v>6447234.375</v>
      </c>
    </row>
    <row r="405" spans="1:15" x14ac:dyDescent="0.35">
      <c r="A405" t="s">
        <v>549</v>
      </c>
      <c r="B405">
        <v>6447234.375</v>
      </c>
      <c r="C405" t="s">
        <v>586</v>
      </c>
      <c r="D405" s="1">
        <v>45667</v>
      </c>
      <c r="E405" t="s">
        <v>41</v>
      </c>
      <c r="F405" t="s">
        <v>42</v>
      </c>
      <c r="G405" t="s">
        <v>295</v>
      </c>
      <c r="H405" t="s">
        <v>23</v>
      </c>
      <c r="I405" t="s">
        <v>548</v>
      </c>
      <c r="J405" t="s">
        <v>160</v>
      </c>
      <c r="K405">
        <v>1</v>
      </c>
      <c r="L405">
        <v>5709000</v>
      </c>
      <c r="M405">
        <v>0</v>
      </c>
      <c r="N405">
        <v>3823000</v>
      </c>
      <c r="O405">
        <v>5709000</v>
      </c>
    </row>
    <row r="406" spans="1:15" x14ac:dyDescent="0.35">
      <c r="A406" t="s">
        <v>549</v>
      </c>
      <c r="B406">
        <v>6447234.375</v>
      </c>
      <c r="C406" t="s">
        <v>587</v>
      </c>
      <c r="D406" s="1">
        <v>45675</v>
      </c>
      <c r="E406" t="s">
        <v>14</v>
      </c>
      <c r="F406" t="s">
        <v>15</v>
      </c>
      <c r="G406" t="s">
        <v>582</v>
      </c>
      <c r="H406" t="s">
        <v>17</v>
      </c>
      <c r="I406" t="s">
        <v>548</v>
      </c>
      <c r="J406" t="s">
        <v>160</v>
      </c>
      <c r="K406">
        <v>1</v>
      </c>
      <c r="L406">
        <v>5147000</v>
      </c>
      <c r="M406">
        <v>0</v>
      </c>
      <c r="N406">
        <v>3537000</v>
      </c>
      <c r="O406">
        <v>5147000</v>
      </c>
    </row>
    <row r="407" spans="1:15" x14ac:dyDescent="0.35">
      <c r="A407" t="s">
        <v>549</v>
      </c>
      <c r="B407">
        <v>6447234.375</v>
      </c>
      <c r="C407" t="s">
        <v>588</v>
      </c>
      <c r="D407" s="1">
        <v>45678</v>
      </c>
      <c r="E407" t="s">
        <v>25</v>
      </c>
      <c r="F407" t="s">
        <v>26</v>
      </c>
      <c r="G407" t="s">
        <v>119</v>
      </c>
      <c r="H407" t="s">
        <v>23</v>
      </c>
      <c r="I407" t="s">
        <v>548</v>
      </c>
      <c r="J407" t="s">
        <v>160</v>
      </c>
      <c r="K407">
        <v>1</v>
      </c>
      <c r="L407">
        <v>7794000</v>
      </c>
      <c r="M407">
        <v>0</v>
      </c>
      <c r="N407">
        <v>5298000</v>
      </c>
      <c r="O407">
        <v>7794000</v>
      </c>
    </row>
    <row r="408" spans="1:15" x14ac:dyDescent="0.35">
      <c r="A408" t="s">
        <v>549</v>
      </c>
      <c r="B408">
        <v>6447234.375</v>
      </c>
      <c r="C408" t="s">
        <v>589</v>
      </c>
      <c r="D408" s="1">
        <v>45687</v>
      </c>
      <c r="E408" t="s">
        <v>14</v>
      </c>
      <c r="F408" t="s">
        <v>15</v>
      </c>
      <c r="G408" t="s">
        <v>226</v>
      </c>
      <c r="H408" t="s">
        <v>17</v>
      </c>
      <c r="I408" t="s">
        <v>548</v>
      </c>
      <c r="J408" t="s">
        <v>160</v>
      </c>
      <c r="K408">
        <v>1</v>
      </c>
      <c r="L408">
        <v>4993000</v>
      </c>
      <c r="M408">
        <v>0</v>
      </c>
      <c r="N408">
        <v>3348000</v>
      </c>
      <c r="O408">
        <v>4993000</v>
      </c>
    </row>
    <row r="409" spans="1:15" x14ac:dyDescent="0.35">
      <c r="A409" t="s">
        <v>549</v>
      </c>
      <c r="B409">
        <v>6447234.375</v>
      </c>
      <c r="C409" t="s">
        <v>590</v>
      </c>
      <c r="D409" s="1">
        <v>45748</v>
      </c>
      <c r="E409" t="s">
        <v>41</v>
      </c>
      <c r="F409" t="s">
        <v>42</v>
      </c>
      <c r="G409" t="s">
        <v>63</v>
      </c>
      <c r="H409" t="s">
        <v>28</v>
      </c>
      <c r="I409" t="s">
        <v>548</v>
      </c>
      <c r="J409" t="s">
        <v>160</v>
      </c>
      <c r="K409">
        <v>1</v>
      </c>
      <c r="L409">
        <v>8087000</v>
      </c>
      <c r="M409">
        <v>0</v>
      </c>
      <c r="N409">
        <v>5529000</v>
      </c>
      <c r="O409">
        <v>8087000</v>
      </c>
    </row>
    <row r="410" spans="1:15" x14ac:dyDescent="0.35">
      <c r="A410" t="s">
        <v>549</v>
      </c>
      <c r="B410">
        <v>6447234.375</v>
      </c>
      <c r="C410" t="s">
        <v>591</v>
      </c>
      <c r="D410" s="1">
        <v>45760</v>
      </c>
      <c r="E410" t="s">
        <v>49</v>
      </c>
      <c r="F410" t="s">
        <v>50</v>
      </c>
      <c r="G410" t="s">
        <v>89</v>
      </c>
      <c r="H410" t="s">
        <v>23</v>
      </c>
      <c r="I410" t="s">
        <v>548</v>
      </c>
      <c r="J410" t="s">
        <v>160</v>
      </c>
      <c r="K410">
        <v>2</v>
      </c>
      <c r="L410">
        <v>7972000</v>
      </c>
      <c r="M410">
        <v>0</v>
      </c>
      <c r="N410">
        <v>5302000</v>
      </c>
      <c r="O410">
        <v>7972000</v>
      </c>
    </row>
    <row r="411" spans="1:15" x14ac:dyDescent="0.35">
      <c r="A411" t="s">
        <v>549</v>
      </c>
      <c r="B411">
        <v>6447234.375</v>
      </c>
      <c r="C411" t="s">
        <v>592</v>
      </c>
      <c r="D411" s="1">
        <v>45825</v>
      </c>
      <c r="E411" t="s">
        <v>14</v>
      </c>
      <c r="F411" t="s">
        <v>15</v>
      </c>
      <c r="G411" t="s">
        <v>95</v>
      </c>
      <c r="H411" t="s">
        <v>23</v>
      </c>
      <c r="I411" t="s">
        <v>548</v>
      </c>
      <c r="J411" t="s">
        <v>160</v>
      </c>
      <c r="K411">
        <v>1</v>
      </c>
      <c r="L411">
        <v>6407000</v>
      </c>
      <c r="M411">
        <v>0</v>
      </c>
      <c r="N411">
        <v>4372000</v>
      </c>
      <c r="O411">
        <v>6407000</v>
      </c>
    </row>
    <row r="412" spans="1:15" x14ac:dyDescent="0.35">
      <c r="A412" t="s">
        <v>549</v>
      </c>
      <c r="B412">
        <v>6447234.375</v>
      </c>
      <c r="C412" t="s">
        <v>593</v>
      </c>
      <c r="D412" s="1">
        <v>45851</v>
      </c>
      <c r="E412" t="s">
        <v>49</v>
      </c>
      <c r="F412" t="s">
        <v>50</v>
      </c>
      <c r="G412" t="s">
        <v>307</v>
      </c>
      <c r="H412" t="s">
        <v>28</v>
      </c>
      <c r="I412" t="s">
        <v>548</v>
      </c>
      <c r="J412" t="s">
        <v>160</v>
      </c>
      <c r="K412">
        <v>1</v>
      </c>
      <c r="L412">
        <v>5477000</v>
      </c>
      <c r="M412">
        <v>0</v>
      </c>
      <c r="N412">
        <v>3798000</v>
      </c>
      <c r="O412">
        <v>5477000</v>
      </c>
    </row>
    <row r="413" spans="1:15" x14ac:dyDescent="0.35">
      <c r="A413" t="s">
        <v>549</v>
      </c>
      <c r="B413">
        <v>6447234.375</v>
      </c>
      <c r="C413" t="s">
        <v>594</v>
      </c>
      <c r="D413" s="1">
        <v>45888</v>
      </c>
      <c r="E413" t="s">
        <v>14</v>
      </c>
      <c r="F413" t="s">
        <v>15</v>
      </c>
      <c r="G413" t="s">
        <v>247</v>
      </c>
      <c r="H413" t="s">
        <v>17</v>
      </c>
      <c r="I413" t="s">
        <v>548</v>
      </c>
      <c r="J413" t="s">
        <v>160</v>
      </c>
      <c r="K413">
        <v>1</v>
      </c>
      <c r="L413">
        <v>6858000</v>
      </c>
      <c r="M413">
        <v>0</v>
      </c>
      <c r="N413">
        <v>4791000</v>
      </c>
      <c r="O413">
        <v>6858000</v>
      </c>
    </row>
    <row r="414" spans="1:15" x14ac:dyDescent="0.35">
      <c r="A414" t="s">
        <v>549</v>
      </c>
      <c r="B414">
        <v>6447234.375</v>
      </c>
      <c r="C414" t="s">
        <v>595</v>
      </c>
      <c r="D414" s="1">
        <v>45910</v>
      </c>
      <c r="E414" t="s">
        <v>41</v>
      </c>
      <c r="F414" t="s">
        <v>42</v>
      </c>
      <c r="G414" t="s">
        <v>57</v>
      </c>
      <c r="H414" t="s">
        <v>58</v>
      </c>
      <c r="I414" t="s">
        <v>548</v>
      </c>
      <c r="J414" t="s">
        <v>160</v>
      </c>
      <c r="K414">
        <v>3</v>
      </c>
      <c r="L414">
        <v>5145000</v>
      </c>
      <c r="M414">
        <v>0.05</v>
      </c>
      <c r="N414">
        <v>3399000</v>
      </c>
      <c r="O414">
        <v>5145000</v>
      </c>
    </row>
    <row r="415" spans="1:15" x14ac:dyDescent="0.35">
      <c r="A415" t="s">
        <v>549</v>
      </c>
      <c r="B415">
        <v>6447234.375</v>
      </c>
      <c r="C415" t="s">
        <v>596</v>
      </c>
      <c r="D415" s="1">
        <v>45922</v>
      </c>
      <c r="E415" t="s">
        <v>14</v>
      </c>
      <c r="F415" t="s">
        <v>15</v>
      </c>
      <c r="G415" t="s">
        <v>307</v>
      </c>
      <c r="H415" t="s">
        <v>28</v>
      </c>
      <c r="I415" t="s">
        <v>548</v>
      </c>
      <c r="J415" t="s">
        <v>160</v>
      </c>
      <c r="K415">
        <v>2</v>
      </c>
      <c r="L415">
        <v>7905000</v>
      </c>
      <c r="M415">
        <v>0</v>
      </c>
      <c r="N415">
        <v>5293000</v>
      </c>
      <c r="O415">
        <v>7905000</v>
      </c>
    </row>
    <row r="416" spans="1:15" x14ac:dyDescent="0.35">
      <c r="A416" t="s">
        <v>549</v>
      </c>
      <c r="B416">
        <v>6447234.375</v>
      </c>
      <c r="C416" t="s">
        <v>597</v>
      </c>
      <c r="D416" s="1">
        <v>45942</v>
      </c>
      <c r="E416" t="s">
        <v>49</v>
      </c>
      <c r="F416" t="s">
        <v>50</v>
      </c>
      <c r="G416" t="s">
        <v>598</v>
      </c>
      <c r="H416" t="s">
        <v>23</v>
      </c>
      <c r="I416" t="s">
        <v>548</v>
      </c>
      <c r="J416" t="s">
        <v>160</v>
      </c>
      <c r="K416">
        <v>1</v>
      </c>
      <c r="L416">
        <v>6222000</v>
      </c>
      <c r="M416">
        <v>0.05</v>
      </c>
      <c r="N416">
        <v>4247000</v>
      </c>
      <c r="O416">
        <v>6222000</v>
      </c>
    </row>
    <row r="417" spans="1:15" x14ac:dyDescent="0.35">
      <c r="A417" t="s">
        <v>549</v>
      </c>
      <c r="B417">
        <v>6447234.375</v>
      </c>
      <c r="C417" t="s">
        <v>599</v>
      </c>
      <c r="D417" s="1">
        <v>45953</v>
      </c>
      <c r="E417" t="s">
        <v>14</v>
      </c>
      <c r="F417" t="s">
        <v>15</v>
      </c>
      <c r="G417" t="s">
        <v>274</v>
      </c>
      <c r="H417" t="s">
        <v>58</v>
      </c>
      <c r="I417" t="s">
        <v>548</v>
      </c>
      <c r="J417" t="s">
        <v>160</v>
      </c>
      <c r="K417">
        <v>1</v>
      </c>
      <c r="L417">
        <v>5416000</v>
      </c>
      <c r="M417">
        <v>0</v>
      </c>
      <c r="N417">
        <v>3613000</v>
      </c>
      <c r="O417">
        <v>5416000</v>
      </c>
    </row>
    <row r="418" spans="1:15" x14ac:dyDescent="0.35">
      <c r="A418" t="s">
        <v>549</v>
      </c>
      <c r="B418">
        <v>6447234.375</v>
      </c>
      <c r="C418" t="s">
        <v>600</v>
      </c>
      <c r="D418" s="1">
        <v>45972</v>
      </c>
      <c r="E418" t="s">
        <v>14</v>
      </c>
      <c r="F418" t="s">
        <v>15</v>
      </c>
      <c r="G418" t="s">
        <v>197</v>
      </c>
      <c r="H418" t="s">
        <v>28</v>
      </c>
      <c r="I418" t="s">
        <v>548</v>
      </c>
      <c r="J418" t="s">
        <v>160</v>
      </c>
      <c r="K418">
        <v>1</v>
      </c>
      <c r="L418">
        <v>7356000</v>
      </c>
      <c r="M418">
        <v>0</v>
      </c>
      <c r="N418">
        <v>5013000</v>
      </c>
      <c r="O418">
        <v>7356000</v>
      </c>
    </row>
    <row r="419" spans="1:15" x14ac:dyDescent="0.35">
      <c r="A419" t="s">
        <v>549</v>
      </c>
      <c r="B419">
        <v>6447234.375</v>
      </c>
      <c r="C419" t="s">
        <v>601</v>
      </c>
      <c r="D419" s="1">
        <v>45996</v>
      </c>
      <c r="E419" t="s">
        <v>14</v>
      </c>
      <c r="F419" t="s">
        <v>15</v>
      </c>
      <c r="G419" t="s">
        <v>413</v>
      </c>
      <c r="H419" t="s">
        <v>23</v>
      </c>
      <c r="I419" t="s">
        <v>548</v>
      </c>
      <c r="J419" t="s">
        <v>160</v>
      </c>
      <c r="K419">
        <v>3</v>
      </c>
      <c r="L419">
        <v>7933000</v>
      </c>
      <c r="M419">
        <v>0</v>
      </c>
      <c r="N419">
        <v>5260000</v>
      </c>
      <c r="O419">
        <v>7933000</v>
      </c>
    </row>
    <row r="420" spans="1:15" x14ac:dyDescent="0.35">
      <c r="A420" t="s">
        <v>549</v>
      </c>
      <c r="B420">
        <v>6447234.375</v>
      </c>
      <c r="C420" t="s">
        <v>602</v>
      </c>
      <c r="D420" s="1">
        <v>46025</v>
      </c>
      <c r="E420" t="s">
        <v>41</v>
      </c>
      <c r="F420" t="s">
        <v>42</v>
      </c>
      <c r="G420" t="s">
        <v>130</v>
      </c>
      <c r="H420" t="s">
        <v>28</v>
      </c>
      <c r="I420" t="s">
        <v>548</v>
      </c>
      <c r="J420" t="s">
        <v>160</v>
      </c>
      <c r="K420">
        <v>1</v>
      </c>
      <c r="L420">
        <v>6889000</v>
      </c>
      <c r="M420">
        <v>0</v>
      </c>
      <c r="N420">
        <v>4723000</v>
      </c>
      <c r="O420">
        <v>6889000</v>
      </c>
    </row>
    <row r="421" spans="1:15" x14ac:dyDescent="0.35">
      <c r="A421" t="s">
        <v>549</v>
      </c>
      <c r="B421">
        <v>6447234.375</v>
      </c>
      <c r="C421" t="s">
        <v>603</v>
      </c>
      <c r="D421" s="1">
        <v>46050</v>
      </c>
      <c r="E421" t="s">
        <v>14</v>
      </c>
      <c r="F421" t="s">
        <v>15</v>
      </c>
      <c r="G421" t="s">
        <v>319</v>
      </c>
      <c r="H421" t="s">
        <v>23</v>
      </c>
      <c r="I421" t="s">
        <v>548</v>
      </c>
      <c r="J421" t="s">
        <v>160</v>
      </c>
      <c r="K421">
        <v>1</v>
      </c>
      <c r="L421">
        <v>6498000</v>
      </c>
      <c r="M421">
        <v>0</v>
      </c>
      <c r="N421">
        <v>4331000</v>
      </c>
      <c r="O421">
        <v>6498000</v>
      </c>
    </row>
    <row r="422" spans="1:15" x14ac:dyDescent="0.35">
      <c r="A422" t="s">
        <v>549</v>
      </c>
      <c r="B422">
        <v>6447234.375</v>
      </c>
      <c r="C422" t="s">
        <v>604</v>
      </c>
      <c r="D422" s="1">
        <v>46092</v>
      </c>
      <c r="E422" t="s">
        <v>49</v>
      </c>
      <c r="F422" t="s">
        <v>50</v>
      </c>
      <c r="G422" t="s">
        <v>384</v>
      </c>
      <c r="H422" t="s">
        <v>23</v>
      </c>
      <c r="I422" t="s">
        <v>548</v>
      </c>
      <c r="J422" t="s">
        <v>160</v>
      </c>
      <c r="K422">
        <v>1</v>
      </c>
      <c r="L422">
        <v>5275000</v>
      </c>
      <c r="M422">
        <v>0</v>
      </c>
      <c r="N422">
        <v>3679000</v>
      </c>
      <c r="O422">
        <v>5275000</v>
      </c>
    </row>
    <row r="423" spans="1:15" x14ac:dyDescent="0.35">
      <c r="A423" t="s">
        <v>549</v>
      </c>
      <c r="B423">
        <v>6447234.375</v>
      </c>
      <c r="C423" t="s">
        <v>605</v>
      </c>
      <c r="D423" s="1">
        <v>46096</v>
      </c>
      <c r="E423" t="s">
        <v>36</v>
      </c>
      <c r="F423" t="s">
        <v>37</v>
      </c>
      <c r="G423" t="s">
        <v>195</v>
      </c>
      <c r="H423" t="s">
        <v>23</v>
      </c>
      <c r="I423" t="s">
        <v>548</v>
      </c>
      <c r="J423" t="s">
        <v>160</v>
      </c>
      <c r="K423">
        <v>1</v>
      </c>
      <c r="L423">
        <v>6298000</v>
      </c>
      <c r="M423">
        <v>0</v>
      </c>
      <c r="N423">
        <v>4161000</v>
      </c>
      <c r="O423">
        <v>6298000</v>
      </c>
    </row>
    <row r="424" spans="1:15" x14ac:dyDescent="0.35">
      <c r="A424" t="s">
        <v>549</v>
      </c>
      <c r="B424">
        <v>6447234.375</v>
      </c>
      <c r="C424" t="s">
        <v>606</v>
      </c>
      <c r="D424" s="1">
        <v>46096</v>
      </c>
      <c r="E424" t="s">
        <v>14</v>
      </c>
      <c r="F424" t="s">
        <v>15</v>
      </c>
      <c r="G424" t="s">
        <v>239</v>
      </c>
      <c r="H424" t="s">
        <v>23</v>
      </c>
      <c r="I424" t="s">
        <v>548</v>
      </c>
      <c r="J424" t="s">
        <v>160</v>
      </c>
      <c r="K424">
        <v>2</v>
      </c>
      <c r="L424">
        <v>6537000</v>
      </c>
      <c r="M424">
        <v>0.05</v>
      </c>
      <c r="N424">
        <v>4447000</v>
      </c>
      <c r="O424">
        <v>6537000</v>
      </c>
    </row>
    <row r="425" spans="1:15" x14ac:dyDescent="0.35">
      <c r="A425" t="s">
        <v>549</v>
      </c>
      <c r="B425">
        <v>6447234.375</v>
      </c>
      <c r="C425" t="s">
        <v>607</v>
      </c>
      <c r="D425" s="1">
        <v>46096</v>
      </c>
      <c r="E425" t="s">
        <v>14</v>
      </c>
      <c r="F425" t="s">
        <v>15</v>
      </c>
      <c r="G425" t="s">
        <v>162</v>
      </c>
      <c r="H425" t="s">
        <v>28</v>
      </c>
      <c r="I425" t="s">
        <v>548</v>
      </c>
      <c r="J425" t="s">
        <v>160</v>
      </c>
      <c r="K425">
        <v>1</v>
      </c>
      <c r="L425">
        <v>7412000</v>
      </c>
      <c r="M425">
        <v>0.1</v>
      </c>
      <c r="N425">
        <v>5049000</v>
      </c>
      <c r="O425">
        <v>7412000</v>
      </c>
    </row>
    <row r="426" spans="1:15" x14ac:dyDescent="0.35">
      <c r="A426" t="s">
        <v>549</v>
      </c>
      <c r="B426">
        <v>6447234.375</v>
      </c>
      <c r="C426" t="s">
        <v>608</v>
      </c>
      <c r="D426" s="1">
        <v>46117</v>
      </c>
      <c r="E426" t="s">
        <v>41</v>
      </c>
      <c r="F426" t="s">
        <v>42</v>
      </c>
      <c r="G426" t="s">
        <v>447</v>
      </c>
      <c r="H426" t="s">
        <v>23</v>
      </c>
      <c r="I426" t="s">
        <v>548</v>
      </c>
      <c r="J426" t="s">
        <v>160</v>
      </c>
      <c r="K426">
        <v>1</v>
      </c>
      <c r="L426">
        <v>7439000</v>
      </c>
      <c r="M426">
        <v>0</v>
      </c>
      <c r="N426">
        <v>5091000</v>
      </c>
      <c r="O426">
        <v>7439000</v>
      </c>
    </row>
    <row r="427" spans="1:15" x14ac:dyDescent="0.35">
      <c r="A427" t="s">
        <v>549</v>
      </c>
      <c r="B427">
        <v>6447234.375</v>
      </c>
      <c r="C427" t="s">
        <v>609</v>
      </c>
      <c r="D427" s="1">
        <v>46122</v>
      </c>
      <c r="E427" t="s">
        <v>41</v>
      </c>
      <c r="F427" t="s">
        <v>42</v>
      </c>
      <c r="G427" t="s">
        <v>313</v>
      </c>
      <c r="H427" t="s">
        <v>17</v>
      </c>
      <c r="I427" t="s">
        <v>548</v>
      </c>
      <c r="J427" t="s">
        <v>160</v>
      </c>
      <c r="K427">
        <v>1</v>
      </c>
      <c r="L427">
        <v>5837000</v>
      </c>
      <c r="M427">
        <v>0.1</v>
      </c>
      <c r="N427">
        <v>4049000</v>
      </c>
      <c r="O427">
        <v>5837000</v>
      </c>
    </row>
    <row r="428" spans="1:15" x14ac:dyDescent="0.35">
      <c r="A428" t="s">
        <v>549</v>
      </c>
      <c r="B428">
        <v>6447234.375</v>
      </c>
      <c r="C428" t="s">
        <v>610</v>
      </c>
      <c r="D428" s="1">
        <v>46122</v>
      </c>
      <c r="E428" t="s">
        <v>14</v>
      </c>
      <c r="F428" t="s">
        <v>15</v>
      </c>
      <c r="G428" t="s">
        <v>247</v>
      </c>
      <c r="H428" t="s">
        <v>17</v>
      </c>
      <c r="I428" t="s">
        <v>548</v>
      </c>
      <c r="J428" t="s">
        <v>160</v>
      </c>
      <c r="K428">
        <v>1</v>
      </c>
      <c r="L428">
        <v>6913000</v>
      </c>
      <c r="M428">
        <v>0.15</v>
      </c>
      <c r="N428">
        <v>4660000</v>
      </c>
      <c r="O428">
        <v>6913000</v>
      </c>
    </row>
    <row r="429" spans="1:15" x14ac:dyDescent="0.35">
      <c r="A429" t="s">
        <v>549</v>
      </c>
      <c r="B429">
        <v>6447234.375</v>
      </c>
      <c r="C429" t="s">
        <v>611</v>
      </c>
      <c r="D429" s="1">
        <v>46132</v>
      </c>
      <c r="E429" t="s">
        <v>14</v>
      </c>
      <c r="F429" t="s">
        <v>15</v>
      </c>
      <c r="G429" t="s">
        <v>319</v>
      </c>
      <c r="H429" t="s">
        <v>23</v>
      </c>
      <c r="I429" t="s">
        <v>548</v>
      </c>
      <c r="J429" t="s">
        <v>160</v>
      </c>
      <c r="K429">
        <v>2</v>
      </c>
      <c r="L429">
        <v>7255000</v>
      </c>
      <c r="M429">
        <v>0</v>
      </c>
      <c r="N429">
        <v>4867000</v>
      </c>
      <c r="O429">
        <v>7255000</v>
      </c>
    </row>
    <row r="430" spans="1:15" x14ac:dyDescent="0.35">
      <c r="A430" t="s">
        <v>549</v>
      </c>
      <c r="B430">
        <v>6447234.375</v>
      </c>
      <c r="C430" t="s">
        <v>612</v>
      </c>
      <c r="D430" s="1">
        <v>46150</v>
      </c>
      <c r="E430" t="s">
        <v>14</v>
      </c>
      <c r="F430" t="s">
        <v>15</v>
      </c>
      <c r="G430" t="s">
        <v>613</v>
      </c>
      <c r="H430" t="s">
        <v>28</v>
      </c>
      <c r="I430" t="s">
        <v>548</v>
      </c>
      <c r="J430" t="s">
        <v>160</v>
      </c>
      <c r="K430">
        <v>1</v>
      </c>
      <c r="L430">
        <v>6509000</v>
      </c>
      <c r="M430">
        <v>0.15</v>
      </c>
      <c r="N430">
        <v>4388000</v>
      </c>
      <c r="O430">
        <v>6509000</v>
      </c>
    </row>
    <row r="431" spans="1:15" x14ac:dyDescent="0.35">
      <c r="A431" t="s">
        <v>549</v>
      </c>
      <c r="B431">
        <v>6447234.375</v>
      </c>
      <c r="C431" t="s">
        <v>614</v>
      </c>
      <c r="D431" s="1">
        <v>46172</v>
      </c>
      <c r="E431" t="s">
        <v>14</v>
      </c>
      <c r="F431" t="s">
        <v>15</v>
      </c>
      <c r="G431" t="s">
        <v>340</v>
      </c>
      <c r="H431" t="s">
        <v>23</v>
      </c>
      <c r="I431" t="s">
        <v>548</v>
      </c>
      <c r="J431" t="s">
        <v>160</v>
      </c>
      <c r="K431">
        <v>1</v>
      </c>
      <c r="L431">
        <v>7476000</v>
      </c>
      <c r="M431">
        <v>0.05</v>
      </c>
      <c r="N431">
        <v>5137000</v>
      </c>
      <c r="O431">
        <v>7476000</v>
      </c>
    </row>
    <row r="432" spans="1:15" x14ac:dyDescent="0.35">
      <c r="A432" t="s">
        <v>549</v>
      </c>
      <c r="B432">
        <v>6447234.375</v>
      </c>
      <c r="C432" t="s">
        <v>615</v>
      </c>
      <c r="D432" s="1">
        <v>46180</v>
      </c>
      <c r="E432" t="s">
        <v>14</v>
      </c>
      <c r="F432" t="s">
        <v>15</v>
      </c>
      <c r="G432" t="s">
        <v>270</v>
      </c>
      <c r="H432" t="s">
        <v>23</v>
      </c>
      <c r="I432" t="s">
        <v>548</v>
      </c>
      <c r="J432" t="s">
        <v>160</v>
      </c>
      <c r="K432">
        <v>5</v>
      </c>
      <c r="L432">
        <v>8214000</v>
      </c>
      <c r="M432">
        <v>0</v>
      </c>
      <c r="N432">
        <v>5463000</v>
      </c>
      <c r="O432">
        <v>8214000</v>
      </c>
    </row>
    <row r="433" spans="1:15" x14ac:dyDescent="0.35">
      <c r="A433" t="s">
        <v>549</v>
      </c>
      <c r="B433">
        <v>6447234.375</v>
      </c>
      <c r="C433" t="s">
        <v>616</v>
      </c>
      <c r="D433" s="1">
        <v>46180</v>
      </c>
      <c r="E433" t="s">
        <v>14</v>
      </c>
      <c r="F433" t="s">
        <v>15</v>
      </c>
      <c r="G433" t="s">
        <v>130</v>
      </c>
      <c r="H433" t="s">
        <v>28</v>
      </c>
      <c r="I433" t="s">
        <v>548</v>
      </c>
      <c r="J433" t="s">
        <v>160</v>
      </c>
      <c r="K433">
        <v>2</v>
      </c>
      <c r="L433">
        <v>7976000</v>
      </c>
      <c r="M433">
        <v>0</v>
      </c>
      <c r="N433">
        <v>5324000</v>
      </c>
      <c r="O433">
        <v>7976000</v>
      </c>
    </row>
    <row r="434" spans="1:15" x14ac:dyDescent="0.35">
      <c r="A434" t="s">
        <v>549</v>
      </c>
      <c r="B434">
        <v>6447234.375</v>
      </c>
      <c r="C434" t="s">
        <v>617</v>
      </c>
      <c r="D434" s="1">
        <v>46182</v>
      </c>
      <c r="E434" t="s">
        <v>41</v>
      </c>
      <c r="F434" t="s">
        <v>42</v>
      </c>
      <c r="G434" t="s">
        <v>287</v>
      </c>
      <c r="H434" t="s">
        <v>28</v>
      </c>
      <c r="I434" t="s">
        <v>548</v>
      </c>
      <c r="J434" t="s">
        <v>160</v>
      </c>
      <c r="K434">
        <v>1</v>
      </c>
      <c r="L434">
        <v>8400000</v>
      </c>
      <c r="M434">
        <v>0</v>
      </c>
      <c r="N434">
        <v>5796000</v>
      </c>
      <c r="O434">
        <v>8400000</v>
      </c>
    </row>
    <row r="435" spans="1:15" x14ac:dyDescent="0.35">
      <c r="A435" t="s">
        <v>549</v>
      </c>
      <c r="B435">
        <v>6447234.375</v>
      </c>
      <c r="C435" t="s">
        <v>618</v>
      </c>
      <c r="D435" s="1">
        <v>46183</v>
      </c>
      <c r="E435" t="s">
        <v>14</v>
      </c>
      <c r="F435" t="s">
        <v>15</v>
      </c>
      <c r="G435" t="s">
        <v>51</v>
      </c>
      <c r="H435" t="s">
        <v>23</v>
      </c>
      <c r="I435" t="s">
        <v>548</v>
      </c>
      <c r="J435" t="s">
        <v>160</v>
      </c>
      <c r="K435">
        <v>1</v>
      </c>
      <c r="L435">
        <v>6386000</v>
      </c>
      <c r="M435">
        <v>0</v>
      </c>
      <c r="N435">
        <v>4404000</v>
      </c>
      <c r="O435">
        <v>6386000</v>
      </c>
    </row>
    <row r="436" spans="1:15" x14ac:dyDescent="0.35">
      <c r="A436" t="s">
        <v>549</v>
      </c>
      <c r="B436">
        <v>6447234.375</v>
      </c>
      <c r="C436" t="s">
        <v>619</v>
      </c>
      <c r="D436" s="1">
        <v>46201</v>
      </c>
      <c r="E436" t="s">
        <v>14</v>
      </c>
      <c r="F436" t="s">
        <v>15</v>
      </c>
      <c r="G436" t="s">
        <v>489</v>
      </c>
      <c r="H436" t="s">
        <v>17</v>
      </c>
      <c r="I436" t="s">
        <v>548</v>
      </c>
      <c r="J436" t="s">
        <v>160</v>
      </c>
      <c r="K436">
        <v>2</v>
      </c>
      <c r="L436">
        <v>5256000</v>
      </c>
      <c r="M436">
        <v>0</v>
      </c>
      <c r="N436">
        <v>3600000</v>
      </c>
      <c r="O436">
        <v>5256000</v>
      </c>
    </row>
    <row r="437" spans="1:15" x14ac:dyDescent="0.35">
      <c r="A437" t="s">
        <v>622</v>
      </c>
      <c r="B437">
        <v>2382484.375</v>
      </c>
      <c r="C437" t="s">
        <v>620</v>
      </c>
      <c r="D437" s="1">
        <v>44933</v>
      </c>
      <c r="E437" t="s">
        <v>41</v>
      </c>
      <c r="F437" t="s">
        <v>42</v>
      </c>
      <c r="G437" t="s">
        <v>333</v>
      </c>
      <c r="H437" t="s">
        <v>17</v>
      </c>
      <c r="I437" t="s">
        <v>621</v>
      </c>
      <c r="J437" t="s">
        <v>465</v>
      </c>
      <c r="K437">
        <v>2</v>
      </c>
      <c r="L437">
        <v>2145000</v>
      </c>
      <c r="M437">
        <v>0</v>
      </c>
      <c r="N437">
        <v>1648000</v>
      </c>
      <c r="O437">
        <v>2145000</v>
      </c>
    </row>
    <row r="438" spans="1:15" x14ac:dyDescent="0.35">
      <c r="A438" t="s">
        <v>622</v>
      </c>
      <c r="B438">
        <v>2382484.375</v>
      </c>
      <c r="C438" t="s">
        <v>623</v>
      </c>
      <c r="D438" s="1">
        <v>44947</v>
      </c>
      <c r="E438" t="s">
        <v>14</v>
      </c>
      <c r="F438" t="s">
        <v>15</v>
      </c>
      <c r="G438" t="s">
        <v>333</v>
      </c>
      <c r="H438" t="s">
        <v>17</v>
      </c>
      <c r="I438" t="s">
        <v>621</v>
      </c>
      <c r="J438" t="s">
        <v>465</v>
      </c>
      <c r="K438">
        <v>1</v>
      </c>
      <c r="L438">
        <v>2792000</v>
      </c>
      <c r="M438">
        <v>0</v>
      </c>
      <c r="N438">
        <v>2125000</v>
      </c>
      <c r="O438">
        <v>2792000</v>
      </c>
    </row>
    <row r="439" spans="1:15" x14ac:dyDescent="0.35">
      <c r="A439" t="s">
        <v>622</v>
      </c>
      <c r="B439">
        <v>2382484.375</v>
      </c>
      <c r="C439" t="s">
        <v>624</v>
      </c>
      <c r="D439" s="1">
        <v>44978</v>
      </c>
      <c r="E439" t="s">
        <v>41</v>
      </c>
      <c r="F439" t="s">
        <v>42</v>
      </c>
      <c r="G439" t="s">
        <v>99</v>
      </c>
      <c r="H439" t="s">
        <v>23</v>
      </c>
      <c r="I439" t="s">
        <v>621</v>
      </c>
      <c r="J439" t="s">
        <v>465</v>
      </c>
      <c r="K439">
        <v>1</v>
      </c>
      <c r="L439">
        <v>1849000</v>
      </c>
      <c r="M439">
        <v>0</v>
      </c>
      <c r="N439">
        <v>1398000</v>
      </c>
      <c r="O439">
        <v>1849000</v>
      </c>
    </row>
    <row r="440" spans="1:15" x14ac:dyDescent="0.35">
      <c r="A440" t="s">
        <v>622</v>
      </c>
      <c r="B440">
        <v>2382484.375</v>
      </c>
      <c r="C440" t="s">
        <v>625</v>
      </c>
      <c r="D440" s="1">
        <v>44997</v>
      </c>
      <c r="E440" t="s">
        <v>25</v>
      </c>
      <c r="F440" t="s">
        <v>26</v>
      </c>
      <c r="G440" t="s">
        <v>85</v>
      </c>
      <c r="H440" t="s">
        <v>23</v>
      </c>
      <c r="I440" t="s">
        <v>621</v>
      </c>
      <c r="J440" t="s">
        <v>465</v>
      </c>
      <c r="K440">
        <v>3</v>
      </c>
      <c r="L440">
        <v>2202000</v>
      </c>
      <c r="M440">
        <v>0.05</v>
      </c>
      <c r="N440">
        <v>1671000</v>
      </c>
      <c r="O440">
        <v>2202000</v>
      </c>
    </row>
    <row r="441" spans="1:15" x14ac:dyDescent="0.35">
      <c r="A441" t="s">
        <v>622</v>
      </c>
      <c r="B441">
        <v>2382484.375</v>
      </c>
      <c r="C441" t="s">
        <v>626</v>
      </c>
      <c r="D441" s="1">
        <v>45013</v>
      </c>
      <c r="E441" t="s">
        <v>25</v>
      </c>
      <c r="F441" t="s">
        <v>26</v>
      </c>
      <c r="G441" t="s">
        <v>47</v>
      </c>
      <c r="H441" t="s">
        <v>23</v>
      </c>
      <c r="I441" t="s">
        <v>621</v>
      </c>
      <c r="J441" t="s">
        <v>465</v>
      </c>
      <c r="K441">
        <v>2</v>
      </c>
      <c r="L441">
        <v>1684000</v>
      </c>
      <c r="M441">
        <v>0</v>
      </c>
      <c r="N441">
        <v>1238000</v>
      </c>
      <c r="O441">
        <v>1684000</v>
      </c>
    </row>
    <row r="442" spans="1:15" x14ac:dyDescent="0.35">
      <c r="A442" t="s">
        <v>622</v>
      </c>
      <c r="B442">
        <v>2382484.375</v>
      </c>
      <c r="C442" t="s">
        <v>627</v>
      </c>
      <c r="D442" s="1">
        <v>45023</v>
      </c>
      <c r="E442" t="s">
        <v>14</v>
      </c>
      <c r="F442" t="s">
        <v>15</v>
      </c>
      <c r="G442" t="s">
        <v>419</v>
      </c>
      <c r="H442" t="s">
        <v>17</v>
      </c>
      <c r="I442" t="s">
        <v>621</v>
      </c>
      <c r="J442" t="s">
        <v>465</v>
      </c>
      <c r="K442">
        <v>2</v>
      </c>
      <c r="L442">
        <v>1729000</v>
      </c>
      <c r="M442">
        <v>0</v>
      </c>
      <c r="N442">
        <v>1290000</v>
      </c>
      <c r="O442">
        <v>1729000</v>
      </c>
    </row>
    <row r="443" spans="1:15" x14ac:dyDescent="0.35">
      <c r="A443" t="s">
        <v>622</v>
      </c>
      <c r="B443">
        <v>2382484.375</v>
      </c>
      <c r="C443" t="s">
        <v>628</v>
      </c>
      <c r="D443" s="1">
        <v>45027</v>
      </c>
      <c r="E443" t="s">
        <v>49</v>
      </c>
      <c r="F443" t="s">
        <v>50</v>
      </c>
      <c r="G443" t="s">
        <v>71</v>
      </c>
      <c r="H443" t="s">
        <v>23</v>
      </c>
      <c r="I443" t="s">
        <v>621</v>
      </c>
      <c r="J443" t="s">
        <v>465</v>
      </c>
      <c r="K443">
        <v>1</v>
      </c>
      <c r="L443">
        <v>2636000</v>
      </c>
      <c r="M443">
        <v>0</v>
      </c>
      <c r="N443">
        <v>2022000</v>
      </c>
      <c r="O443">
        <v>2636000</v>
      </c>
    </row>
    <row r="444" spans="1:15" x14ac:dyDescent="0.35">
      <c r="A444" t="s">
        <v>622</v>
      </c>
      <c r="B444">
        <v>2382484.375</v>
      </c>
      <c r="C444" t="s">
        <v>629</v>
      </c>
      <c r="D444" s="1">
        <v>45032</v>
      </c>
      <c r="E444" t="s">
        <v>14</v>
      </c>
      <c r="F444" t="s">
        <v>15</v>
      </c>
      <c r="G444" t="s">
        <v>559</v>
      </c>
      <c r="H444" t="s">
        <v>23</v>
      </c>
      <c r="I444" t="s">
        <v>621</v>
      </c>
      <c r="J444" t="s">
        <v>465</v>
      </c>
      <c r="K444">
        <v>2</v>
      </c>
      <c r="L444">
        <v>1908000</v>
      </c>
      <c r="M444">
        <v>0</v>
      </c>
      <c r="N444">
        <v>1446000</v>
      </c>
      <c r="O444">
        <v>1908000</v>
      </c>
    </row>
    <row r="445" spans="1:15" x14ac:dyDescent="0.35">
      <c r="A445" t="s">
        <v>622</v>
      </c>
      <c r="B445">
        <v>2382484.375</v>
      </c>
      <c r="C445" t="s">
        <v>630</v>
      </c>
      <c r="D445" s="1">
        <v>45048</v>
      </c>
      <c r="E445" t="s">
        <v>14</v>
      </c>
      <c r="F445" t="s">
        <v>15</v>
      </c>
      <c r="G445" t="s">
        <v>311</v>
      </c>
      <c r="H445" t="s">
        <v>17</v>
      </c>
      <c r="I445" t="s">
        <v>621</v>
      </c>
      <c r="J445" t="s">
        <v>465</v>
      </c>
      <c r="K445">
        <v>3</v>
      </c>
      <c r="L445">
        <v>2706000</v>
      </c>
      <c r="M445">
        <v>0</v>
      </c>
      <c r="N445">
        <v>2066000</v>
      </c>
      <c r="O445">
        <v>2706000</v>
      </c>
    </row>
    <row r="446" spans="1:15" x14ac:dyDescent="0.35">
      <c r="A446" t="s">
        <v>622</v>
      </c>
      <c r="B446">
        <v>2382484.375</v>
      </c>
      <c r="C446" t="s">
        <v>631</v>
      </c>
      <c r="D446" s="1">
        <v>45058</v>
      </c>
      <c r="E446" t="s">
        <v>49</v>
      </c>
      <c r="F446" t="s">
        <v>50</v>
      </c>
      <c r="G446" t="s">
        <v>384</v>
      </c>
      <c r="H446" t="s">
        <v>23</v>
      </c>
      <c r="I446" t="s">
        <v>621</v>
      </c>
      <c r="J446" t="s">
        <v>465</v>
      </c>
      <c r="K446">
        <v>2</v>
      </c>
      <c r="L446">
        <v>1978000</v>
      </c>
      <c r="M446">
        <v>0</v>
      </c>
      <c r="N446">
        <v>1486000</v>
      </c>
      <c r="O446">
        <v>1978000</v>
      </c>
    </row>
    <row r="447" spans="1:15" x14ac:dyDescent="0.35">
      <c r="A447" t="s">
        <v>622</v>
      </c>
      <c r="B447">
        <v>2382484.375</v>
      </c>
      <c r="C447" t="s">
        <v>632</v>
      </c>
      <c r="D447" s="1">
        <v>45059</v>
      </c>
      <c r="E447" t="s">
        <v>14</v>
      </c>
      <c r="F447" t="s">
        <v>15</v>
      </c>
      <c r="G447" t="s">
        <v>113</v>
      </c>
      <c r="H447" t="s">
        <v>23</v>
      </c>
      <c r="I447" t="s">
        <v>621</v>
      </c>
      <c r="J447" t="s">
        <v>465</v>
      </c>
      <c r="K447">
        <v>1</v>
      </c>
      <c r="L447">
        <v>1790000</v>
      </c>
      <c r="M447">
        <v>0</v>
      </c>
      <c r="N447">
        <v>1341000</v>
      </c>
      <c r="O447">
        <v>1790000</v>
      </c>
    </row>
    <row r="448" spans="1:15" x14ac:dyDescent="0.35">
      <c r="A448" t="s">
        <v>622</v>
      </c>
      <c r="B448">
        <v>2382484.375</v>
      </c>
      <c r="C448" t="s">
        <v>633</v>
      </c>
      <c r="D448" s="1">
        <v>45077</v>
      </c>
      <c r="E448" t="s">
        <v>41</v>
      </c>
      <c r="F448" t="s">
        <v>42</v>
      </c>
      <c r="G448" t="s">
        <v>634</v>
      </c>
      <c r="H448" t="s">
        <v>17</v>
      </c>
      <c r="I448" t="s">
        <v>621</v>
      </c>
      <c r="J448" t="s">
        <v>465</v>
      </c>
      <c r="K448">
        <v>3</v>
      </c>
      <c r="L448">
        <v>2654000</v>
      </c>
      <c r="M448">
        <v>0.05</v>
      </c>
      <c r="N448">
        <v>1989000</v>
      </c>
      <c r="O448">
        <v>2654000</v>
      </c>
    </row>
    <row r="449" spans="1:15" x14ac:dyDescent="0.35">
      <c r="A449" t="s">
        <v>622</v>
      </c>
      <c r="B449">
        <v>2382484.375</v>
      </c>
      <c r="C449" t="s">
        <v>635</v>
      </c>
      <c r="D449" s="1">
        <v>45096</v>
      </c>
      <c r="E449" t="s">
        <v>49</v>
      </c>
      <c r="F449" t="s">
        <v>50</v>
      </c>
      <c r="G449" t="s">
        <v>126</v>
      </c>
      <c r="H449" t="s">
        <v>17</v>
      </c>
      <c r="I449" t="s">
        <v>621</v>
      </c>
      <c r="J449" t="s">
        <v>465</v>
      </c>
      <c r="K449">
        <v>1</v>
      </c>
      <c r="L449">
        <v>2425000</v>
      </c>
      <c r="M449">
        <v>0</v>
      </c>
      <c r="N449">
        <v>1795000</v>
      </c>
      <c r="O449">
        <v>2425000</v>
      </c>
    </row>
    <row r="450" spans="1:15" x14ac:dyDescent="0.35">
      <c r="A450" t="s">
        <v>622</v>
      </c>
      <c r="B450">
        <v>2382484.375</v>
      </c>
      <c r="C450" t="s">
        <v>636</v>
      </c>
      <c r="D450" s="1">
        <v>45136</v>
      </c>
      <c r="E450" t="s">
        <v>41</v>
      </c>
      <c r="F450" t="s">
        <v>42</v>
      </c>
      <c r="G450" t="s">
        <v>307</v>
      </c>
      <c r="H450" t="s">
        <v>28</v>
      </c>
      <c r="I450" t="s">
        <v>621</v>
      </c>
      <c r="J450" t="s">
        <v>465</v>
      </c>
      <c r="K450">
        <v>1</v>
      </c>
      <c r="L450">
        <v>2904000</v>
      </c>
      <c r="M450">
        <v>0</v>
      </c>
      <c r="N450">
        <v>2157000</v>
      </c>
      <c r="O450">
        <v>2904000</v>
      </c>
    </row>
    <row r="451" spans="1:15" x14ac:dyDescent="0.35">
      <c r="A451" t="s">
        <v>622</v>
      </c>
      <c r="B451">
        <v>2382484.375</v>
      </c>
      <c r="C451" t="s">
        <v>637</v>
      </c>
      <c r="D451" s="1">
        <v>45177</v>
      </c>
      <c r="E451" t="s">
        <v>49</v>
      </c>
      <c r="F451" t="s">
        <v>50</v>
      </c>
      <c r="G451" t="s">
        <v>295</v>
      </c>
      <c r="H451" t="s">
        <v>23</v>
      </c>
      <c r="I451" t="s">
        <v>621</v>
      </c>
      <c r="J451" t="s">
        <v>465</v>
      </c>
      <c r="K451">
        <v>3</v>
      </c>
      <c r="L451">
        <v>1798000</v>
      </c>
      <c r="M451">
        <v>0.05</v>
      </c>
      <c r="N451">
        <v>1369000</v>
      </c>
      <c r="O451">
        <v>1798000</v>
      </c>
    </row>
    <row r="452" spans="1:15" x14ac:dyDescent="0.35">
      <c r="A452" t="s">
        <v>622</v>
      </c>
      <c r="B452">
        <v>2382484.375</v>
      </c>
      <c r="C452" t="s">
        <v>638</v>
      </c>
      <c r="D452" s="1">
        <v>45203</v>
      </c>
      <c r="E452" t="s">
        <v>36</v>
      </c>
      <c r="F452" t="s">
        <v>37</v>
      </c>
      <c r="G452" t="s">
        <v>203</v>
      </c>
      <c r="H452" t="s">
        <v>17</v>
      </c>
      <c r="I452" t="s">
        <v>621</v>
      </c>
      <c r="J452" t="s">
        <v>465</v>
      </c>
      <c r="K452">
        <v>1</v>
      </c>
      <c r="L452">
        <v>2487000</v>
      </c>
      <c r="M452">
        <v>0</v>
      </c>
      <c r="N452">
        <v>1912000</v>
      </c>
      <c r="O452">
        <v>2487000</v>
      </c>
    </row>
    <row r="453" spans="1:15" x14ac:dyDescent="0.35">
      <c r="A453" t="s">
        <v>622</v>
      </c>
      <c r="B453">
        <v>2382484.375</v>
      </c>
      <c r="C453" t="s">
        <v>639</v>
      </c>
      <c r="D453" s="1">
        <v>45224</v>
      </c>
      <c r="E453" t="s">
        <v>14</v>
      </c>
      <c r="F453" t="s">
        <v>15</v>
      </c>
      <c r="G453" t="s">
        <v>108</v>
      </c>
      <c r="H453" t="s">
        <v>23</v>
      </c>
      <c r="I453" t="s">
        <v>621</v>
      </c>
      <c r="J453" t="s">
        <v>465</v>
      </c>
      <c r="K453">
        <v>2</v>
      </c>
      <c r="L453">
        <v>2850000</v>
      </c>
      <c r="M453">
        <v>0</v>
      </c>
      <c r="N453">
        <v>2186000</v>
      </c>
      <c r="O453">
        <v>2850000</v>
      </c>
    </row>
    <row r="454" spans="1:15" x14ac:dyDescent="0.35">
      <c r="A454" t="s">
        <v>622</v>
      </c>
      <c r="B454">
        <v>2382484.375</v>
      </c>
      <c r="C454" t="s">
        <v>640</v>
      </c>
      <c r="D454" s="1">
        <v>45237</v>
      </c>
      <c r="E454" t="s">
        <v>14</v>
      </c>
      <c r="F454" t="s">
        <v>15</v>
      </c>
      <c r="G454" t="s">
        <v>179</v>
      </c>
      <c r="H454" t="s">
        <v>23</v>
      </c>
      <c r="I454" t="s">
        <v>621</v>
      </c>
      <c r="J454" t="s">
        <v>465</v>
      </c>
      <c r="K454">
        <v>2</v>
      </c>
      <c r="L454">
        <v>1824000</v>
      </c>
      <c r="M454">
        <v>0</v>
      </c>
      <c r="N454">
        <v>1391000</v>
      </c>
      <c r="O454">
        <v>1824000</v>
      </c>
    </row>
    <row r="455" spans="1:15" x14ac:dyDescent="0.35">
      <c r="A455" t="s">
        <v>622</v>
      </c>
      <c r="B455">
        <v>2382484.375</v>
      </c>
      <c r="C455" t="s">
        <v>641</v>
      </c>
      <c r="D455" s="1">
        <v>45283</v>
      </c>
      <c r="E455" t="s">
        <v>41</v>
      </c>
      <c r="F455" t="s">
        <v>42</v>
      </c>
      <c r="G455" t="s">
        <v>104</v>
      </c>
      <c r="H455" t="s">
        <v>28</v>
      </c>
      <c r="I455" t="s">
        <v>621</v>
      </c>
      <c r="J455" t="s">
        <v>465</v>
      </c>
      <c r="K455">
        <v>1</v>
      </c>
      <c r="L455">
        <v>1896000</v>
      </c>
      <c r="M455">
        <v>0</v>
      </c>
      <c r="N455">
        <v>1403000</v>
      </c>
      <c r="O455">
        <v>1896000</v>
      </c>
    </row>
    <row r="456" spans="1:15" x14ac:dyDescent="0.35">
      <c r="A456" t="s">
        <v>622</v>
      </c>
      <c r="B456">
        <v>2382484.375</v>
      </c>
      <c r="C456" t="s">
        <v>642</v>
      </c>
      <c r="D456" s="1">
        <v>45333</v>
      </c>
      <c r="E456" t="s">
        <v>14</v>
      </c>
      <c r="F456" t="s">
        <v>15</v>
      </c>
      <c r="G456" t="s">
        <v>81</v>
      </c>
      <c r="H456" t="s">
        <v>17</v>
      </c>
      <c r="I456" t="s">
        <v>621</v>
      </c>
      <c r="J456" t="s">
        <v>465</v>
      </c>
      <c r="K456">
        <v>3</v>
      </c>
      <c r="L456">
        <v>2063000</v>
      </c>
      <c r="M456">
        <v>0</v>
      </c>
      <c r="N456">
        <v>1560000</v>
      </c>
      <c r="O456">
        <v>2063000</v>
      </c>
    </row>
    <row r="457" spans="1:15" x14ac:dyDescent="0.35">
      <c r="A457" t="s">
        <v>622</v>
      </c>
      <c r="B457">
        <v>2382484.375</v>
      </c>
      <c r="C457" t="s">
        <v>643</v>
      </c>
      <c r="D457" s="1">
        <v>45338</v>
      </c>
      <c r="E457" t="s">
        <v>14</v>
      </c>
      <c r="F457" t="s">
        <v>15</v>
      </c>
      <c r="G457" t="s">
        <v>102</v>
      </c>
      <c r="H457" t="s">
        <v>58</v>
      </c>
      <c r="I457" t="s">
        <v>621</v>
      </c>
      <c r="J457" t="s">
        <v>465</v>
      </c>
      <c r="K457">
        <v>1</v>
      </c>
      <c r="L457">
        <v>2379000</v>
      </c>
      <c r="M457">
        <v>0.05</v>
      </c>
      <c r="N457">
        <v>1781000</v>
      </c>
      <c r="O457">
        <v>2379000</v>
      </c>
    </row>
    <row r="458" spans="1:15" x14ac:dyDescent="0.35">
      <c r="A458" t="s">
        <v>622</v>
      </c>
      <c r="B458">
        <v>2382484.375</v>
      </c>
      <c r="C458" t="s">
        <v>644</v>
      </c>
      <c r="D458" s="1">
        <v>45405</v>
      </c>
      <c r="E458" t="s">
        <v>25</v>
      </c>
      <c r="F458" t="s">
        <v>26</v>
      </c>
      <c r="G458" t="s">
        <v>74</v>
      </c>
      <c r="H458" t="s">
        <v>23</v>
      </c>
      <c r="I458" t="s">
        <v>621</v>
      </c>
      <c r="J458" t="s">
        <v>465</v>
      </c>
      <c r="K458">
        <v>1</v>
      </c>
      <c r="L458">
        <v>2390000</v>
      </c>
      <c r="M458">
        <v>0</v>
      </c>
      <c r="N458">
        <v>1783000</v>
      </c>
      <c r="O458">
        <v>2390000</v>
      </c>
    </row>
    <row r="459" spans="1:15" x14ac:dyDescent="0.35">
      <c r="A459" t="s">
        <v>622</v>
      </c>
      <c r="B459">
        <v>2382484.375</v>
      </c>
      <c r="C459" t="s">
        <v>645</v>
      </c>
      <c r="D459" s="1">
        <v>45418</v>
      </c>
      <c r="E459" t="s">
        <v>41</v>
      </c>
      <c r="F459" t="s">
        <v>42</v>
      </c>
      <c r="G459" t="s">
        <v>71</v>
      </c>
      <c r="H459" t="s">
        <v>23</v>
      </c>
      <c r="I459" t="s">
        <v>621</v>
      </c>
      <c r="J459" t="s">
        <v>465</v>
      </c>
      <c r="K459">
        <v>1</v>
      </c>
      <c r="L459">
        <v>2588000</v>
      </c>
      <c r="M459">
        <v>0</v>
      </c>
      <c r="N459">
        <v>1939000</v>
      </c>
      <c r="O459">
        <v>2588000</v>
      </c>
    </row>
    <row r="460" spans="1:15" x14ac:dyDescent="0.35">
      <c r="A460" t="s">
        <v>622</v>
      </c>
      <c r="B460">
        <v>2382484.375</v>
      </c>
      <c r="C460" t="s">
        <v>646</v>
      </c>
      <c r="D460" s="1">
        <v>45423</v>
      </c>
      <c r="E460" t="s">
        <v>14</v>
      </c>
      <c r="F460" t="s">
        <v>15</v>
      </c>
      <c r="G460" t="s">
        <v>419</v>
      </c>
      <c r="H460" t="s">
        <v>17</v>
      </c>
      <c r="I460" t="s">
        <v>621</v>
      </c>
      <c r="J460" t="s">
        <v>465</v>
      </c>
      <c r="K460">
        <v>1</v>
      </c>
      <c r="L460">
        <v>2650000</v>
      </c>
      <c r="M460">
        <v>0.1</v>
      </c>
      <c r="N460">
        <v>1987000</v>
      </c>
      <c r="O460">
        <v>2650000</v>
      </c>
    </row>
    <row r="461" spans="1:15" x14ac:dyDescent="0.35">
      <c r="A461" t="s">
        <v>622</v>
      </c>
      <c r="B461">
        <v>2382484.375</v>
      </c>
      <c r="C461" t="s">
        <v>647</v>
      </c>
      <c r="D461" s="1">
        <v>45510</v>
      </c>
      <c r="E461" t="s">
        <v>14</v>
      </c>
      <c r="F461" t="s">
        <v>15</v>
      </c>
      <c r="G461" t="s">
        <v>247</v>
      </c>
      <c r="H461" t="s">
        <v>17</v>
      </c>
      <c r="I461" t="s">
        <v>621</v>
      </c>
      <c r="J461" t="s">
        <v>465</v>
      </c>
      <c r="K461">
        <v>1</v>
      </c>
      <c r="L461">
        <v>1753000</v>
      </c>
      <c r="M461">
        <v>0</v>
      </c>
      <c r="N461">
        <v>1348000</v>
      </c>
      <c r="O461">
        <v>1753000</v>
      </c>
    </row>
    <row r="462" spans="1:15" x14ac:dyDescent="0.35">
      <c r="A462" t="s">
        <v>622</v>
      </c>
      <c r="B462">
        <v>2382484.375</v>
      </c>
      <c r="C462" t="s">
        <v>648</v>
      </c>
      <c r="D462" s="1">
        <v>45516</v>
      </c>
      <c r="E462" t="s">
        <v>14</v>
      </c>
      <c r="F462" t="s">
        <v>15</v>
      </c>
      <c r="G462" t="s">
        <v>224</v>
      </c>
      <c r="H462" t="s">
        <v>23</v>
      </c>
      <c r="I462" t="s">
        <v>621</v>
      </c>
      <c r="J462" t="s">
        <v>465</v>
      </c>
      <c r="K462">
        <v>2</v>
      </c>
      <c r="L462">
        <v>3111000</v>
      </c>
      <c r="M462">
        <v>0</v>
      </c>
      <c r="N462">
        <v>2316000</v>
      </c>
      <c r="O462">
        <v>3111000</v>
      </c>
    </row>
    <row r="463" spans="1:15" x14ac:dyDescent="0.35">
      <c r="A463" t="s">
        <v>622</v>
      </c>
      <c r="B463">
        <v>2382484.375</v>
      </c>
      <c r="C463" t="s">
        <v>649</v>
      </c>
      <c r="D463" s="1">
        <v>45540</v>
      </c>
      <c r="E463" t="s">
        <v>14</v>
      </c>
      <c r="F463" t="s">
        <v>15</v>
      </c>
      <c r="G463" t="s">
        <v>115</v>
      </c>
      <c r="H463" t="s">
        <v>23</v>
      </c>
      <c r="I463" t="s">
        <v>621</v>
      </c>
      <c r="J463" t="s">
        <v>465</v>
      </c>
      <c r="K463">
        <v>3</v>
      </c>
      <c r="L463">
        <v>1591000</v>
      </c>
      <c r="M463">
        <v>0</v>
      </c>
      <c r="N463">
        <v>1180000</v>
      </c>
      <c r="O463">
        <v>1591000</v>
      </c>
    </row>
    <row r="464" spans="1:15" x14ac:dyDescent="0.35">
      <c r="A464" t="s">
        <v>622</v>
      </c>
      <c r="B464">
        <v>2382484.375</v>
      </c>
      <c r="C464" t="s">
        <v>650</v>
      </c>
      <c r="D464" s="1">
        <v>45541</v>
      </c>
      <c r="E464" t="s">
        <v>41</v>
      </c>
      <c r="F464" t="s">
        <v>42</v>
      </c>
      <c r="G464" t="s">
        <v>95</v>
      </c>
      <c r="H464" t="s">
        <v>23</v>
      </c>
      <c r="I464" t="s">
        <v>621</v>
      </c>
      <c r="J464" t="s">
        <v>465</v>
      </c>
      <c r="K464">
        <v>1</v>
      </c>
      <c r="L464">
        <v>2921000</v>
      </c>
      <c r="M464">
        <v>0</v>
      </c>
      <c r="N464">
        <v>2155000</v>
      </c>
      <c r="O464">
        <v>2921000</v>
      </c>
    </row>
    <row r="465" spans="1:15" x14ac:dyDescent="0.35">
      <c r="A465" t="s">
        <v>622</v>
      </c>
      <c r="B465">
        <v>2382484.375</v>
      </c>
      <c r="C465" t="s">
        <v>651</v>
      </c>
      <c r="D465" s="1">
        <v>45549</v>
      </c>
      <c r="E465" t="s">
        <v>14</v>
      </c>
      <c r="F465" t="s">
        <v>15</v>
      </c>
      <c r="G465" t="s">
        <v>352</v>
      </c>
      <c r="H465" t="s">
        <v>23</v>
      </c>
      <c r="I465" t="s">
        <v>621</v>
      </c>
      <c r="J465" t="s">
        <v>465</v>
      </c>
      <c r="K465">
        <v>2</v>
      </c>
      <c r="L465">
        <v>2232000</v>
      </c>
      <c r="M465">
        <v>0</v>
      </c>
      <c r="N465">
        <v>1637000</v>
      </c>
      <c r="O465">
        <v>2232000</v>
      </c>
    </row>
    <row r="466" spans="1:15" x14ac:dyDescent="0.35">
      <c r="A466" t="s">
        <v>622</v>
      </c>
      <c r="B466">
        <v>2382484.375</v>
      </c>
      <c r="C466" t="s">
        <v>652</v>
      </c>
      <c r="D466" s="1">
        <v>45581</v>
      </c>
      <c r="E466" t="s">
        <v>14</v>
      </c>
      <c r="F466" t="s">
        <v>15</v>
      </c>
      <c r="G466" t="s">
        <v>177</v>
      </c>
      <c r="H466" t="s">
        <v>23</v>
      </c>
      <c r="I466" t="s">
        <v>621</v>
      </c>
      <c r="J466" t="s">
        <v>465</v>
      </c>
      <c r="K466">
        <v>1</v>
      </c>
      <c r="L466">
        <v>2112000</v>
      </c>
      <c r="M466">
        <v>0</v>
      </c>
      <c r="N466">
        <v>1610000</v>
      </c>
      <c r="O466">
        <v>2112000</v>
      </c>
    </row>
    <row r="467" spans="1:15" x14ac:dyDescent="0.35">
      <c r="A467" t="s">
        <v>622</v>
      </c>
      <c r="B467">
        <v>2382484.375</v>
      </c>
      <c r="C467" t="s">
        <v>653</v>
      </c>
      <c r="D467" s="1">
        <v>45596</v>
      </c>
      <c r="E467" t="s">
        <v>49</v>
      </c>
      <c r="F467" t="s">
        <v>50</v>
      </c>
      <c r="G467" t="s">
        <v>65</v>
      </c>
      <c r="H467" t="s">
        <v>17</v>
      </c>
      <c r="I467" t="s">
        <v>621</v>
      </c>
      <c r="J467" t="s">
        <v>465</v>
      </c>
      <c r="K467">
        <v>1</v>
      </c>
      <c r="L467">
        <v>1721000</v>
      </c>
      <c r="M467">
        <v>0</v>
      </c>
      <c r="N467">
        <v>1282000</v>
      </c>
      <c r="O467">
        <v>1721000</v>
      </c>
    </row>
    <row r="468" spans="1:15" x14ac:dyDescent="0.35">
      <c r="A468" t="s">
        <v>622</v>
      </c>
      <c r="B468">
        <v>2382484.375</v>
      </c>
      <c r="C468" t="s">
        <v>654</v>
      </c>
      <c r="D468" s="1">
        <v>45615</v>
      </c>
      <c r="E468" t="s">
        <v>25</v>
      </c>
      <c r="F468" t="s">
        <v>26</v>
      </c>
      <c r="G468" t="s">
        <v>76</v>
      </c>
      <c r="H468" t="s">
        <v>23</v>
      </c>
      <c r="I468" t="s">
        <v>621</v>
      </c>
      <c r="J468" t="s">
        <v>465</v>
      </c>
      <c r="K468">
        <v>2</v>
      </c>
      <c r="L468">
        <v>1724000</v>
      </c>
      <c r="M468">
        <v>0</v>
      </c>
      <c r="N468">
        <v>1271000</v>
      </c>
      <c r="O468">
        <v>1724000</v>
      </c>
    </row>
    <row r="469" spans="1:15" x14ac:dyDescent="0.35">
      <c r="A469" t="s">
        <v>622</v>
      </c>
      <c r="B469">
        <v>2382484.375</v>
      </c>
      <c r="C469" t="s">
        <v>655</v>
      </c>
      <c r="D469" s="1">
        <v>45624</v>
      </c>
      <c r="E469" t="s">
        <v>41</v>
      </c>
      <c r="F469" t="s">
        <v>42</v>
      </c>
      <c r="G469" t="s">
        <v>270</v>
      </c>
      <c r="H469" t="s">
        <v>23</v>
      </c>
      <c r="I469" t="s">
        <v>621</v>
      </c>
      <c r="J469" t="s">
        <v>465</v>
      </c>
      <c r="K469">
        <v>3</v>
      </c>
      <c r="L469">
        <v>2382484.375</v>
      </c>
      <c r="M469">
        <v>0</v>
      </c>
      <c r="N469">
        <v>1688000</v>
      </c>
      <c r="O469">
        <v>2382484.375</v>
      </c>
    </row>
    <row r="470" spans="1:15" x14ac:dyDescent="0.35">
      <c r="A470" t="s">
        <v>622</v>
      </c>
      <c r="B470">
        <v>2382484.375</v>
      </c>
      <c r="C470" t="s">
        <v>656</v>
      </c>
      <c r="D470" s="1">
        <v>45656</v>
      </c>
      <c r="E470" t="s">
        <v>49</v>
      </c>
      <c r="F470" t="s">
        <v>50</v>
      </c>
      <c r="G470" t="s">
        <v>366</v>
      </c>
      <c r="H470" t="s">
        <v>58</v>
      </c>
      <c r="I470" t="s">
        <v>621</v>
      </c>
      <c r="J470" t="s">
        <v>465</v>
      </c>
      <c r="K470">
        <v>1</v>
      </c>
      <c r="L470">
        <v>1659000</v>
      </c>
      <c r="M470">
        <v>0</v>
      </c>
      <c r="N470">
        <v>1268000</v>
      </c>
      <c r="O470">
        <v>1659000</v>
      </c>
    </row>
    <row r="471" spans="1:15" x14ac:dyDescent="0.35">
      <c r="A471" t="s">
        <v>622</v>
      </c>
      <c r="B471">
        <v>2382484.375</v>
      </c>
      <c r="C471" t="s">
        <v>657</v>
      </c>
      <c r="D471" s="1">
        <v>45661</v>
      </c>
      <c r="E471" t="s">
        <v>25</v>
      </c>
      <c r="F471" t="s">
        <v>26</v>
      </c>
      <c r="G471" t="s">
        <v>311</v>
      </c>
      <c r="H471" t="s">
        <v>17</v>
      </c>
      <c r="I471" t="s">
        <v>621</v>
      </c>
      <c r="J471" t="s">
        <v>465</v>
      </c>
      <c r="K471">
        <v>1</v>
      </c>
      <c r="L471">
        <v>2474000</v>
      </c>
      <c r="M471">
        <v>0</v>
      </c>
      <c r="N471">
        <v>1835000</v>
      </c>
      <c r="O471">
        <v>2474000</v>
      </c>
    </row>
    <row r="472" spans="1:15" x14ac:dyDescent="0.35">
      <c r="A472" t="s">
        <v>622</v>
      </c>
      <c r="B472">
        <v>2382484.375</v>
      </c>
      <c r="C472" t="s">
        <v>658</v>
      </c>
      <c r="D472" s="1">
        <v>45711</v>
      </c>
      <c r="E472" t="s">
        <v>41</v>
      </c>
      <c r="F472" t="s">
        <v>42</v>
      </c>
      <c r="G472" t="s">
        <v>359</v>
      </c>
      <c r="H472" t="s">
        <v>23</v>
      </c>
      <c r="I472" t="s">
        <v>621</v>
      </c>
      <c r="J472" t="s">
        <v>465</v>
      </c>
      <c r="K472">
        <v>1</v>
      </c>
      <c r="L472">
        <v>2194000</v>
      </c>
      <c r="M472">
        <v>0</v>
      </c>
      <c r="N472">
        <v>1617000</v>
      </c>
      <c r="O472">
        <v>2194000</v>
      </c>
    </row>
    <row r="473" spans="1:15" x14ac:dyDescent="0.35">
      <c r="A473" t="s">
        <v>622</v>
      </c>
      <c r="B473">
        <v>2382484.375</v>
      </c>
      <c r="C473" t="s">
        <v>659</v>
      </c>
      <c r="D473" s="1">
        <v>45739</v>
      </c>
      <c r="E473" t="s">
        <v>49</v>
      </c>
      <c r="F473" t="s">
        <v>50</v>
      </c>
      <c r="G473" t="s">
        <v>201</v>
      </c>
      <c r="H473" t="s">
        <v>58</v>
      </c>
      <c r="I473" t="s">
        <v>621</v>
      </c>
      <c r="J473" t="s">
        <v>465</v>
      </c>
      <c r="K473">
        <v>1</v>
      </c>
      <c r="L473">
        <v>2898000</v>
      </c>
      <c r="M473">
        <v>0.1</v>
      </c>
      <c r="N473">
        <v>2157000</v>
      </c>
      <c r="O473">
        <v>2898000</v>
      </c>
    </row>
    <row r="474" spans="1:15" x14ac:dyDescent="0.35">
      <c r="A474" t="s">
        <v>622</v>
      </c>
      <c r="B474">
        <v>2382484.375</v>
      </c>
      <c r="C474" t="s">
        <v>660</v>
      </c>
      <c r="D474" s="1">
        <v>45740</v>
      </c>
      <c r="E474" t="s">
        <v>14</v>
      </c>
      <c r="F474" t="s">
        <v>15</v>
      </c>
      <c r="G474" t="s">
        <v>340</v>
      </c>
      <c r="H474" t="s">
        <v>23</v>
      </c>
      <c r="I474" t="s">
        <v>621</v>
      </c>
      <c r="J474" t="s">
        <v>465</v>
      </c>
      <c r="K474">
        <v>3</v>
      </c>
      <c r="L474">
        <v>2112000</v>
      </c>
      <c r="M474">
        <v>0.05</v>
      </c>
      <c r="N474">
        <v>1571000</v>
      </c>
      <c r="O474">
        <v>2112000</v>
      </c>
    </row>
    <row r="475" spans="1:15" x14ac:dyDescent="0.35">
      <c r="A475" t="s">
        <v>622</v>
      </c>
      <c r="B475">
        <v>2382484.375</v>
      </c>
      <c r="C475" t="s">
        <v>661</v>
      </c>
      <c r="D475" s="1">
        <v>45775</v>
      </c>
      <c r="E475" t="s">
        <v>14</v>
      </c>
      <c r="F475" t="s">
        <v>15</v>
      </c>
      <c r="G475" t="s">
        <v>172</v>
      </c>
      <c r="H475" t="s">
        <v>23</v>
      </c>
      <c r="I475" t="s">
        <v>621</v>
      </c>
      <c r="J475" t="s">
        <v>465</v>
      </c>
      <c r="K475">
        <v>1</v>
      </c>
      <c r="L475">
        <v>2163000</v>
      </c>
      <c r="M475">
        <v>0</v>
      </c>
      <c r="N475">
        <v>1595000</v>
      </c>
      <c r="O475">
        <v>2163000</v>
      </c>
    </row>
    <row r="476" spans="1:15" x14ac:dyDescent="0.35">
      <c r="A476" t="s">
        <v>622</v>
      </c>
      <c r="B476">
        <v>2382484.375</v>
      </c>
      <c r="C476" t="s">
        <v>662</v>
      </c>
      <c r="D476" s="1">
        <v>45790</v>
      </c>
      <c r="E476" t="s">
        <v>14</v>
      </c>
      <c r="F476" t="s">
        <v>15</v>
      </c>
      <c r="G476" t="s">
        <v>195</v>
      </c>
      <c r="H476" t="s">
        <v>23</v>
      </c>
      <c r="I476" t="s">
        <v>621</v>
      </c>
      <c r="J476" t="s">
        <v>465</v>
      </c>
      <c r="K476">
        <v>1</v>
      </c>
      <c r="L476">
        <v>1794000</v>
      </c>
      <c r="M476">
        <v>0</v>
      </c>
      <c r="N476">
        <v>1379000</v>
      </c>
      <c r="O476">
        <v>1794000</v>
      </c>
    </row>
    <row r="477" spans="1:15" x14ac:dyDescent="0.35">
      <c r="A477" t="s">
        <v>622</v>
      </c>
      <c r="B477">
        <v>2382484.375</v>
      </c>
      <c r="C477" t="s">
        <v>663</v>
      </c>
      <c r="D477" s="1">
        <v>45829</v>
      </c>
      <c r="E477" t="s">
        <v>41</v>
      </c>
      <c r="F477" t="s">
        <v>42</v>
      </c>
      <c r="G477" t="s">
        <v>69</v>
      </c>
      <c r="H477" t="s">
        <v>23</v>
      </c>
      <c r="I477" t="s">
        <v>621</v>
      </c>
      <c r="J477" t="s">
        <v>465</v>
      </c>
      <c r="K477">
        <v>1</v>
      </c>
      <c r="L477">
        <v>2382484.375</v>
      </c>
      <c r="M477">
        <v>0.05</v>
      </c>
      <c r="N477">
        <v>1688000</v>
      </c>
      <c r="O477">
        <v>2382484.375</v>
      </c>
    </row>
    <row r="478" spans="1:15" x14ac:dyDescent="0.35">
      <c r="A478" t="s">
        <v>622</v>
      </c>
      <c r="B478">
        <v>2382484.375</v>
      </c>
      <c r="C478" t="s">
        <v>664</v>
      </c>
      <c r="D478" s="1">
        <v>45831</v>
      </c>
      <c r="E478" t="s">
        <v>41</v>
      </c>
      <c r="F478" t="s">
        <v>42</v>
      </c>
      <c r="G478" t="s">
        <v>394</v>
      </c>
      <c r="H478" t="s">
        <v>23</v>
      </c>
      <c r="I478" t="s">
        <v>621</v>
      </c>
      <c r="J478" t="s">
        <v>465</v>
      </c>
      <c r="K478">
        <v>1</v>
      </c>
      <c r="L478">
        <v>2082000</v>
      </c>
      <c r="M478">
        <v>0</v>
      </c>
      <c r="N478">
        <v>1570000</v>
      </c>
      <c r="O478">
        <v>2082000</v>
      </c>
    </row>
    <row r="479" spans="1:15" x14ac:dyDescent="0.35">
      <c r="A479" t="s">
        <v>622</v>
      </c>
      <c r="B479">
        <v>2382484.375</v>
      </c>
      <c r="C479" t="s">
        <v>665</v>
      </c>
      <c r="D479" s="1">
        <v>45855</v>
      </c>
      <c r="E479" t="s">
        <v>14</v>
      </c>
      <c r="F479" t="s">
        <v>15</v>
      </c>
      <c r="G479" t="s">
        <v>291</v>
      </c>
      <c r="H479" t="s">
        <v>17</v>
      </c>
      <c r="I479" t="s">
        <v>621</v>
      </c>
      <c r="J479" t="s">
        <v>465</v>
      </c>
      <c r="K479">
        <v>1</v>
      </c>
      <c r="L479">
        <v>2071000</v>
      </c>
      <c r="M479">
        <v>0.05</v>
      </c>
      <c r="N479">
        <v>1575000</v>
      </c>
      <c r="O479">
        <v>2071000</v>
      </c>
    </row>
    <row r="480" spans="1:15" x14ac:dyDescent="0.35">
      <c r="A480" t="s">
        <v>622</v>
      </c>
      <c r="B480">
        <v>2382484.375</v>
      </c>
      <c r="C480" t="s">
        <v>666</v>
      </c>
      <c r="D480" s="1">
        <v>45866</v>
      </c>
      <c r="E480" t="s">
        <v>41</v>
      </c>
      <c r="F480" t="s">
        <v>42</v>
      </c>
      <c r="G480" t="s">
        <v>667</v>
      </c>
      <c r="H480" t="s">
        <v>23</v>
      </c>
      <c r="I480" t="s">
        <v>621</v>
      </c>
      <c r="J480" t="s">
        <v>465</v>
      </c>
      <c r="K480">
        <v>2</v>
      </c>
      <c r="L480">
        <v>2087000</v>
      </c>
      <c r="M480">
        <v>0</v>
      </c>
      <c r="N480">
        <v>1605000</v>
      </c>
      <c r="O480">
        <v>2087000</v>
      </c>
    </row>
    <row r="481" spans="1:15" x14ac:dyDescent="0.35">
      <c r="A481" t="s">
        <v>622</v>
      </c>
      <c r="B481">
        <v>2382484.375</v>
      </c>
      <c r="C481" t="s">
        <v>668</v>
      </c>
      <c r="D481" s="1">
        <v>45874</v>
      </c>
      <c r="E481" t="s">
        <v>14</v>
      </c>
      <c r="F481" t="s">
        <v>15</v>
      </c>
      <c r="G481" t="s">
        <v>30</v>
      </c>
      <c r="H481" t="s">
        <v>23</v>
      </c>
      <c r="I481" t="s">
        <v>621</v>
      </c>
      <c r="J481" t="s">
        <v>465</v>
      </c>
      <c r="K481">
        <v>2</v>
      </c>
      <c r="L481">
        <v>2606000</v>
      </c>
      <c r="M481">
        <v>0</v>
      </c>
      <c r="N481">
        <v>1969000</v>
      </c>
      <c r="O481">
        <v>2606000</v>
      </c>
    </row>
    <row r="482" spans="1:15" x14ac:dyDescent="0.35">
      <c r="A482" t="s">
        <v>622</v>
      </c>
      <c r="B482">
        <v>2382484.375</v>
      </c>
      <c r="C482" t="s">
        <v>669</v>
      </c>
      <c r="D482" s="1">
        <v>45892</v>
      </c>
      <c r="E482" t="s">
        <v>14</v>
      </c>
      <c r="F482" t="s">
        <v>15</v>
      </c>
      <c r="G482" t="s">
        <v>402</v>
      </c>
      <c r="H482" t="s">
        <v>23</v>
      </c>
      <c r="I482" t="s">
        <v>621</v>
      </c>
      <c r="J482" t="s">
        <v>465</v>
      </c>
      <c r="K482">
        <v>1</v>
      </c>
      <c r="L482">
        <v>2924000</v>
      </c>
      <c r="M482">
        <v>0</v>
      </c>
      <c r="N482">
        <v>2207000</v>
      </c>
      <c r="O482">
        <v>2924000</v>
      </c>
    </row>
    <row r="483" spans="1:15" x14ac:dyDescent="0.35">
      <c r="A483" t="s">
        <v>622</v>
      </c>
      <c r="B483">
        <v>2382484.375</v>
      </c>
      <c r="C483" t="s">
        <v>670</v>
      </c>
      <c r="D483" s="1">
        <v>45917</v>
      </c>
      <c r="E483" t="s">
        <v>36</v>
      </c>
      <c r="F483" t="s">
        <v>37</v>
      </c>
      <c r="G483" t="s">
        <v>76</v>
      </c>
      <c r="H483" t="s">
        <v>23</v>
      </c>
      <c r="I483" t="s">
        <v>621</v>
      </c>
      <c r="J483" t="s">
        <v>465</v>
      </c>
      <c r="K483">
        <v>1</v>
      </c>
      <c r="L483">
        <v>2421000</v>
      </c>
      <c r="M483">
        <v>0</v>
      </c>
      <c r="N483">
        <v>1786000</v>
      </c>
      <c r="O483">
        <v>2421000</v>
      </c>
    </row>
    <row r="484" spans="1:15" x14ac:dyDescent="0.35">
      <c r="A484" t="s">
        <v>622</v>
      </c>
      <c r="B484">
        <v>2382484.375</v>
      </c>
      <c r="C484" t="s">
        <v>671</v>
      </c>
      <c r="D484" s="1">
        <v>45920</v>
      </c>
      <c r="E484" t="s">
        <v>36</v>
      </c>
      <c r="F484" t="s">
        <v>37</v>
      </c>
      <c r="G484" t="s">
        <v>352</v>
      </c>
      <c r="H484" t="s">
        <v>23</v>
      </c>
      <c r="I484" t="s">
        <v>621</v>
      </c>
      <c r="J484" t="s">
        <v>465</v>
      </c>
      <c r="K484">
        <v>1</v>
      </c>
      <c r="L484">
        <v>2493000</v>
      </c>
      <c r="M484">
        <v>0</v>
      </c>
      <c r="N484">
        <v>1858000</v>
      </c>
      <c r="O484">
        <v>2493000</v>
      </c>
    </row>
    <row r="485" spans="1:15" x14ac:dyDescent="0.35">
      <c r="A485" t="s">
        <v>622</v>
      </c>
      <c r="B485">
        <v>2382484.375</v>
      </c>
      <c r="C485" t="s">
        <v>672</v>
      </c>
      <c r="D485" s="1">
        <v>45942</v>
      </c>
      <c r="E485" t="s">
        <v>49</v>
      </c>
      <c r="F485" t="s">
        <v>50</v>
      </c>
      <c r="G485" t="s">
        <v>419</v>
      </c>
      <c r="H485" t="s">
        <v>17</v>
      </c>
      <c r="I485" t="s">
        <v>621</v>
      </c>
      <c r="J485" t="s">
        <v>465</v>
      </c>
      <c r="K485">
        <v>2</v>
      </c>
      <c r="L485">
        <v>3132000</v>
      </c>
      <c r="M485">
        <v>0</v>
      </c>
      <c r="N485">
        <v>2356000</v>
      </c>
      <c r="O485">
        <v>3132000</v>
      </c>
    </row>
    <row r="486" spans="1:15" x14ac:dyDescent="0.35">
      <c r="A486" t="s">
        <v>622</v>
      </c>
      <c r="B486">
        <v>2382484.375</v>
      </c>
      <c r="C486" t="s">
        <v>673</v>
      </c>
      <c r="D486" s="1">
        <v>45954</v>
      </c>
      <c r="E486" t="s">
        <v>41</v>
      </c>
      <c r="F486" t="s">
        <v>42</v>
      </c>
      <c r="G486" t="s">
        <v>210</v>
      </c>
      <c r="H486" t="s">
        <v>23</v>
      </c>
      <c r="I486" t="s">
        <v>621</v>
      </c>
      <c r="J486" t="s">
        <v>465</v>
      </c>
      <c r="K486">
        <v>3</v>
      </c>
      <c r="L486">
        <v>2958000</v>
      </c>
      <c r="M486">
        <v>0</v>
      </c>
      <c r="N486">
        <v>2189000</v>
      </c>
      <c r="O486">
        <v>2958000</v>
      </c>
    </row>
    <row r="487" spans="1:15" x14ac:dyDescent="0.35">
      <c r="A487" t="s">
        <v>622</v>
      </c>
      <c r="B487">
        <v>2382484.375</v>
      </c>
      <c r="C487" t="s">
        <v>674</v>
      </c>
      <c r="D487" s="1">
        <v>45969</v>
      </c>
      <c r="E487" t="s">
        <v>41</v>
      </c>
      <c r="F487" t="s">
        <v>42</v>
      </c>
      <c r="G487" t="s">
        <v>675</v>
      </c>
      <c r="H487" t="s">
        <v>17</v>
      </c>
      <c r="I487" t="s">
        <v>621</v>
      </c>
      <c r="J487" t="s">
        <v>465</v>
      </c>
      <c r="K487">
        <v>1</v>
      </c>
      <c r="L487">
        <v>2284000</v>
      </c>
      <c r="M487">
        <v>0</v>
      </c>
      <c r="N487">
        <v>1703000</v>
      </c>
      <c r="O487">
        <v>2284000</v>
      </c>
    </row>
    <row r="488" spans="1:15" x14ac:dyDescent="0.35">
      <c r="A488" t="s">
        <v>622</v>
      </c>
      <c r="B488">
        <v>2382484.375</v>
      </c>
      <c r="C488" t="s">
        <v>676</v>
      </c>
      <c r="D488" s="1">
        <v>45978</v>
      </c>
      <c r="E488" t="s">
        <v>14</v>
      </c>
      <c r="F488" t="s">
        <v>15</v>
      </c>
      <c r="G488" t="s">
        <v>89</v>
      </c>
      <c r="H488" t="s">
        <v>23</v>
      </c>
      <c r="I488" t="s">
        <v>621</v>
      </c>
      <c r="J488" t="s">
        <v>465</v>
      </c>
      <c r="K488">
        <v>2</v>
      </c>
      <c r="L488">
        <v>2908000</v>
      </c>
      <c r="M488">
        <v>0</v>
      </c>
      <c r="N488">
        <v>2159000</v>
      </c>
      <c r="O488">
        <v>2908000</v>
      </c>
    </row>
    <row r="489" spans="1:15" x14ac:dyDescent="0.35">
      <c r="A489" t="s">
        <v>622</v>
      </c>
      <c r="B489">
        <v>2382484.375</v>
      </c>
      <c r="C489" t="s">
        <v>677</v>
      </c>
      <c r="D489" s="1">
        <v>45993</v>
      </c>
      <c r="E489" t="s">
        <v>49</v>
      </c>
      <c r="F489" t="s">
        <v>50</v>
      </c>
      <c r="G489" t="s">
        <v>234</v>
      </c>
      <c r="H489" t="s">
        <v>23</v>
      </c>
      <c r="I489" t="s">
        <v>621</v>
      </c>
      <c r="J489" t="s">
        <v>465</v>
      </c>
      <c r="K489">
        <v>1</v>
      </c>
      <c r="L489">
        <v>3279000</v>
      </c>
      <c r="M489">
        <v>0</v>
      </c>
      <c r="N489">
        <v>2451000</v>
      </c>
      <c r="O489">
        <v>3279000</v>
      </c>
    </row>
    <row r="490" spans="1:15" x14ac:dyDescent="0.35">
      <c r="A490" t="s">
        <v>622</v>
      </c>
      <c r="B490">
        <v>2382484.375</v>
      </c>
      <c r="C490" t="s">
        <v>678</v>
      </c>
      <c r="D490" s="1">
        <v>46047</v>
      </c>
      <c r="E490" t="s">
        <v>14</v>
      </c>
      <c r="F490" t="s">
        <v>15</v>
      </c>
      <c r="G490" t="s">
        <v>102</v>
      </c>
      <c r="H490" t="s">
        <v>58</v>
      </c>
      <c r="I490" t="s">
        <v>621</v>
      </c>
      <c r="J490" t="s">
        <v>465</v>
      </c>
      <c r="K490">
        <v>1</v>
      </c>
      <c r="L490">
        <v>1975000</v>
      </c>
      <c r="M490">
        <v>0</v>
      </c>
      <c r="N490">
        <v>1487000</v>
      </c>
      <c r="O490">
        <v>1975000</v>
      </c>
    </row>
    <row r="491" spans="1:15" x14ac:dyDescent="0.35">
      <c r="A491" t="s">
        <v>622</v>
      </c>
      <c r="B491">
        <v>2382484.375</v>
      </c>
      <c r="C491" t="s">
        <v>679</v>
      </c>
      <c r="D491" s="1">
        <v>46056</v>
      </c>
      <c r="E491" t="s">
        <v>14</v>
      </c>
      <c r="F491" t="s">
        <v>15</v>
      </c>
      <c r="G491" t="s">
        <v>315</v>
      </c>
      <c r="H491" t="s">
        <v>23</v>
      </c>
      <c r="I491" t="s">
        <v>621</v>
      </c>
      <c r="J491" t="s">
        <v>465</v>
      </c>
      <c r="K491">
        <v>1</v>
      </c>
      <c r="L491">
        <v>2807000</v>
      </c>
      <c r="M491">
        <v>0</v>
      </c>
      <c r="N491">
        <v>2069000</v>
      </c>
      <c r="O491">
        <v>2807000</v>
      </c>
    </row>
    <row r="492" spans="1:15" x14ac:dyDescent="0.35">
      <c r="A492" t="s">
        <v>622</v>
      </c>
      <c r="B492">
        <v>2382484.375</v>
      </c>
      <c r="C492" t="s">
        <v>680</v>
      </c>
      <c r="D492" s="1">
        <v>46062</v>
      </c>
      <c r="E492" t="s">
        <v>14</v>
      </c>
      <c r="F492" t="s">
        <v>15</v>
      </c>
      <c r="G492" t="s">
        <v>152</v>
      </c>
      <c r="H492" t="s">
        <v>23</v>
      </c>
      <c r="I492" t="s">
        <v>621</v>
      </c>
      <c r="J492" t="s">
        <v>465</v>
      </c>
      <c r="K492">
        <v>1</v>
      </c>
      <c r="L492">
        <v>2024000</v>
      </c>
      <c r="M492">
        <v>0</v>
      </c>
      <c r="N492">
        <v>1555000</v>
      </c>
      <c r="O492">
        <v>2024000</v>
      </c>
    </row>
    <row r="493" spans="1:15" x14ac:dyDescent="0.35">
      <c r="A493" t="s">
        <v>622</v>
      </c>
      <c r="B493">
        <v>2382484.375</v>
      </c>
      <c r="C493" t="s">
        <v>681</v>
      </c>
      <c r="D493" s="1">
        <v>46067</v>
      </c>
      <c r="E493" t="s">
        <v>14</v>
      </c>
      <c r="F493" t="s">
        <v>15</v>
      </c>
      <c r="G493" t="s">
        <v>319</v>
      </c>
      <c r="H493" t="s">
        <v>23</v>
      </c>
      <c r="I493" t="s">
        <v>621</v>
      </c>
      <c r="J493" t="s">
        <v>465</v>
      </c>
      <c r="K493">
        <v>2</v>
      </c>
      <c r="L493">
        <v>3225000</v>
      </c>
      <c r="M493">
        <v>0.15</v>
      </c>
      <c r="N493">
        <v>2423000</v>
      </c>
      <c r="O493">
        <v>3225000</v>
      </c>
    </row>
    <row r="494" spans="1:15" x14ac:dyDescent="0.35">
      <c r="A494" t="s">
        <v>622</v>
      </c>
      <c r="B494">
        <v>2382484.375</v>
      </c>
      <c r="C494" t="s">
        <v>682</v>
      </c>
      <c r="D494" s="1">
        <v>46094</v>
      </c>
      <c r="E494" t="s">
        <v>41</v>
      </c>
      <c r="F494" t="s">
        <v>42</v>
      </c>
      <c r="G494" t="s">
        <v>295</v>
      </c>
      <c r="H494" t="s">
        <v>23</v>
      </c>
      <c r="I494" t="s">
        <v>621</v>
      </c>
      <c r="J494" t="s">
        <v>465</v>
      </c>
      <c r="K494">
        <v>1</v>
      </c>
      <c r="L494">
        <v>3164000</v>
      </c>
      <c r="M494">
        <v>0</v>
      </c>
      <c r="N494">
        <v>2334000</v>
      </c>
      <c r="O494">
        <v>3164000</v>
      </c>
    </row>
    <row r="495" spans="1:15" x14ac:dyDescent="0.35">
      <c r="A495" t="s">
        <v>622</v>
      </c>
      <c r="B495">
        <v>2382484.375</v>
      </c>
      <c r="C495" t="s">
        <v>683</v>
      </c>
      <c r="D495" s="1">
        <v>46113</v>
      </c>
      <c r="E495" t="s">
        <v>14</v>
      </c>
      <c r="F495" t="s">
        <v>15</v>
      </c>
      <c r="G495" t="s">
        <v>113</v>
      </c>
      <c r="H495" t="s">
        <v>23</v>
      </c>
      <c r="I495" t="s">
        <v>621</v>
      </c>
      <c r="J495" t="s">
        <v>465</v>
      </c>
      <c r="K495">
        <v>1</v>
      </c>
      <c r="L495">
        <v>3328000</v>
      </c>
      <c r="M495">
        <v>0</v>
      </c>
      <c r="N495">
        <v>2512000</v>
      </c>
      <c r="O495">
        <v>3328000</v>
      </c>
    </row>
    <row r="496" spans="1:15" x14ac:dyDescent="0.35">
      <c r="A496" t="s">
        <v>622</v>
      </c>
      <c r="B496">
        <v>2382484.375</v>
      </c>
      <c r="C496" t="s">
        <v>684</v>
      </c>
      <c r="D496" s="1">
        <v>46115</v>
      </c>
      <c r="E496" t="s">
        <v>49</v>
      </c>
      <c r="F496" t="s">
        <v>50</v>
      </c>
      <c r="G496" t="s">
        <v>287</v>
      </c>
      <c r="H496" t="s">
        <v>28</v>
      </c>
      <c r="I496" t="s">
        <v>621</v>
      </c>
      <c r="J496" t="s">
        <v>465</v>
      </c>
      <c r="K496">
        <v>1</v>
      </c>
      <c r="L496">
        <v>2185000</v>
      </c>
      <c r="M496">
        <v>0</v>
      </c>
      <c r="N496">
        <v>1648000</v>
      </c>
      <c r="O496">
        <v>2185000</v>
      </c>
    </row>
    <row r="497" spans="1:15" x14ac:dyDescent="0.35">
      <c r="A497" t="s">
        <v>622</v>
      </c>
      <c r="B497">
        <v>2382484.375</v>
      </c>
      <c r="C497" t="s">
        <v>685</v>
      </c>
      <c r="D497" s="1">
        <v>46139</v>
      </c>
      <c r="E497" t="s">
        <v>41</v>
      </c>
      <c r="F497" t="s">
        <v>42</v>
      </c>
      <c r="G497" t="s">
        <v>323</v>
      </c>
      <c r="H497" t="s">
        <v>28</v>
      </c>
      <c r="I497" t="s">
        <v>621</v>
      </c>
      <c r="J497" t="s">
        <v>465</v>
      </c>
      <c r="K497">
        <v>2</v>
      </c>
      <c r="L497">
        <v>2161000</v>
      </c>
      <c r="M497">
        <v>0</v>
      </c>
      <c r="N497">
        <v>1589000</v>
      </c>
      <c r="O497">
        <v>2161000</v>
      </c>
    </row>
    <row r="498" spans="1:15" x14ac:dyDescent="0.35">
      <c r="A498" t="s">
        <v>622</v>
      </c>
      <c r="B498">
        <v>2382484.375</v>
      </c>
      <c r="C498" t="s">
        <v>686</v>
      </c>
      <c r="D498" s="1">
        <v>46141</v>
      </c>
      <c r="E498" t="s">
        <v>41</v>
      </c>
      <c r="F498" t="s">
        <v>42</v>
      </c>
      <c r="G498" t="s">
        <v>236</v>
      </c>
      <c r="H498" t="s">
        <v>28</v>
      </c>
      <c r="I498" t="s">
        <v>621</v>
      </c>
      <c r="J498" t="s">
        <v>465</v>
      </c>
      <c r="K498">
        <v>1</v>
      </c>
      <c r="L498">
        <v>3227000</v>
      </c>
      <c r="M498">
        <v>0</v>
      </c>
      <c r="N498">
        <v>2382000</v>
      </c>
      <c r="O498">
        <v>3227000</v>
      </c>
    </row>
    <row r="499" spans="1:15" x14ac:dyDescent="0.35">
      <c r="A499" t="s">
        <v>622</v>
      </c>
      <c r="B499">
        <v>2382484.375</v>
      </c>
      <c r="C499" t="s">
        <v>687</v>
      </c>
      <c r="D499" s="1">
        <v>46169</v>
      </c>
      <c r="E499" t="s">
        <v>14</v>
      </c>
      <c r="F499" t="s">
        <v>15</v>
      </c>
      <c r="G499" t="s">
        <v>667</v>
      </c>
      <c r="H499" t="s">
        <v>23</v>
      </c>
      <c r="I499" t="s">
        <v>621</v>
      </c>
      <c r="J499" t="s">
        <v>465</v>
      </c>
      <c r="K499">
        <v>1</v>
      </c>
      <c r="L499">
        <v>1997000</v>
      </c>
      <c r="M499">
        <v>0</v>
      </c>
      <c r="N499">
        <v>1460000</v>
      </c>
      <c r="O499">
        <v>1997000</v>
      </c>
    </row>
    <row r="500" spans="1:15" x14ac:dyDescent="0.35">
      <c r="A500" t="s">
        <v>622</v>
      </c>
      <c r="B500">
        <v>2382484.375</v>
      </c>
      <c r="C500" t="s">
        <v>688</v>
      </c>
      <c r="D500" s="1">
        <v>46182</v>
      </c>
      <c r="E500" t="s">
        <v>14</v>
      </c>
      <c r="F500" t="s">
        <v>15</v>
      </c>
      <c r="G500" t="s">
        <v>559</v>
      </c>
      <c r="H500" t="s">
        <v>23</v>
      </c>
      <c r="I500" t="s">
        <v>621</v>
      </c>
      <c r="J500" t="s">
        <v>465</v>
      </c>
      <c r="K500">
        <v>1</v>
      </c>
      <c r="L500">
        <v>2327000</v>
      </c>
      <c r="M500">
        <v>0</v>
      </c>
      <c r="N500">
        <v>1723000</v>
      </c>
      <c r="O500">
        <v>2327000</v>
      </c>
    </row>
    <row r="501" spans="1:15" x14ac:dyDescent="0.35">
      <c r="A501" t="s">
        <v>622</v>
      </c>
      <c r="B501">
        <v>2382484.375</v>
      </c>
      <c r="C501" t="s">
        <v>689</v>
      </c>
      <c r="D501" s="1">
        <v>46187</v>
      </c>
      <c r="E501" t="s">
        <v>49</v>
      </c>
      <c r="F501" t="s">
        <v>50</v>
      </c>
      <c r="G501" t="s">
        <v>270</v>
      </c>
      <c r="H501" t="s">
        <v>23</v>
      </c>
      <c r="I501" t="s">
        <v>621</v>
      </c>
      <c r="J501" t="s">
        <v>465</v>
      </c>
      <c r="K501">
        <v>1</v>
      </c>
      <c r="L501">
        <v>2590000</v>
      </c>
      <c r="M501">
        <v>0.15</v>
      </c>
      <c r="N501">
        <v>1955000</v>
      </c>
      <c r="O501">
        <v>2590000</v>
      </c>
    </row>
    <row r="502" spans="1:15" x14ac:dyDescent="0.35">
      <c r="A502" t="s">
        <v>622</v>
      </c>
      <c r="B502">
        <v>2382484.375</v>
      </c>
      <c r="C502" t="s">
        <v>690</v>
      </c>
      <c r="D502" s="1">
        <v>46194</v>
      </c>
      <c r="E502" t="s">
        <v>41</v>
      </c>
      <c r="F502" t="s">
        <v>42</v>
      </c>
      <c r="G502" t="s">
        <v>239</v>
      </c>
      <c r="H502" t="s">
        <v>23</v>
      </c>
      <c r="I502" t="s">
        <v>621</v>
      </c>
      <c r="J502" t="s">
        <v>465</v>
      </c>
      <c r="K502">
        <v>1</v>
      </c>
      <c r="L502">
        <v>3438000</v>
      </c>
      <c r="M502">
        <v>0</v>
      </c>
      <c r="N502">
        <v>2562000</v>
      </c>
      <c r="O502">
        <v>3438000</v>
      </c>
    </row>
    <row r="503" spans="1:15" x14ac:dyDescent="0.35">
      <c r="A503" t="s">
        <v>693</v>
      </c>
      <c r="B503">
        <v>1527818.1818181819</v>
      </c>
      <c r="C503" t="s">
        <v>691</v>
      </c>
      <c r="D503" s="1">
        <v>44934</v>
      </c>
      <c r="E503" t="s">
        <v>14</v>
      </c>
      <c r="F503" t="s">
        <v>15</v>
      </c>
      <c r="G503" t="s">
        <v>226</v>
      </c>
      <c r="H503" t="s">
        <v>17</v>
      </c>
      <c r="I503" t="s">
        <v>692</v>
      </c>
      <c r="J503" t="s">
        <v>160</v>
      </c>
      <c r="K503">
        <v>1</v>
      </c>
      <c r="L503">
        <v>1649000</v>
      </c>
      <c r="M503">
        <v>0</v>
      </c>
      <c r="N503">
        <v>1189000</v>
      </c>
      <c r="O503">
        <v>1649000</v>
      </c>
    </row>
    <row r="504" spans="1:15" x14ac:dyDescent="0.35">
      <c r="A504" t="s">
        <v>693</v>
      </c>
      <c r="B504">
        <v>1527818.1818181819</v>
      </c>
      <c r="C504" t="s">
        <v>694</v>
      </c>
      <c r="D504" s="1">
        <v>44937</v>
      </c>
      <c r="E504" t="s">
        <v>14</v>
      </c>
      <c r="F504" t="s">
        <v>15</v>
      </c>
      <c r="G504" t="s">
        <v>489</v>
      </c>
      <c r="H504" t="s">
        <v>17</v>
      </c>
      <c r="I504" t="s">
        <v>692</v>
      </c>
      <c r="J504" t="s">
        <v>160</v>
      </c>
      <c r="K504">
        <v>1</v>
      </c>
      <c r="L504">
        <v>1226000</v>
      </c>
      <c r="M504">
        <v>0</v>
      </c>
      <c r="N504">
        <v>874000</v>
      </c>
      <c r="O504">
        <v>1226000</v>
      </c>
    </row>
    <row r="505" spans="1:15" x14ac:dyDescent="0.35">
      <c r="A505" t="s">
        <v>693</v>
      </c>
      <c r="B505">
        <v>1527818.1818181819</v>
      </c>
      <c r="C505" t="s">
        <v>695</v>
      </c>
      <c r="D505" s="1">
        <v>45111</v>
      </c>
      <c r="E505" t="s">
        <v>49</v>
      </c>
      <c r="F505" t="s">
        <v>50</v>
      </c>
      <c r="G505" t="s">
        <v>598</v>
      </c>
      <c r="H505" t="s">
        <v>23</v>
      </c>
      <c r="I505" t="s">
        <v>692</v>
      </c>
      <c r="J505" t="s">
        <v>160</v>
      </c>
      <c r="K505">
        <v>5</v>
      </c>
      <c r="L505">
        <v>1212000</v>
      </c>
      <c r="M505">
        <v>0</v>
      </c>
      <c r="N505">
        <v>856000</v>
      </c>
      <c r="O505">
        <v>1212000</v>
      </c>
    </row>
    <row r="506" spans="1:15" x14ac:dyDescent="0.35">
      <c r="A506" t="s">
        <v>693</v>
      </c>
      <c r="B506">
        <v>1527818.1818181819</v>
      </c>
      <c r="C506" t="s">
        <v>696</v>
      </c>
      <c r="D506" s="1">
        <v>45136</v>
      </c>
      <c r="E506" t="s">
        <v>41</v>
      </c>
      <c r="F506" t="s">
        <v>42</v>
      </c>
      <c r="G506" t="s">
        <v>89</v>
      </c>
      <c r="H506" t="s">
        <v>23</v>
      </c>
      <c r="I506" t="s">
        <v>692</v>
      </c>
      <c r="J506" t="s">
        <v>160</v>
      </c>
      <c r="K506">
        <v>1</v>
      </c>
      <c r="L506">
        <v>1226000</v>
      </c>
      <c r="M506">
        <v>0.05</v>
      </c>
      <c r="N506">
        <v>875000</v>
      </c>
      <c r="O506">
        <v>1226000</v>
      </c>
    </row>
    <row r="507" spans="1:15" x14ac:dyDescent="0.35">
      <c r="A507" t="s">
        <v>693</v>
      </c>
      <c r="B507">
        <v>1527818.1818181819</v>
      </c>
      <c r="C507" t="s">
        <v>697</v>
      </c>
      <c r="D507" s="1">
        <v>45154</v>
      </c>
      <c r="E507" t="s">
        <v>14</v>
      </c>
      <c r="F507" t="s">
        <v>15</v>
      </c>
      <c r="G507" t="s">
        <v>230</v>
      </c>
      <c r="H507" t="s">
        <v>23</v>
      </c>
      <c r="I507" t="s">
        <v>692</v>
      </c>
      <c r="J507" t="s">
        <v>160</v>
      </c>
      <c r="K507">
        <v>1</v>
      </c>
      <c r="L507">
        <v>1373000</v>
      </c>
      <c r="M507">
        <v>0</v>
      </c>
      <c r="N507">
        <v>976000</v>
      </c>
      <c r="O507">
        <v>1373000</v>
      </c>
    </row>
    <row r="508" spans="1:15" x14ac:dyDescent="0.35">
      <c r="A508" t="s">
        <v>693</v>
      </c>
      <c r="B508">
        <v>1527818.1818181819</v>
      </c>
      <c r="C508" t="s">
        <v>698</v>
      </c>
      <c r="D508" s="1">
        <v>45156</v>
      </c>
      <c r="E508" t="s">
        <v>14</v>
      </c>
      <c r="F508" t="s">
        <v>15</v>
      </c>
      <c r="G508" t="s">
        <v>366</v>
      </c>
      <c r="H508" t="s">
        <v>58</v>
      </c>
      <c r="I508" t="s">
        <v>692</v>
      </c>
      <c r="J508" t="s">
        <v>160</v>
      </c>
      <c r="K508">
        <v>1</v>
      </c>
      <c r="L508">
        <v>1287000</v>
      </c>
      <c r="M508">
        <v>0</v>
      </c>
      <c r="N508">
        <v>944000</v>
      </c>
      <c r="O508">
        <v>1287000</v>
      </c>
    </row>
    <row r="509" spans="1:15" x14ac:dyDescent="0.35">
      <c r="A509" t="s">
        <v>693</v>
      </c>
      <c r="B509">
        <v>1527818.1818181819</v>
      </c>
      <c r="C509" t="s">
        <v>699</v>
      </c>
      <c r="D509" s="1">
        <v>45160</v>
      </c>
      <c r="E509" t="s">
        <v>14</v>
      </c>
      <c r="F509" t="s">
        <v>15</v>
      </c>
      <c r="G509" t="s">
        <v>121</v>
      </c>
      <c r="H509" t="s">
        <v>23</v>
      </c>
      <c r="I509" t="s">
        <v>692</v>
      </c>
      <c r="J509" t="s">
        <v>160</v>
      </c>
      <c r="K509">
        <v>1</v>
      </c>
      <c r="L509">
        <v>1512000</v>
      </c>
      <c r="M509">
        <v>0</v>
      </c>
      <c r="N509">
        <v>1090000</v>
      </c>
      <c r="O509">
        <v>1512000</v>
      </c>
    </row>
    <row r="510" spans="1:15" x14ac:dyDescent="0.35">
      <c r="A510" t="s">
        <v>693</v>
      </c>
      <c r="B510">
        <v>1527818.1818181819</v>
      </c>
      <c r="C510" t="s">
        <v>700</v>
      </c>
      <c r="D510" s="1">
        <v>45200</v>
      </c>
      <c r="E510" t="s">
        <v>14</v>
      </c>
      <c r="F510" t="s">
        <v>15</v>
      </c>
      <c r="G510" t="s">
        <v>226</v>
      </c>
      <c r="H510" t="s">
        <v>17</v>
      </c>
      <c r="I510" t="s">
        <v>692</v>
      </c>
      <c r="J510" t="s">
        <v>160</v>
      </c>
      <c r="K510">
        <v>1</v>
      </c>
      <c r="L510">
        <v>1221000</v>
      </c>
      <c r="M510">
        <v>0</v>
      </c>
      <c r="N510">
        <v>869000</v>
      </c>
      <c r="O510">
        <v>1221000</v>
      </c>
    </row>
    <row r="511" spans="1:15" x14ac:dyDescent="0.35">
      <c r="A511" t="s">
        <v>693</v>
      </c>
      <c r="B511">
        <v>1527818.1818181819</v>
      </c>
      <c r="C511" t="s">
        <v>701</v>
      </c>
      <c r="D511" s="1">
        <v>45218</v>
      </c>
      <c r="E511" t="s">
        <v>14</v>
      </c>
      <c r="F511" t="s">
        <v>15</v>
      </c>
      <c r="G511" t="s">
        <v>205</v>
      </c>
      <c r="H511" t="s">
        <v>17</v>
      </c>
      <c r="I511" t="s">
        <v>692</v>
      </c>
      <c r="J511" t="s">
        <v>160</v>
      </c>
      <c r="K511">
        <v>2</v>
      </c>
      <c r="L511">
        <v>1283000</v>
      </c>
      <c r="M511">
        <v>0.1</v>
      </c>
      <c r="N511">
        <v>918000</v>
      </c>
      <c r="O511">
        <v>1283000</v>
      </c>
    </row>
    <row r="512" spans="1:15" x14ac:dyDescent="0.35">
      <c r="A512" t="s">
        <v>693</v>
      </c>
      <c r="B512">
        <v>1527818.1818181819</v>
      </c>
      <c r="C512" t="s">
        <v>702</v>
      </c>
      <c r="D512" s="1">
        <v>45234</v>
      </c>
      <c r="E512" t="s">
        <v>14</v>
      </c>
      <c r="F512" t="s">
        <v>15</v>
      </c>
      <c r="G512" t="s">
        <v>134</v>
      </c>
      <c r="H512" t="s">
        <v>28</v>
      </c>
      <c r="I512" t="s">
        <v>692</v>
      </c>
      <c r="J512" t="s">
        <v>160</v>
      </c>
      <c r="K512">
        <v>1</v>
      </c>
      <c r="L512">
        <v>1624000</v>
      </c>
      <c r="M512">
        <v>0</v>
      </c>
      <c r="N512">
        <v>1191000</v>
      </c>
      <c r="O512">
        <v>1624000</v>
      </c>
    </row>
    <row r="513" spans="1:15" x14ac:dyDescent="0.35">
      <c r="A513" t="s">
        <v>693</v>
      </c>
      <c r="B513">
        <v>1527818.1818181819</v>
      </c>
      <c r="C513" t="s">
        <v>703</v>
      </c>
      <c r="D513" s="1">
        <v>45241</v>
      </c>
      <c r="E513" t="s">
        <v>41</v>
      </c>
      <c r="F513" t="s">
        <v>42</v>
      </c>
      <c r="G513" t="s">
        <v>333</v>
      </c>
      <c r="H513" t="s">
        <v>17</v>
      </c>
      <c r="I513" t="s">
        <v>692</v>
      </c>
      <c r="J513" t="s">
        <v>160</v>
      </c>
      <c r="K513">
        <v>1</v>
      </c>
      <c r="L513">
        <v>1505000</v>
      </c>
      <c r="M513">
        <v>0.1</v>
      </c>
      <c r="N513">
        <v>1080000</v>
      </c>
      <c r="O513">
        <v>1505000</v>
      </c>
    </row>
    <row r="514" spans="1:15" x14ac:dyDescent="0.35">
      <c r="A514" t="s">
        <v>693</v>
      </c>
      <c r="B514">
        <v>1527818.1818181819</v>
      </c>
      <c r="C514" t="s">
        <v>704</v>
      </c>
      <c r="D514" s="1">
        <v>45247</v>
      </c>
      <c r="E514" t="s">
        <v>41</v>
      </c>
      <c r="F514" t="s">
        <v>42</v>
      </c>
      <c r="G514" t="s">
        <v>83</v>
      </c>
      <c r="H514" t="s">
        <v>23</v>
      </c>
      <c r="I514" t="s">
        <v>692</v>
      </c>
      <c r="J514" t="s">
        <v>160</v>
      </c>
      <c r="K514">
        <v>2</v>
      </c>
      <c r="L514">
        <v>1768000</v>
      </c>
      <c r="M514">
        <v>0.05</v>
      </c>
      <c r="N514">
        <v>1282000</v>
      </c>
      <c r="O514">
        <v>1768000</v>
      </c>
    </row>
    <row r="515" spans="1:15" x14ac:dyDescent="0.35">
      <c r="A515" t="s">
        <v>693</v>
      </c>
      <c r="B515">
        <v>1527818.1818181819</v>
      </c>
      <c r="C515" t="s">
        <v>705</v>
      </c>
      <c r="D515" s="1">
        <v>45249</v>
      </c>
      <c r="E515" t="s">
        <v>14</v>
      </c>
      <c r="F515" t="s">
        <v>15</v>
      </c>
      <c r="G515" t="s">
        <v>83</v>
      </c>
      <c r="H515" t="s">
        <v>23</v>
      </c>
      <c r="I515" t="s">
        <v>692</v>
      </c>
      <c r="J515" t="s">
        <v>160</v>
      </c>
      <c r="K515">
        <v>2</v>
      </c>
      <c r="L515">
        <v>1551000</v>
      </c>
      <c r="M515">
        <v>0.15</v>
      </c>
      <c r="N515">
        <v>1142000</v>
      </c>
      <c r="O515">
        <v>1551000</v>
      </c>
    </row>
    <row r="516" spans="1:15" x14ac:dyDescent="0.35">
      <c r="A516" t="s">
        <v>693</v>
      </c>
      <c r="B516">
        <v>1527818.1818181819</v>
      </c>
      <c r="C516" t="s">
        <v>706</v>
      </c>
      <c r="D516" s="1">
        <v>45254</v>
      </c>
      <c r="E516" t="s">
        <v>49</v>
      </c>
      <c r="F516" t="s">
        <v>50</v>
      </c>
      <c r="G516" t="s">
        <v>87</v>
      </c>
      <c r="H516" t="s">
        <v>17</v>
      </c>
      <c r="I516" t="s">
        <v>692</v>
      </c>
      <c r="J516" t="s">
        <v>160</v>
      </c>
      <c r="K516">
        <v>1</v>
      </c>
      <c r="L516">
        <v>1332000</v>
      </c>
      <c r="M516">
        <v>0</v>
      </c>
      <c r="N516">
        <v>949000</v>
      </c>
      <c r="O516">
        <v>1332000</v>
      </c>
    </row>
    <row r="517" spans="1:15" x14ac:dyDescent="0.35">
      <c r="A517" t="s">
        <v>693</v>
      </c>
      <c r="B517">
        <v>1527818.1818181819</v>
      </c>
      <c r="C517" t="s">
        <v>707</v>
      </c>
      <c r="D517" s="1">
        <v>45258</v>
      </c>
      <c r="E517" t="s">
        <v>36</v>
      </c>
      <c r="F517" t="s">
        <v>37</v>
      </c>
      <c r="G517" t="s">
        <v>119</v>
      </c>
      <c r="H517" t="s">
        <v>23</v>
      </c>
      <c r="I517" t="s">
        <v>692</v>
      </c>
      <c r="J517" t="s">
        <v>160</v>
      </c>
      <c r="K517">
        <v>1</v>
      </c>
      <c r="L517">
        <v>1430000</v>
      </c>
      <c r="M517">
        <v>0</v>
      </c>
      <c r="N517">
        <v>1043000</v>
      </c>
      <c r="O517">
        <v>1430000</v>
      </c>
    </row>
    <row r="518" spans="1:15" x14ac:dyDescent="0.35">
      <c r="A518" t="s">
        <v>693</v>
      </c>
      <c r="B518">
        <v>1527818.1818181819</v>
      </c>
      <c r="C518" t="s">
        <v>708</v>
      </c>
      <c r="D518" s="1">
        <v>45274</v>
      </c>
      <c r="E518" t="s">
        <v>14</v>
      </c>
      <c r="F518" t="s">
        <v>15</v>
      </c>
      <c r="G518" t="s">
        <v>141</v>
      </c>
      <c r="H518" t="s">
        <v>17</v>
      </c>
      <c r="I518" t="s">
        <v>692</v>
      </c>
      <c r="J518" t="s">
        <v>160</v>
      </c>
      <c r="K518">
        <v>2</v>
      </c>
      <c r="L518">
        <v>1292000</v>
      </c>
      <c r="M518">
        <v>0</v>
      </c>
      <c r="N518">
        <v>946000</v>
      </c>
      <c r="O518">
        <v>1292000</v>
      </c>
    </row>
    <row r="519" spans="1:15" x14ac:dyDescent="0.35">
      <c r="A519" t="s">
        <v>693</v>
      </c>
      <c r="B519">
        <v>1527818.1818181819</v>
      </c>
      <c r="C519" t="s">
        <v>709</v>
      </c>
      <c r="D519" s="1">
        <v>45295</v>
      </c>
      <c r="E519" t="s">
        <v>49</v>
      </c>
      <c r="F519" t="s">
        <v>50</v>
      </c>
      <c r="G519" t="s">
        <v>517</v>
      </c>
      <c r="H519" t="s">
        <v>23</v>
      </c>
      <c r="I519" t="s">
        <v>692</v>
      </c>
      <c r="J519" t="s">
        <v>160</v>
      </c>
      <c r="K519">
        <v>1</v>
      </c>
      <c r="L519">
        <v>1359000</v>
      </c>
      <c r="M519">
        <v>0</v>
      </c>
      <c r="N519">
        <v>973000</v>
      </c>
      <c r="O519">
        <v>1359000</v>
      </c>
    </row>
    <row r="520" spans="1:15" x14ac:dyDescent="0.35">
      <c r="A520" t="s">
        <v>693</v>
      </c>
      <c r="B520">
        <v>1527818.1818181819</v>
      </c>
      <c r="C520" t="s">
        <v>710</v>
      </c>
      <c r="D520" s="1">
        <v>45318</v>
      </c>
      <c r="E520" t="s">
        <v>41</v>
      </c>
      <c r="F520" t="s">
        <v>42</v>
      </c>
      <c r="G520" t="s">
        <v>89</v>
      </c>
      <c r="H520" t="s">
        <v>23</v>
      </c>
      <c r="I520" t="s">
        <v>692</v>
      </c>
      <c r="J520" t="s">
        <v>160</v>
      </c>
      <c r="K520">
        <v>2</v>
      </c>
      <c r="L520">
        <v>1859000</v>
      </c>
      <c r="M520">
        <v>0</v>
      </c>
      <c r="N520">
        <v>1339000</v>
      </c>
      <c r="O520">
        <v>1859000</v>
      </c>
    </row>
    <row r="521" spans="1:15" x14ac:dyDescent="0.35">
      <c r="A521" t="s">
        <v>693</v>
      </c>
      <c r="B521">
        <v>1527818.1818181819</v>
      </c>
      <c r="C521" t="s">
        <v>711</v>
      </c>
      <c r="D521" s="1">
        <v>45322</v>
      </c>
      <c r="E521" t="s">
        <v>41</v>
      </c>
      <c r="F521" t="s">
        <v>42</v>
      </c>
      <c r="G521" t="s">
        <v>236</v>
      </c>
      <c r="H521" t="s">
        <v>28</v>
      </c>
      <c r="I521" t="s">
        <v>692</v>
      </c>
      <c r="J521" t="s">
        <v>160</v>
      </c>
      <c r="K521">
        <v>1</v>
      </c>
      <c r="L521">
        <v>1445000</v>
      </c>
      <c r="M521">
        <v>0</v>
      </c>
      <c r="N521">
        <v>1042000</v>
      </c>
      <c r="O521">
        <v>1445000</v>
      </c>
    </row>
    <row r="522" spans="1:15" x14ac:dyDescent="0.35">
      <c r="A522" t="s">
        <v>693</v>
      </c>
      <c r="B522">
        <v>1527818.1818181819</v>
      </c>
      <c r="C522" t="s">
        <v>712</v>
      </c>
      <c r="D522" s="1">
        <v>45365</v>
      </c>
      <c r="E522" t="s">
        <v>14</v>
      </c>
      <c r="F522" t="s">
        <v>15</v>
      </c>
      <c r="G522" t="s">
        <v>55</v>
      </c>
      <c r="H522" t="s">
        <v>17</v>
      </c>
      <c r="I522" t="s">
        <v>692</v>
      </c>
      <c r="J522" t="s">
        <v>160</v>
      </c>
      <c r="K522">
        <v>1</v>
      </c>
      <c r="L522">
        <v>1525000</v>
      </c>
      <c r="M522">
        <v>0.15</v>
      </c>
      <c r="N522">
        <v>1074000</v>
      </c>
      <c r="O522">
        <v>1525000</v>
      </c>
    </row>
    <row r="523" spans="1:15" x14ac:dyDescent="0.35">
      <c r="A523" t="s">
        <v>693</v>
      </c>
      <c r="B523">
        <v>1527818.1818181819</v>
      </c>
      <c r="C523" t="s">
        <v>713</v>
      </c>
      <c r="D523" s="1">
        <v>45391</v>
      </c>
      <c r="E523" t="s">
        <v>14</v>
      </c>
      <c r="F523" t="s">
        <v>15</v>
      </c>
      <c r="G523" t="s">
        <v>97</v>
      </c>
      <c r="H523" t="s">
        <v>23</v>
      </c>
      <c r="I523" t="s">
        <v>692</v>
      </c>
      <c r="J523" t="s">
        <v>160</v>
      </c>
      <c r="K523">
        <v>1</v>
      </c>
      <c r="L523">
        <v>1268000</v>
      </c>
      <c r="M523">
        <v>0.05</v>
      </c>
      <c r="N523">
        <v>932000</v>
      </c>
      <c r="O523">
        <v>1268000</v>
      </c>
    </row>
    <row r="524" spans="1:15" x14ac:dyDescent="0.35">
      <c r="A524" t="s">
        <v>693</v>
      </c>
      <c r="B524">
        <v>1527818.1818181819</v>
      </c>
      <c r="C524" t="s">
        <v>714</v>
      </c>
      <c r="D524" s="1">
        <v>45425</v>
      </c>
      <c r="E524" t="s">
        <v>14</v>
      </c>
      <c r="F524" t="s">
        <v>15</v>
      </c>
      <c r="G524" t="s">
        <v>559</v>
      </c>
      <c r="H524" t="s">
        <v>23</v>
      </c>
      <c r="I524" t="s">
        <v>692</v>
      </c>
      <c r="J524" t="s">
        <v>160</v>
      </c>
      <c r="K524">
        <v>3</v>
      </c>
      <c r="L524">
        <v>1357000</v>
      </c>
      <c r="M524">
        <v>0</v>
      </c>
      <c r="N524">
        <v>994000</v>
      </c>
      <c r="O524">
        <v>1357000</v>
      </c>
    </row>
    <row r="525" spans="1:15" x14ac:dyDescent="0.35">
      <c r="A525" t="s">
        <v>693</v>
      </c>
      <c r="B525">
        <v>1527818.1818181819</v>
      </c>
      <c r="C525" t="s">
        <v>715</v>
      </c>
      <c r="D525" s="1">
        <v>45440</v>
      </c>
      <c r="E525" t="s">
        <v>14</v>
      </c>
      <c r="F525" t="s">
        <v>15</v>
      </c>
      <c r="G525" t="s">
        <v>104</v>
      </c>
      <c r="H525" t="s">
        <v>28</v>
      </c>
      <c r="I525" t="s">
        <v>692</v>
      </c>
      <c r="J525" t="s">
        <v>160</v>
      </c>
      <c r="K525">
        <v>2</v>
      </c>
      <c r="L525">
        <v>1382000</v>
      </c>
      <c r="M525">
        <v>0.05</v>
      </c>
      <c r="N525">
        <v>984000</v>
      </c>
      <c r="O525">
        <v>1382000</v>
      </c>
    </row>
    <row r="526" spans="1:15" x14ac:dyDescent="0.35">
      <c r="A526" t="s">
        <v>693</v>
      </c>
      <c r="B526">
        <v>1527818.1818181819</v>
      </c>
      <c r="C526" t="s">
        <v>716</v>
      </c>
      <c r="D526" s="1">
        <v>45444</v>
      </c>
      <c r="E526" t="s">
        <v>14</v>
      </c>
      <c r="F526" t="s">
        <v>15</v>
      </c>
      <c r="G526" t="s">
        <v>359</v>
      </c>
      <c r="H526" t="s">
        <v>23</v>
      </c>
      <c r="I526" t="s">
        <v>692</v>
      </c>
      <c r="J526" t="s">
        <v>160</v>
      </c>
      <c r="K526">
        <v>2</v>
      </c>
      <c r="L526">
        <v>1527818.1818181819</v>
      </c>
      <c r="M526">
        <v>0</v>
      </c>
      <c r="N526">
        <v>1080000</v>
      </c>
      <c r="O526">
        <v>1527818.1818181819</v>
      </c>
    </row>
    <row r="527" spans="1:15" x14ac:dyDescent="0.35">
      <c r="A527" t="s">
        <v>693</v>
      </c>
      <c r="B527">
        <v>1527818.1818181819</v>
      </c>
      <c r="C527" t="s">
        <v>717</v>
      </c>
      <c r="D527" s="1">
        <v>45457</v>
      </c>
      <c r="E527" t="s">
        <v>14</v>
      </c>
      <c r="F527" t="s">
        <v>15</v>
      </c>
      <c r="G527" t="s">
        <v>212</v>
      </c>
      <c r="H527" t="s">
        <v>28</v>
      </c>
      <c r="I527" t="s">
        <v>692</v>
      </c>
      <c r="J527" t="s">
        <v>160</v>
      </c>
      <c r="K527">
        <v>1</v>
      </c>
      <c r="L527">
        <v>1424000</v>
      </c>
      <c r="M527">
        <v>0.15</v>
      </c>
      <c r="N527">
        <v>1049000</v>
      </c>
      <c r="O527">
        <v>1424000</v>
      </c>
    </row>
    <row r="528" spans="1:15" x14ac:dyDescent="0.35">
      <c r="A528" t="s">
        <v>693</v>
      </c>
      <c r="B528">
        <v>1527818.1818181819</v>
      </c>
      <c r="C528" t="s">
        <v>718</v>
      </c>
      <c r="D528" s="1">
        <v>45460</v>
      </c>
      <c r="E528" t="s">
        <v>14</v>
      </c>
      <c r="F528" t="s">
        <v>15</v>
      </c>
      <c r="G528" t="s">
        <v>333</v>
      </c>
      <c r="H528" t="s">
        <v>17</v>
      </c>
      <c r="I528" t="s">
        <v>692</v>
      </c>
      <c r="J528" t="s">
        <v>160</v>
      </c>
      <c r="K528">
        <v>1</v>
      </c>
      <c r="L528">
        <v>1799000</v>
      </c>
      <c r="M528">
        <v>0</v>
      </c>
      <c r="N528">
        <v>1276000</v>
      </c>
      <c r="O528">
        <v>1799000</v>
      </c>
    </row>
    <row r="529" spans="1:15" x14ac:dyDescent="0.35">
      <c r="A529" t="s">
        <v>693</v>
      </c>
      <c r="B529">
        <v>1527818.1818181819</v>
      </c>
      <c r="C529" t="s">
        <v>719</v>
      </c>
      <c r="D529" s="1">
        <v>45494</v>
      </c>
      <c r="E529" t="s">
        <v>49</v>
      </c>
      <c r="F529" t="s">
        <v>50</v>
      </c>
      <c r="G529" t="s">
        <v>164</v>
      </c>
      <c r="H529" t="s">
        <v>23</v>
      </c>
      <c r="I529" t="s">
        <v>692</v>
      </c>
      <c r="J529" t="s">
        <v>160</v>
      </c>
      <c r="K529">
        <v>1</v>
      </c>
      <c r="L529">
        <v>1790000</v>
      </c>
      <c r="M529">
        <v>0.05</v>
      </c>
      <c r="N529">
        <v>1276000</v>
      </c>
      <c r="O529">
        <v>1790000</v>
      </c>
    </row>
    <row r="530" spans="1:15" x14ac:dyDescent="0.35">
      <c r="A530" t="s">
        <v>693</v>
      </c>
      <c r="B530">
        <v>1527818.1818181819</v>
      </c>
      <c r="C530" t="s">
        <v>720</v>
      </c>
      <c r="D530" s="1">
        <v>45509</v>
      </c>
      <c r="E530" t="s">
        <v>14</v>
      </c>
      <c r="F530" t="s">
        <v>15</v>
      </c>
      <c r="G530" t="s">
        <v>166</v>
      </c>
      <c r="H530" t="s">
        <v>28</v>
      </c>
      <c r="I530" t="s">
        <v>692</v>
      </c>
      <c r="J530" t="s">
        <v>160</v>
      </c>
      <c r="K530">
        <v>1</v>
      </c>
      <c r="L530">
        <v>1364000</v>
      </c>
      <c r="M530">
        <v>0.05</v>
      </c>
      <c r="N530">
        <v>1003000</v>
      </c>
      <c r="O530">
        <v>1364000</v>
      </c>
    </row>
    <row r="531" spans="1:15" x14ac:dyDescent="0.35">
      <c r="A531" t="s">
        <v>693</v>
      </c>
      <c r="B531">
        <v>1527818.1818181819</v>
      </c>
      <c r="C531" t="s">
        <v>721</v>
      </c>
      <c r="D531" s="1">
        <v>45521</v>
      </c>
      <c r="E531" t="s">
        <v>14</v>
      </c>
      <c r="F531" t="s">
        <v>15</v>
      </c>
      <c r="G531" t="s">
        <v>327</v>
      </c>
      <c r="H531" t="s">
        <v>23</v>
      </c>
      <c r="I531" t="s">
        <v>692</v>
      </c>
      <c r="J531" t="s">
        <v>160</v>
      </c>
      <c r="K531">
        <v>3</v>
      </c>
      <c r="L531">
        <v>1784000</v>
      </c>
      <c r="M531">
        <v>0</v>
      </c>
      <c r="N531">
        <v>1286000</v>
      </c>
      <c r="O531">
        <v>1784000</v>
      </c>
    </row>
    <row r="532" spans="1:15" x14ac:dyDescent="0.35">
      <c r="A532" t="s">
        <v>693</v>
      </c>
      <c r="B532">
        <v>1527818.1818181819</v>
      </c>
      <c r="C532" t="s">
        <v>722</v>
      </c>
      <c r="D532" s="1">
        <v>45553</v>
      </c>
      <c r="E532" t="s">
        <v>41</v>
      </c>
      <c r="F532" t="s">
        <v>42</v>
      </c>
      <c r="G532" t="s">
        <v>197</v>
      </c>
      <c r="H532" t="s">
        <v>28</v>
      </c>
      <c r="I532" t="s">
        <v>692</v>
      </c>
      <c r="J532" t="s">
        <v>160</v>
      </c>
      <c r="K532">
        <v>2</v>
      </c>
      <c r="L532">
        <v>1411000</v>
      </c>
      <c r="M532">
        <v>0</v>
      </c>
      <c r="N532">
        <v>1006000</v>
      </c>
      <c r="O532">
        <v>1411000</v>
      </c>
    </row>
    <row r="533" spans="1:15" x14ac:dyDescent="0.35">
      <c r="A533" t="s">
        <v>693</v>
      </c>
      <c r="B533">
        <v>1527818.1818181819</v>
      </c>
      <c r="C533" t="s">
        <v>723</v>
      </c>
      <c r="D533" s="1">
        <v>45584</v>
      </c>
      <c r="E533" t="s">
        <v>41</v>
      </c>
      <c r="F533" t="s">
        <v>42</v>
      </c>
      <c r="G533" t="s">
        <v>157</v>
      </c>
      <c r="H533" t="s">
        <v>23</v>
      </c>
      <c r="I533" t="s">
        <v>692</v>
      </c>
      <c r="J533" t="s">
        <v>160</v>
      </c>
      <c r="K533">
        <v>1</v>
      </c>
      <c r="L533">
        <v>1283000</v>
      </c>
      <c r="M533">
        <v>0</v>
      </c>
      <c r="N533">
        <v>949000</v>
      </c>
      <c r="O533">
        <v>1283000</v>
      </c>
    </row>
    <row r="534" spans="1:15" x14ac:dyDescent="0.35">
      <c r="A534" t="s">
        <v>693</v>
      </c>
      <c r="B534">
        <v>1527818.1818181819</v>
      </c>
      <c r="C534" t="s">
        <v>724</v>
      </c>
      <c r="D534" s="1">
        <v>45644</v>
      </c>
      <c r="E534" t="s">
        <v>36</v>
      </c>
      <c r="F534" t="s">
        <v>37</v>
      </c>
      <c r="G534" t="s">
        <v>201</v>
      </c>
      <c r="H534" t="s">
        <v>58</v>
      </c>
      <c r="I534" t="s">
        <v>692</v>
      </c>
      <c r="J534" t="s">
        <v>160</v>
      </c>
      <c r="K534">
        <v>1</v>
      </c>
      <c r="L534">
        <v>1600000</v>
      </c>
      <c r="M534">
        <v>0</v>
      </c>
      <c r="N534">
        <v>1150000</v>
      </c>
      <c r="O534">
        <v>1600000</v>
      </c>
    </row>
    <row r="535" spans="1:15" x14ac:dyDescent="0.35">
      <c r="A535" t="s">
        <v>693</v>
      </c>
      <c r="B535">
        <v>1527818.1818181819</v>
      </c>
      <c r="C535" t="s">
        <v>725</v>
      </c>
      <c r="D535" s="1">
        <v>45663</v>
      </c>
      <c r="E535" t="s">
        <v>14</v>
      </c>
      <c r="F535" t="s">
        <v>15</v>
      </c>
      <c r="G535" t="s">
        <v>197</v>
      </c>
      <c r="H535" t="s">
        <v>28</v>
      </c>
      <c r="I535" t="s">
        <v>692</v>
      </c>
      <c r="J535" t="s">
        <v>160</v>
      </c>
      <c r="K535">
        <v>2</v>
      </c>
      <c r="L535">
        <v>1368000</v>
      </c>
      <c r="M535">
        <v>0</v>
      </c>
      <c r="N535">
        <v>981000</v>
      </c>
      <c r="O535">
        <v>1368000</v>
      </c>
    </row>
    <row r="536" spans="1:15" x14ac:dyDescent="0.35">
      <c r="A536" t="s">
        <v>693</v>
      </c>
      <c r="B536">
        <v>1527818.1818181819</v>
      </c>
      <c r="C536" t="s">
        <v>726</v>
      </c>
      <c r="D536" s="1">
        <v>45682</v>
      </c>
      <c r="E536" t="s">
        <v>49</v>
      </c>
      <c r="F536" t="s">
        <v>50</v>
      </c>
      <c r="G536" t="s">
        <v>359</v>
      </c>
      <c r="H536" t="s">
        <v>23</v>
      </c>
      <c r="I536" t="s">
        <v>692</v>
      </c>
      <c r="J536" t="s">
        <v>160</v>
      </c>
      <c r="K536">
        <v>1</v>
      </c>
      <c r="L536">
        <v>1967000</v>
      </c>
      <c r="M536">
        <v>0</v>
      </c>
      <c r="N536">
        <v>1441000</v>
      </c>
      <c r="O536">
        <v>1967000</v>
      </c>
    </row>
    <row r="537" spans="1:15" x14ac:dyDescent="0.35">
      <c r="A537" t="s">
        <v>693</v>
      </c>
      <c r="B537">
        <v>1527818.1818181819</v>
      </c>
      <c r="C537" t="s">
        <v>727</v>
      </c>
      <c r="D537" s="1">
        <v>45685</v>
      </c>
      <c r="E537" t="s">
        <v>36</v>
      </c>
      <c r="F537" t="s">
        <v>37</v>
      </c>
      <c r="G537" t="s">
        <v>402</v>
      </c>
      <c r="H537" t="s">
        <v>23</v>
      </c>
      <c r="I537" t="s">
        <v>692</v>
      </c>
      <c r="J537" t="s">
        <v>160</v>
      </c>
      <c r="K537">
        <v>1</v>
      </c>
      <c r="L537">
        <v>1658000</v>
      </c>
      <c r="M537">
        <v>0</v>
      </c>
      <c r="N537">
        <v>1209000</v>
      </c>
      <c r="O537">
        <v>1658000</v>
      </c>
    </row>
    <row r="538" spans="1:15" x14ac:dyDescent="0.35">
      <c r="A538" t="s">
        <v>693</v>
      </c>
      <c r="B538">
        <v>1527818.1818181819</v>
      </c>
      <c r="C538" t="s">
        <v>728</v>
      </c>
      <c r="D538" s="1">
        <v>45710</v>
      </c>
      <c r="E538" t="s">
        <v>41</v>
      </c>
      <c r="F538" t="s">
        <v>42</v>
      </c>
      <c r="G538" t="s">
        <v>74</v>
      </c>
      <c r="H538" t="s">
        <v>23</v>
      </c>
      <c r="I538" t="s">
        <v>692</v>
      </c>
      <c r="J538" t="s">
        <v>160</v>
      </c>
      <c r="K538">
        <v>1</v>
      </c>
      <c r="L538">
        <v>1860000</v>
      </c>
      <c r="M538">
        <v>0.05</v>
      </c>
      <c r="N538">
        <v>1348000</v>
      </c>
      <c r="O538">
        <v>1860000</v>
      </c>
    </row>
    <row r="539" spans="1:15" x14ac:dyDescent="0.35">
      <c r="A539" t="s">
        <v>693</v>
      </c>
      <c r="B539">
        <v>1527818.1818181819</v>
      </c>
      <c r="C539" t="s">
        <v>729</v>
      </c>
      <c r="D539" s="1">
        <v>45714</v>
      </c>
      <c r="E539" t="s">
        <v>41</v>
      </c>
      <c r="F539" t="s">
        <v>42</v>
      </c>
      <c r="G539" t="s">
        <v>51</v>
      </c>
      <c r="H539" t="s">
        <v>23</v>
      </c>
      <c r="I539" t="s">
        <v>692</v>
      </c>
      <c r="J539" t="s">
        <v>160</v>
      </c>
      <c r="K539">
        <v>5</v>
      </c>
      <c r="L539">
        <v>1412000</v>
      </c>
      <c r="M539">
        <v>0</v>
      </c>
      <c r="N539">
        <v>1005000</v>
      </c>
      <c r="O539">
        <v>1412000</v>
      </c>
    </row>
    <row r="540" spans="1:15" x14ac:dyDescent="0.35">
      <c r="A540" t="s">
        <v>693</v>
      </c>
      <c r="B540">
        <v>1527818.1818181819</v>
      </c>
      <c r="C540" t="s">
        <v>730</v>
      </c>
      <c r="D540" s="1">
        <v>45763</v>
      </c>
      <c r="E540" t="s">
        <v>14</v>
      </c>
      <c r="F540" t="s">
        <v>15</v>
      </c>
      <c r="G540" t="s">
        <v>247</v>
      </c>
      <c r="H540" t="s">
        <v>17</v>
      </c>
      <c r="I540" t="s">
        <v>692</v>
      </c>
      <c r="J540" t="s">
        <v>160</v>
      </c>
      <c r="K540">
        <v>1</v>
      </c>
      <c r="L540">
        <v>1922000</v>
      </c>
      <c r="M540">
        <v>0</v>
      </c>
      <c r="N540">
        <v>1368000</v>
      </c>
      <c r="O540">
        <v>1922000</v>
      </c>
    </row>
    <row r="541" spans="1:15" x14ac:dyDescent="0.35">
      <c r="A541" t="s">
        <v>693</v>
      </c>
      <c r="B541">
        <v>1527818.1818181819</v>
      </c>
      <c r="C541" t="s">
        <v>731</v>
      </c>
      <c r="D541" s="1">
        <v>45774</v>
      </c>
      <c r="E541" t="s">
        <v>41</v>
      </c>
      <c r="F541" t="s">
        <v>42</v>
      </c>
      <c r="G541" t="s">
        <v>51</v>
      </c>
      <c r="H541" t="s">
        <v>23</v>
      </c>
      <c r="I541" t="s">
        <v>692</v>
      </c>
      <c r="J541" t="s">
        <v>160</v>
      </c>
      <c r="K541">
        <v>1</v>
      </c>
      <c r="L541">
        <v>1874000</v>
      </c>
      <c r="M541">
        <v>0</v>
      </c>
      <c r="N541">
        <v>1358000</v>
      </c>
      <c r="O541">
        <v>1874000</v>
      </c>
    </row>
    <row r="542" spans="1:15" x14ac:dyDescent="0.35">
      <c r="A542" t="s">
        <v>693</v>
      </c>
      <c r="B542">
        <v>1527818.1818181819</v>
      </c>
      <c r="C542" t="s">
        <v>732</v>
      </c>
      <c r="D542" s="1">
        <v>45807</v>
      </c>
      <c r="E542" t="s">
        <v>14</v>
      </c>
      <c r="F542" t="s">
        <v>15</v>
      </c>
      <c r="G542" t="s">
        <v>287</v>
      </c>
      <c r="H542" t="s">
        <v>28</v>
      </c>
      <c r="I542" t="s">
        <v>692</v>
      </c>
      <c r="J542" t="s">
        <v>160</v>
      </c>
      <c r="K542">
        <v>1</v>
      </c>
      <c r="L542">
        <v>1337000</v>
      </c>
      <c r="M542">
        <v>0.05</v>
      </c>
      <c r="N542">
        <v>986000</v>
      </c>
      <c r="O542">
        <v>1337000</v>
      </c>
    </row>
    <row r="543" spans="1:15" x14ac:dyDescent="0.35">
      <c r="A543" t="s">
        <v>693</v>
      </c>
      <c r="B543">
        <v>1527818.1818181819</v>
      </c>
      <c r="C543" t="s">
        <v>733</v>
      </c>
      <c r="D543" s="1">
        <v>45808</v>
      </c>
      <c r="E543" t="s">
        <v>41</v>
      </c>
      <c r="F543" t="s">
        <v>42</v>
      </c>
      <c r="G543" t="s">
        <v>613</v>
      </c>
      <c r="H543" t="s">
        <v>28</v>
      </c>
      <c r="I543" t="s">
        <v>692</v>
      </c>
      <c r="J543" t="s">
        <v>160</v>
      </c>
      <c r="K543">
        <v>1</v>
      </c>
      <c r="L543">
        <v>1831000</v>
      </c>
      <c r="M543">
        <v>0</v>
      </c>
      <c r="N543">
        <v>1346000</v>
      </c>
      <c r="O543">
        <v>1831000</v>
      </c>
    </row>
    <row r="544" spans="1:15" x14ac:dyDescent="0.35">
      <c r="A544" t="s">
        <v>693</v>
      </c>
      <c r="B544">
        <v>1527818.1818181819</v>
      </c>
      <c r="C544" t="s">
        <v>734</v>
      </c>
      <c r="D544" s="1">
        <v>45817</v>
      </c>
      <c r="E544" t="s">
        <v>49</v>
      </c>
      <c r="F544" t="s">
        <v>50</v>
      </c>
      <c r="G544" t="s">
        <v>89</v>
      </c>
      <c r="H544" t="s">
        <v>23</v>
      </c>
      <c r="I544" t="s">
        <v>692</v>
      </c>
      <c r="J544" t="s">
        <v>160</v>
      </c>
      <c r="K544">
        <v>1</v>
      </c>
      <c r="L544">
        <v>1491000</v>
      </c>
      <c r="M544">
        <v>0</v>
      </c>
      <c r="N544">
        <v>1077000</v>
      </c>
      <c r="O544">
        <v>1491000</v>
      </c>
    </row>
    <row r="545" spans="1:15" x14ac:dyDescent="0.35">
      <c r="A545" t="s">
        <v>693</v>
      </c>
      <c r="B545">
        <v>1527818.1818181819</v>
      </c>
      <c r="C545" t="s">
        <v>735</v>
      </c>
      <c r="D545" s="1">
        <v>45867</v>
      </c>
      <c r="E545" t="s">
        <v>14</v>
      </c>
      <c r="F545" t="s">
        <v>15</v>
      </c>
      <c r="G545" t="s">
        <v>291</v>
      </c>
      <c r="H545" t="s">
        <v>17</v>
      </c>
      <c r="I545" t="s">
        <v>692</v>
      </c>
      <c r="J545" t="s">
        <v>160</v>
      </c>
      <c r="K545">
        <v>1</v>
      </c>
      <c r="L545">
        <v>1342000</v>
      </c>
      <c r="M545">
        <v>0</v>
      </c>
      <c r="N545">
        <v>942000</v>
      </c>
      <c r="O545">
        <v>1342000</v>
      </c>
    </row>
    <row r="546" spans="1:15" x14ac:dyDescent="0.35">
      <c r="A546" t="s">
        <v>693</v>
      </c>
      <c r="B546">
        <v>1527818.1818181819</v>
      </c>
      <c r="C546" t="s">
        <v>736</v>
      </c>
      <c r="D546" s="1">
        <v>45870</v>
      </c>
      <c r="E546" t="s">
        <v>41</v>
      </c>
      <c r="F546" t="s">
        <v>42</v>
      </c>
      <c r="G546" t="s">
        <v>413</v>
      </c>
      <c r="H546" t="s">
        <v>23</v>
      </c>
      <c r="I546" t="s">
        <v>692</v>
      </c>
      <c r="J546" t="s">
        <v>160</v>
      </c>
      <c r="K546">
        <v>1</v>
      </c>
      <c r="L546">
        <v>1465000</v>
      </c>
      <c r="M546">
        <v>0</v>
      </c>
      <c r="N546">
        <v>1050000</v>
      </c>
      <c r="O546">
        <v>1465000</v>
      </c>
    </row>
    <row r="547" spans="1:15" x14ac:dyDescent="0.35">
      <c r="A547" t="s">
        <v>693</v>
      </c>
      <c r="B547">
        <v>1527818.1818181819</v>
      </c>
      <c r="C547" t="s">
        <v>737</v>
      </c>
      <c r="D547" s="1">
        <v>45904</v>
      </c>
      <c r="E547" t="s">
        <v>14</v>
      </c>
      <c r="F547" t="s">
        <v>15</v>
      </c>
      <c r="G547" t="s">
        <v>274</v>
      </c>
      <c r="H547" t="s">
        <v>58</v>
      </c>
      <c r="I547" t="s">
        <v>692</v>
      </c>
      <c r="J547" t="s">
        <v>160</v>
      </c>
      <c r="K547">
        <v>1</v>
      </c>
      <c r="L547">
        <v>1359000</v>
      </c>
      <c r="M547">
        <v>0.1</v>
      </c>
      <c r="N547">
        <v>982000</v>
      </c>
      <c r="O547">
        <v>1359000</v>
      </c>
    </row>
    <row r="548" spans="1:15" x14ac:dyDescent="0.35">
      <c r="A548" t="s">
        <v>693</v>
      </c>
      <c r="B548">
        <v>1527818.1818181819</v>
      </c>
      <c r="C548" t="s">
        <v>738</v>
      </c>
      <c r="D548" s="1">
        <v>45919</v>
      </c>
      <c r="E548" t="s">
        <v>14</v>
      </c>
      <c r="F548" t="s">
        <v>15</v>
      </c>
      <c r="G548" t="s">
        <v>104</v>
      </c>
      <c r="H548" t="s">
        <v>28</v>
      </c>
      <c r="I548" t="s">
        <v>692</v>
      </c>
      <c r="J548" t="s">
        <v>160</v>
      </c>
      <c r="K548">
        <v>1</v>
      </c>
      <c r="L548">
        <v>1383000</v>
      </c>
      <c r="M548">
        <v>0</v>
      </c>
      <c r="N548">
        <v>1002000</v>
      </c>
      <c r="O548">
        <v>1383000</v>
      </c>
    </row>
    <row r="549" spans="1:15" x14ac:dyDescent="0.35">
      <c r="A549" t="s">
        <v>693</v>
      </c>
      <c r="B549">
        <v>1527818.1818181819</v>
      </c>
      <c r="C549" t="s">
        <v>739</v>
      </c>
      <c r="D549" s="1">
        <v>45924</v>
      </c>
      <c r="E549" t="s">
        <v>36</v>
      </c>
      <c r="F549" t="s">
        <v>37</v>
      </c>
      <c r="G549" t="s">
        <v>93</v>
      </c>
      <c r="H549" t="s">
        <v>23</v>
      </c>
      <c r="I549" t="s">
        <v>692</v>
      </c>
      <c r="J549" t="s">
        <v>160</v>
      </c>
      <c r="K549">
        <v>2</v>
      </c>
      <c r="L549">
        <v>1630000</v>
      </c>
      <c r="M549">
        <v>0.05</v>
      </c>
      <c r="N549">
        <v>1199000</v>
      </c>
      <c r="O549">
        <v>1630000</v>
      </c>
    </row>
    <row r="550" spans="1:15" x14ac:dyDescent="0.35">
      <c r="A550" t="s">
        <v>693</v>
      </c>
      <c r="B550">
        <v>1527818.1818181819</v>
      </c>
      <c r="C550" t="s">
        <v>740</v>
      </c>
      <c r="D550" s="1">
        <v>45927</v>
      </c>
      <c r="E550" t="s">
        <v>41</v>
      </c>
      <c r="F550" t="s">
        <v>42</v>
      </c>
      <c r="G550" t="s">
        <v>741</v>
      </c>
      <c r="H550" t="s">
        <v>23</v>
      </c>
      <c r="I550" t="s">
        <v>692</v>
      </c>
      <c r="J550" t="s">
        <v>160</v>
      </c>
      <c r="K550">
        <v>1</v>
      </c>
      <c r="L550">
        <v>1493000</v>
      </c>
      <c r="M550">
        <v>0</v>
      </c>
      <c r="N550">
        <v>1046000</v>
      </c>
      <c r="O550">
        <v>1493000</v>
      </c>
    </row>
    <row r="551" spans="1:15" x14ac:dyDescent="0.35">
      <c r="A551" t="s">
        <v>693</v>
      </c>
      <c r="B551">
        <v>1527818.1818181819</v>
      </c>
      <c r="C551" t="s">
        <v>742</v>
      </c>
      <c r="D551" s="1">
        <v>46025</v>
      </c>
      <c r="E551" t="s">
        <v>14</v>
      </c>
      <c r="F551" t="s">
        <v>15</v>
      </c>
      <c r="G551" t="s">
        <v>113</v>
      </c>
      <c r="H551" t="s">
        <v>23</v>
      </c>
      <c r="I551" t="s">
        <v>692</v>
      </c>
      <c r="J551" t="s">
        <v>160</v>
      </c>
      <c r="K551">
        <v>1</v>
      </c>
      <c r="L551">
        <v>1594000</v>
      </c>
      <c r="M551">
        <v>0</v>
      </c>
      <c r="N551">
        <v>1132000</v>
      </c>
      <c r="O551">
        <v>1594000</v>
      </c>
    </row>
    <row r="552" spans="1:15" x14ac:dyDescent="0.35">
      <c r="A552" t="s">
        <v>693</v>
      </c>
      <c r="B552">
        <v>1527818.1818181819</v>
      </c>
      <c r="C552" t="s">
        <v>743</v>
      </c>
      <c r="D552" s="1">
        <v>46062</v>
      </c>
      <c r="E552" t="s">
        <v>14</v>
      </c>
      <c r="F552" t="s">
        <v>15</v>
      </c>
      <c r="G552" t="s">
        <v>333</v>
      </c>
      <c r="H552" t="s">
        <v>17</v>
      </c>
      <c r="I552" t="s">
        <v>692</v>
      </c>
      <c r="J552" t="s">
        <v>160</v>
      </c>
      <c r="K552">
        <v>1</v>
      </c>
      <c r="L552">
        <v>2012000</v>
      </c>
      <c r="M552">
        <v>0</v>
      </c>
      <c r="N552">
        <v>1474000</v>
      </c>
      <c r="O552">
        <v>2012000</v>
      </c>
    </row>
    <row r="553" spans="1:15" x14ac:dyDescent="0.35">
      <c r="A553" t="s">
        <v>693</v>
      </c>
      <c r="B553">
        <v>1527818.1818181819</v>
      </c>
      <c r="C553" t="s">
        <v>744</v>
      </c>
      <c r="D553" s="1">
        <v>46081</v>
      </c>
      <c r="E553" t="s">
        <v>14</v>
      </c>
      <c r="F553" t="s">
        <v>15</v>
      </c>
      <c r="G553" t="s">
        <v>99</v>
      </c>
      <c r="H553" t="s">
        <v>23</v>
      </c>
      <c r="I553" t="s">
        <v>692</v>
      </c>
      <c r="J553" t="s">
        <v>160</v>
      </c>
      <c r="K553">
        <v>2</v>
      </c>
      <c r="L553">
        <v>1660000</v>
      </c>
      <c r="M553">
        <v>0</v>
      </c>
      <c r="N553">
        <v>1168000</v>
      </c>
      <c r="O553">
        <v>1660000</v>
      </c>
    </row>
    <row r="554" spans="1:15" x14ac:dyDescent="0.35">
      <c r="A554" t="s">
        <v>693</v>
      </c>
      <c r="B554">
        <v>1527818.1818181819</v>
      </c>
      <c r="C554" t="s">
        <v>745</v>
      </c>
      <c r="D554" s="1">
        <v>46096</v>
      </c>
      <c r="E554" t="s">
        <v>49</v>
      </c>
      <c r="F554" t="s">
        <v>50</v>
      </c>
      <c r="G554" t="s">
        <v>319</v>
      </c>
      <c r="H554" t="s">
        <v>23</v>
      </c>
      <c r="I554" t="s">
        <v>692</v>
      </c>
      <c r="J554" t="s">
        <v>160</v>
      </c>
      <c r="K554">
        <v>2</v>
      </c>
      <c r="L554">
        <v>1680000</v>
      </c>
      <c r="M554">
        <v>0</v>
      </c>
      <c r="N554">
        <v>1238000</v>
      </c>
      <c r="O554">
        <v>1680000</v>
      </c>
    </row>
    <row r="555" spans="1:15" x14ac:dyDescent="0.35">
      <c r="A555" t="s">
        <v>693</v>
      </c>
      <c r="B555">
        <v>1527818.1818181819</v>
      </c>
      <c r="C555" t="s">
        <v>746</v>
      </c>
      <c r="D555" s="1">
        <v>46106</v>
      </c>
      <c r="E555" t="s">
        <v>14</v>
      </c>
      <c r="F555" t="s">
        <v>15</v>
      </c>
      <c r="G555" t="s">
        <v>136</v>
      </c>
      <c r="H555" t="s">
        <v>23</v>
      </c>
      <c r="I555" t="s">
        <v>692</v>
      </c>
      <c r="J555" t="s">
        <v>160</v>
      </c>
      <c r="K555">
        <v>3</v>
      </c>
      <c r="L555">
        <v>1711000</v>
      </c>
      <c r="M555">
        <v>0</v>
      </c>
      <c r="N555">
        <v>1216000</v>
      </c>
      <c r="O555">
        <v>1711000</v>
      </c>
    </row>
    <row r="556" spans="1:15" x14ac:dyDescent="0.35">
      <c r="A556" t="s">
        <v>693</v>
      </c>
      <c r="B556">
        <v>1527818.1818181819</v>
      </c>
      <c r="C556" t="s">
        <v>747</v>
      </c>
      <c r="D556" s="1">
        <v>46171</v>
      </c>
      <c r="E556" t="s">
        <v>49</v>
      </c>
      <c r="F556" t="s">
        <v>50</v>
      </c>
      <c r="G556" t="s">
        <v>258</v>
      </c>
      <c r="H556" t="s">
        <v>23</v>
      </c>
      <c r="I556" t="s">
        <v>692</v>
      </c>
      <c r="J556" t="s">
        <v>160</v>
      </c>
      <c r="K556">
        <v>1</v>
      </c>
      <c r="L556">
        <v>1745000</v>
      </c>
      <c r="M556">
        <v>0</v>
      </c>
      <c r="N556">
        <v>1279000</v>
      </c>
      <c r="O556">
        <v>1745000</v>
      </c>
    </row>
    <row r="557" spans="1:15" x14ac:dyDescent="0.35">
      <c r="A557" t="s">
        <v>693</v>
      </c>
      <c r="B557">
        <v>1527818.1818181819</v>
      </c>
      <c r="C557" t="s">
        <v>748</v>
      </c>
      <c r="D557" s="1">
        <v>46175</v>
      </c>
      <c r="E557" t="s">
        <v>14</v>
      </c>
      <c r="F557" t="s">
        <v>15</v>
      </c>
      <c r="G557" t="s">
        <v>208</v>
      </c>
      <c r="H557" t="s">
        <v>23</v>
      </c>
      <c r="I557" t="s">
        <v>692</v>
      </c>
      <c r="J557" t="s">
        <v>160</v>
      </c>
      <c r="K557">
        <v>2</v>
      </c>
      <c r="L557">
        <v>1527818.1818181819</v>
      </c>
      <c r="M557">
        <v>0</v>
      </c>
      <c r="N557">
        <v>1080000</v>
      </c>
      <c r="O557">
        <v>1527818.1818181819</v>
      </c>
    </row>
    <row r="558" spans="1:15" x14ac:dyDescent="0.35">
      <c r="A558" t="s">
        <v>693</v>
      </c>
      <c r="B558">
        <v>1527818.1818181819</v>
      </c>
      <c r="C558" t="s">
        <v>749</v>
      </c>
      <c r="D558" s="1">
        <v>46178</v>
      </c>
      <c r="E558" t="s">
        <v>14</v>
      </c>
      <c r="F558" t="s">
        <v>15</v>
      </c>
      <c r="G558" t="s">
        <v>146</v>
      </c>
      <c r="H558" t="s">
        <v>17</v>
      </c>
      <c r="I558" t="s">
        <v>692</v>
      </c>
      <c r="J558" t="s">
        <v>160</v>
      </c>
      <c r="K558">
        <v>2</v>
      </c>
      <c r="L558">
        <v>1638000</v>
      </c>
      <c r="M558">
        <v>0</v>
      </c>
      <c r="N558">
        <v>1195000</v>
      </c>
      <c r="O558">
        <v>1638000</v>
      </c>
    </row>
    <row r="559" spans="1:15" x14ac:dyDescent="0.35">
      <c r="A559" t="s">
        <v>693</v>
      </c>
      <c r="B559">
        <v>1527818.1818181819</v>
      </c>
      <c r="C559" t="s">
        <v>750</v>
      </c>
      <c r="D559" s="1">
        <v>46189</v>
      </c>
      <c r="E559" t="s">
        <v>49</v>
      </c>
      <c r="F559" t="s">
        <v>50</v>
      </c>
      <c r="G559" t="s">
        <v>307</v>
      </c>
      <c r="H559" t="s">
        <v>28</v>
      </c>
      <c r="I559" t="s">
        <v>692</v>
      </c>
      <c r="J559" t="s">
        <v>160</v>
      </c>
      <c r="K559">
        <v>1</v>
      </c>
      <c r="L559">
        <v>1457000</v>
      </c>
      <c r="M559">
        <v>0</v>
      </c>
      <c r="N559">
        <v>1026000</v>
      </c>
      <c r="O559">
        <v>1457000</v>
      </c>
    </row>
    <row r="560" spans="1:15" x14ac:dyDescent="0.35">
      <c r="A560" t="s">
        <v>753</v>
      </c>
      <c r="B560">
        <v>454703.125</v>
      </c>
      <c r="C560" t="s">
        <v>751</v>
      </c>
      <c r="D560" s="1">
        <v>44935</v>
      </c>
      <c r="E560" t="s">
        <v>14</v>
      </c>
      <c r="F560" t="s">
        <v>15</v>
      </c>
      <c r="G560" t="s">
        <v>63</v>
      </c>
      <c r="H560" t="s">
        <v>28</v>
      </c>
      <c r="I560" t="s">
        <v>752</v>
      </c>
      <c r="J560" t="s">
        <v>754</v>
      </c>
      <c r="K560">
        <v>3</v>
      </c>
      <c r="L560">
        <v>512000</v>
      </c>
      <c r="M560">
        <v>0.05</v>
      </c>
      <c r="N560">
        <v>355000</v>
      </c>
      <c r="O560">
        <v>512000</v>
      </c>
    </row>
    <row r="561" spans="1:15" x14ac:dyDescent="0.35">
      <c r="A561" t="s">
        <v>753</v>
      </c>
      <c r="B561">
        <v>454703.125</v>
      </c>
      <c r="C561" t="s">
        <v>755</v>
      </c>
      <c r="D561" s="1">
        <v>44957</v>
      </c>
      <c r="E561" t="s">
        <v>36</v>
      </c>
      <c r="F561" t="s">
        <v>37</v>
      </c>
      <c r="G561" t="s">
        <v>359</v>
      </c>
      <c r="H561" t="s">
        <v>23</v>
      </c>
      <c r="I561" t="s">
        <v>752</v>
      </c>
      <c r="J561" t="s">
        <v>754</v>
      </c>
      <c r="K561">
        <v>2</v>
      </c>
      <c r="L561">
        <v>325000</v>
      </c>
      <c r="M561">
        <v>0</v>
      </c>
      <c r="N561">
        <v>228000</v>
      </c>
      <c r="O561">
        <v>325000</v>
      </c>
    </row>
    <row r="562" spans="1:15" x14ac:dyDescent="0.35">
      <c r="A562" t="s">
        <v>753</v>
      </c>
      <c r="B562">
        <v>454703.125</v>
      </c>
      <c r="C562" t="s">
        <v>756</v>
      </c>
      <c r="D562" s="1">
        <v>44978</v>
      </c>
      <c r="E562" t="s">
        <v>41</v>
      </c>
      <c r="F562" t="s">
        <v>42</v>
      </c>
      <c r="G562" t="s">
        <v>79</v>
      </c>
      <c r="H562" t="s">
        <v>17</v>
      </c>
      <c r="I562" t="s">
        <v>752</v>
      </c>
      <c r="J562" t="s">
        <v>754</v>
      </c>
      <c r="K562">
        <v>1</v>
      </c>
      <c r="L562">
        <v>339000</v>
      </c>
      <c r="M562">
        <v>0.15</v>
      </c>
      <c r="N562">
        <v>237000</v>
      </c>
      <c r="O562">
        <v>339000</v>
      </c>
    </row>
    <row r="563" spans="1:15" x14ac:dyDescent="0.35">
      <c r="A563" t="s">
        <v>753</v>
      </c>
      <c r="B563">
        <v>454703.125</v>
      </c>
      <c r="C563" t="s">
        <v>757</v>
      </c>
      <c r="D563" s="1">
        <v>44978</v>
      </c>
      <c r="E563" t="s">
        <v>41</v>
      </c>
      <c r="F563" t="s">
        <v>42</v>
      </c>
      <c r="G563" t="s">
        <v>319</v>
      </c>
      <c r="H563" t="s">
        <v>23</v>
      </c>
      <c r="I563" t="s">
        <v>752</v>
      </c>
      <c r="J563" t="s">
        <v>754</v>
      </c>
      <c r="K563">
        <v>1</v>
      </c>
      <c r="L563">
        <v>519000</v>
      </c>
      <c r="M563">
        <v>0</v>
      </c>
      <c r="N563">
        <v>363000</v>
      </c>
      <c r="O563">
        <v>519000</v>
      </c>
    </row>
    <row r="564" spans="1:15" x14ac:dyDescent="0.35">
      <c r="A564" t="s">
        <v>753</v>
      </c>
      <c r="B564">
        <v>454703.125</v>
      </c>
      <c r="C564" t="s">
        <v>758</v>
      </c>
      <c r="D564" s="1">
        <v>44991</v>
      </c>
      <c r="E564" t="s">
        <v>41</v>
      </c>
      <c r="F564" t="s">
        <v>42</v>
      </c>
      <c r="G564" t="s">
        <v>447</v>
      </c>
      <c r="H564" t="s">
        <v>23</v>
      </c>
      <c r="I564" t="s">
        <v>752</v>
      </c>
      <c r="J564" t="s">
        <v>754</v>
      </c>
      <c r="K564">
        <v>1</v>
      </c>
      <c r="L564">
        <v>486000</v>
      </c>
      <c r="M564">
        <v>0</v>
      </c>
      <c r="N564">
        <v>343000</v>
      </c>
      <c r="O564">
        <v>486000</v>
      </c>
    </row>
    <row r="565" spans="1:15" x14ac:dyDescent="0.35">
      <c r="A565" t="s">
        <v>753</v>
      </c>
      <c r="B565">
        <v>454703.125</v>
      </c>
      <c r="C565" t="s">
        <v>759</v>
      </c>
      <c r="D565" s="1">
        <v>45041</v>
      </c>
      <c r="E565" t="s">
        <v>25</v>
      </c>
      <c r="F565" t="s">
        <v>26</v>
      </c>
      <c r="G565" t="s">
        <v>311</v>
      </c>
      <c r="H565" t="s">
        <v>17</v>
      </c>
      <c r="I565" t="s">
        <v>752</v>
      </c>
      <c r="J565" t="s">
        <v>754</v>
      </c>
      <c r="K565">
        <v>1</v>
      </c>
      <c r="L565">
        <v>279000</v>
      </c>
      <c r="M565">
        <v>0</v>
      </c>
      <c r="N565">
        <v>194000</v>
      </c>
      <c r="O565">
        <v>279000</v>
      </c>
    </row>
    <row r="566" spans="1:15" x14ac:dyDescent="0.35">
      <c r="A566" t="s">
        <v>753</v>
      </c>
      <c r="B566">
        <v>454703.125</v>
      </c>
      <c r="C566" t="s">
        <v>760</v>
      </c>
      <c r="D566" s="1">
        <v>45046</v>
      </c>
      <c r="E566" t="s">
        <v>41</v>
      </c>
      <c r="F566" t="s">
        <v>42</v>
      </c>
      <c r="G566" t="s">
        <v>53</v>
      </c>
      <c r="H566" t="s">
        <v>17</v>
      </c>
      <c r="I566" t="s">
        <v>752</v>
      </c>
      <c r="J566" t="s">
        <v>754</v>
      </c>
      <c r="K566">
        <v>1</v>
      </c>
      <c r="L566">
        <v>500000</v>
      </c>
      <c r="M566">
        <v>0</v>
      </c>
      <c r="N566">
        <v>344000</v>
      </c>
      <c r="O566">
        <v>500000</v>
      </c>
    </row>
    <row r="567" spans="1:15" x14ac:dyDescent="0.35">
      <c r="A567" t="s">
        <v>753</v>
      </c>
      <c r="B567">
        <v>454703.125</v>
      </c>
      <c r="C567" t="s">
        <v>761</v>
      </c>
      <c r="D567" s="1">
        <v>45124</v>
      </c>
      <c r="E567" t="s">
        <v>36</v>
      </c>
      <c r="F567" t="s">
        <v>37</v>
      </c>
      <c r="G567" t="s">
        <v>91</v>
      </c>
      <c r="H567" t="s">
        <v>23</v>
      </c>
      <c r="I567" t="s">
        <v>752</v>
      </c>
      <c r="J567" t="s">
        <v>754</v>
      </c>
      <c r="K567">
        <v>2</v>
      </c>
      <c r="L567">
        <v>256000</v>
      </c>
      <c r="M567">
        <v>0</v>
      </c>
      <c r="N567">
        <v>183000</v>
      </c>
      <c r="O567">
        <v>256000</v>
      </c>
    </row>
    <row r="568" spans="1:15" x14ac:dyDescent="0.35">
      <c r="A568" t="s">
        <v>753</v>
      </c>
      <c r="B568">
        <v>454703.125</v>
      </c>
      <c r="C568" t="s">
        <v>762</v>
      </c>
      <c r="D568" s="1">
        <v>45130</v>
      </c>
      <c r="E568" t="s">
        <v>14</v>
      </c>
      <c r="F568" t="s">
        <v>15</v>
      </c>
      <c r="G568" t="s">
        <v>146</v>
      </c>
      <c r="H568" t="s">
        <v>17</v>
      </c>
      <c r="I568" t="s">
        <v>752</v>
      </c>
      <c r="J568" t="s">
        <v>754</v>
      </c>
      <c r="K568">
        <v>2</v>
      </c>
      <c r="L568">
        <v>530000</v>
      </c>
      <c r="M568">
        <v>0</v>
      </c>
      <c r="N568">
        <v>377000</v>
      </c>
      <c r="O568">
        <v>530000</v>
      </c>
    </row>
    <row r="569" spans="1:15" x14ac:dyDescent="0.35">
      <c r="A569" t="s">
        <v>753</v>
      </c>
      <c r="B569">
        <v>454703.125</v>
      </c>
      <c r="C569" t="s">
        <v>763</v>
      </c>
      <c r="D569" s="1">
        <v>45142</v>
      </c>
      <c r="E569" t="s">
        <v>41</v>
      </c>
      <c r="F569" t="s">
        <v>42</v>
      </c>
      <c r="G569" t="s">
        <v>764</v>
      </c>
      <c r="H569" t="s">
        <v>17</v>
      </c>
      <c r="I569" t="s">
        <v>752</v>
      </c>
      <c r="J569" t="s">
        <v>754</v>
      </c>
      <c r="K569">
        <v>1</v>
      </c>
      <c r="L569">
        <v>582000</v>
      </c>
      <c r="M569">
        <v>0</v>
      </c>
      <c r="N569">
        <v>418000</v>
      </c>
      <c r="O569">
        <v>582000</v>
      </c>
    </row>
    <row r="570" spans="1:15" x14ac:dyDescent="0.35">
      <c r="A570" t="s">
        <v>753</v>
      </c>
      <c r="B570">
        <v>454703.125</v>
      </c>
      <c r="C570" t="s">
        <v>765</v>
      </c>
      <c r="D570" s="1">
        <v>45157</v>
      </c>
      <c r="E570" t="s">
        <v>14</v>
      </c>
      <c r="F570" t="s">
        <v>15</v>
      </c>
      <c r="G570" t="s">
        <v>287</v>
      </c>
      <c r="H570" t="s">
        <v>28</v>
      </c>
      <c r="I570" t="s">
        <v>752</v>
      </c>
      <c r="J570" t="s">
        <v>754</v>
      </c>
      <c r="K570">
        <v>1</v>
      </c>
      <c r="L570">
        <v>386000</v>
      </c>
      <c r="M570">
        <v>0</v>
      </c>
      <c r="N570">
        <v>270000</v>
      </c>
      <c r="O570">
        <v>386000</v>
      </c>
    </row>
    <row r="571" spans="1:15" x14ac:dyDescent="0.35">
      <c r="A571" t="s">
        <v>753</v>
      </c>
      <c r="B571">
        <v>454703.125</v>
      </c>
      <c r="C571" t="s">
        <v>766</v>
      </c>
      <c r="D571" s="1">
        <v>45223</v>
      </c>
      <c r="E571" t="s">
        <v>49</v>
      </c>
      <c r="F571" t="s">
        <v>50</v>
      </c>
      <c r="G571" t="s">
        <v>164</v>
      </c>
      <c r="H571" t="s">
        <v>23</v>
      </c>
      <c r="I571" t="s">
        <v>752</v>
      </c>
      <c r="J571" t="s">
        <v>754</v>
      </c>
      <c r="K571">
        <v>1</v>
      </c>
      <c r="L571">
        <v>486000</v>
      </c>
      <c r="M571">
        <v>0</v>
      </c>
      <c r="N571">
        <v>349000</v>
      </c>
      <c r="O571">
        <v>486000</v>
      </c>
    </row>
    <row r="572" spans="1:15" x14ac:dyDescent="0.35">
      <c r="A572" t="s">
        <v>753</v>
      </c>
      <c r="B572">
        <v>454703.125</v>
      </c>
      <c r="C572" t="s">
        <v>767</v>
      </c>
      <c r="D572" s="1">
        <v>45257</v>
      </c>
      <c r="E572" t="s">
        <v>49</v>
      </c>
      <c r="F572" t="s">
        <v>50</v>
      </c>
      <c r="G572" t="s">
        <v>569</v>
      </c>
      <c r="H572" t="s">
        <v>23</v>
      </c>
      <c r="I572" t="s">
        <v>752</v>
      </c>
      <c r="J572" t="s">
        <v>754</v>
      </c>
      <c r="K572">
        <v>1</v>
      </c>
      <c r="L572">
        <v>571000</v>
      </c>
      <c r="M572">
        <v>0</v>
      </c>
      <c r="N572">
        <v>395000</v>
      </c>
      <c r="O572">
        <v>571000</v>
      </c>
    </row>
    <row r="573" spans="1:15" x14ac:dyDescent="0.35">
      <c r="A573" t="s">
        <v>753</v>
      </c>
      <c r="B573">
        <v>454703.125</v>
      </c>
      <c r="C573" t="s">
        <v>768</v>
      </c>
      <c r="D573" s="1">
        <v>45276</v>
      </c>
      <c r="E573" t="s">
        <v>14</v>
      </c>
      <c r="F573" t="s">
        <v>15</v>
      </c>
      <c r="G573" t="s">
        <v>413</v>
      </c>
      <c r="H573" t="s">
        <v>23</v>
      </c>
      <c r="I573" t="s">
        <v>752</v>
      </c>
      <c r="J573" t="s">
        <v>754</v>
      </c>
      <c r="K573">
        <v>1</v>
      </c>
      <c r="L573">
        <v>423000</v>
      </c>
      <c r="M573">
        <v>0</v>
      </c>
      <c r="N573">
        <v>299000</v>
      </c>
      <c r="O573">
        <v>423000</v>
      </c>
    </row>
    <row r="574" spans="1:15" x14ac:dyDescent="0.35">
      <c r="A574" t="s">
        <v>753</v>
      </c>
      <c r="B574">
        <v>454703.125</v>
      </c>
      <c r="C574" t="s">
        <v>769</v>
      </c>
      <c r="D574" s="1">
        <v>45288</v>
      </c>
      <c r="E574" t="s">
        <v>14</v>
      </c>
      <c r="F574" t="s">
        <v>15</v>
      </c>
      <c r="G574" t="s">
        <v>384</v>
      </c>
      <c r="H574" t="s">
        <v>23</v>
      </c>
      <c r="I574" t="s">
        <v>752</v>
      </c>
      <c r="J574" t="s">
        <v>754</v>
      </c>
      <c r="K574">
        <v>1</v>
      </c>
      <c r="L574">
        <v>255000</v>
      </c>
      <c r="M574">
        <v>0.05</v>
      </c>
      <c r="N574">
        <v>181000</v>
      </c>
      <c r="O574">
        <v>255000</v>
      </c>
    </row>
    <row r="575" spans="1:15" x14ac:dyDescent="0.35">
      <c r="A575" t="s">
        <v>753</v>
      </c>
      <c r="B575">
        <v>454703.125</v>
      </c>
      <c r="C575" t="s">
        <v>770</v>
      </c>
      <c r="D575" s="1">
        <v>45293</v>
      </c>
      <c r="E575" t="s">
        <v>41</v>
      </c>
      <c r="F575" t="s">
        <v>42</v>
      </c>
      <c r="G575" t="s">
        <v>262</v>
      </c>
      <c r="H575" t="s">
        <v>23</v>
      </c>
      <c r="I575" t="s">
        <v>752</v>
      </c>
      <c r="J575" t="s">
        <v>754</v>
      </c>
      <c r="K575">
        <v>1</v>
      </c>
      <c r="L575">
        <v>274000</v>
      </c>
      <c r="M575">
        <v>0</v>
      </c>
      <c r="N575">
        <v>188000</v>
      </c>
      <c r="O575">
        <v>274000</v>
      </c>
    </row>
    <row r="576" spans="1:15" x14ac:dyDescent="0.35">
      <c r="A576" t="s">
        <v>753</v>
      </c>
      <c r="B576">
        <v>454703.125</v>
      </c>
      <c r="C576" t="s">
        <v>771</v>
      </c>
      <c r="D576" s="1">
        <v>45313</v>
      </c>
      <c r="E576" t="s">
        <v>14</v>
      </c>
      <c r="F576" t="s">
        <v>15</v>
      </c>
      <c r="G576" t="s">
        <v>39</v>
      </c>
      <c r="H576" t="s">
        <v>23</v>
      </c>
      <c r="I576" t="s">
        <v>752</v>
      </c>
      <c r="J576" t="s">
        <v>754</v>
      </c>
      <c r="K576">
        <v>1</v>
      </c>
      <c r="L576">
        <v>399000</v>
      </c>
      <c r="M576">
        <v>0</v>
      </c>
      <c r="N576">
        <v>287000</v>
      </c>
      <c r="O576">
        <v>399000</v>
      </c>
    </row>
    <row r="577" spans="1:15" x14ac:dyDescent="0.35">
      <c r="A577" t="s">
        <v>753</v>
      </c>
      <c r="B577">
        <v>454703.125</v>
      </c>
      <c r="C577" t="s">
        <v>772</v>
      </c>
      <c r="D577" s="1">
        <v>45322</v>
      </c>
      <c r="E577" t="s">
        <v>25</v>
      </c>
      <c r="F577" t="s">
        <v>26</v>
      </c>
      <c r="G577" t="s">
        <v>244</v>
      </c>
      <c r="H577" t="s">
        <v>17</v>
      </c>
      <c r="I577" t="s">
        <v>752</v>
      </c>
      <c r="J577" t="s">
        <v>754</v>
      </c>
      <c r="K577">
        <v>1</v>
      </c>
      <c r="L577">
        <v>532000</v>
      </c>
      <c r="M577">
        <v>0</v>
      </c>
      <c r="N577">
        <v>372000</v>
      </c>
      <c r="O577">
        <v>532000</v>
      </c>
    </row>
    <row r="578" spans="1:15" x14ac:dyDescent="0.35">
      <c r="A578" t="s">
        <v>753</v>
      </c>
      <c r="B578">
        <v>454703.125</v>
      </c>
      <c r="C578" t="s">
        <v>773</v>
      </c>
      <c r="D578" s="1">
        <v>45349</v>
      </c>
      <c r="E578" t="s">
        <v>41</v>
      </c>
      <c r="F578" t="s">
        <v>42</v>
      </c>
      <c r="G578" t="s">
        <v>411</v>
      </c>
      <c r="H578" t="s">
        <v>28</v>
      </c>
      <c r="I578" t="s">
        <v>752</v>
      </c>
      <c r="J578" t="s">
        <v>754</v>
      </c>
      <c r="K578">
        <v>1</v>
      </c>
      <c r="L578">
        <v>593000</v>
      </c>
      <c r="M578">
        <v>0</v>
      </c>
      <c r="N578">
        <v>415000</v>
      </c>
      <c r="O578">
        <v>593000</v>
      </c>
    </row>
    <row r="579" spans="1:15" x14ac:dyDescent="0.35">
      <c r="A579" t="s">
        <v>753</v>
      </c>
      <c r="B579">
        <v>454703.125</v>
      </c>
      <c r="C579" t="s">
        <v>774</v>
      </c>
      <c r="D579" s="1">
        <v>45364</v>
      </c>
      <c r="E579" t="s">
        <v>14</v>
      </c>
      <c r="F579" t="s">
        <v>15</v>
      </c>
      <c r="G579" t="s">
        <v>327</v>
      </c>
      <c r="H579" t="s">
        <v>23</v>
      </c>
      <c r="I579" t="s">
        <v>752</v>
      </c>
      <c r="J579" t="s">
        <v>754</v>
      </c>
      <c r="K579">
        <v>3</v>
      </c>
      <c r="L579">
        <v>285000</v>
      </c>
      <c r="M579">
        <v>0</v>
      </c>
      <c r="N579">
        <v>201000</v>
      </c>
      <c r="O579">
        <v>285000</v>
      </c>
    </row>
    <row r="580" spans="1:15" x14ac:dyDescent="0.35">
      <c r="A580" t="s">
        <v>753</v>
      </c>
      <c r="B580">
        <v>454703.125</v>
      </c>
      <c r="C580" t="s">
        <v>775</v>
      </c>
      <c r="D580" s="1">
        <v>45380</v>
      </c>
      <c r="E580" t="s">
        <v>41</v>
      </c>
      <c r="F580" t="s">
        <v>42</v>
      </c>
      <c r="G580" t="s">
        <v>384</v>
      </c>
      <c r="H580" t="s">
        <v>23</v>
      </c>
      <c r="I580" t="s">
        <v>752</v>
      </c>
      <c r="J580" t="s">
        <v>754</v>
      </c>
      <c r="K580">
        <v>1</v>
      </c>
      <c r="L580">
        <v>332000</v>
      </c>
      <c r="M580">
        <v>0.05</v>
      </c>
      <c r="N580">
        <v>233000</v>
      </c>
      <c r="O580">
        <v>332000</v>
      </c>
    </row>
    <row r="581" spans="1:15" x14ac:dyDescent="0.35">
      <c r="A581" t="s">
        <v>753</v>
      </c>
      <c r="B581">
        <v>454703.125</v>
      </c>
      <c r="C581" t="s">
        <v>776</v>
      </c>
      <c r="D581" s="1">
        <v>45405</v>
      </c>
      <c r="E581" t="s">
        <v>25</v>
      </c>
      <c r="F581" t="s">
        <v>26</v>
      </c>
      <c r="G581" t="s">
        <v>667</v>
      </c>
      <c r="H581" t="s">
        <v>23</v>
      </c>
      <c r="I581" t="s">
        <v>752</v>
      </c>
      <c r="J581" t="s">
        <v>754</v>
      </c>
      <c r="K581">
        <v>2</v>
      </c>
      <c r="L581">
        <v>355000</v>
      </c>
      <c r="M581">
        <v>0</v>
      </c>
      <c r="N581">
        <v>255000</v>
      </c>
      <c r="O581">
        <v>355000</v>
      </c>
    </row>
    <row r="582" spans="1:15" x14ac:dyDescent="0.35">
      <c r="A582" t="s">
        <v>753</v>
      </c>
      <c r="B582">
        <v>454703.125</v>
      </c>
      <c r="C582" t="s">
        <v>777</v>
      </c>
      <c r="D582" s="1">
        <v>45442</v>
      </c>
      <c r="E582" t="s">
        <v>14</v>
      </c>
      <c r="F582" t="s">
        <v>15</v>
      </c>
      <c r="G582" t="s">
        <v>307</v>
      </c>
      <c r="H582" t="s">
        <v>28</v>
      </c>
      <c r="I582" t="s">
        <v>752</v>
      </c>
      <c r="J582" t="s">
        <v>754</v>
      </c>
      <c r="K582">
        <v>1</v>
      </c>
      <c r="L582">
        <v>472000</v>
      </c>
      <c r="M582">
        <v>0</v>
      </c>
      <c r="N582">
        <v>338000</v>
      </c>
      <c r="O582">
        <v>472000</v>
      </c>
    </row>
    <row r="583" spans="1:15" x14ac:dyDescent="0.35">
      <c r="A583" t="s">
        <v>753</v>
      </c>
      <c r="B583">
        <v>454703.125</v>
      </c>
      <c r="C583" t="s">
        <v>778</v>
      </c>
      <c r="D583" s="1">
        <v>45487</v>
      </c>
      <c r="E583" t="s">
        <v>49</v>
      </c>
      <c r="F583" t="s">
        <v>50</v>
      </c>
      <c r="G583" t="s">
        <v>462</v>
      </c>
      <c r="H583" t="s">
        <v>58</v>
      </c>
      <c r="I583" t="s">
        <v>752</v>
      </c>
      <c r="J583" t="s">
        <v>754</v>
      </c>
      <c r="K583">
        <v>3</v>
      </c>
      <c r="L583">
        <v>542000</v>
      </c>
      <c r="M583">
        <v>0.15</v>
      </c>
      <c r="N583">
        <v>385000</v>
      </c>
      <c r="O583">
        <v>542000</v>
      </c>
    </row>
    <row r="584" spans="1:15" x14ac:dyDescent="0.35">
      <c r="A584" t="s">
        <v>753</v>
      </c>
      <c r="B584">
        <v>454703.125</v>
      </c>
      <c r="C584" t="s">
        <v>779</v>
      </c>
      <c r="D584" s="1">
        <v>45509</v>
      </c>
      <c r="E584" t="s">
        <v>41</v>
      </c>
      <c r="F584" t="s">
        <v>42</v>
      </c>
      <c r="G584" t="s">
        <v>323</v>
      </c>
      <c r="H584" t="s">
        <v>28</v>
      </c>
      <c r="I584" t="s">
        <v>752</v>
      </c>
      <c r="J584" t="s">
        <v>754</v>
      </c>
      <c r="K584">
        <v>3</v>
      </c>
      <c r="L584">
        <v>282000</v>
      </c>
      <c r="M584">
        <v>0</v>
      </c>
      <c r="N584">
        <v>196000</v>
      </c>
      <c r="O584">
        <v>282000</v>
      </c>
    </row>
    <row r="585" spans="1:15" x14ac:dyDescent="0.35">
      <c r="A585" t="s">
        <v>753</v>
      </c>
      <c r="B585">
        <v>454703.125</v>
      </c>
      <c r="C585" t="s">
        <v>780</v>
      </c>
      <c r="D585" s="1">
        <v>45511</v>
      </c>
      <c r="E585" t="s">
        <v>14</v>
      </c>
      <c r="F585" t="s">
        <v>15</v>
      </c>
      <c r="G585" t="s">
        <v>247</v>
      </c>
      <c r="H585" t="s">
        <v>17</v>
      </c>
      <c r="I585" t="s">
        <v>752</v>
      </c>
      <c r="J585" t="s">
        <v>754</v>
      </c>
      <c r="K585">
        <v>1</v>
      </c>
      <c r="L585">
        <v>427000</v>
      </c>
      <c r="M585">
        <v>0</v>
      </c>
      <c r="N585">
        <v>304000</v>
      </c>
      <c r="O585">
        <v>427000</v>
      </c>
    </row>
    <row r="586" spans="1:15" x14ac:dyDescent="0.35">
      <c r="A586" t="s">
        <v>753</v>
      </c>
      <c r="B586">
        <v>454703.125</v>
      </c>
      <c r="C586" t="s">
        <v>781</v>
      </c>
      <c r="D586" s="1">
        <v>45527</v>
      </c>
      <c r="E586" t="s">
        <v>14</v>
      </c>
      <c r="F586" t="s">
        <v>15</v>
      </c>
      <c r="G586" t="s">
        <v>741</v>
      </c>
      <c r="H586" t="s">
        <v>23</v>
      </c>
      <c r="I586" t="s">
        <v>752</v>
      </c>
      <c r="J586" t="s">
        <v>754</v>
      </c>
      <c r="K586">
        <v>2</v>
      </c>
      <c r="L586">
        <v>360000</v>
      </c>
      <c r="M586">
        <v>0.05</v>
      </c>
      <c r="N586">
        <v>256000</v>
      </c>
      <c r="O586">
        <v>360000</v>
      </c>
    </row>
    <row r="587" spans="1:15" x14ac:dyDescent="0.35">
      <c r="A587" t="s">
        <v>753</v>
      </c>
      <c r="B587">
        <v>454703.125</v>
      </c>
      <c r="C587" t="s">
        <v>782</v>
      </c>
      <c r="D587" s="1">
        <v>45568</v>
      </c>
      <c r="E587" t="s">
        <v>41</v>
      </c>
      <c r="F587" t="s">
        <v>42</v>
      </c>
      <c r="G587" t="s">
        <v>613</v>
      </c>
      <c r="H587" t="s">
        <v>28</v>
      </c>
      <c r="I587" t="s">
        <v>752</v>
      </c>
      <c r="J587" t="s">
        <v>754</v>
      </c>
      <c r="K587">
        <v>1</v>
      </c>
      <c r="L587">
        <v>512000</v>
      </c>
      <c r="M587">
        <v>0</v>
      </c>
      <c r="N587">
        <v>349000</v>
      </c>
      <c r="O587">
        <v>512000</v>
      </c>
    </row>
    <row r="588" spans="1:15" x14ac:dyDescent="0.35">
      <c r="A588" t="s">
        <v>753</v>
      </c>
      <c r="B588">
        <v>454703.125</v>
      </c>
      <c r="C588" t="s">
        <v>783</v>
      </c>
      <c r="D588" s="1">
        <v>45595</v>
      </c>
      <c r="E588" t="s">
        <v>14</v>
      </c>
      <c r="F588" t="s">
        <v>15</v>
      </c>
      <c r="G588" t="s">
        <v>95</v>
      </c>
      <c r="H588" t="s">
        <v>23</v>
      </c>
      <c r="I588" t="s">
        <v>752</v>
      </c>
      <c r="J588" t="s">
        <v>754</v>
      </c>
      <c r="K588">
        <v>1</v>
      </c>
      <c r="L588">
        <v>309000</v>
      </c>
      <c r="M588">
        <v>0</v>
      </c>
      <c r="N588">
        <v>218000</v>
      </c>
      <c r="O588">
        <v>309000</v>
      </c>
    </row>
    <row r="589" spans="1:15" x14ac:dyDescent="0.35">
      <c r="A589" t="s">
        <v>753</v>
      </c>
      <c r="B589">
        <v>454703.125</v>
      </c>
      <c r="C589" t="s">
        <v>784</v>
      </c>
      <c r="D589" s="1">
        <v>45646</v>
      </c>
      <c r="E589" t="s">
        <v>36</v>
      </c>
      <c r="F589" t="s">
        <v>37</v>
      </c>
      <c r="G589" t="s">
        <v>53</v>
      </c>
      <c r="H589" t="s">
        <v>17</v>
      </c>
      <c r="I589" t="s">
        <v>752</v>
      </c>
      <c r="J589" t="s">
        <v>754</v>
      </c>
      <c r="K589">
        <v>1</v>
      </c>
      <c r="L589">
        <v>356000</v>
      </c>
      <c r="M589">
        <v>0</v>
      </c>
      <c r="N589">
        <v>253000</v>
      </c>
      <c r="O589">
        <v>356000</v>
      </c>
    </row>
    <row r="590" spans="1:15" x14ac:dyDescent="0.35">
      <c r="A590" t="s">
        <v>753</v>
      </c>
      <c r="B590">
        <v>454703.125</v>
      </c>
      <c r="C590" t="s">
        <v>785</v>
      </c>
      <c r="D590" s="1">
        <v>45656</v>
      </c>
      <c r="E590" t="s">
        <v>41</v>
      </c>
      <c r="F590" t="s">
        <v>42</v>
      </c>
      <c r="G590" t="s">
        <v>413</v>
      </c>
      <c r="H590" t="s">
        <v>23</v>
      </c>
      <c r="I590" t="s">
        <v>752</v>
      </c>
      <c r="J590" t="s">
        <v>754</v>
      </c>
      <c r="K590">
        <v>1</v>
      </c>
      <c r="L590">
        <v>445000</v>
      </c>
      <c r="M590">
        <v>0</v>
      </c>
      <c r="N590">
        <v>317000</v>
      </c>
      <c r="O590">
        <v>445000</v>
      </c>
    </row>
    <row r="591" spans="1:15" x14ac:dyDescent="0.35">
      <c r="A591" t="s">
        <v>753</v>
      </c>
      <c r="B591">
        <v>454703.125</v>
      </c>
      <c r="C591" t="s">
        <v>786</v>
      </c>
      <c r="D591" s="1">
        <v>45677</v>
      </c>
      <c r="E591" t="s">
        <v>14</v>
      </c>
      <c r="F591" t="s">
        <v>15</v>
      </c>
      <c r="G591" t="s">
        <v>493</v>
      </c>
      <c r="H591" t="s">
        <v>23</v>
      </c>
      <c r="I591" t="s">
        <v>752</v>
      </c>
      <c r="J591" t="s">
        <v>754</v>
      </c>
      <c r="K591">
        <v>1</v>
      </c>
      <c r="L591">
        <v>315000</v>
      </c>
      <c r="M591">
        <v>0.05</v>
      </c>
      <c r="N591">
        <v>223000</v>
      </c>
      <c r="O591">
        <v>315000</v>
      </c>
    </row>
    <row r="592" spans="1:15" x14ac:dyDescent="0.35">
      <c r="A592" t="s">
        <v>753</v>
      </c>
      <c r="B592">
        <v>454703.125</v>
      </c>
      <c r="C592" t="s">
        <v>787</v>
      </c>
      <c r="D592" s="1">
        <v>45718</v>
      </c>
      <c r="E592" t="s">
        <v>25</v>
      </c>
      <c r="F592" t="s">
        <v>26</v>
      </c>
      <c r="G592" t="s">
        <v>337</v>
      </c>
      <c r="H592" t="s">
        <v>23</v>
      </c>
      <c r="I592" t="s">
        <v>752</v>
      </c>
      <c r="J592" t="s">
        <v>754</v>
      </c>
      <c r="K592">
        <v>2</v>
      </c>
      <c r="L592">
        <v>410000</v>
      </c>
      <c r="M592">
        <v>0</v>
      </c>
      <c r="N592">
        <v>288000</v>
      </c>
      <c r="O592">
        <v>410000</v>
      </c>
    </row>
    <row r="593" spans="1:15" x14ac:dyDescent="0.35">
      <c r="A593" t="s">
        <v>753</v>
      </c>
      <c r="B593">
        <v>454703.125</v>
      </c>
      <c r="C593" t="s">
        <v>788</v>
      </c>
      <c r="D593" s="1">
        <v>45739</v>
      </c>
      <c r="E593" t="s">
        <v>14</v>
      </c>
      <c r="F593" t="s">
        <v>15</v>
      </c>
      <c r="G593" t="s">
        <v>260</v>
      </c>
      <c r="H593" t="s">
        <v>23</v>
      </c>
      <c r="I593" t="s">
        <v>752</v>
      </c>
      <c r="J593" t="s">
        <v>754</v>
      </c>
      <c r="K593">
        <v>1</v>
      </c>
      <c r="L593">
        <v>411000</v>
      </c>
      <c r="M593">
        <v>0</v>
      </c>
      <c r="N593">
        <v>284000</v>
      </c>
      <c r="O593">
        <v>411000</v>
      </c>
    </row>
    <row r="594" spans="1:15" x14ac:dyDescent="0.35">
      <c r="A594" t="s">
        <v>753</v>
      </c>
      <c r="B594">
        <v>454703.125</v>
      </c>
      <c r="C594" t="s">
        <v>789</v>
      </c>
      <c r="D594" s="1">
        <v>45752</v>
      </c>
      <c r="E594" t="s">
        <v>49</v>
      </c>
      <c r="F594" t="s">
        <v>50</v>
      </c>
      <c r="G594" t="s">
        <v>119</v>
      </c>
      <c r="H594" t="s">
        <v>23</v>
      </c>
      <c r="I594" t="s">
        <v>752</v>
      </c>
      <c r="J594" t="s">
        <v>754</v>
      </c>
      <c r="K594">
        <v>1</v>
      </c>
      <c r="L594">
        <v>642000</v>
      </c>
      <c r="M594">
        <v>0</v>
      </c>
      <c r="N594">
        <v>454000</v>
      </c>
      <c r="O594">
        <v>642000</v>
      </c>
    </row>
    <row r="595" spans="1:15" x14ac:dyDescent="0.35">
      <c r="A595" t="s">
        <v>753</v>
      </c>
      <c r="B595">
        <v>454703.125</v>
      </c>
      <c r="C595" t="s">
        <v>790</v>
      </c>
      <c r="D595" s="1">
        <v>45768</v>
      </c>
      <c r="E595" t="s">
        <v>25</v>
      </c>
      <c r="F595" t="s">
        <v>26</v>
      </c>
      <c r="G595" t="s">
        <v>168</v>
      </c>
      <c r="H595" t="s">
        <v>23</v>
      </c>
      <c r="I595" t="s">
        <v>752</v>
      </c>
      <c r="J595" t="s">
        <v>754</v>
      </c>
      <c r="K595">
        <v>1</v>
      </c>
      <c r="L595">
        <v>346000</v>
      </c>
      <c r="M595">
        <v>0</v>
      </c>
      <c r="N595">
        <v>239000</v>
      </c>
      <c r="O595">
        <v>346000</v>
      </c>
    </row>
    <row r="596" spans="1:15" x14ac:dyDescent="0.35">
      <c r="A596" t="s">
        <v>753</v>
      </c>
      <c r="B596">
        <v>454703.125</v>
      </c>
      <c r="C596" t="s">
        <v>791</v>
      </c>
      <c r="D596" s="1">
        <v>45790</v>
      </c>
      <c r="E596" t="s">
        <v>14</v>
      </c>
      <c r="F596" t="s">
        <v>15</v>
      </c>
      <c r="G596" t="s">
        <v>413</v>
      </c>
      <c r="H596" t="s">
        <v>23</v>
      </c>
      <c r="I596" t="s">
        <v>752</v>
      </c>
      <c r="J596" t="s">
        <v>754</v>
      </c>
      <c r="K596">
        <v>1</v>
      </c>
      <c r="L596">
        <v>276000</v>
      </c>
      <c r="M596">
        <v>0</v>
      </c>
      <c r="N596">
        <v>198000</v>
      </c>
      <c r="O596">
        <v>276000</v>
      </c>
    </row>
    <row r="597" spans="1:15" x14ac:dyDescent="0.35">
      <c r="A597" t="s">
        <v>753</v>
      </c>
      <c r="B597">
        <v>454703.125</v>
      </c>
      <c r="C597" t="s">
        <v>792</v>
      </c>
      <c r="D597" s="1">
        <v>45793</v>
      </c>
      <c r="E597" t="s">
        <v>25</v>
      </c>
      <c r="F597" t="s">
        <v>26</v>
      </c>
      <c r="G597" t="s">
        <v>115</v>
      </c>
      <c r="H597" t="s">
        <v>23</v>
      </c>
      <c r="I597" t="s">
        <v>752</v>
      </c>
      <c r="J597" t="s">
        <v>754</v>
      </c>
      <c r="K597">
        <v>2</v>
      </c>
      <c r="L597">
        <v>562000</v>
      </c>
      <c r="M597">
        <v>0</v>
      </c>
      <c r="N597">
        <v>385000</v>
      </c>
      <c r="O597">
        <v>562000</v>
      </c>
    </row>
    <row r="598" spans="1:15" x14ac:dyDescent="0.35">
      <c r="A598" t="s">
        <v>753</v>
      </c>
      <c r="B598">
        <v>454703.125</v>
      </c>
      <c r="C598" t="s">
        <v>793</v>
      </c>
      <c r="D598" s="1">
        <v>45815</v>
      </c>
      <c r="E598" t="s">
        <v>14</v>
      </c>
      <c r="F598" t="s">
        <v>15</v>
      </c>
      <c r="G598" t="s">
        <v>104</v>
      </c>
      <c r="H598" t="s">
        <v>28</v>
      </c>
      <c r="I598" t="s">
        <v>752</v>
      </c>
      <c r="J598" t="s">
        <v>754</v>
      </c>
      <c r="K598">
        <v>1</v>
      </c>
      <c r="L598">
        <v>313000</v>
      </c>
      <c r="M598">
        <v>0</v>
      </c>
      <c r="N598">
        <v>222000</v>
      </c>
      <c r="O598">
        <v>313000</v>
      </c>
    </row>
    <row r="599" spans="1:15" x14ac:dyDescent="0.35">
      <c r="A599" t="s">
        <v>753</v>
      </c>
      <c r="B599">
        <v>454703.125</v>
      </c>
      <c r="C599" t="s">
        <v>794</v>
      </c>
      <c r="D599" s="1">
        <v>45822</v>
      </c>
      <c r="E599" t="s">
        <v>14</v>
      </c>
      <c r="F599" t="s">
        <v>15</v>
      </c>
      <c r="G599" t="s">
        <v>244</v>
      </c>
      <c r="H599" t="s">
        <v>17</v>
      </c>
      <c r="I599" t="s">
        <v>752</v>
      </c>
      <c r="J599" t="s">
        <v>754</v>
      </c>
      <c r="K599">
        <v>1</v>
      </c>
      <c r="L599">
        <v>441000</v>
      </c>
      <c r="M599">
        <v>0.05</v>
      </c>
      <c r="N599">
        <v>317000</v>
      </c>
      <c r="O599">
        <v>441000</v>
      </c>
    </row>
    <row r="600" spans="1:15" x14ac:dyDescent="0.35">
      <c r="A600" t="s">
        <v>753</v>
      </c>
      <c r="B600">
        <v>454703.125</v>
      </c>
      <c r="C600" t="s">
        <v>795</v>
      </c>
      <c r="D600" s="1">
        <v>45850</v>
      </c>
      <c r="E600" t="s">
        <v>36</v>
      </c>
      <c r="F600" t="s">
        <v>37</v>
      </c>
      <c r="G600" t="s">
        <v>613</v>
      </c>
      <c r="H600" t="s">
        <v>28</v>
      </c>
      <c r="I600" t="s">
        <v>752</v>
      </c>
      <c r="J600" t="s">
        <v>754</v>
      </c>
      <c r="K600">
        <v>1</v>
      </c>
      <c r="L600">
        <v>557000</v>
      </c>
      <c r="M600">
        <v>0.1</v>
      </c>
      <c r="N600">
        <v>400000</v>
      </c>
      <c r="O600">
        <v>557000</v>
      </c>
    </row>
    <row r="601" spans="1:15" x14ac:dyDescent="0.35">
      <c r="A601" t="s">
        <v>753</v>
      </c>
      <c r="B601">
        <v>454703.125</v>
      </c>
      <c r="C601" t="s">
        <v>796</v>
      </c>
      <c r="D601" s="1">
        <v>45860</v>
      </c>
      <c r="E601" t="s">
        <v>14</v>
      </c>
      <c r="F601" t="s">
        <v>15</v>
      </c>
      <c r="G601" t="s">
        <v>319</v>
      </c>
      <c r="H601" t="s">
        <v>23</v>
      </c>
      <c r="I601" t="s">
        <v>752</v>
      </c>
      <c r="J601" t="s">
        <v>754</v>
      </c>
      <c r="K601">
        <v>2</v>
      </c>
      <c r="L601">
        <v>443000</v>
      </c>
      <c r="M601">
        <v>0</v>
      </c>
      <c r="N601">
        <v>303000</v>
      </c>
      <c r="O601">
        <v>443000</v>
      </c>
    </row>
    <row r="602" spans="1:15" x14ac:dyDescent="0.35">
      <c r="A602" t="s">
        <v>753</v>
      </c>
      <c r="B602">
        <v>454703.125</v>
      </c>
      <c r="C602" t="s">
        <v>797</v>
      </c>
      <c r="D602" s="1">
        <v>45880</v>
      </c>
      <c r="E602" t="s">
        <v>49</v>
      </c>
      <c r="F602" t="s">
        <v>50</v>
      </c>
      <c r="G602" t="s">
        <v>798</v>
      </c>
      <c r="H602" t="s">
        <v>28</v>
      </c>
      <c r="I602" t="s">
        <v>752</v>
      </c>
      <c r="J602" t="s">
        <v>754</v>
      </c>
      <c r="K602">
        <v>2</v>
      </c>
      <c r="L602">
        <v>351000</v>
      </c>
      <c r="M602">
        <v>0.05</v>
      </c>
      <c r="N602">
        <v>253000</v>
      </c>
      <c r="O602">
        <v>351000</v>
      </c>
    </row>
    <row r="603" spans="1:15" x14ac:dyDescent="0.35">
      <c r="A603" t="s">
        <v>753</v>
      </c>
      <c r="B603">
        <v>454703.125</v>
      </c>
      <c r="C603" t="s">
        <v>799</v>
      </c>
      <c r="D603" s="1">
        <v>45908</v>
      </c>
      <c r="E603" t="s">
        <v>41</v>
      </c>
      <c r="F603" t="s">
        <v>42</v>
      </c>
      <c r="G603" t="s">
        <v>47</v>
      </c>
      <c r="H603" t="s">
        <v>23</v>
      </c>
      <c r="I603" t="s">
        <v>752</v>
      </c>
      <c r="J603" t="s">
        <v>754</v>
      </c>
      <c r="K603">
        <v>1</v>
      </c>
      <c r="L603">
        <v>626000</v>
      </c>
      <c r="M603">
        <v>0</v>
      </c>
      <c r="N603">
        <v>443000</v>
      </c>
      <c r="O603">
        <v>626000</v>
      </c>
    </row>
    <row r="604" spans="1:15" x14ac:dyDescent="0.35">
      <c r="A604" t="s">
        <v>753</v>
      </c>
      <c r="B604">
        <v>454703.125</v>
      </c>
      <c r="C604" t="s">
        <v>800</v>
      </c>
      <c r="D604" s="1">
        <v>45918</v>
      </c>
      <c r="E604" t="s">
        <v>49</v>
      </c>
      <c r="F604" t="s">
        <v>50</v>
      </c>
      <c r="G604" t="s">
        <v>146</v>
      </c>
      <c r="H604" t="s">
        <v>17</v>
      </c>
      <c r="I604" t="s">
        <v>752</v>
      </c>
      <c r="J604" t="s">
        <v>754</v>
      </c>
      <c r="K604">
        <v>1</v>
      </c>
      <c r="L604">
        <v>343000</v>
      </c>
      <c r="M604">
        <v>0</v>
      </c>
      <c r="N604">
        <v>235000</v>
      </c>
      <c r="O604">
        <v>343000</v>
      </c>
    </row>
    <row r="605" spans="1:15" x14ac:dyDescent="0.35">
      <c r="A605" t="s">
        <v>753</v>
      </c>
      <c r="B605">
        <v>454703.125</v>
      </c>
      <c r="C605" t="s">
        <v>801</v>
      </c>
      <c r="D605" s="1">
        <v>45942</v>
      </c>
      <c r="E605" t="s">
        <v>14</v>
      </c>
      <c r="F605" t="s">
        <v>15</v>
      </c>
      <c r="G605" t="s">
        <v>493</v>
      </c>
      <c r="H605" t="s">
        <v>23</v>
      </c>
      <c r="I605" t="s">
        <v>752</v>
      </c>
      <c r="J605" t="s">
        <v>754</v>
      </c>
      <c r="K605">
        <v>1</v>
      </c>
      <c r="L605">
        <v>301000</v>
      </c>
      <c r="M605">
        <v>0</v>
      </c>
      <c r="N605">
        <v>206000</v>
      </c>
      <c r="O605">
        <v>301000</v>
      </c>
    </row>
    <row r="606" spans="1:15" x14ac:dyDescent="0.35">
      <c r="A606" t="s">
        <v>753</v>
      </c>
      <c r="B606">
        <v>454703.125</v>
      </c>
      <c r="C606" t="s">
        <v>802</v>
      </c>
      <c r="D606" s="1">
        <v>45981</v>
      </c>
      <c r="E606" t="s">
        <v>14</v>
      </c>
      <c r="F606" t="s">
        <v>15</v>
      </c>
      <c r="G606" t="s">
        <v>309</v>
      </c>
      <c r="H606" t="s">
        <v>23</v>
      </c>
      <c r="I606" t="s">
        <v>752</v>
      </c>
      <c r="J606" t="s">
        <v>754</v>
      </c>
      <c r="K606">
        <v>2</v>
      </c>
      <c r="L606">
        <v>513000</v>
      </c>
      <c r="M606">
        <v>0</v>
      </c>
      <c r="N606">
        <v>367000</v>
      </c>
      <c r="O606">
        <v>513000</v>
      </c>
    </row>
    <row r="607" spans="1:15" x14ac:dyDescent="0.35">
      <c r="A607" t="s">
        <v>753</v>
      </c>
      <c r="B607">
        <v>454703.125</v>
      </c>
      <c r="C607" t="s">
        <v>803</v>
      </c>
      <c r="D607" s="1">
        <v>46022</v>
      </c>
      <c r="E607" t="s">
        <v>41</v>
      </c>
      <c r="F607" t="s">
        <v>42</v>
      </c>
      <c r="G607" t="s">
        <v>172</v>
      </c>
      <c r="H607" t="s">
        <v>23</v>
      </c>
      <c r="I607" t="s">
        <v>752</v>
      </c>
      <c r="J607" t="s">
        <v>754</v>
      </c>
      <c r="K607">
        <v>1</v>
      </c>
      <c r="L607">
        <v>638000</v>
      </c>
      <c r="M607">
        <v>0.05</v>
      </c>
      <c r="N607">
        <v>458000</v>
      </c>
      <c r="O607">
        <v>638000</v>
      </c>
    </row>
    <row r="608" spans="1:15" x14ac:dyDescent="0.35">
      <c r="A608" t="s">
        <v>753</v>
      </c>
      <c r="B608">
        <v>454703.125</v>
      </c>
      <c r="C608" t="s">
        <v>804</v>
      </c>
      <c r="D608" s="1">
        <v>46026</v>
      </c>
      <c r="E608" t="s">
        <v>49</v>
      </c>
      <c r="F608" t="s">
        <v>50</v>
      </c>
      <c r="G608" t="s">
        <v>333</v>
      </c>
      <c r="H608" t="s">
        <v>17</v>
      </c>
      <c r="I608" t="s">
        <v>752</v>
      </c>
      <c r="J608" t="s">
        <v>754</v>
      </c>
      <c r="K608">
        <v>1</v>
      </c>
      <c r="L608">
        <v>679000</v>
      </c>
      <c r="M608">
        <v>0</v>
      </c>
      <c r="N608">
        <v>475000</v>
      </c>
      <c r="O608">
        <v>679000</v>
      </c>
    </row>
    <row r="609" spans="1:15" x14ac:dyDescent="0.35">
      <c r="A609" t="s">
        <v>753</v>
      </c>
      <c r="B609">
        <v>454703.125</v>
      </c>
      <c r="C609" t="s">
        <v>805</v>
      </c>
      <c r="D609" s="1">
        <v>46028</v>
      </c>
      <c r="E609" t="s">
        <v>49</v>
      </c>
      <c r="F609" t="s">
        <v>50</v>
      </c>
      <c r="G609" t="s">
        <v>117</v>
      </c>
      <c r="H609" t="s">
        <v>23</v>
      </c>
      <c r="I609" t="s">
        <v>752</v>
      </c>
      <c r="J609" t="s">
        <v>754</v>
      </c>
      <c r="K609">
        <v>5</v>
      </c>
      <c r="L609">
        <v>519000</v>
      </c>
      <c r="M609">
        <v>0</v>
      </c>
      <c r="N609">
        <v>366000</v>
      </c>
      <c r="O609">
        <v>519000</v>
      </c>
    </row>
    <row r="610" spans="1:15" x14ac:dyDescent="0.35">
      <c r="A610" t="s">
        <v>753</v>
      </c>
      <c r="B610">
        <v>454703.125</v>
      </c>
      <c r="C610" t="s">
        <v>806</v>
      </c>
      <c r="D610" s="1">
        <v>46030</v>
      </c>
      <c r="E610" t="s">
        <v>36</v>
      </c>
      <c r="F610" t="s">
        <v>37</v>
      </c>
      <c r="G610" t="s">
        <v>55</v>
      </c>
      <c r="H610" t="s">
        <v>17</v>
      </c>
      <c r="I610" t="s">
        <v>752</v>
      </c>
      <c r="J610" t="s">
        <v>754</v>
      </c>
      <c r="K610">
        <v>2</v>
      </c>
      <c r="L610">
        <v>664000</v>
      </c>
      <c r="M610">
        <v>0</v>
      </c>
      <c r="N610">
        <v>452000</v>
      </c>
      <c r="O610">
        <v>664000</v>
      </c>
    </row>
    <row r="611" spans="1:15" x14ac:dyDescent="0.35">
      <c r="A611" t="s">
        <v>753</v>
      </c>
      <c r="B611">
        <v>454703.125</v>
      </c>
      <c r="C611" t="s">
        <v>807</v>
      </c>
      <c r="D611" s="1">
        <v>46037</v>
      </c>
      <c r="E611" t="s">
        <v>14</v>
      </c>
      <c r="F611" t="s">
        <v>15</v>
      </c>
      <c r="G611" t="s">
        <v>115</v>
      </c>
      <c r="H611" t="s">
        <v>23</v>
      </c>
      <c r="I611" t="s">
        <v>752</v>
      </c>
      <c r="J611" t="s">
        <v>754</v>
      </c>
      <c r="K611">
        <v>2</v>
      </c>
      <c r="L611">
        <v>439000</v>
      </c>
      <c r="M611">
        <v>0</v>
      </c>
      <c r="N611">
        <v>304000</v>
      </c>
      <c r="O611">
        <v>439000</v>
      </c>
    </row>
    <row r="612" spans="1:15" x14ac:dyDescent="0.35">
      <c r="A612" t="s">
        <v>753</v>
      </c>
      <c r="B612">
        <v>454703.125</v>
      </c>
      <c r="C612" t="s">
        <v>808</v>
      </c>
      <c r="D612" s="1">
        <v>46039</v>
      </c>
      <c r="E612" t="s">
        <v>14</v>
      </c>
      <c r="F612" t="s">
        <v>15</v>
      </c>
      <c r="G612" t="s">
        <v>323</v>
      </c>
      <c r="H612" t="s">
        <v>28</v>
      </c>
      <c r="I612" t="s">
        <v>752</v>
      </c>
      <c r="J612" t="s">
        <v>754</v>
      </c>
      <c r="K612">
        <v>1</v>
      </c>
      <c r="L612">
        <v>645000</v>
      </c>
      <c r="M612">
        <v>0</v>
      </c>
      <c r="N612">
        <v>447000</v>
      </c>
      <c r="O612">
        <v>645000</v>
      </c>
    </row>
    <row r="613" spans="1:15" x14ac:dyDescent="0.35">
      <c r="A613" t="s">
        <v>753</v>
      </c>
      <c r="B613">
        <v>454703.125</v>
      </c>
      <c r="C613" t="s">
        <v>809</v>
      </c>
      <c r="D613" s="1">
        <v>46041</v>
      </c>
      <c r="E613" t="s">
        <v>41</v>
      </c>
      <c r="F613" t="s">
        <v>42</v>
      </c>
      <c r="G613" t="s">
        <v>27</v>
      </c>
      <c r="H613" t="s">
        <v>28</v>
      </c>
      <c r="I613" t="s">
        <v>752</v>
      </c>
      <c r="J613" t="s">
        <v>754</v>
      </c>
      <c r="K613">
        <v>1</v>
      </c>
      <c r="L613">
        <v>624000</v>
      </c>
      <c r="M613">
        <v>0</v>
      </c>
      <c r="N613">
        <v>425000</v>
      </c>
      <c r="O613">
        <v>624000</v>
      </c>
    </row>
    <row r="614" spans="1:15" x14ac:dyDescent="0.35">
      <c r="A614" t="s">
        <v>753</v>
      </c>
      <c r="B614">
        <v>454703.125</v>
      </c>
      <c r="C614" t="s">
        <v>810</v>
      </c>
      <c r="D614" s="1">
        <v>46076</v>
      </c>
      <c r="E614" t="s">
        <v>14</v>
      </c>
      <c r="F614" t="s">
        <v>15</v>
      </c>
      <c r="G614" t="s">
        <v>349</v>
      </c>
      <c r="H614" t="s">
        <v>23</v>
      </c>
      <c r="I614" t="s">
        <v>752</v>
      </c>
      <c r="J614" t="s">
        <v>754</v>
      </c>
      <c r="K614">
        <v>2</v>
      </c>
      <c r="L614">
        <v>459000</v>
      </c>
      <c r="M614">
        <v>0.1</v>
      </c>
      <c r="N614">
        <v>315000</v>
      </c>
      <c r="O614">
        <v>459000</v>
      </c>
    </row>
    <row r="615" spans="1:15" x14ac:dyDescent="0.35">
      <c r="A615" t="s">
        <v>753</v>
      </c>
      <c r="B615">
        <v>454703.125</v>
      </c>
      <c r="C615" t="s">
        <v>811</v>
      </c>
      <c r="D615" s="1">
        <v>46092</v>
      </c>
      <c r="E615" t="s">
        <v>14</v>
      </c>
      <c r="F615" t="s">
        <v>15</v>
      </c>
      <c r="G615" t="s">
        <v>121</v>
      </c>
      <c r="H615" t="s">
        <v>23</v>
      </c>
      <c r="I615" t="s">
        <v>752</v>
      </c>
      <c r="J615" t="s">
        <v>754</v>
      </c>
      <c r="K615">
        <v>1</v>
      </c>
      <c r="L615">
        <v>616000</v>
      </c>
      <c r="M615">
        <v>0.1</v>
      </c>
      <c r="N615">
        <v>434000</v>
      </c>
      <c r="O615">
        <v>616000</v>
      </c>
    </row>
    <row r="616" spans="1:15" x14ac:dyDescent="0.35">
      <c r="A616" t="s">
        <v>753</v>
      </c>
      <c r="B616">
        <v>454703.125</v>
      </c>
      <c r="C616" t="s">
        <v>812</v>
      </c>
      <c r="D616" s="1">
        <v>46130</v>
      </c>
      <c r="E616" t="s">
        <v>41</v>
      </c>
      <c r="F616" t="s">
        <v>42</v>
      </c>
      <c r="G616" t="s">
        <v>384</v>
      </c>
      <c r="H616" t="s">
        <v>23</v>
      </c>
      <c r="I616" t="s">
        <v>752</v>
      </c>
      <c r="J616" t="s">
        <v>754</v>
      </c>
      <c r="K616">
        <v>2</v>
      </c>
      <c r="L616">
        <v>431000</v>
      </c>
      <c r="M616">
        <v>0.05</v>
      </c>
      <c r="N616">
        <v>303000</v>
      </c>
      <c r="O616">
        <v>431000</v>
      </c>
    </row>
    <row r="617" spans="1:15" x14ac:dyDescent="0.35">
      <c r="A617" t="s">
        <v>753</v>
      </c>
      <c r="B617">
        <v>454703.125</v>
      </c>
      <c r="C617" t="s">
        <v>813</v>
      </c>
      <c r="D617" s="1">
        <v>46132</v>
      </c>
      <c r="E617" t="s">
        <v>14</v>
      </c>
      <c r="F617" t="s">
        <v>15</v>
      </c>
      <c r="G617" t="s">
        <v>242</v>
      </c>
      <c r="H617" t="s">
        <v>17</v>
      </c>
      <c r="I617" t="s">
        <v>752</v>
      </c>
      <c r="J617" t="s">
        <v>754</v>
      </c>
      <c r="K617">
        <v>1</v>
      </c>
      <c r="L617">
        <v>302000</v>
      </c>
      <c r="M617">
        <v>0</v>
      </c>
      <c r="N617">
        <v>210000</v>
      </c>
      <c r="O617">
        <v>302000</v>
      </c>
    </row>
    <row r="618" spans="1:15" x14ac:dyDescent="0.35">
      <c r="A618" t="s">
        <v>753</v>
      </c>
      <c r="B618">
        <v>454703.125</v>
      </c>
      <c r="C618" t="s">
        <v>814</v>
      </c>
      <c r="D618" s="1">
        <v>46152</v>
      </c>
      <c r="E618" t="s">
        <v>14</v>
      </c>
      <c r="F618" t="s">
        <v>15</v>
      </c>
      <c r="G618" t="s">
        <v>76</v>
      </c>
      <c r="H618" t="s">
        <v>23</v>
      </c>
      <c r="I618" t="s">
        <v>752</v>
      </c>
      <c r="J618" t="s">
        <v>754</v>
      </c>
      <c r="K618">
        <v>1</v>
      </c>
      <c r="L618">
        <v>506000</v>
      </c>
      <c r="M618">
        <v>0</v>
      </c>
      <c r="N618">
        <v>345000</v>
      </c>
      <c r="O618">
        <v>506000</v>
      </c>
    </row>
    <row r="619" spans="1:15" x14ac:dyDescent="0.35">
      <c r="A619" t="s">
        <v>753</v>
      </c>
      <c r="B619">
        <v>454703.125</v>
      </c>
      <c r="C619" t="s">
        <v>815</v>
      </c>
      <c r="D619" s="1">
        <v>46158</v>
      </c>
      <c r="E619" t="s">
        <v>25</v>
      </c>
      <c r="F619" t="s">
        <v>26</v>
      </c>
      <c r="G619" t="s">
        <v>186</v>
      </c>
      <c r="H619" t="s">
        <v>23</v>
      </c>
      <c r="I619" t="s">
        <v>752</v>
      </c>
      <c r="J619" t="s">
        <v>754</v>
      </c>
      <c r="K619">
        <v>1</v>
      </c>
      <c r="L619">
        <v>573000</v>
      </c>
      <c r="M619">
        <v>0</v>
      </c>
      <c r="N619">
        <v>396000</v>
      </c>
      <c r="O619">
        <v>573000</v>
      </c>
    </row>
    <row r="620" spans="1:15" x14ac:dyDescent="0.35">
      <c r="A620" t="s">
        <v>753</v>
      </c>
      <c r="B620">
        <v>454703.125</v>
      </c>
      <c r="C620" t="s">
        <v>816</v>
      </c>
      <c r="D620" s="1">
        <v>46160</v>
      </c>
      <c r="E620" t="s">
        <v>41</v>
      </c>
      <c r="F620" t="s">
        <v>42</v>
      </c>
      <c r="G620" t="s">
        <v>104</v>
      </c>
      <c r="H620" t="s">
        <v>28</v>
      </c>
      <c r="I620" t="s">
        <v>752</v>
      </c>
      <c r="J620" t="s">
        <v>754</v>
      </c>
      <c r="K620">
        <v>1</v>
      </c>
      <c r="L620">
        <v>536000</v>
      </c>
      <c r="M620">
        <v>0</v>
      </c>
      <c r="N620">
        <v>378000</v>
      </c>
      <c r="O620">
        <v>536000</v>
      </c>
    </row>
    <row r="621" spans="1:15" x14ac:dyDescent="0.35">
      <c r="A621" t="s">
        <v>753</v>
      </c>
      <c r="B621">
        <v>454703.125</v>
      </c>
      <c r="C621" t="s">
        <v>817</v>
      </c>
      <c r="D621" s="1">
        <v>46170</v>
      </c>
      <c r="E621" t="s">
        <v>14</v>
      </c>
      <c r="F621" t="s">
        <v>15</v>
      </c>
      <c r="G621" t="s">
        <v>57</v>
      </c>
      <c r="H621" t="s">
        <v>58</v>
      </c>
      <c r="I621" t="s">
        <v>752</v>
      </c>
      <c r="J621" t="s">
        <v>754</v>
      </c>
      <c r="K621">
        <v>3</v>
      </c>
      <c r="L621">
        <v>629000</v>
      </c>
      <c r="M621">
        <v>0</v>
      </c>
      <c r="N621">
        <v>429000</v>
      </c>
      <c r="O621">
        <v>629000</v>
      </c>
    </row>
    <row r="622" spans="1:15" x14ac:dyDescent="0.35">
      <c r="A622" t="s">
        <v>753</v>
      </c>
      <c r="B622">
        <v>454703.125</v>
      </c>
      <c r="C622" t="s">
        <v>818</v>
      </c>
      <c r="D622" s="1">
        <v>46192</v>
      </c>
      <c r="E622" t="s">
        <v>14</v>
      </c>
      <c r="F622" t="s">
        <v>15</v>
      </c>
      <c r="G622" t="s">
        <v>340</v>
      </c>
      <c r="H622" t="s">
        <v>23</v>
      </c>
      <c r="I622" t="s">
        <v>752</v>
      </c>
      <c r="J622" t="s">
        <v>754</v>
      </c>
      <c r="K622">
        <v>2</v>
      </c>
      <c r="L622">
        <v>593000</v>
      </c>
      <c r="M622">
        <v>0</v>
      </c>
      <c r="N622">
        <v>410000</v>
      </c>
      <c r="O622">
        <v>593000</v>
      </c>
    </row>
    <row r="623" spans="1:15" x14ac:dyDescent="0.35">
      <c r="A623" t="s">
        <v>753</v>
      </c>
      <c r="B623">
        <v>454703.125</v>
      </c>
      <c r="C623" t="s">
        <v>819</v>
      </c>
      <c r="D623" s="1">
        <v>46197</v>
      </c>
      <c r="E623" t="s">
        <v>36</v>
      </c>
      <c r="F623" t="s">
        <v>37</v>
      </c>
      <c r="G623" t="s">
        <v>319</v>
      </c>
      <c r="H623" t="s">
        <v>23</v>
      </c>
      <c r="I623" t="s">
        <v>752</v>
      </c>
      <c r="J623" t="s">
        <v>754</v>
      </c>
      <c r="K623">
        <v>1</v>
      </c>
      <c r="L623">
        <v>474000</v>
      </c>
      <c r="M623">
        <v>0</v>
      </c>
      <c r="N623">
        <v>336000</v>
      </c>
      <c r="O623">
        <v>474000</v>
      </c>
    </row>
    <row r="624" spans="1:15" x14ac:dyDescent="0.35">
      <c r="A624" t="s">
        <v>822</v>
      </c>
      <c r="B624">
        <v>291590.90909090912</v>
      </c>
      <c r="C624" t="s">
        <v>820</v>
      </c>
      <c r="D624" s="1">
        <v>44936</v>
      </c>
      <c r="E624" t="s">
        <v>49</v>
      </c>
      <c r="F624" t="s">
        <v>50</v>
      </c>
      <c r="G624" t="s">
        <v>301</v>
      </c>
      <c r="H624" t="s">
        <v>28</v>
      </c>
      <c r="I624" t="s">
        <v>821</v>
      </c>
      <c r="J624" t="s">
        <v>754</v>
      </c>
      <c r="K624">
        <v>1</v>
      </c>
      <c r="L624">
        <v>267000</v>
      </c>
      <c r="M624">
        <v>0.05</v>
      </c>
      <c r="N624">
        <v>183000</v>
      </c>
      <c r="O624">
        <v>267000</v>
      </c>
    </row>
    <row r="625" spans="1:15" x14ac:dyDescent="0.35">
      <c r="A625" t="s">
        <v>822</v>
      </c>
      <c r="B625">
        <v>291590.90909090912</v>
      </c>
      <c r="C625" t="s">
        <v>823</v>
      </c>
      <c r="D625" s="1">
        <v>44937</v>
      </c>
      <c r="E625" t="s">
        <v>41</v>
      </c>
      <c r="F625" t="s">
        <v>42</v>
      </c>
      <c r="G625" t="s">
        <v>327</v>
      </c>
      <c r="H625" t="s">
        <v>23</v>
      </c>
      <c r="I625" t="s">
        <v>821</v>
      </c>
      <c r="J625" t="s">
        <v>754</v>
      </c>
      <c r="K625">
        <v>2</v>
      </c>
      <c r="L625">
        <v>284000</v>
      </c>
      <c r="M625">
        <v>0</v>
      </c>
      <c r="N625">
        <v>189000</v>
      </c>
      <c r="O625">
        <v>284000</v>
      </c>
    </row>
    <row r="626" spans="1:15" x14ac:dyDescent="0.35">
      <c r="A626" t="s">
        <v>822</v>
      </c>
      <c r="B626">
        <v>291590.90909090912</v>
      </c>
      <c r="C626" t="s">
        <v>824</v>
      </c>
      <c r="D626" s="1">
        <v>44957</v>
      </c>
      <c r="E626" t="s">
        <v>36</v>
      </c>
      <c r="F626" t="s">
        <v>37</v>
      </c>
      <c r="G626" t="s">
        <v>825</v>
      </c>
      <c r="H626" t="s">
        <v>23</v>
      </c>
      <c r="I626" t="s">
        <v>821</v>
      </c>
      <c r="J626" t="s">
        <v>754</v>
      </c>
      <c r="K626">
        <v>1</v>
      </c>
      <c r="L626">
        <v>206000</v>
      </c>
      <c r="M626">
        <v>0</v>
      </c>
      <c r="N626">
        <v>137000</v>
      </c>
      <c r="O626">
        <v>206000</v>
      </c>
    </row>
    <row r="627" spans="1:15" x14ac:dyDescent="0.35">
      <c r="A627" t="s">
        <v>822</v>
      </c>
      <c r="B627">
        <v>291590.90909090912</v>
      </c>
      <c r="C627" t="s">
        <v>826</v>
      </c>
      <c r="D627" s="1">
        <v>44958</v>
      </c>
      <c r="E627" t="s">
        <v>49</v>
      </c>
      <c r="F627" t="s">
        <v>50</v>
      </c>
      <c r="G627" t="s">
        <v>258</v>
      </c>
      <c r="H627" t="s">
        <v>23</v>
      </c>
      <c r="I627" t="s">
        <v>821</v>
      </c>
      <c r="J627" t="s">
        <v>754</v>
      </c>
      <c r="K627">
        <v>3</v>
      </c>
      <c r="L627">
        <v>238000</v>
      </c>
      <c r="M627">
        <v>0</v>
      </c>
      <c r="N627">
        <v>160000</v>
      </c>
      <c r="O627">
        <v>238000</v>
      </c>
    </row>
    <row r="628" spans="1:15" x14ac:dyDescent="0.35">
      <c r="A628" t="s">
        <v>822</v>
      </c>
      <c r="B628">
        <v>291590.90909090912</v>
      </c>
      <c r="C628" t="s">
        <v>827</v>
      </c>
      <c r="D628" s="1">
        <v>44978</v>
      </c>
      <c r="E628" t="s">
        <v>14</v>
      </c>
      <c r="F628" t="s">
        <v>15</v>
      </c>
      <c r="G628" t="s">
        <v>34</v>
      </c>
      <c r="H628" t="s">
        <v>17</v>
      </c>
      <c r="I628" t="s">
        <v>821</v>
      </c>
      <c r="J628" t="s">
        <v>754</v>
      </c>
      <c r="K628">
        <v>1</v>
      </c>
      <c r="L628">
        <v>290000</v>
      </c>
      <c r="M628">
        <v>0</v>
      </c>
      <c r="N628">
        <v>202000</v>
      </c>
      <c r="O628">
        <v>290000</v>
      </c>
    </row>
    <row r="629" spans="1:15" x14ac:dyDescent="0.35">
      <c r="A629" t="s">
        <v>822</v>
      </c>
      <c r="B629">
        <v>291590.90909090912</v>
      </c>
      <c r="C629" t="s">
        <v>828</v>
      </c>
      <c r="D629" s="1">
        <v>44983</v>
      </c>
      <c r="E629" t="s">
        <v>41</v>
      </c>
      <c r="F629" t="s">
        <v>42</v>
      </c>
      <c r="G629" t="s">
        <v>110</v>
      </c>
      <c r="H629" t="s">
        <v>23</v>
      </c>
      <c r="I629" t="s">
        <v>821</v>
      </c>
      <c r="J629" t="s">
        <v>754</v>
      </c>
      <c r="K629">
        <v>2</v>
      </c>
      <c r="L629">
        <v>260000</v>
      </c>
      <c r="M629">
        <v>0</v>
      </c>
      <c r="N629">
        <v>177000</v>
      </c>
      <c r="O629">
        <v>260000</v>
      </c>
    </row>
    <row r="630" spans="1:15" x14ac:dyDescent="0.35">
      <c r="A630" t="s">
        <v>822</v>
      </c>
      <c r="B630">
        <v>291590.90909090912</v>
      </c>
      <c r="C630" t="s">
        <v>829</v>
      </c>
      <c r="D630" s="1">
        <v>45008</v>
      </c>
      <c r="E630" t="s">
        <v>14</v>
      </c>
      <c r="F630" t="s">
        <v>15</v>
      </c>
      <c r="G630" t="s">
        <v>598</v>
      </c>
      <c r="H630" t="s">
        <v>23</v>
      </c>
      <c r="I630" t="s">
        <v>821</v>
      </c>
      <c r="J630" t="s">
        <v>754</v>
      </c>
      <c r="K630">
        <v>1</v>
      </c>
      <c r="L630">
        <v>314000</v>
      </c>
      <c r="M630">
        <v>0.05</v>
      </c>
      <c r="N630">
        <v>216000</v>
      </c>
      <c r="O630">
        <v>314000</v>
      </c>
    </row>
    <row r="631" spans="1:15" x14ac:dyDescent="0.35">
      <c r="A631" t="s">
        <v>822</v>
      </c>
      <c r="B631">
        <v>291590.90909090912</v>
      </c>
      <c r="C631" t="s">
        <v>830</v>
      </c>
      <c r="D631" s="1">
        <v>45014</v>
      </c>
      <c r="E631" t="s">
        <v>14</v>
      </c>
      <c r="F631" t="s">
        <v>15</v>
      </c>
      <c r="G631" t="s">
        <v>634</v>
      </c>
      <c r="H631" t="s">
        <v>17</v>
      </c>
      <c r="I631" t="s">
        <v>821</v>
      </c>
      <c r="J631" t="s">
        <v>754</v>
      </c>
      <c r="K631">
        <v>1</v>
      </c>
      <c r="L631">
        <v>222000</v>
      </c>
      <c r="M631">
        <v>0</v>
      </c>
      <c r="N631">
        <v>154000</v>
      </c>
      <c r="O631">
        <v>222000</v>
      </c>
    </row>
    <row r="632" spans="1:15" x14ac:dyDescent="0.35">
      <c r="A632" t="s">
        <v>822</v>
      </c>
      <c r="B632">
        <v>291590.90909090912</v>
      </c>
      <c r="C632" t="s">
        <v>831</v>
      </c>
      <c r="D632" s="1">
        <v>45036</v>
      </c>
      <c r="E632" t="s">
        <v>14</v>
      </c>
      <c r="F632" t="s">
        <v>15</v>
      </c>
      <c r="G632" t="s">
        <v>315</v>
      </c>
      <c r="H632" t="s">
        <v>23</v>
      </c>
      <c r="I632" t="s">
        <v>821</v>
      </c>
      <c r="J632" t="s">
        <v>754</v>
      </c>
      <c r="K632">
        <v>1</v>
      </c>
      <c r="L632">
        <v>253000</v>
      </c>
      <c r="M632">
        <v>0</v>
      </c>
      <c r="N632">
        <v>176000</v>
      </c>
      <c r="O632">
        <v>253000</v>
      </c>
    </row>
    <row r="633" spans="1:15" x14ac:dyDescent="0.35">
      <c r="A633" t="s">
        <v>822</v>
      </c>
      <c r="B633">
        <v>291590.90909090912</v>
      </c>
      <c r="C633" t="s">
        <v>832</v>
      </c>
      <c r="D633" s="1">
        <v>45071</v>
      </c>
      <c r="E633" t="s">
        <v>14</v>
      </c>
      <c r="F633" t="s">
        <v>15</v>
      </c>
      <c r="G633" t="s">
        <v>81</v>
      </c>
      <c r="H633" t="s">
        <v>17</v>
      </c>
      <c r="I633" t="s">
        <v>821</v>
      </c>
      <c r="J633" t="s">
        <v>754</v>
      </c>
      <c r="K633">
        <v>2</v>
      </c>
      <c r="L633">
        <v>319000</v>
      </c>
      <c r="M633">
        <v>0</v>
      </c>
      <c r="N633">
        <v>220000</v>
      </c>
      <c r="O633">
        <v>319000</v>
      </c>
    </row>
    <row r="634" spans="1:15" x14ac:dyDescent="0.35">
      <c r="A634" t="s">
        <v>822</v>
      </c>
      <c r="B634">
        <v>291590.90909090912</v>
      </c>
      <c r="C634" t="s">
        <v>833</v>
      </c>
      <c r="D634" s="1">
        <v>45087</v>
      </c>
      <c r="E634" t="s">
        <v>14</v>
      </c>
      <c r="F634" t="s">
        <v>15</v>
      </c>
      <c r="G634" t="s">
        <v>210</v>
      </c>
      <c r="H634" t="s">
        <v>23</v>
      </c>
      <c r="I634" t="s">
        <v>821</v>
      </c>
      <c r="J634" t="s">
        <v>754</v>
      </c>
      <c r="K634">
        <v>2</v>
      </c>
      <c r="L634">
        <v>257000</v>
      </c>
      <c r="M634">
        <v>0</v>
      </c>
      <c r="N634">
        <v>173000</v>
      </c>
      <c r="O634">
        <v>257000</v>
      </c>
    </row>
    <row r="635" spans="1:15" x14ac:dyDescent="0.35">
      <c r="A635" t="s">
        <v>822</v>
      </c>
      <c r="B635">
        <v>291590.90909090912</v>
      </c>
      <c r="C635" t="s">
        <v>834</v>
      </c>
      <c r="D635" s="1">
        <v>45090</v>
      </c>
      <c r="E635" t="s">
        <v>41</v>
      </c>
      <c r="F635" t="s">
        <v>42</v>
      </c>
      <c r="G635" t="s">
        <v>368</v>
      </c>
      <c r="H635" t="s">
        <v>23</v>
      </c>
      <c r="I635" t="s">
        <v>821</v>
      </c>
      <c r="J635" t="s">
        <v>754</v>
      </c>
      <c r="K635">
        <v>1</v>
      </c>
      <c r="L635">
        <v>350000</v>
      </c>
      <c r="M635">
        <v>0</v>
      </c>
      <c r="N635">
        <v>243000</v>
      </c>
      <c r="O635">
        <v>350000</v>
      </c>
    </row>
    <row r="636" spans="1:15" x14ac:dyDescent="0.35">
      <c r="A636" t="s">
        <v>822</v>
      </c>
      <c r="B636">
        <v>291590.90909090912</v>
      </c>
      <c r="C636" t="s">
        <v>835</v>
      </c>
      <c r="D636" s="1">
        <v>45119</v>
      </c>
      <c r="E636" t="s">
        <v>14</v>
      </c>
      <c r="F636" t="s">
        <v>15</v>
      </c>
      <c r="G636" t="s">
        <v>798</v>
      </c>
      <c r="H636" t="s">
        <v>28</v>
      </c>
      <c r="I636" t="s">
        <v>821</v>
      </c>
      <c r="J636" t="s">
        <v>754</v>
      </c>
      <c r="K636">
        <v>1</v>
      </c>
      <c r="L636">
        <v>282000</v>
      </c>
      <c r="M636">
        <v>0.1</v>
      </c>
      <c r="N636">
        <v>192000</v>
      </c>
      <c r="O636">
        <v>282000</v>
      </c>
    </row>
    <row r="637" spans="1:15" x14ac:dyDescent="0.35">
      <c r="A637" t="s">
        <v>822</v>
      </c>
      <c r="B637">
        <v>291590.90909090912</v>
      </c>
      <c r="C637" t="s">
        <v>836</v>
      </c>
      <c r="D637" s="1">
        <v>45133</v>
      </c>
      <c r="E637" t="s">
        <v>41</v>
      </c>
      <c r="F637" t="s">
        <v>42</v>
      </c>
      <c r="G637" t="s">
        <v>172</v>
      </c>
      <c r="H637" t="s">
        <v>23</v>
      </c>
      <c r="I637" t="s">
        <v>821</v>
      </c>
      <c r="J637" t="s">
        <v>754</v>
      </c>
      <c r="K637">
        <v>1</v>
      </c>
      <c r="L637">
        <v>206000</v>
      </c>
      <c r="M637">
        <v>0.05</v>
      </c>
      <c r="N637">
        <v>141000</v>
      </c>
      <c r="O637">
        <v>206000</v>
      </c>
    </row>
    <row r="638" spans="1:15" x14ac:dyDescent="0.35">
      <c r="A638" t="s">
        <v>822</v>
      </c>
      <c r="B638">
        <v>291590.90909090912</v>
      </c>
      <c r="C638" t="s">
        <v>837</v>
      </c>
      <c r="D638" s="1">
        <v>45160</v>
      </c>
      <c r="E638" t="s">
        <v>25</v>
      </c>
      <c r="F638" t="s">
        <v>26</v>
      </c>
      <c r="G638" t="s">
        <v>456</v>
      </c>
      <c r="H638" t="s">
        <v>23</v>
      </c>
      <c r="I638" t="s">
        <v>821</v>
      </c>
      <c r="J638" t="s">
        <v>754</v>
      </c>
      <c r="K638">
        <v>2</v>
      </c>
      <c r="L638">
        <v>181000</v>
      </c>
      <c r="M638">
        <v>0</v>
      </c>
      <c r="N638">
        <v>126000</v>
      </c>
      <c r="O638">
        <v>181000</v>
      </c>
    </row>
    <row r="639" spans="1:15" x14ac:dyDescent="0.35">
      <c r="A639" t="s">
        <v>822</v>
      </c>
      <c r="B639">
        <v>291590.90909090912</v>
      </c>
      <c r="C639" t="s">
        <v>838</v>
      </c>
      <c r="D639" s="1">
        <v>45184</v>
      </c>
      <c r="E639" t="s">
        <v>41</v>
      </c>
      <c r="F639" t="s">
        <v>42</v>
      </c>
      <c r="G639" t="s">
        <v>16</v>
      </c>
      <c r="H639" t="s">
        <v>17</v>
      </c>
      <c r="I639" t="s">
        <v>821</v>
      </c>
      <c r="J639" t="s">
        <v>754</v>
      </c>
      <c r="K639">
        <v>1</v>
      </c>
      <c r="L639">
        <v>186000</v>
      </c>
      <c r="M639">
        <v>0</v>
      </c>
      <c r="N639">
        <v>126000</v>
      </c>
      <c r="O639">
        <v>186000</v>
      </c>
    </row>
    <row r="640" spans="1:15" x14ac:dyDescent="0.35">
      <c r="A640" t="s">
        <v>822</v>
      </c>
      <c r="B640">
        <v>291590.90909090912</v>
      </c>
      <c r="C640" t="s">
        <v>839</v>
      </c>
      <c r="D640" s="1">
        <v>45189</v>
      </c>
      <c r="E640" t="s">
        <v>14</v>
      </c>
      <c r="F640" t="s">
        <v>15</v>
      </c>
      <c r="G640" t="s">
        <v>126</v>
      </c>
      <c r="H640" t="s">
        <v>17</v>
      </c>
      <c r="I640" t="s">
        <v>821</v>
      </c>
      <c r="J640" t="s">
        <v>754</v>
      </c>
      <c r="K640">
        <v>1</v>
      </c>
      <c r="L640">
        <v>348000</v>
      </c>
      <c r="M640">
        <v>0</v>
      </c>
      <c r="N640">
        <v>232000</v>
      </c>
      <c r="O640">
        <v>348000</v>
      </c>
    </row>
    <row r="641" spans="1:15" x14ac:dyDescent="0.35">
      <c r="A641" t="s">
        <v>822</v>
      </c>
      <c r="B641">
        <v>291590.90909090912</v>
      </c>
      <c r="C641" t="s">
        <v>840</v>
      </c>
      <c r="D641" s="1">
        <v>45208</v>
      </c>
      <c r="E641" t="s">
        <v>14</v>
      </c>
      <c r="F641" t="s">
        <v>15</v>
      </c>
      <c r="G641" t="s">
        <v>333</v>
      </c>
      <c r="H641" t="s">
        <v>17</v>
      </c>
      <c r="I641" t="s">
        <v>821</v>
      </c>
      <c r="J641" t="s">
        <v>754</v>
      </c>
      <c r="K641">
        <v>1</v>
      </c>
      <c r="L641">
        <v>218000</v>
      </c>
      <c r="M641">
        <v>0.05</v>
      </c>
      <c r="N641">
        <v>146000</v>
      </c>
      <c r="O641">
        <v>218000</v>
      </c>
    </row>
    <row r="642" spans="1:15" x14ac:dyDescent="0.35">
      <c r="A642" t="s">
        <v>822</v>
      </c>
      <c r="B642">
        <v>291590.90909090912</v>
      </c>
      <c r="C642" t="s">
        <v>841</v>
      </c>
      <c r="D642" s="1">
        <v>45248</v>
      </c>
      <c r="E642" t="s">
        <v>36</v>
      </c>
      <c r="F642" t="s">
        <v>37</v>
      </c>
      <c r="G642" t="s">
        <v>242</v>
      </c>
      <c r="H642" t="s">
        <v>17</v>
      </c>
      <c r="I642" t="s">
        <v>821</v>
      </c>
      <c r="J642" t="s">
        <v>754</v>
      </c>
      <c r="K642">
        <v>1</v>
      </c>
      <c r="L642">
        <v>220000</v>
      </c>
      <c r="M642">
        <v>0</v>
      </c>
      <c r="N642">
        <v>151000</v>
      </c>
      <c r="O642">
        <v>220000</v>
      </c>
    </row>
    <row r="643" spans="1:15" x14ac:dyDescent="0.35">
      <c r="A643" t="s">
        <v>822</v>
      </c>
      <c r="B643">
        <v>291590.90909090912</v>
      </c>
      <c r="C643" t="s">
        <v>842</v>
      </c>
      <c r="D643" s="1">
        <v>45256</v>
      </c>
      <c r="E643" t="s">
        <v>49</v>
      </c>
      <c r="F643" t="s">
        <v>50</v>
      </c>
      <c r="G643" t="s">
        <v>214</v>
      </c>
      <c r="H643" t="s">
        <v>23</v>
      </c>
      <c r="I643" t="s">
        <v>821</v>
      </c>
      <c r="J643" t="s">
        <v>754</v>
      </c>
      <c r="K643">
        <v>1</v>
      </c>
      <c r="L643">
        <v>297000</v>
      </c>
      <c r="M643">
        <v>0</v>
      </c>
      <c r="N643">
        <v>197000</v>
      </c>
      <c r="O643">
        <v>297000</v>
      </c>
    </row>
    <row r="644" spans="1:15" x14ac:dyDescent="0.35">
      <c r="A644" t="s">
        <v>822</v>
      </c>
      <c r="B644">
        <v>291590.90909090912</v>
      </c>
      <c r="C644" t="s">
        <v>843</v>
      </c>
      <c r="D644" s="1">
        <v>45270</v>
      </c>
      <c r="E644" t="s">
        <v>25</v>
      </c>
      <c r="F644" t="s">
        <v>26</v>
      </c>
      <c r="G644" t="s">
        <v>121</v>
      </c>
      <c r="H644" t="s">
        <v>23</v>
      </c>
      <c r="I644" t="s">
        <v>821</v>
      </c>
      <c r="J644" t="s">
        <v>754</v>
      </c>
      <c r="K644">
        <v>1</v>
      </c>
      <c r="L644">
        <v>193000</v>
      </c>
      <c r="M644">
        <v>0</v>
      </c>
      <c r="N644">
        <v>135000</v>
      </c>
      <c r="O644">
        <v>193000</v>
      </c>
    </row>
    <row r="645" spans="1:15" x14ac:dyDescent="0.35">
      <c r="A645" t="s">
        <v>822</v>
      </c>
      <c r="B645">
        <v>291590.90909090912</v>
      </c>
      <c r="C645" t="s">
        <v>844</v>
      </c>
      <c r="D645" s="1">
        <v>45300</v>
      </c>
      <c r="E645" t="s">
        <v>49</v>
      </c>
      <c r="F645" t="s">
        <v>50</v>
      </c>
      <c r="G645" t="s">
        <v>329</v>
      </c>
      <c r="H645" t="s">
        <v>28</v>
      </c>
      <c r="I645" t="s">
        <v>821</v>
      </c>
      <c r="J645" t="s">
        <v>754</v>
      </c>
      <c r="K645">
        <v>1</v>
      </c>
      <c r="L645">
        <v>259000</v>
      </c>
      <c r="M645">
        <v>0</v>
      </c>
      <c r="N645">
        <v>174000</v>
      </c>
      <c r="O645">
        <v>259000</v>
      </c>
    </row>
    <row r="646" spans="1:15" x14ac:dyDescent="0.35">
      <c r="A646" t="s">
        <v>822</v>
      </c>
      <c r="B646">
        <v>291590.90909090912</v>
      </c>
      <c r="C646" t="s">
        <v>845</v>
      </c>
      <c r="D646" s="1">
        <v>45322</v>
      </c>
      <c r="E646" t="s">
        <v>14</v>
      </c>
      <c r="F646" t="s">
        <v>15</v>
      </c>
      <c r="G646" t="s">
        <v>210</v>
      </c>
      <c r="H646" t="s">
        <v>23</v>
      </c>
      <c r="I646" t="s">
        <v>821</v>
      </c>
      <c r="J646" t="s">
        <v>754</v>
      </c>
      <c r="K646">
        <v>1</v>
      </c>
      <c r="L646">
        <v>266000</v>
      </c>
      <c r="M646">
        <v>0</v>
      </c>
      <c r="N646">
        <v>176000</v>
      </c>
      <c r="O646">
        <v>266000</v>
      </c>
    </row>
    <row r="647" spans="1:15" x14ac:dyDescent="0.35">
      <c r="A647" t="s">
        <v>822</v>
      </c>
      <c r="B647">
        <v>291590.90909090912</v>
      </c>
      <c r="C647" t="s">
        <v>846</v>
      </c>
      <c r="D647" s="1">
        <v>45349</v>
      </c>
      <c r="E647" t="s">
        <v>49</v>
      </c>
      <c r="F647" t="s">
        <v>50</v>
      </c>
      <c r="G647" t="s">
        <v>239</v>
      </c>
      <c r="H647" t="s">
        <v>23</v>
      </c>
      <c r="I647" t="s">
        <v>821</v>
      </c>
      <c r="J647" t="s">
        <v>754</v>
      </c>
      <c r="K647">
        <v>1</v>
      </c>
      <c r="L647">
        <v>256000</v>
      </c>
      <c r="M647">
        <v>0.05</v>
      </c>
      <c r="N647">
        <v>176000</v>
      </c>
      <c r="O647">
        <v>256000</v>
      </c>
    </row>
    <row r="648" spans="1:15" x14ac:dyDescent="0.35">
      <c r="A648" t="s">
        <v>822</v>
      </c>
      <c r="B648">
        <v>291590.90909090912</v>
      </c>
      <c r="C648" t="s">
        <v>847</v>
      </c>
      <c r="D648" s="1">
        <v>45351</v>
      </c>
      <c r="E648" t="s">
        <v>14</v>
      </c>
      <c r="F648" t="s">
        <v>15</v>
      </c>
      <c r="G648" t="s">
        <v>798</v>
      </c>
      <c r="H648" t="s">
        <v>28</v>
      </c>
      <c r="I648" t="s">
        <v>821</v>
      </c>
      <c r="J648" t="s">
        <v>754</v>
      </c>
      <c r="K648">
        <v>2</v>
      </c>
      <c r="L648">
        <v>341000</v>
      </c>
      <c r="M648">
        <v>0</v>
      </c>
      <c r="N648">
        <v>233000</v>
      </c>
      <c r="O648">
        <v>341000</v>
      </c>
    </row>
    <row r="649" spans="1:15" x14ac:dyDescent="0.35">
      <c r="A649" t="s">
        <v>822</v>
      </c>
      <c r="B649">
        <v>291590.90909090912</v>
      </c>
      <c r="C649" t="s">
        <v>848</v>
      </c>
      <c r="D649" s="1">
        <v>45386</v>
      </c>
      <c r="E649" t="s">
        <v>14</v>
      </c>
      <c r="F649" t="s">
        <v>15</v>
      </c>
      <c r="G649" t="s">
        <v>216</v>
      </c>
      <c r="H649" t="s">
        <v>17</v>
      </c>
      <c r="I649" t="s">
        <v>821</v>
      </c>
      <c r="J649" t="s">
        <v>754</v>
      </c>
      <c r="K649">
        <v>2</v>
      </c>
      <c r="L649">
        <v>258000</v>
      </c>
      <c r="M649">
        <v>0</v>
      </c>
      <c r="N649">
        <v>180000</v>
      </c>
      <c r="O649">
        <v>258000</v>
      </c>
    </row>
    <row r="650" spans="1:15" x14ac:dyDescent="0.35">
      <c r="A650" t="s">
        <v>822</v>
      </c>
      <c r="B650">
        <v>291590.90909090912</v>
      </c>
      <c r="C650" t="s">
        <v>849</v>
      </c>
      <c r="D650" s="1">
        <v>45405</v>
      </c>
      <c r="E650" t="s">
        <v>14</v>
      </c>
      <c r="F650" t="s">
        <v>15</v>
      </c>
      <c r="G650" t="s">
        <v>166</v>
      </c>
      <c r="H650" t="s">
        <v>28</v>
      </c>
      <c r="I650" t="s">
        <v>821</v>
      </c>
      <c r="J650" t="s">
        <v>754</v>
      </c>
      <c r="K650">
        <v>2</v>
      </c>
      <c r="L650">
        <v>348000</v>
      </c>
      <c r="M650">
        <v>0</v>
      </c>
      <c r="N650">
        <v>236000</v>
      </c>
      <c r="O650">
        <v>348000</v>
      </c>
    </row>
    <row r="651" spans="1:15" x14ac:dyDescent="0.35">
      <c r="A651" t="s">
        <v>822</v>
      </c>
      <c r="B651">
        <v>291590.90909090912</v>
      </c>
      <c r="C651" t="s">
        <v>850</v>
      </c>
      <c r="D651" s="1">
        <v>45424</v>
      </c>
      <c r="E651" t="s">
        <v>14</v>
      </c>
      <c r="F651" t="s">
        <v>15</v>
      </c>
      <c r="G651" t="s">
        <v>195</v>
      </c>
      <c r="H651" t="s">
        <v>23</v>
      </c>
      <c r="I651" t="s">
        <v>821</v>
      </c>
      <c r="J651" t="s">
        <v>754</v>
      </c>
      <c r="K651">
        <v>1</v>
      </c>
      <c r="L651">
        <v>257000</v>
      </c>
      <c r="M651">
        <v>0</v>
      </c>
      <c r="N651">
        <v>176000</v>
      </c>
      <c r="O651">
        <v>257000</v>
      </c>
    </row>
    <row r="652" spans="1:15" x14ac:dyDescent="0.35">
      <c r="A652" t="s">
        <v>822</v>
      </c>
      <c r="B652">
        <v>291590.90909090912</v>
      </c>
      <c r="C652" t="s">
        <v>851</v>
      </c>
      <c r="D652" s="1">
        <v>45431</v>
      </c>
      <c r="E652" t="s">
        <v>36</v>
      </c>
      <c r="F652" t="s">
        <v>37</v>
      </c>
      <c r="G652" t="s">
        <v>76</v>
      </c>
      <c r="H652" t="s">
        <v>23</v>
      </c>
      <c r="I652" t="s">
        <v>821</v>
      </c>
      <c r="J652" t="s">
        <v>754</v>
      </c>
      <c r="K652">
        <v>1</v>
      </c>
      <c r="L652">
        <v>284000</v>
      </c>
      <c r="M652">
        <v>0</v>
      </c>
      <c r="N652">
        <v>195000</v>
      </c>
      <c r="O652">
        <v>284000</v>
      </c>
    </row>
    <row r="653" spans="1:15" x14ac:dyDescent="0.35">
      <c r="A653" t="s">
        <v>822</v>
      </c>
      <c r="B653">
        <v>291590.90909090912</v>
      </c>
      <c r="C653" t="s">
        <v>852</v>
      </c>
      <c r="D653" s="1">
        <v>45433</v>
      </c>
      <c r="E653" t="s">
        <v>49</v>
      </c>
      <c r="F653" t="s">
        <v>50</v>
      </c>
      <c r="G653" t="s">
        <v>226</v>
      </c>
      <c r="H653" t="s">
        <v>17</v>
      </c>
      <c r="I653" t="s">
        <v>821</v>
      </c>
      <c r="J653" t="s">
        <v>754</v>
      </c>
      <c r="K653">
        <v>1</v>
      </c>
      <c r="L653">
        <v>271000</v>
      </c>
      <c r="M653">
        <v>0</v>
      </c>
      <c r="N653">
        <v>179000</v>
      </c>
      <c r="O653">
        <v>271000</v>
      </c>
    </row>
    <row r="654" spans="1:15" x14ac:dyDescent="0.35">
      <c r="A654" t="s">
        <v>822</v>
      </c>
      <c r="B654">
        <v>291590.90909090912</v>
      </c>
      <c r="C654" t="s">
        <v>853</v>
      </c>
      <c r="D654" s="1">
        <v>45454</v>
      </c>
      <c r="E654" t="s">
        <v>14</v>
      </c>
      <c r="F654" t="s">
        <v>15</v>
      </c>
      <c r="G654" t="s">
        <v>349</v>
      </c>
      <c r="H654" t="s">
        <v>23</v>
      </c>
      <c r="I654" t="s">
        <v>821</v>
      </c>
      <c r="J654" t="s">
        <v>754</v>
      </c>
      <c r="K654">
        <v>1</v>
      </c>
      <c r="L654">
        <v>359000</v>
      </c>
      <c r="M654">
        <v>0</v>
      </c>
      <c r="N654">
        <v>250000</v>
      </c>
      <c r="O654">
        <v>359000</v>
      </c>
    </row>
    <row r="655" spans="1:15" x14ac:dyDescent="0.35">
      <c r="A655" t="s">
        <v>822</v>
      </c>
      <c r="B655">
        <v>291590.90909090912</v>
      </c>
      <c r="C655" t="s">
        <v>854</v>
      </c>
      <c r="D655" s="1">
        <v>45455</v>
      </c>
      <c r="E655" t="s">
        <v>14</v>
      </c>
      <c r="F655" t="s">
        <v>15</v>
      </c>
      <c r="G655" t="s">
        <v>95</v>
      </c>
      <c r="H655" t="s">
        <v>23</v>
      </c>
      <c r="I655" t="s">
        <v>821</v>
      </c>
      <c r="J655" t="s">
        <v>754</v>
      </c>
      <c r="K655">
        <v>1</v>
      </c>
      <c r="L655">
        <v>336000</v>
      </c>
      <c r="M655">
        <v>0</v>
      </c>
      <c r="N655">
        <v>224000</v>
      </c>
      <c r="O655">
        <v>336000</v>
      </c>
    </row>
    <row r="656" spans="1:15" x14ac:dyDescent="0.35">
      <c r="A656" t="s">
        <v>822</v>
      </c>
      <c r="B656">
        <v>291590.90909090912</v>
      </c>
      <c r="C656" t="s">
        <v>855</v>
      </c>
      <c r="D656" s="1">
        <v>45473</v>
      </c>
      <c r="E656" t="s">
        <v>41</v>
      </c>
      <c r="F656" t="s">
        <v>42</v>
      </c>
      <c r="G656" t="s">
        <v>74</v>
      </c>
      <c r="H656" t="s">
        <v>23</v>
      </c>
      <c r="I656" t="s">
        <v>821</v>
      </c>
      <c r="J656" t="s">
        <v>754</v>
      </c>
      <c r="K656">
        <v>1</v>
      </c>
      <c r="L656">
        <v>365000</v>
      </c>
      <c r="M656">
        <v>0</v>
      </c>
      <c r="N656">
        <v>252000</v>
      </c>
      <c r="O656">
        <v>365000</v>
      </c>
    </row>
    <row r="657" spans="1:15" x14ac:dyDescent="0.35">
      <c r="A657" t="s">
        <v>822</v>
      </c>
      <c r="B657">
        <v>291590.90909090912</v>
      </c>
      <c r="C657" t="s">
        <v>856</v>
      </c>
      <c r="D657" s="1">
        <v>45483</v>
      </c>
      <c r="E657" t="s">
        <v>14</v>
      </c>
      <c r="F657" t="s">
        <v>15</v>
      </c>
      <c r="G657" t="s">
        <v>462</v>
      </c>
      <c r="H657" t="s">
        <v>58</v>
      </c>
      <c r="I657" t="s">
        <v>821</v>
      </c>
      <c r="J657" t="s">
        <v>754</v>
      </c>
      <c r="K657">
        <v>1</v>
      </c>
      <c r="L657">
        <v>308000</v>
      </c>
      <c r="M657">
        <v>0</v>
      </c>
      <c r="N657">
        <v>210000</v>
      </c>
      <c r="O657">
        <v>308000</v>
      </c>
    </row>
    <row r="658" spans="1:15" x14ac:dyDescent="0.35">
      <c r="A658" t="s">
        <v>822</v>
      </c>
      <c r="B658">
        <v>291590.90909090912</v>
      </c>
      <c r="C658" t="s">
        <v>857</v>
      </c>
      <c r="D658" s="1">
        <v>45483</v>
      </c>
      <c r="E658" t="s">
        <v>36</v>
      </c>
      <c r="F658" t="s">
        <v>37</v>
      </c>
      <c r="G658" t="s">
        <v>236</v>
      </c>
      <c r="H658" t="s">
        <v>28</v>
      </c>
      <c r="I658" t="s">
        <v>821</v>
      </c>
      <c r="J658" t="s">
        <v>754</v>
      </c>
      <c r="K658">
        <v>1</v>
      </c>
      <c r="L658">
        <v>278000</v>
      </c>
      <c r="M658">
        <v>0.1</v>
      </c>
      <c r="N658">
        <v>189000</v>
      </c>
      <c r="O658">
        <v>278000</v>
      </c>
    </row>
    <row r="659" spans="1:15" x14ac:dyDescent="0.35">
      <c r="A659" t="s">
        <v>822</v>
      </c>
      <c r="B659">
        <v>291590.90909090912</v>
      </c>
      <c r="C659" t="s">
        <v>858</v>
      </c>
      <c r="D659" s="1">
        <v>45522</v>
      </c>
      <c r="E659" t="s">
        <v>14</v>
      </c>
      <c r="F659" t="s">
        <v>15</v>
      </c>
      <c r="G659" t="s">
        <v>291</v>
      </c>
      <c r="H659" t="s">
        <v>17</v>
      </c>
      <c r="I659" t="s">
        <v>821</v>
      </c>
      <c r="J659" t="s">
        <v>754</v>
      </c>
      <c r="K659">
        <v>1</v>
      </c>
      <c r="L659">
        <v>240000</v>
      </c>
      <c r="M659">
        <v>0</v>
      </c>
      <c r="N659">
        <v>160000</v>
      </c>
      <c r="O659">
        <v>240000</v>
      </c>
    </row>
    <row r="660" spans="1:15" x14ac:dyDescent="0.35">
      <c r="A660" t="s">
        <v>822</v>
      </c>
      <c r="B660">
        <v>291590.90909090912</v>
      </c>
      <c r="C660" t="s">
        <v>859</v>
      </c>
      <c r="D660" s="1">
        <v>45541</v>
      </c>
      <c r="E660" t="s">
        <v>14</v>
      </c>
      <c r="F660" t="s">
        <v>15</v>
      </c>
      <c r="G660" t="s">
        <v>182</v>
      </c>
      <c r="H660" t="s">
        <v>23</v>
      </c>
      <c r="I660" t="s">
        <v>821</v>
      </c>
      <c r="J660" t="s">
        <v>754</v>
      </c>
      <c r="K660">
        <v>1</v>
      </c>
      <c r="L660">
        <v>311000</v>
      </c>
      <c r="M660">
        <v>0.05</v>
      </c>
      <c r="N660">
        <v>216000</v>
      </c>
      <c r="O660">
        <v>311000</v>
      </c>
    </row>
    <row r="661" spans="1:15" x14ac:dyDescent="0.35">
      <c r="A661" t="s">
        <v>822</v>
      </c>
      <c r="B661">
        <v>291590.90909090912</v>
      </c>
      <c r="C661" t="s">
        <v>860</v>
      </c>
      <c r="D661" s="1">
        <v>45583</v>
      </c>
      <c r="E661" t="s">
        <v>41</v>
      </c>
      <c r="F661" t="s">
        <v>42</v>
      </c>
      <c r="G661" t="s">
        <v>634</v>
      </c>
      <c r="H661" t="s">
        <v>17</v>
      </c>
      <c r="I661" t="s">
        <v>821</v>
      </c>
      <c r="J661" t="s">
        <v>754</v>
      </c>
      <c r="K661">
        <v>1</v>
      </c>
      <c r="L661">
        <v>291590.90909090912</v>
      </c>
      <c r="M661">
        <v>0</v>
      </c>
      <c r="N661">
        <v>180000</v>
      </c>
      <c r="O661">
        <v>291590.90909090912</v>
      </c>
    </row>
    <row r="662" spans="1:15" x14ac:dyDescent="0.35">
      <c r="A662" t="s">
        <v>822</v>
      </c>
      <c r="B662">
        <v>291590.90909090912</v>
      </c>
      <c r="C662" t="s">
        <v>861</v>
      </c>
      <c r="D662" s="1">
        <v>45588</v>
      </c>
      <c r="E662" t="s">
        <v>49</v>
      </c>
      <c r="F662" t="s">
        <v>50</v>
      </c>
      <c r="G662" t="s">
        <v>675</v>
      </c>
      <c r="H662" t="s">
        <v>17</v>
      </c>
      <c r="I662" t="s">
        <v>821</v>
      </c>
      <c r="J662" t="s">
        <v>754</v>
      </c>
      <c r="K662">
        <v>1</v>
      </c>
      <c r="L662">
        <v>306000</v>
      </c>
      <c r="M662">
        <v>0.1</v>
      </c>
      <c r="N662">
        <v>213000</v>
      </c>
      <c r="O662">
        <v>306000</v>
      </c>
    </row>
    <row r="663" spans="1:15" x14ac:dyDescent="0.35">
      <c r="A663" t="s">
        <v>822</v>
      </c>
      <c r="B663">
        <v>291590.90909090912</v>
      </c>
      <c r="C663" t="s">
        <v>862</v>
      </c>
      <c r="D663" s="1">
        <v>45612</v>
      </c>
      <c r="E663" t="s">
        <v>14</v>
      </c>
      <c r="F663" t="s">
        <v>15</v>
      </c>
      <c r="G663" t="s">
        <v>99</v>
      </c>
      <c r="H663" t="s">
        <v>23</v>
      </c>
      <c r="I663" t="s">
        <v>821</v>
      </c>
      <c r="J663" t="s">
        <v>754</v>
      </c>
      <c r="K663">
        <v>1</v>
      </c>
      <c r="L663">
        <v>219000</v>
      </c>
      <c r="M663">
        <v>0</v>
      </c>
      <c r="N663">
        <v>152000</v>
      </c>
      <c r="O663">
        <v>219000</v>
      </c>
    </row>
    <row r="664" spans="1:15" x14ac:dyDescent="0.35">
      <c r="A664" t="s">
        <v>822</v>
      </c>
      <c r="B664">
        <v>291590.90909090912</v>
      </c>
      <c r="C664" t="s">
        <v>863</v>
      </c>
      <c r="D664" s="1">
        <v>45617</v>
      </c>
      <c r="E664" t="s">
        <v>14</v>
      </c>
      <c r="F664" t="s">
        <v>15</v>
      </c>
      <c r="G664" t="s">
        <v>119</v>
      </c>
      <c r="H664" t="s">
        <v>23</v>
      </c>
      <c r="I664" t="s">
        <v>821</v>
      </c>
      <c r="J664" t="s">
        <v>754</v>
      </c>
      <c r="K664">
        <v>1</v>
      </c>
      <c r="L664">
        <v>325000</v>
      </c>
      <c r="M664">
        <v>0.05</v>
      </c>
      <c r="N664">
        <v>227000</v>
      </c>
      <c r="O664">
        <v>325000</v>
      </c>
    </row>
    <row r="665" spans="1:15" x14ac:dyDescent="0.35">
      <c r="A665" t="s">
        <v>822</v>
      </c>
      <c r="B665">
        <v>291590.90909090912</v>
      </c>
      <c r="C665" t="s">
        <v>864</v>
      </c>
      <c r="D665" s="1">
        <v>45622</v>
      </c>
      <c r="E665" t="s">
        <v>49</v>
      </c>
      <c r="F665" t="s">
        <v>50</v>
      </c>
      <c r="G665" t="s">
        <v>493</v>
      </c>
      <c r="H665" t="s">
        <v>23</v>
      </c>
      <c r="I665" t="s">
        <v>821</v>
      </c>
      <c r="J665" t="s">
        <v>754</v>
      </c>
      <c r="K665">
        <v>1</v>
      </c>
      <c r="L665">
        <v>362000</v>
      </c>
      <c r="M665">
        <v>0</v>
      </c>
      <c r="N665">
        <v>240000</v>
      </c>
      <c r="O665">
        <v>362000</v>
      </c>
    </row>
    <row r="666" spans="1:15" x14ac:dyDescent="0.35">
      <c r="A666" t="s">
        <v>822</v>
      </c>
      <c r="B666">
        <v>291590.90909090912</v>
      </c>
      <c r="C666" t="s">
        <v>865</v>
      </c>
      <c r="D666" s="1">
        <v>45646</v>
      </c>
      <c r="E666" t="s">
        <v>14</v>
      </c>
      <c r="F666" t="s">
        <v>15</v>
      </c>
      <c r="G666" t="s">
        <v>634</v>
      </c>
      <c r="H666" t="s">
        <v>17</v>
      </c>
      <c r="I666" t="s">
        <v>821</v>
      </c>
      <c r="J666" t="s">
        <v>754</v>
      </c>
      <c r="K666">
        <v>3</v>
      </c>
      <c r="L666">
        <v>194000</v>
      </c>
      <c r="M666">
        <v>0</v>
      </c>
      <c r="N666">
        <v>130000</v>
      </c>
      <c r="O666">
        <v>194000</v>
      </c>
    </row>
    <row r="667" spans="1:15" x14ac:dyDescent="0.35">
      <c r="A667" t="s">
        <v>822</v>
      </c>
      <c r="B667">
        <v>291590.90909090912</v>
      </c>
      <c r="C667" t="s">
        <v>866</v>
      </c>
      <c r="D667" s="1">
        <v>45662</v>
      </c>
      <c r="E667" t="s">
        <v>36</v>
      </c>
      <c r="F667" t="s">
        <v>37</v>
      </c>
      <c r="G667" t="s">
        <v>559</v>
      </c>
      <c r="H667" t="s">
        <v>23</v>
      </c>
      <c r="I667" t="s">
        <v>821</v>
      </c>
      <c r="J667" t="s">
        <v>754</v>
      </c>
      <c r="K667">
        <v>1</v>
      </c>
      <c r="L667">
        <v>363000</v>
      </c>
      <c r="M667">
        <v>0.05</v>
      </c>
      <c r="N667">
        <v>254000</v>
      </c>
      <c r="O667">
        <v>363000</v>
      </c>
    </row>
    <row r="668" spans="1:15" x14ac:dyDescent="0.35">
      <c r="A668" t="s">
        <v>822</v>
      </c>
      <c r="B668">
        <v>291590.90909090912</v>
      </c>
      <c r="C668" t="s">
        <v>867</v>
      </c>
      <c r="D668" s="1">
        <v>45698</v>
      </c>
      <c r="E668" t="s">
        <v>14</v>
      </c>
      <c r="F668" t="s">
        <v>15</v>
      </c>
      <c r="G668" t="s">
        <v>63</v>
      </c>
      <c r="H668" t="s">
        <v>28</v>
      </c>
      <c r="I668" t="s">
        <v>821</v>
      </c>
      <c r="J668" t="s">
        <v>754</v>
      </c>
      <c r="K668">
        <v>1</v>
      </c>
      <c r="L668">
        <v>328000</v>
      </c>
      <c r="M668">
        <v>0.1</v>
      </c>
      <c r="N668">
        <v>217000</v>
      </c>
      <c r="O668">
        <v>328000</v>
      </c>
    </row>
    <row r="669" spans="1:15" x14ac:dyDescent="0.35">
      <c r="A669" t="s">
        <v>822</v>
      </c>
      <c r="B669">
        <v>291590.90909090912</v>
      </c>
      <c r="C669" t="s">
        <v>868</v>
      </c>
      <c r="D669" s="1">
        <v>45700</v>
      </c>
      <c r="E669" t="s">
        <v>41</v>
      </c>
      <c r="F669" t="s">
        <v>42</v>
      </c>
      <c r="G669" t="s">
        <v>45</v>
      </c>
      <c r="H669" t="s">
        <v>17</v>
      </c>
      <c r="I669" t="s">
        <v>821</v>
      </c>
      <c r="J669" t="s">
        <v>754</v>
      </c>
      <c r="K669">
        <v>1</v>
      </c>
      <c r="L669">
        <v>341000</v>
      </c>
      <c r="M669">
        <v>0</v>
      </c>
      <c r="N669">
        <v>231000</v>
      </c>
      <c r="O669">
        <v>341000</v>
      </c>
    </row>
    <row r="670" spans="1:15" x14ac:dyDescent="0.35">
      <c r="A670" t="s">
        <v>822</v>
      </c>
      <c r="B670">
        <v>291590.90909090912</v>
      </c>
      <c r="C670" t="s">
        <v>869</v>
      </c>
      <c r="D670" s="1">
        <v>45716</v>
      </c>
      <c r="E670" t="s">
        <v>36</v>
      </c>
      <c r="F670" t="s">
        <v>37</v>
      </c>
      <c r="G670" t="s">
        <v>419</v>
      </c>
      <c r="H670" t="s">
        <v>17</v>
      </c>
      <c r="I670" t="s">
        <v>821</v>
      </c>
      <c r="J670" t="s">
        <v>754</v>
      </c>
      <c r="K670">
        <v>1</v>
      </c>
      <c r="L670">
        <v>244000</v>
      </c>
      <c r="M670">
        <v>0</v>
      </c>
      <c r="N670">
        <v>164000</v>
      </c>
      <c r="O670">
        <v>244000</v>
      </c>
    </row>
    <row r="671" spans="1:15" x14ac:dyDescent="0.35">
      <c r="A671" t="s">
        <v>822</v>
      </c>
      <c r="B671">
        <v>291590.90909090912</v>
      </c>
      <c r="C671" t="s">
        <v>870</v>
      </c>
      <c r="D671" s="1">
        <v>45759</v>
      </c>
      <c r="E671" t="s">
        <v>41</v>
      </c>
      <c r="F671" t="s">
        <v>42</v>
      </c>
      <c r="G671" t="s">
        <v>221</v>
      </c>
      <c r="H671" t="s">
        <v>17</v>
      </c>
      <c r="I671" t="s">
        <v>821</v>
      </c>
      <c r="J671" t="s">
        <v>754</v>
      </c>
      <c r="K671">
        <v>1</v>
      </c>
      <c r="L671">
        <v>354000</v>
      </c>
      <c r="M671">
        <v>0</v>
      </c>
      <c r="N671">
        <v>239000</v>
      </c>
      <c r="O671">
        <v>354000</v>
      </c>
    </row>
    <row r="672" spans="1:15" x14ac:dyDescent="0.35">
      <c r="A672" t="s">
        <v>822</v>
      </c>
      <c r="B672">
        <v>291590.90909090912</v>
      </c>
      <c r="C672" t="s">
        <v>871</v>
      </c>
      <c r="D672" s="1">
        <v>45760</v>
      </c>
      <c r="E672" t="s">
        <v>41</v>
      </c>
      <c r="F672" t="s">
        <v>42</v>
      </c>
      <c r="G672" t="s">
        <v>177</v>
      </c>
      <c r="H672" t="s">
        <v>23</v>
      </c>
      <c r="I672" t="s">
        <v>821</v>
      </c>
      <c r="J672" t="s">
        <v>754</v>
      </c>
      <c r="K672">
        <v>1</v>
      </c>
      <c r="L672">
        <v>291590.90909090912</v>
      </c>
      <c r="M672">
        <v>0</v>
      </c>
      <c r="N672">
        <v>180000</v>
      </c>
      <c r="O672">
        <v>291590.90909090912</v>
      </c>
    </row>
    <row r="673" spans="1:15" x14ac:dyDescent="0.35">
      <c r="A673" t="s">
        <v>822</v>
      </c>
      <c r="B673">
        <v>291590.90909090912</v>
      </c>
      <c r="C673" t="s">
        <v>872</v>
      </c>
      <c r="D673" s="1">
        <v>45784</v>
      </c>
      <c r="E673" t="s">
        <v>14</v>
      </c>
      <c r="F673" t="s">
        <v>15</v>
      </c>
      <c r="G673" t="s">
        <v>260</v>
      </c>
      <c r="H673" t="s">
        <v>23</v>
      </c>
      <c r="I673" t="s">
        <v>821</v>
      </c>
      <c r="J673" t="s">
        <v>754</v>
      </c>
      <c r="K673">
        <v>1</v>
      </c>
      <c r="L673">
        <v>355000</v>
      </c>
      <c r="M673">
        <v>0</v>
      </c>
      <c r="N673">
        <v>237000</v>
      </c>
      <c r="O673">
        <v>355000</v>
      </c>
    </row>
    <row r="674" spans="1:15" x14ac:dyDescent="0.35">
      <c r="A674" t="s">
        <v>822</v>
      </c>
      <c r="B674">
        <v>291590.90909090912</v>
      </c>
      <c r="C674" t="s">
        <v>873</v>
      </c>
      <c r="D674" s="1">
        <v>45802</v>
      </c>
      <c r="E674" t="s">
        <v>41</v>
      </c>
      <c r="F674" t="s">
        <v>42</v>
      </c>
      <c r="G674" t="s">
        <v>89</v>
      </c>
      <c r="H674" t="s">
        <v>23</v>
      </c>
      <c r="I674" t="s">
        <v>821</v>
      </c>
      <c r="J674" t="s">
        <v>754</v>
      </c>
      <c r="K674">
        <v>1</v>
      </c>
      <c r="L674">
        <v>338000</v>
      </c>
      <c r="M674">
        <v>0</v>
      </c>
      <c r="N674">
        <v>234000</v>
      </c>
      <c r="O674">
        <v>338000</v>
      </c>
    </row>
    <row r="675" spans="1:15" x14ac:dyDescent="0.35">
      <c r="A675" t="s">
        <v>822</v>
      </c>
      <c r="B675">
        <v>291590.90909090912</v>
      </c>
      <c r="C675" t="s">
        <v>874</v>
      </c>
      <c r="D675" s="1">
        <v>45862</v>
      </c>
      <c r="E675" t="s">
        <v>14</v>
      </c>
      <c r="F675" t="s">
        <v>15</v>
      </c>
      <c r="G675" t="s">
        <v>134</v>
      </c>
      <c r="H675" t="s">
        <v>28</v>
      </c>
      <c r="I675" t="s">
        <v>821</v>
      </c>
      <c r="J675" t="s">
        <v>754</v>
      </c>
      <c r="K675">
        <v>3</v>
      </c>
      <c r="L675">
        <v>350000</v>
      </c>
      <c r="M675">
        <v>0</v>
      </c>
      <c r="N675">
        <v>237000</v>
      </c>
      <c r="O675">
        <v>350000</v>
      </c>
    </row>
    <row r="676" spans="1:15" x14ac:dyDescent="0.35">
      <c r="A676" t="s">
        <v>822</v>
      </c>
      <c r="B676">
        <v>291590.90909090912</v>
      </c>
      <c r="C676" t="s">
        <v>875</v>
      </c>
      <c r="D676" s="1">
        <v>45890</v>
      </c>
      <c r="E676" t="s">
        <v>14</v>
      </c>
      <c r="F676" t="s">
        <v>15</v>
      </c>
      <c r="G676" t="s">
        <v>87</v>
      </c>
      <c r="H676" t="s">
        <v>17</v>
      </c>
      <c r="I676" t="s">
        <v>821</v>
      </c>
      <c r="J676" t="s">
        <v>754</v>
      </c>
      <c r="K676">
        <v>1</v>
      </c>
      <c r="L676">
        <v>223000</v>
      </c>
      <c r="M676">
        <v>0</v>
      </c>
      <c r="N676">
        <v>156000</v>
      </c>
      <c r="O676">
        <v>223000</v>
      </c>
    </row>
    <row r="677" spans="1:15" x14ac:dyDescent="0.35">
      <c r="A677" t="s">
        <v>822</v>
      </c>
      <c r="B677">
        <v>291590.90909090912</v>
      </c>
      <c r="C677" t="s">
        <v>876</v>
      </c>
      <c r="D677" s="1">
        <v>45891</v>
      </c>
      <c r="E677" t="s">
        <v>36</v>
      </c>
      <c r="F677" t="s">
        <v>37</v>
      </c>
      <c r="G677" t="s">
        <v>313</v>
      </c>
      <c r="H677" t="s">
        <v>17</v>
      </c>
      <c r="I677" t="s">
        <v>821</v>
      </c>
      <c r="J677" t="s">
        <v>754</v>
      </c>
      <c r="K677">
        <v>1</v>
      </c>
      <c r="L677">
        <v>380000</v>
      </c>
      <c r="M677">
        <v>0</v>
      </c>
      <c r="N677">
        <v>252000</v>
      </c>
      <c r="O677">
        <v>380000</v>
      </c>
    </row>
    <row r="678" spans="1:15" x14ac:dyDescent="0.35">
      <c r="A678" t="s">
        <v>822</v>
      </c>
      <c r="B678">
        <v>291590.90909090912</v>
      </c>
      <c r="C678" t="s">
        <v>877</v>
      </c>
      <c r="D678" s="1">
        <v>45920</v>
      </c>
      <c r="E678" t="s">
        <v>41</v>
      </c>
      <c r="F678" t="s">
        <v>42</v>
      </c>
      <c r="G678" t="s">
        <v>741</v>
      </c>
      <c r="H678" t="s">
        <v>23</v>
      </c>
      <c r="I678" t="s">
        <v>821</v>
      </c>
      <c r="J678" t="s">
        <v>754</v>
      </c>
      <c r="K678">
        <v>1</v>
      </c>
      <c r="L678">
        <v>258000</v>
      </c>
      <c r="M678">
        <v>0</v>
      </c>
      <c r="N678">
        <v>176000</v>
      </c>
      <c r="O678">
        <v>258000</v>
      </c>
    </row>
    <row r="679" spans="1:15" x14ac:dyDescent="0.35">
      <c r="A679" t="s">
        <v>822</v>
      </c>
      <c r="B679">
        <v>291590.90909090912</v>
      </c>
      <c r="C679" t="s">
        <v>878</v>
      </c>
      <c r="D679" s="1">
        <v>45987</v>
      </c>
      <c r="E679" t="s">
        <v>36</v>
      </c>
      <c r="F679" t="s">
        <v>37</v>
      </c>
      <c r="G679" t="s">
        <v>126</v>
      </c>
      <c r="H679" t="s">
        <v>17</v>
      </c>
      <c r="I679" t="s">
        <v>821</v>
      </c>
      <c r="J679" t="s">
        <v>754</v>
      </c>
      <c r="K679">
        <v>1</v>
      </c>
      <c r="L679">
        <v>314000</v>
      </c>
      <c r="M679">
        <v>0</v>
      </c>
      <c r="N679">
        <v>211000</v>
      </c>
      <c r="O679">
        <v>314000</v>
      </c>
    </row>
    <row r="680" spans="1:15" x14ac:dyDescent="0.35">
      <c r="A680" t="s">
        <v>822</v>
      </c>
      <c r="B680">
        <v>291590.90909090912</v>
      </c>
      <c r="C680" t="s">
        <v>879</v>
      </c>
      <c r="D680" s="1">
        <v>45995</v>
      </c>
      <c r="E680" t="s">
        <v>14</v>
      </c>
      <c r="F680" t="s">
        <v>15</v>
      </c>
      <c r="G680" t="s">
        <v>287</v>
      </c>
      <c r="H680" t="s">
        <v>28</v>
      </c>
      <c r="I680" t="s">
        <v>821</v>
      </c>
      <c r="J680" t="s">
        <v>754</v>
      </c>
      <c r="K680">
        <v>1</v>
      </c>
      <c r="L680">
        <v>331000</v>
      </c>
      <c r="M680">
        <v>0</v>
      </c>
      <c r="N680">
        <v>226000</v>
      </c>
      <c r="O680">
        <v>331000</v>
      </c>
    </row>
    <row r="681" spans="1:15" x14ac:dyDescent="0.35">
      <c r="A681" t="s">
        <v>822</v>
      </c>
      <c r="B681">
        <v>291590.90909090912</v>
      </c>
      <c r="C681" t="s">
        <v>880</v>
      </c>
      <c r="D681" s="1">
        <v>46005</v>
      </c>
      <c r="E681" t="s">
        <v>36</v>
      </c>
      <c r="F681" t="s">
        <v>37</v>
      </c>
      <c r="G681" t="s">
        <v>123</v>
      </c>
      <c r="H681" t="s">
        <v>28</v>
      </c>
      <c r="I681" t="s">
        <v>821</v>
      </c>
      <c r="J681" t="s">
        <v>754</v>
      </c>
      <c r="K681">
        <v>1</v>
      </c>
      <c r="L681">
        <v>296000</v>
      </c>
      <c r="M681">
        <v>0</v>
      </c>
      <c r="N681">
        <v>204000</v>
      </c>
      <c r="O681">
        <v>296000</v>
      </c>
    </row>
    <row r="682" spans="1:15" x14ac:dyDescent="0.35">
      <c r="A682" t="s">
        <v>822</v>
      </c>
      <c r="B682">
        <v>291590.90909090912</v>
      </c>
      <c r="C682" t="s">
        <v>881</v>
      </c>
      <c r="D682" s="1">
        <v>46007</v>
      </c>
      <c r="E682" t="s">
        <v>14</v>
      </c>
      <c r="F682" t="s">
        <v>15</v>
      </c>
      <c r="G682" t="s">
        <v>119</v>
      </c>
      <c r="H682" t="s">
        <v>23</v>
      </c>
      <c r="I682" t="s">
        <v>821</v>
      </c>
      <c r="J682" t="s">
        <v>754</v>
      </c>
      <c r="K682">
        <v>5</v>
      </c>
      <c r="L682">
        <v>342000</v>
      </c>
      <c r="M682">
        <v>0</v>
      </c>
      <c r="N682">
        <v>235000</v>
      </c>
      <c r="O682">
        <v>342000</v>
      </c>
    </row>
    <row r="683" spans="1:15" x14ac:dyDescent="0.35">
      <c r="A683" t="s">
        <v>822</v>
      </c>
      <c r="B683">
        <v>291590.90909090912</v>
      </c>
      <c r="C683" t="s">
        <v>882</v>
      </c>
      <c r="D683" s="1">
        <v>46056</v>
      </c>
      <c r="E683" t="s">
        <v>49</v>
      </c>
      <c r="F683" t="s">
        <v>50</v>
      </c>
      <c r="G683" t="s">
        <v>228</v>
      </c>
      <c r="H683" t="s">
        <v>17</v>
      </c>
      <c r="I683" t="s">
        <v>821</v>
      </c>
      <c r="J683" t="s">
        <v>754</v>
      </c>
      <c r="K683">
        <v>1</v>
      </c>
      <c r="L683">
        <v>387000</v>
      </c>
      <c r="M683">
        <v>0</v>
      </c>
      <c r="N683">
        <v>262000</v>
      </c>
      <c r="O683">
        <v>387000</v>
      </c>
    </row>
    <row r="684" spans="1:15" x14ac:dyDescent="0.35">
      <c r="A684" t="s">
        <v>822</v>
      </c>
      <c r="B684">
        <v>291590.90909090912</v>
      </c>
      <c r="C684" t="s">
        <v>883</v>
      </c>
      <c r="D684" s="1">
        <v>46064</v>
      </c>
      <c r="E684" t="s">
        <v>49</v>
      </c>
      <c r="F684" t="s">
        <v>50</v>
      </c>
      <c r="G684" t="s">
        <v>61</v>
      </c>
      <c r="H684" t="s">
        <v>23</v>
      </c>
      <c r="I684" t="s">
        <v>821</v>
      </c>
      <c r="J684" t="s">
        <v>754</v>
      </c>
      <c r="K684">
        <v>1</v>
      </c>
      <c r="L684">
        <v>382000</v>
      </c>
      <c r="M684">
        <v>0.05</v>
      </c>
      <c r="N684">
        <v>253000</v>
      </c>
      <c r="O684">
        <v>382000</v>
      </c>
    </row>
    <row r="685" spans="1:15" x14ac:dyDescent="0.35">
      <c r="A685" t="s">
        <v>822</v>
      </c>
      <c r="B685">
        <v>291590.90909090912</v>
      </c>
      <c r="C685" t="s">
        <v>884</v>
      </c>
      <c r="D685" s="1">
        <v>46071</v>
      </c>
      <c r="E685" t="s">
        <v>49</v>
      </c>
      <c r="F685" t="s">
        <v>50</v>
      </c>
      <c r="G685" t="s">
        <v>226</v>
      </c>
      <c r="H685" t="s">
        <v>17</v>
      </c>
      <c r="I685" t="s">
        <v>821</v>
      </c>
      <c r="J685" t="s">
        <v>754</v>
      </c>
      <c r="K685">
        <v>1</v>
      </c>
      <c r="L685">
        <v>356000</v>
      </c>
      <c r="M685">
        <v>0</v>
      </c>
      <c r="N685">
        <v>246000</v>
      </c>
      <c r="O685">
        <v>356000</v>
      </c>
    </row>
    <row r="686" spans="1:15" x14ac:dyDescent="0.35">
      <c r="A686" t="s">
        <v>822</v>
      </c>
      <c r="B686">
        <v>291590.90909090912</v>
      </c>
      <c r="C686" t="s">
        <v>885</v>
      </c>
      <c r="D686" s="1">
        <v>46117</v>
      </c>
      <c r="E686" t="s">
        <v>49</v>
      </c>
      <c r="F686" t="s">
        <v>50</v>
      </c>
      <c r="G686" t="s">
        <v>825</v>
      </c>
      <c r="H686" t="s">
        <v>23</v>
      </c>
      <c r="I686" t="s">
        <v>821</v>
      </c>
      <c r="J686" t="s">
        <v>754</v>
      </c>
      <c r="K686">
        <v>1</v>
      </c>
      <c r="L686">
        <v>372000</v>
      </c>
      <c r="M686">
        <v>0</v>
      </c>
      <c r="N686">
        <v>254000</v>
      </c>
      <c r="O686">
        <v>372000</v>
      </c>
    </row>
    <row r="687" spans="1:15" x14ac:dyDescent="0.35">
      <c r="A687" t="s">
        <v>822</v>
      </c>
      <c r="B687">
        <v>291590.90909090912</v>
      </c>
      <c r="C687" t="s">
        <v>886</v>
      </c>
      <c r="D687" s="1">
        <v>46123</v>
      </c>
      <c r="E687" t="s">
        <v>14</v>
      </c>
      <c r="F687" t="s">
        <v>15</v>
      </c>
      <c r="G687" t="s">
        <v>352</v>
      </c>
      <c r="H687" t="s">
        <v>23</v>
      </c>
      <c r="I687" t="s">
        <v>821</v>
      </c>
      <c r="J687" t="s">
        <v>754</v>
      </c>
      <c r="K687">
        <v>1</v>
      </c>
      <c r="L687">
        <v>231000</v>
      </c>
      <c r="M687">
        <v>0.05</v>
      </c>
      <c r="N687">
        <v>156000</v>
      </c>
      <c r="O687">
        <v>231000</v>
      </c>
    </row>
    <row r="688" spans="1:15" x14ac:dyDescent="0.35">
      <c r="A688" t="s">
        <v>822</v>
      </c>
      <c r="B688">
        <v>291590.90909090912</v>
      </c>
      <c r="C688" t="s">
        <v>887</v>
      </c>
      <c r="D688" s="1">
        <v>46132</v>
      </c>
      <c r="E688" t="s">
        <v>14</v>
      </c>
      <c r="F688" t="s">
        <v>15</v>
      </c>
      <c r="G688" t="s">
        <v>569</v>
      </c>
      <c r="H688" t="s">
        <v>23</v>
      </c>
      <c r="I688" t="s">
        <v>821</v>
      </c>
      <c r="J688" t="s">
        <v>754</v>
      </c>
      <c r="K688">
        <v>2</v>
      </c>
      <c r="L688">
        <v>209000</v>
      </c>
      <c r="M688">
        <v>0.15</v>
      </c>
      <c r="N688">
        <v>146000</v>
      </c>
      <c r="O688">
        <v>209000</v>
      </c>
    </row>
    <row r="689" spans="1:15" x14ac:dyDescent="0.35">
      <c r="A689" t="s">
        <v>822</v>
      </c>
      <c r="B689">
        <v>291590.90909090912</v>
      </c>
      <c r="C689" t="s">
        <v>888</v>
      </c>
      <c r="D689" s="1">
        <v>46147</v>
      </c>
      <c r="E689" t="s">
        <v>14</v>
      </c>
      <c r="F689" t="s">
        <v>15</v>
      </c>
      <c r="G689" t="s">
        <v>419</v>
      </c>
      <c r="H689" t="s">
        <v>17</v>
      </c>
      <c r="I689" t="s">
        <v>821</v>
      </c>
      <c r="J689" t="s">
        <v>754</v>
      </c>
      <c r="K689">
        <v>1</v>
      </c>
      <c r="L689">
        <v>350000</v>
      </c>
      <c r="M689">
        <v>0.05</v>
      </c>
      <c r="N689">
        <v>241000</v>
      </c>
      <c r="O689">
        <v>350000</v>
      </c>
    </row>
    <row r="690" spans="1:15" x14ac:dyDescent="0.35">
      <c r="A690" t="s">
        <v>822</v>
      </c>
      <c r="B690">
        <v>291590.90909090912</v>
      </c>
      <c r="C690" t="s">
        <v>889</v>
      </c>
      <c r="D690" s="1">
        <v>46171</v>
      </c>
      <c r="E690" t="s">
        <v>14</v>
      </c>
      <c r="F690" t="s">
        <v>15</v>
      </c>
      <c r="G690" t="s">
        <v>613</v>
      </c>
      <c r="H690" t="s">
        <v>28</v>
      </c>
      <c r="I690" t="s">
        <v>821</v>
      </c>
      <c r="J690" t="s">
        <v>754</v>
      </c>
      <c r="K690">
        <v>1</v>
      </c>
      <c r="L690">
        <v>397000</v>
      </c>
      <c r="M690">
        <v>0</v>
      </c>
      <c r="N690">
        <v>274000</v>
      </c>
      <c r="O690">
        <v>397000</v>
      </c>
    </row>
    <row r="691" spans="1:15" x14ac:dyDescent="0.35">
      <c r="A691" t="s">
        <v>822</v>
      </c>
      <c r="B691">
        <v>291590.90909090912</v>
      </c>
      <c r="C691" t="s">
        <v>890</v>
      </c>
      <c r="D691" s="1">
        <v>46196</v>
      </c>
      <c r="E691" t="s">
        <v>49</v>
      </c>
      <c r="F691" t="s">
        <v>50</v>
      </c>
      <c r="G691" t="s">
        <v>212</v>
      </c>
      <c r="H691" t="s">
        <v>28</v>
      </c>
      <c r="I691" t="s">
        <v>821</v>
      </c>
      <c r="J691" t="s">
        <v>754</v>
      </c>
      <c r="K691">
        <v>1</v>
      </c>
      <c r="L691">
        <v>210000</v>
      </c>
      <c r="M691">
        <v>0.1</v>
      </c>
      <c r="N691">
        <v>144000</v>
      </c>
      <c r="O691">
        <v>210000</v>
      </c>
    </row>
    <row r="692" spans="1:15" x14ac:dyDescent="0.35">
      <c r="A692" t="s">
        <v>893</v>
      </c>
      <c r="B692">
        <v>141592.59259259258</v>
      </c>
      <c r="C692" t="s">
        <v>891</v>
      </c>
      <c r="D692" s="1">
        <v>44937</v>
      </c>
      <c r="E692" t="s">
        <v>14</v>
      </c>
      <c r="F692" t="s">
        <v>15</v>
      </c>
      <c r="G692" t="s">
        <v>47</v>
      </c>
      <c r="H692" t="s">
        <v>23</v>
      </c>
      <c r="I692" t="s">
        <v>892</v>
      </c>
      <c r="J692" t="s">
        <v>363</v>
      </c>
      <c r="K692">
        <v>1</v>
      </c>
      <c r="L692">
        <v>144000</v>
      </c>
      <c r="M692">
        <v>0</v>
      </c>
      <c r="N692">
        <v>91000</v>
      </c>
      <c r="O692">
        <v>144000</v>
      </c>
    </row>
    <row r="693" spans="1:15" x14ac:dyDescent="0.35">
      <c r="A693" t="s">
        <v>893</v>
      </c>
      <c r="B693">
        <v>141592.59259259258</v>
      </c>
      <c r="C693" t="s">
        <v>894</v>
      </c>
      <c r="D693" s="1">
        <v>45007</v>
      </c>
      <c r="E693" t="s">
        <v>25</v>
      </c>
      <c r="F693" t="s">
        <v>26</v>
      </c>
      <c r="G693" t="s">
        <v>270</v>
      </c>
      <c r="H693" t="s">
        <v>23</v>
      </c>
      <c r="I693" t="s">
        <v>892</v>
      </c>
      <c r="J693" t="s">
        <v>363</v>
      </c>
      <c r="K693">
        <v>1</v>
      </c>
      <c r="L693">
        <v>99000</v>
      </c>
      <c r="M693">
        <v>0</v>
      </c>
      <c r="N693">
        <v>66000</v>
      </c>
      <c r="O693">
        <v>99000</v>
      </c>
    </row>
    <row r="694" spans="1:15" x14ac:dyDescent="0.35">
      <c r="A694" t="s">
        <v>893</v>
      </c>
      <c r="B694">
        <v>141592.59259259258</v>
      </c>
      <c r="C694" t="s">
        <v>895</v>
      </c>
      <c r="D694" s="1">
        <v>45072</v>
      </c>
      <c r="E694" t="s">
        <v>49</v>
      </c>
      <c r="F694" t="s">
        <v>50</v>
      </c>
      <c r="G694" t="s">
        <v>522</v>
      </c>
      <c r="H694" t="s">
        <v>23</v>
      </c>
      <c r="I694" t="s">
        <v>892</v>
      </c>
      <c r="J694" t="s">
        <v>363</v>
      </c>
      <c r="K694">
        <v>2</v>
      </c>
      <c r="L694">
        <v>82000</v>
      </c>
      <c r="M694">
        <v>0.05</v>
      </c>
      <c r="N694">
        <v>54000</v>
      </c>
      <c r="O694">
        <v>82000</v>
      </c>
    </row>
    <row r="695" spans="1:15" x14ac:dyDescent="0.35">
      <c r="A695" t="s">
        <v>893</v>
      </c>
      <c r="B695">
        <v>141592.59259259258</v>
      </c>
      <c r="C695" t="s">
        <v>896</v>
      </c>
      <c r="D695" s="1">
        <v>45082</v>
      </c>
      <c r="E695" t="s">
        <v>36</v>
      </c>
      <c r="F695" t="s">
        <v>37</v>
      </c>
      <c r="G695" t="s">
        <v>212</v>
      </c>
      <c r="H695" t="s">
        <v>28</v>
      </c>
      <c r="I695" t="s">
        <v>892</v>
      </c>
      <c r="J695" t="s">
        <v>363</v>
      </c>
      <c r="K695">
        <v>1</v>
      </c>
      <c r="L695">
        <v>81000</v>
      </c>
      <c r="M695">
        <v>0</v>
      </c>
      <c r="N695">
        <v>53000</v>
      </c>
      <c r="O695">
        <v>81000</v>
      </c>
    </row>
    <row r="696" spans="1:15" x14ac:dyDescent="0.35">
      <c r="A696" t="s">
        <v>893</v>
      </c>
      <c r="B696">
        <v>141592.59259259258</v>
      </c>
      <c r="C696" t="s">
        <v>897</v>
      </c>
      <c r="D696" s="1">
        <v>45131</v>
      </c>
      <c r="E696" t="s">
        <v>14</v>
      </c>
      <c r="F696" t="s">
        <v>15</v>
      </c>
      <c r="G696" t="s">
        <v>89</v>
      </c>
      <c r="H696" t="s">
        <v>23</v>
      </c>
      <c r="I696" t="s">
        <v>892</v>
      </c>
      <c r="J696" t="s">
        <v>363</v>
      </c>
      <c r="K696">
        <v>2</v>
      </c>
      <c r="L696">
        <v>128000</v>
      </c>
      <c r="M696">
        <v>0</v>
      </c>
      <c r="N696">
        <v>85000</v>
      </c>
      <c r="O696">
        <v>128000</v>
      </c>
    </row>
    <row r="697" spans="1:15" x14ac:dyDescent="0.35">
      <c r="A697" t="s">
        <v>893</v>
      </c>
      <c r="B697">
        <v>141592.59259259258</v>
      </c>
      <c r="C697" t="s">
        <v>898</v>
      </c>
      <c r="D697" s="1">
        <v>45136</v>
      </c>
      <c r="E697" t="s">
        <v>36</v>
      </c>
      <c r="F697" t="s">
        <v>37</v>
      </c>
      <c r="G697" t="s">
        <v>53</v>
      </c>
      <c r="H697" t="s">
        <v>17</v>
      </c>
      <c r="I697" t="s">
        <v>892</v>
      </c>
      <c r="J697" t="s">
        <v>363</v>
      </c>
      <c r="K697">
        <v>1</v>
      </c>
      <c r="L697">
        <v>167000</v>
      </c>
      <c r="M697">
        <v>0</v>
      </c>
      <c r="N697">
        <v>111000</v>
      </c>
      <c r="O697">
        <v>167000</v>
      </c>
    </row>
    <row r="698" spans="1:15" x14ac:dyDescent="0.35">
      <c r="A698" t="s">
        <v>893</v>
      </c>
      <c r="B698">
        <v>141592.59259259258</v>
      </c>
      <c r="C698" t="s">
        <v>899</v>
      </c>
      <c r="D698" s="1">
        <v>45148</v>
      </c>
      <c r="E698" t="s">
        <v>49</v>
      </c>
      <c r="F698" t="s">
        <v>50</v>
      </c>
      <c r="G698" t="s">
        <v>55</v>
      </c>
      <c r="H698" t="s">
        <v>17</v>
      </c>
      <c r="I698" t="s">
        <v>892</v>
      </c>
      <c r="J698" t="s">
        <v>363</v>
      </c>
      <c r="K698">
        <v>1</v>
      </c>
      <c r="L698">
        <v>140000</v>
      </c>
      <c r="M698">
        <v>0</v>
      </c>
      <c r="N698">
        <v>89000</v>
      </c>
      <c r="O698">
        <v>140000</v>
      </c>
    </row>
    <row r="699" spans="1:15" x14ac:dyDescent="0.35">
      <c r="A699" t="s">
        <v>893</v>
      </c>
      <c r="B699">
        <v>141592.59259259258</v>
      </c>
      <c r="C699" t="s">
        <v>900</v>
      </c>
      <c r="D699" s="1">
        <v>45158</v>
      </c>
      <c r="E699" t="s">
        <v>14</v>
      </c>
      <c r="F699" t="s">
        <v>15</v>
      </c>
      <c r="G699" t="s">
        <v>93</v>
      </c>
      <c r="H699" t="s">
        <v>23</v>
      </c>
      <c r="I699" t="s">
        <v>892</v>
      </c>
      <c r="J699" t="s">
        <v>363</v>
      </c>
      <c r="K699">
        <v>1</v>
      </c>
      <c r="L699">
        <v>131000</v>
      </c>
      <c r="M699">
        <v>0</v>
      </c>
      <c r="N699">
        <v>86000</v>
      </c>
      <c r="O699">
        <v>131000</v>
      </c>
    </row>
    <row r="700" spans="1:15" x14ac:dyDescent="0.35">
      <c r="A700" t="s">
        <v>893</v>
      </c>
      <c r="B700">
        <v>141592.59259259258</v>
      </c>
      <c r="C700" t="s">
        <v>901</v>
      </c>
      <c r="D700" s="1">
        <v>45182</v>
      </c>
      <c r="E700" t="s">
        <v>14</v>
      </c>
      <c r="F700" t="s">
        <v>15</v>
      </c>
      <c r="G700" t="s">
        <v>218</v>
      </c>
      <c r="H700" t="s">
        <v>23</v>
      </c>
      <c r="I700" t="s">
        <v>892</v>
      </c>
      <c r="J700" t="s">
        <v>363</v>
      </c>
      <c r="K700">
        <v>1</v>
      </c>
      <c r="L700">
        <v>161000</v>
      </c>
      <c r="M700">
        <v>0</v>
      </c>
      <c r="N700">
        <v>102000</v>
      </c>
      <c r="O700">
        <v>161000</v>
      </c>
    </row>
    <row r="701" spans="1:15" x14ac:dyDescent="0.35">
      <c r="A701" t="s">
        <v>893</v>
      </c>
      <c r="B701">
        <v>141592.59259259258</v>
      </c>
      <c r="C701" t="s">
        <v>902</v>
      </c>
      <c r="D701" s="1">
        <v>45183</v>
      </c>
      <c r="E701" t="s">
        <v>41</v>
      </c>
      <c r="F701" t="s">
        <v>42</v>
      </c>
      <c r="G701" t="s">
        <v>130</v>
      </c>
      <c r="H701" t="s">
        <v>28</v>
      </c>
      <c r="I701" t="s">
        <v>892</v>
      </c>
      <c r="J701" t="s">
        <v>363</v>
      </c>
      <c r="K701">
        <v>1</v>
      </c>
      <c r="L701">
        <v>132000</v>
      </c>
      <c r="M701">
        <v>0</v>
      </c>
      <c r="N701">
        <v>86000</v>
      </c>
      <c r="O701">
        <v>132000</v>
      </c>
    </row>
    <row r="702" spans="1:15" x14ac:dyDescent="0.35">
      <c r="A702" t="s">
        <v>893</v>
      </c>
      <c r="B702">
        <v>141592.59259259258</v>
      </c>
      <c r="C702" t="s">
        <v>903</v>
      </c>
      <c r="D702" s="1">
        <v>45190</v>
      </c>
      <c r="E702" t="s">
        <v>36</v>
      </c>
      <c r="F702" t="s">
        <v>37</v>
      </c>
      <c r="G702" t="s">
        <v>311</v>
      </c>
      <c r="H702" t="s">
        <v>17</v>
      </c>
      <c r="I702" t="s">
        <v>892</v>
      </c>
      <c r="J702" t="s">
        <v>363</v>
      </c>
      <c r="K702">
        <v>1</v>
      </c>
      <c r="L702">
        <v>164000</v>
      </c>
      <c r="M702">
        <v>0</v>
      </c>
      <c r="N702">
        <v>105000</v>
      </c>
      <c r="O702">
        <v>164000</v>
      </c>
    </row>
    <row r="703" spans="1:15" x14ac:dyDescent="0.35">
      <c r="A703" t="s">
        <v>893</v>
      </c>
      <c r="B703">
        <v>141592.59259259258</v>
      </c>
      <c r="C703" t="s">
        <v>904</v>
      </c>
      <c r="D703" s="1">
        <v>45199</v>
      </c>
      <c r="E703" t="s">
        <v>14</v>
      </c>
      <c r="F703" t="s">
        <v>15</v>
      </c>
      <c r="G703" t="s">
        <v>53</v>
      </c>
      <c r="H703" t="s">
        <v>17</v>
      </c>
      <c r="I703" t="s">
        <v>892</v>
      </c>
      <c r="J703" t="s">
        <v>363</v>
      </c>
      <c r="K703">
        <v>1</v>
      </c>
      <c r="L703">
        <v>86000</v>
      </c>
      <c r="M703">
        <v>0</v>
      </c>
      <c r="N703">
        <v>55000</v>
      </c>
      <c r="O703">
        <v>86000</v>
      </c>
    </row>
    <row r="704" spans="1:15" x14ac:dyDescent="0.35">
      <c r="A704" t="s">
        <v>893</v>
      </c>
      <c r="B704">
        <v>141592.59259259258</v>
      </c>
      <c r="C704" t="s">
        <v>905</v>
      </c>
      <c r="D704" s="1">
        <v>45230</v>
      </c>
      <c r="E704" t="s">
        <v>14</v>
      </c>
      <c r="F704" t="s">
        <v>15</v>
      </c>
      <c r="G704" t="s">
        <v>99</v>
      </c>
      <c r="H704" t="s">
        <v>23</v>
      </c>
      <c r="I704" t="s">
        <v>892</v>
      </c>
      <c r="J704" t="s">
        <v>363</v>
      </c>
      <c r="K704">
        <v>1</v>
      </c>
      <c r="L704">
        <v>166000</v>
      </c>
      <c r="M704">
        <v>0</v>
      </c>
      <c r="N704">
        <v>106000</v>
      </c>
      <c r="O704">
        <v>166000</v>
      </c>
    </row>
    <row r="705" spans="1:15" x14ac:dyDescent="0.35">
      <c r="A705" t="s">
        <v>893</v>
      </c>
      <c r="B705">
        <v>141592.59259259258</v>
      </c>
      <c r="C705" t="s">
        <v>906</v>
      </c>
      <c r="D705" s="1">
        <v>45293</v>
      </c>
      <c r="E705" t="s">
        <v>49</v>
      </c>
      <c r="F705" t="s">
        <v>50</v>
      </c>
      <c r="G705" t="s">
        <v>230</v>
      </c>
      <c r="H705" t="s">
        <v>23</v>
      </c>
      <c r="I705" t="s">
        <v>892</v>
      </c>
      <c r="J705" t="s">
        <v>363</v>
      </c>
      <c r="K705">
        <v>1</v>
      </c>
      <c r="L705">
        <v>91000</v>
      </c>
      <c r="M705">
        <v>0</v>
      </c>
      <c r="N705">
        <v>58000</v>
      </c>
      <c r="O705">
        <v>91000</v>
      </c>
    </row>
    <row r="706" spans="1:15" x14ac:dyDescent="0.35">
      <c r="A706" t="s">
        <v>893</v>
      </c>
      <c r="B706">
        <v>141592.59259259258</v>
      </c>
      <c r="C706" t="s">
        <v>907</v>
      </c>
      <c r="D706" s="1">
        <v>45311</v>
      </c>
      <c r="E706" t="s">
        <v>25</v>
      </c>
      <c r="F706" t="s">
        <v>26</v>
      </c>
      <c r="G706" t="s">
        <v>168</v>
      </c>
      <c r="H706" t="s">
        <v>23</v>
      </c>
      <c r="I706" t="s">
        <v>892</v>
      </c>
      <c r="J706" t="s">
        <v>363</v>
      </c>
      <c r="K706">
        <v>1</v>
      </c>
      <c r="L706">
        <v>144000</v>
      </c>
      <c r="M706">
        <v>0</v>
      </c>
      <c r="N706">
        <v>93000</v>
      </c>
      <c r="O706">
        <v>144000</v>
      </c>
    </row>
    <row r="707" spans="1:15" x14ac:dyDescent="0.35">
      <c r="A707" t="s">
        <v>893</v>
      </c>
      <c r="B707">
        <v>141592.59259259258</v>
      </c>
      <c r="C707" t="s">
        <v>908</v>
      </c>
      <c r="D707" s="1">
        <v>45315</v>
      </c>
      <c r="E707" t="s">
        <v>14</v>
      </c>
      <c r="F707" t="s">
        <v>15</v>
      </c>
      <c r="G707" t="s">
        <v>335</v>
      </c>
      <c r="H707" t="s">
        <v>23</v>
      </c>
      <c r="I707" t="s">
        <v>892</v>
      </c>
      <c r="J707" t="s">
        <v>363</v>
      </c>
      <c r="K707">
        <v>1</v>
      </c>
      <c r="L707">
        <v>141000</v>
      </c>
      <c r="M707">
        <v>0.1</v>
      </c>
      <c r="N707">
        <v>94000</v>
      </c>
      <c r="O707">
        <v>141000</v>
      </c>
    </row>
    <row r="708" spans="1:15" x14ac:dyDescent="0.35">
      <c r="A708" t="s">
        <v>893</v>
      </c>
      <c r="B708">
        <v>141592.59259259258</v>
      </c>
      <c r="C708" t="s">
        <v>909</v>
      </c>
      <c r="D708" s="1">
        <v>45323</v>
      </c>
      <c r="E708" t="s">
        <v>14</v>
      </c>
      <c r="F708" t="s">
        <v>15</v>
      </c>
      <c r="G708" t="s">
        <v>79</v>
      </c>
      <c r="H708" t="s">
        <v>17</v>
      </c>
      <c r="I708" t="s">
        <v>892</v>
      </c>
      <c r="J708" t="s">
        <v>363</v>
      </c>
      <c r="K708">
        <v>1</v>
      </c>
      <c r="L708">
        <v>161000</v>
      </c>
      <c r="M708">
        <v>0</v>
      </c>
      <c r="N708">
        <v>107000</v>
      </c>
      <c r="O708">
        <v>161000</v>
      </c>
    </row>
    <row r="709" spans="1:15" x14ac:dyDescent="0.35">
      <c r="A709" t="s">
        <v>893</v>
      </c>
      <c r="B709">
        <v>141592.59259259258</v>
      </c>
      <c r="C709" t="s">
        <v>910</v>
      </c>
      <c r="D709" s="1">
        <v>45328</v>
      </c>
      <c r="E709" t="s">
        <v>41</v>
      </c>
      <c r="F709" t="s">
        <v>42</v>
      </c>
      <c r="G709" t="s">
        <v>97</v>
      </c>
      <c r="H709" t="s">
        <v>23</v>
      </c>
      <c r="I709" t="s">
        <v>892</v>
      </c>
      <c r="J709" t="s">
        <v>363</v>
      </c>
      <c r="K709">
        <v>1</v>
      </c>
      <c r="L709">
        <v>170000</v>
      </c>
      <c r="M709">
        <v>0</v>
      </c>
      <c r="N709">
        <v>112000</v>
      </c>
      <c r="O709">
        <v>170000</v>
      </c>
    </row>
    <row r="710" spans="1:15" x14ac:dyDescent="0.35">
      <c r="A710" t="s">
        <v>893</v>
      </c>
      <c r="B710">
        <v>141592.59259259258</v>
      </c>
      <c r="C710" t="s">
        <v>911</v>
      </c>
      <c r="D710" s="1">
        <v>45332</v>
      </c>
      <c r="E710" t="s">
        <v>36</v>
      </c>
      <c r="F710" t="s">
        <v>37</v>
      </c>
      <c r="G710" t="s">
        <v>394</v>
      </c>
      <c r="H710" t="s">
        <v>23</v>
      </c>
      <c r="I710" t="s">
        <v>892</v>
      </c>
      <c r="J710" t="s">
        <v>363</v>
      </c>
      <c r="K710">
        <v>1</v>
      </c>
      <c r="L710">
        <v>107000</v>
      </c>
      <c r="M710">
        <v>0</v>
      </c>
      <c r="N710">
        <v>68000</v>
      </c>
      <c r="O710">
        <v>107000</v>
      </c>
    </row>
    <row r="711" spans="1:15" x14ac:dyDescent="0.35">
      <c r="A711" t="s">
        <v>893</v>
      </c>
      <c r="B711">
        <v>141592.59259259258</v>
      </c>
      <c r="C711" t="s">
        <v>912</v>
      </c>
      <c r="D711" s="1">
        <v>45355</v>
      </c>
      <c r="E711" t="s">
        <v>14</v>
      </c>
      <c r="F711" t="s">
        <v>15</v>
      </c>
      <c r="G711" t="s">
        <v>764</v>
      </c>
      <c r="H711" t="s">
        <v>17</v>
      </c>
      <c r="I711" t="s">
        <v>892</v>
      </c>
      <c r="J711" t="s">
        <v>363</v>
      </c>
      <c r="K711">
        <v>1</v>
      </c>
      <c r="L711">
        <v>157000</v>
      </c>
      <c r="M711">
        <v>0</v>
      </c>
      <c r="N711">
        <v>101000</v>
      </c>
      <c r="O711">
        <v>157000</v>
      </c>
    </row>
    <row r="712" spans="1:15" x14ac:dyDescent="0.35">
      <c r="A712" t="s">
        <v>893</v>
      </c>
      <c r="B712">
        <v>141592.59259259258</v>
      </c>
      <c r="C712" t="s">
        <v>913</v>
      </c>
      <c r="D712" s="1">
        <v>45356</v>
      </c>
      <c r="E712" t="s">
        <v>14</v>
      </c>
      <c r="F712" t="s">
        <v>15</v>
      </c>
      <c r="G712" t="s">
        <v>311</v>
      </c>
      <c r="H712" t="s">
        <v>17</v>
      </c>
      <c r="I712" t="s">
        <v>892</v>
      </c>
      <c r="J712" t="s">
        <v>363</v>
      </c>
      <c r="K712">
        <v>2</v>
      </c>
      <c r="L712">
        <v>160000</v>
      </c>
      <c r="M712">
        <v>0</v>
      </c>
      <c r="N712">
        <v>101000</v>
      </c>
      <c r="O712">
        <v>160000</v>
      </c>
    </row>
    <row r="713" spans="1:15" x14ac:dyDescent="0.35">
      <c r="A713" t="s">
        <v>893</v>
      </c>
      <c r="B713">
        <v>141592.59259259258</v>
      </c>
      <c r="C713" t="s">
        <v>914</v>
      </c>
      <c r="D713" s="1">
        <v>45359</v>
      </c>
      <c r="E713" t="s">
        <v>49</v>
      </c>
      <c r="F713" t="s">
        <v>50</v>
      </c>
      <c r="G713" t="s">
        <v>108</v>
      </c>
      <c r="H713" t="s">
        <v>23</v>
      </c>
      <c r="I713" t="s">
        <v>892</v>
      </c>
      <c r="J713" t="s">
        <v>363</v>
      </c>
      <c r="K713">
        <v>1</v>
      </c>
      <c r="L713">
        <v>89000</v>
      </c>
      <c r="M713">
        <v>0.05</v>
      </c>
      <c r="N713">
        <v>58000</v>
      </c>
      <c r="O713">
        <v>89000</v>
      </c>
    </row>
    <row r="714" spans="1:15" x14ac:dyDescent="0.35">
      <c r="A714" t="s">
        <v>893</v>
      </c>
      <c r="B714">
        <v>141592.59259259258</v>
      </c>
      <c r="C714" t="s">
        <v>915</v>
      </c>
      <c r="D714" s="1">
        <v>45362</v>
      </c>
      <c r="E714" t="s">
        <v>41</v>
      </c>
      <c r="F714" t="s">
        <v>42</v>
      </c>
      <c r="G714" t="s">
        <v>174</v>
      </c>
      <c r="H714" t="s">
        <v>23</v>
      </c>
      <c r="I714" t="s">
        <v>892</v>
      </c>
      <c r="J714" t="s">
        <v>363</v>
      </c>
      <c r="K714">
        <v>3</v>
      </c>
      <c r="L714">
        <v>136000</v>
      </c>
      <c r="M714">
        <v>0</v>
      </c>
      <c r="N714">
        <v>89000</v>
      </c>
      <c r="O714">
        <v>136000</v>
      </c>
    </row>
    <row r="715" spans="1:15" x14ac:dyDescent="0.35">
      <c r="A715" t="s">
        <v>893</v>
      </c>
      <c r="B715">
        <v>141592.59259259258</v>
      </c>
      <c r="C715" t="s">
        <v>916</v>
      </c>
      <c r="D715" s="1">
        <v>45440</v>
      </c>
      <c r="E715" t="s">
        <v>49</v>
      </c>
      <c r="F715" t="s">
        <v>50</v>
      </c>
      <c r="G715" t="s">
        <v>373</v>
      </c>
      <c r="H715" t="s">
        <v>23</v>
      </c>
      <c r="I715" t="s">
        <v>892</v>
      </c>
      <c r="J715" t="s">
        <v>363</v>
      </c>
      <c r="K715">
        <v>1</v>
      </c>
      <c r="L715">
        <v>174000</v>
      </c>
      <c r="M715">
        <v>0.05</v>
      </c>
      <c r="N715">
        <v>110000</v>
      </c>
      <c r="O715">
        <v>174000</v>
      </c>
    </row>
    <row r="716" spans="1:15" x14ac:dyDescent="0.35">
      <c r="A716" t="s">
        <v>893</v>
      </c>
      <c r="B716">
        <v>141592.59259259258</v>
      </c>
      <c r="C716" t="s">
        <v>917</v>
      </c>
      <c r="D716" s="1">
        <v>45459</v>
      </c>
      <c r="E716" t="s">
        <v>36</v>
      </c>
      <c r="F716" t="s">
        <v>37</v>
      </c>
      <c r="G716" t="s">
        <v>613</v>
      </c>
      <c r="H716" t="s">
        <v>28</v>
      </c>
      <c r="I716" t="s">
        <v>892</v>
      </c>
      <c r="J716" t="s">
        <v>363</v>
      </c>
      <c r="K716">
        <v>1</v>
      </c>
      <c r="L716">
        <v>103000</v>
      </c>
      <c r="M716">
        <v>0</v>
      </c>
      <c r="N716">
        <v>65000</v>
      </c>
      <c r="O716">
        <v>103000</v>
      </c>
    </row>
    <row r="717" spans="1:15" x14ac:dyDescent="0.35">
      <c r="A717" t="s">
        <v>893</v>
      </c>
      <c r="B717">
        <v>141592.59259259258</v>
      </c>
      <c r="C717" t="s">
        <v>918</v>
      </c>
      <c r="D717" s="1">
        <v>45469</v>
      </c>
      <c r="E717" t="s">
        <v>14</v>
      </c>
      <c r="F717" t="s">
        <v>15</v>
      </c>
      <c r="G717" t="s">
        <v>242</v>
      </c>
      <c r="H717" t="s">
        <v>17</v>
      </c>
      <c r="I717" t="s">
        <v>892</v>
      </c>
      <c r="J717" t="s">
        <v>363</v>
      </c>
      <c r="K717">
        <v>1</v>
      </c>
      <c r="L717">
        <v>132000</v>
      </c>
      <c r="M717">
        <v>0</v>
      </c>
      <c r="N717">
        <v>87000</v>
      </c>
      <c r="O717">
        <v>132000</v>
      </c>
    </row>
    <row r="718" spans="1:15" x14ac:dyDescent="0.35">
      <c r="A718" t="s">
        <v>893</v>
      </c>
      <c r="B718">
        <v>141592.59259259258</v>
      </c>
      <c r="C718" t="s">
        <v>919</v>
      </c>
      <c r="D718" s="1">
        <v>45512</v>
      </c>
      <c r="E718" t="s">
        <v>14</v>
      </c>
      <c r="F718" t="s">
        <v>15</v>
      </c>
      <c r="G718" t="s">
        <v>102</v>
      </c>
      <c r="H718" t="s">
        <v>58</v>
      </c>
      <c r="I718" t="s">
        <v>892</v>
      </c>
      <c r="J718" t="s">
        <v>363</v>
      </c>
      <c r="K718">
        <v>1</v>
      </c>
      <c r="L718">
        <v>167000</v>
      </c>
      <c r="M718">
        <v>0</v>
      </c>
      <c r="N718">
        <v>111000</v>
      </c>
      <c r="O718">
        <v>167000</v>
      </c>
    </row>
    <row r="719" spans="1:15" x14ac:dyDescent="0.35">
      <c r="A719" t="s">
        <v>893</v>
      </c>
      <c r="B719">
        <v>141592.59259259258</v>
      </c>
      <c r="C719" t="s">
        <v>920</v>
      </c>
      <c r="D719" s="1">
        <v>45520</v>
      </c>
      <c r="E719" t="s">
        <v>25</v>
      </c>
      <c r="F719" t="s">
        <v>26</v>
      </c>
      <c r="G719" t="s">
        <v>313</v>
      </c>
      <c r="H719" t="s">
        <v>17</v>
      </c>
      <c r="I719" t="s">
        <v>892</v>
      </c>
      <c r="J719" t="s">
        <v>363</v>
      </c>
      <c r="K719">
        <v>1</v>
      </c>
      <c r="L719">
        <v>97000</v>
      </c>
      <c r="M719">
        <v>0</v>
      </c>
      <c r="N719">
        <v>63000</v>
      </c>
      <c r="O719">
        <v>97000</v>
      </c>
    </row>
    <row r="720" spans="1:15" x14ac:dyDescent="0.35">
      <c r="A720" t="s">
        <v>893</v>
      </c>
      <c r="B720">
        <v>141592.59259259258</v>
      </c>
      <c r="C720" t="s">
        <v>921</v>
      </c>
      <c r="D720" s="1">
        <v>45523</v>
      </c>
      <c r="E720" t="s">
        <v>25</v>
      </c>
      <c r="F720" t="s">
        <v>26</v>
      </c>
      <c r="G720" t="s">
        <v>212</v>
      </c>
      <c r="H720" t="s">
        <v>28</v>
      </c>
      <c r="I720" t="s">
        <v>892</v>
      </c>
      <c r="J720" t="s">
        <v>363</v>
      </c>
      <c r="K720">
        <v>2</v>
      </c>
      <c r="L720">
        <v>166000</v>
      </c>
      <c r="M720">
        <v>0</v>
      </c>
      <c r="N720">
        <v>105000</v>
      </c>
      <c r="O720">
        <v>166000</v>
      </c>
    </row>
    <row r="721" spans="1:15" x14ac:dyDescent="0.35">
      <c r="A721" t="s">
        <v>893</v>
      </c>
      <c r="B721">
        <v>141592.59259259258</v>
      </c>
      <c r="C721" t="s">
        <v>922</v>
      </c>
      <c r="D721" s="1">
        <v>45554</v>
      </c>
      <c r="E721" t="s">
        <v>25</v>
      </c>
      <c r="F721" t="s">
        <v>26</v>
      </c>
      <c r="G721" t="s">
        <v>95</v>
      </c>
      <c r="H721" t="s">
        <v>23</v>
      </c>
      <c r="I721" t="s">
        <v>892</v>
      </c>
      <c r="J721" t="s">
        <v>363</v>
      </c>
      <c r="K721">
        <v>1</v>
      </c>
      <c r="L721">
        <v>141592.59259259258</v>
      </c>
      <c r="M721">
        <v>0</v>
      </c>
      <c r="N721">
        <v>84000</v>
      </c>
      <c r="O721">
        <v>141592.59259259258</v>
      </c>
    </row>
    <row r="722" spans="1:15" x14ac:dyDescent="0.35">
      <c r="A722" t="s">
        <v>893</v>
      </c>
      <c r="B722">
        <v>141592.59259259258</v>
      </c>
      <c r="C722" t="s">
        <v>923</v>
      </c>
      <c r="D722" s="1">
        <v>45602</v>
      </c>
      <c r="E722" t="s">
        <v>41</v>
      </c>
      <c r="F722" t="s">
        <v>42</v>
      </c>
      <c r="G722" t="s">
        <v>146</v>
      </c>
      <c r="H722" t="s">
        <v>17</v>
      </c>
      <c r="I722" t="s">
        <v>892</v>
      </c>
      <c r="J722" t="s">
        <v>363</v>
      </c>
      <c r="K722">
        <v>2</v>
      </c>
      <c r="L722">
        <v>170000</v>
      </c>
      <c r="M722">
        <v>0</v>
      </c>
      <c r="N722">
        <v>109000</v>
      </c>
      <c r="O722">
        <v>170000</v>
      </c>
    </row>
    <row r="723" spans="1:15" x14ac:dyDescent="0.35">
      <c r="A723" t="s">
        <v>893</v>
      </c>
      <c r="B723">
        <v>141592.59259259258</v>
      </c>
      <c r="C723" t="s">
        <v>924</v>
      </c>
      <c r="D723" s="1">
        <v>45631</v>
      </c>
      <c r="E723" t="s">
        <v>14</v>
      </c>
      <c r="F723" t="s">
        <v>15</v>
      </c>
      <c r="G723" t="s">
        <v>456</v>
      </c>
      <c r="H723" t="s">
        <v>23</v>
      </c>
      <c r="I723" t="s">
        <v>892</v>
      </c>
      <c r="J723" t="s">
        <v>363</v>
      </c>
      <c r="K723">
        <v>1</v>
      </c>
      <c r="L723">
        <v>113000</v>
      </c>
      <c r="M723">
        <v>0.05</v>
      </c>
      <c r="N723">
        <v>73000</v>
      </c>
      <c r="O723">
        <v>113000</v>
      </c>
    </row>
    <row r="724" spans="1:15" x14ac:dyDescent="0.35">
      <c r="A724" t="s">
        <v>893</v>
      </c>
      <c r="B724">
        <v>141592.59259259258</v>
      </c>
      <c r="C724" t="s">
        <v>925</v>
      </c>
      <c r="D724" s="1">
        <v>45662</v>
      </c>
      <c r="E724" t="s">
        <v>49</v>
      </c>
      <c r="F724" t="s">
        <v>50</v>
      </c>
      <c r="G724" t="s">
        <v>462</v>
      </c>
      <c r="H724" t="s">
        <v>58</v>
      </c>
      <c r="I724" t="s">
        <v>892</v>
      </c>
      <c r="J724" t="s">
        <v>363</v>
      </c>
      <c r="K724">
        <v>1</v>
      </c>
      <c r="L724">
        <v>153000</v>
      </c>
      <c r="M724">
        <v>0</v>
      </c>
      <c r="N724">
        <v>99000</v>
      </c>
      <c r="O724">
        <v>153000</v>
      </c>
    </row>
    <row r="725" spans="1:15" x14ac:dyDescent="0.35">
      <c r="A725" t="s">
        <v>893</v>
      </c>
      <c r="B725">
        <v>141592.59259259258</v>
      </c>
      <c r="C725" t="s">
        <v>926</v>
      </c>
      <c r="D725" s="1">
        <v>45683</v>
      </c>
      <c r="E725" t="s">
        <v>14</v>
      </c>
      <c r="F725" t="s">
        <v>15</v>
      </c>
      <c r="G725" t="s">
        <v>97</v>
      </c>
      <c r="H725" t="s">
        <v>23</v>
      </c>
      <c r="I725" t="s">
        <v>892</v>
      </c>
      <c r="J725" t="s">
        <v>363</v>
      </c>
      <c r="K725">
        <v>1</v>
      </c>
      <c r="L725">
        <v>154000</v>
      </c>
      <c r="M725">
        <v>0</v>
      </c>
      <c r="N725">
        <v>102000</v>
      </c>
      <c r="O725">
        <v>154000</v>
      </c>
    </row>
    <row r="726" spans="1:15" x14ac:dyDescent="0.35">
      <c r="A726" t="s">
        <v>893</v>
      </c>
      <c r="B726">
        <v>141592.59259259258</v>
      </c>
      <c r="C726" t="s">
        <v>927</v>
      </c>
      <c r="D726" s="1">
        <v>45713</v>
      </c>
      <c r="E726" t="s">
        <v>36</v>
      </c>
      <c r="F726" t="s">
        <v>37</v>
      </c>
      <c r="G726" t="s">
        <v>117</v>
      </c>
      <c r="H726" t="s">
        <v>23</v>
      </c>
      <c r="I726" t="s">
        <v>892</v>
      </c>
      <c r="J726" t="s">
        <v>363</v>
      </c>
      <c r="K726">
        <v>1</v>
      </c>
      <c r="L726">
        <v>189000</v>
      </c>
      <c r="M726">
        <v>0</v>
      </c>
      <c r="N726">
        <v>122000</v>
      </c>
      <c r="O726">
        <v>189000</v>
      </c>
    </row>
    <row r="727" spans="1:15" x14ac:dyDescent="0.35">
      <c r="A727" t="s">
        <v>893</v>
      </c>
      <c r="B727">
        <v>141592.59259259258</v>
      </c>
      <c r="C727" t="s">
        <v>928</v>
      </c>
      <c r="D727" s="1">
        <v>45734</v>
      </c>
      <c r="E727" t="s">
        <v>41</v>
      </c>
      <c r="F727" t="s">
        <v>42</v>
      </c>
      <c r="G727" t="s">
        <v>667</v>
      </c>
      <c r="H727" t="s">
        <v>23</v>
      </c>
      <c r="I727" t="s">
        <v>892</v>
      </c>
      <c r="J727" t="s">
        <v>363</v>
      </c>
      <c r="K727">
        <v>1</v>
      </c>
      <c r="L727">
        <v>187000</v>
      </c>
      <c r="M727">
        <v>0.15</v>
      </c>
      <c r="N727">
        <v>118000</v>
      </c>
      <c r="O727">
        <v>187000</v>
      </c>
    </row>
    <row r="728" spans="1:15" x14ac:dyDescent="0.35">
      <c r="A728" t="s">
        <v>893</v>
      </c>
      <c r="B728">
        <v>141592.59259259258</v>
      </c>
      <c r="C728" t="s">
        <v>929</v>
      </c>
      <c r="D728" s="1">
        <v>45756</v>
      </c>
      <c r="E728" t="s">
        <v>49</v>
      </c>
      <c r="F728" t="s">
        <v>50</v>
      </c>
      <c r="G728" t="s">
        <v>352</v>
      </c>
      <c r="H728" t="s">
        <v>23</v>
      </c>
      <c r="I728" t="s">
        <v>892</v>
      </c>
      <c r="J728" t="s">
        <v>363</v>
      </c>
      <c r="K728">
        <v>2</v>
      </c>
      <c r="L728">
        <v>159000</v>
      </c>
      <c r="M728">
        <v>0</v>
      </c>
      <c r="N728">
        <v>104000</v>
      </c>
      <c r="O728">
        <v>159000</v>
      </c>
    </row>
    <row r="729" spans="1:15" x14ac:dyDescent="0.35">
      <c r="A729" t="s">
        <v>893</v>
      </c>
      <c r="B729">
        <v>141592.59259259258</v>
      </c>
      <c r="C729" t="s">
        <v>930</v>
      </c>
      <c r="D729" s="1">
        <v>45766</v>
      </c>
      <c r="E729" t="s">
        <v>41</v>
      </c>
      <c r="F729" t="s">
        <v>42</v>
      </c>
      <c r="G729" t="s">
        <v>108</v>
      </c>
      <c r="H729" t="s">
        <v>23</v>
      </c>
      <c r="I729" t="s">
        <v>892</v>
      </c>
      <c r="J729" t="s">
        <v>363</v>
      </c>
      <c r="K729">
        <v>1</v>
      </c>
      <c r="L729">
        <v>175000</v>
      </c>
      <c r="M729">
        <v>0</v>
      </c>
      <c r="N729">
        <v>114000</v>
      </c>
      <c r="O729">
        <v>175000</v>
      </c>
    </row>
    <row r="730" spans="1:15" x14ac:dyDescent="0.35">
      <c r="A730" t="s">
        <v>893</v>
      </c>
      <c r="B730">
        <v>141592.59259259258</v>
      </c>
      <c r="C730" t="s">
        <v>931</v>
      </c>
      <c r="D730" s="1">
        <v>45766</v>
      </c>
      <c r="E730" t="s">
        <v>14</v>
      </c>
      <c r="F730" t="s">
        <v>15</v>
      </c>
      <c r="G730" t="s">
        <v>384</v>
      </c>
      <c r="H730" t="s">
        <v>23</v>
      </c>
      <c r="I730" t="s">
        <v>892</v>
      </c>
      <c r="J730" t="s">
        <v>363</v>
      </c>
      <c r="K730">
        <v>1</v>
      </c>
      <c r="L730">
        <v>122000</v>
      </c>
      <c r="M730">
        <v>0</v>
      </c>
      <c r="N730">
        <v>80000</v>
      </c>
      <c r="O730">
        <v>122000</v>
      </c>
    </row>
    <row r="731" spans="1:15" x14ac:dyDescent="0.35">
      <c r="A731" t="s">
        <v>893</v>
      </c>
      <c r="B731">
        <v>141592.59259259258</v>
      </c>
      <c r="C731" t="s">
        <v>932</v>
      </c>
      <c r="D731" s="1">
        <v>45775</v>
      </c>
      <c r="E731" t="s">
        <v>14</v>
      </c>
      <c r="F731" t="s">
        <v>15</v>
      </c>
      <c r="G731" t="s">
        <v>81</v>
      </c>
      <c r="H731" t="s">
        <v>17</v>
      </c>
      <c r="I731" t="s">
        <v>892</v>
      </c>
      <c r="J731" t="s">
        <v>363</v>
      </c>
      <c r="K731">
        <v>3</v>
      </c>
      <c r="L731">
        <v>174000</v>
      </c>
      <c r="M731">
        <v>0.1</v>
      </c>
      <c r="N731">
        <v>112000</v>
      </c>
      <c r="O731">
        <v>174000</v>
      </c>
    </row>
    <row r="732" spans="1:15" x14ac:dyDescent="0.35">
      <c r="A732" t="s">
        <v>893</v>
      </c>
      <c r="B732">
        <v>141592.59259259258</v>
      </c>
      <c r="C732" t="s">
        <v>933</v>
      </c>
      <c r="D732" s="1">
        <v>45841</v>
      </c>
      <c r="E732" t="s">
        <v>41</v>
      </c>
      <c r="F732" t="s">
        <v>42</v>
      </c>
      <c r="G732" t="s">
        <v>323</v>
      </c>
      <c r="H732" t="s">
        <v>28</v>
      </c>
      <c r="I732" t="s">
        <v>892</v>
      </c>
      <c r="J732" t="s">
        <v>363</v>
      </c>
      <c r="K732">
        <v>1</v>
      </c>
      <c r="L732">
        <v>179000</v>
      </c>
      <c r="M732">
        <v>0</v>
      </c>
      <c r="N732">
        <v>115000</v>
      </c>
      <c r="O732">
        <v>179000</v>
      </c>
    </row>
    <row r="733" spans="1:15" x14ac:dyDescent="0.35">
      <c r="A733" t="s">
        <v>893</v>
      </c>
      <c r="B733">
        <v>141592.59259259258</v>
      </c>
      <c r="C733" t="s">
        <v>934</v>
      </c>
      <c r="D733" s="1">
        <v>45876</v>
      </c>
      <c r="E733" t="s">
        <v>14</v>
      </c>
      <c r="F733" t="s">
        <v>15</v>
      </c>
      <c r="G733" t="s">
        <v>613</v>
      </c>
      <c r="H733" t="s">
        <v>28</v>
      </c>
      <c r="I733" t="s">
        <v>892</v>
      </c>
      <c r="J733" t="s">
        <v>363</v>
      </c>
      <c r="K733">
        <v>1</v>
      </c>
      <c r="L733">
        <v>173000</v>
      </c>
      <c r="M733">
        <v>0</v>
      </c>
      <c r="N733">
        <v>111000</v>
      </c>
      <c r="O733">
        <v>173000</v>
      </c>
    </row>
    <row r="734" spans="1:15" x14ac:dyDescent="0.35">
      <c r="A734" t="s">
        <v>893</v>
      </c>
      <c r="B734">
        <v>141592.59259259258</v>
      </c>
      <c r="C734" t="s">
        <v>935</v>
      </c>
      <c r="D734" s="1">
        <v>45877</v>
      </c>
      <c r="E734" t="s">
        <v>14</v>
      </c>
      <c r="F734" t="s">
        <v>15</v>
      </c>
      <c r="G734" t="s">
        <v>411</v>
      </c>
      <c r="H734" t="s">
        <v>28</v>
      </c>
      <c r="I734" t="s">
        <v>892</v>
      </c>
      <c r="J734" t="s">
        <v>363</v>
      </c>
      <c r="K734">
        <v>2</v>
      </c>
      <c r="L734">
        <v>161000</v>
      </c>
      <c r="M734">
        <v>0.05</v>
      </c>
      <c r="N734">
        <v>102000</v>
      </c>
      <c r="O734">
        <v>161000</v>
      </c>
    </row>
    <row r="735" spans="1:15" x14ac:dyDescent="0.35">
      <c r="A735" t="s">
        <v>893</v>
      </c>
      <c r="B735">
        <v>141592.59259259258</v>
      </c>
      <c r="C735" t="s">
        <v>936</v>
      </c>
      <c r="D735" s="1">
        <v>45881</v>
      </c>
      <c r="E735" t="s">
        <v>41</v>
      </c>
      <c r="F735" t="s">
        <v>42</v>
      </c>
      <c r="G735" t="s">
        <v>126</v>
      </c>
      <c r="H735" t="s">
        <v>17</v>
      </c>
      <c r="I735" t="s">
        <v>892</v>
      </c>
      <c r="J735" t="s">
        <v>363</v>
      </c>
      <c r="K735">
        <v>1</v>
      </c>
      <c r="L735">
        <v>118000</v>
      </c>
      <c r="M735">
        <v>0</v>
      </c>
      <c r="N735">
        <v>78000</v>
      </c>
      <c r="O735">
        <v>118000</v>
      </c>
    </row>
    <row r="736" spans="1:15" x14ac:dyDescent="0.35">
      <c r="A736" t="s">
        <v>893</v>
      </c>
      <c r="B736">
        <v>141592.59259259258</v>
      </c>
      <c r="C736" t="s">
        <v>937</v>
      </c>
      <c r="D736" s="1">
        <v>45899</v>
      </c>
      <c r="E736" t="s">
        <v>41</v>
      </c>
      <c r="F736" t="s">
        <v>42</v>
      </c>
      <c r="G736" t="s">
        <v>195</v>
      </c>
      <c r="H736" t="s">
        <v>23</v>
      </c>
      <c r="I736" t="s">
        <v>892</v>
      </c>
      <c r="J736" t="s">
        <v>363</v>
      </c>
      <c r="K736">
        <v>3</v>
      </c>
      <c r="L736">
        <v>192000</v>
      </c>
      <c r="M736">
        <v>0</v>
      </c>
      <c r="N736">
        <v>126000</v>
      </c>
      <c r="O736">
        <v>192000</v>
      </c>
    </row>
    <row r="737" spans="1:15" x14ac:dyDescent="0.35">
      <c r="A737" t="s">
        <v>893</v>
      </c>
      <c r="B737">
        <v>141592.59259259258</v>
      </c>
      <c r="C737" t="s">
        <v>938</v>
      </c>
      <c r="D737" s="1">
        <v>45939</v>
      </c>
      <c r="E737" t="s">
        <v>14</v>
      </c>
      <c r="F737" t="s">
        <v>15</v>
      </c>
      <c r="G737" t="s">
        <v>45</v>
      </c>
      <c r="H737" t="s">
        <v>17</v>
      </c>
      <c r="I737" t="s">
        <v>892</v>
      </c>
      <c r="J737" t="s">
        <v>363</v>
      </c>
      <c r="K737">
        <v>1</v>
      </c>
      <c r="L737">
        <v>124000</v>
      </c>
      <c r="M737">
        <v>0.05</v>
      </c>
      <c r="N737">
        <v>81000</v>
      </c>
      <c r="O737">
        <v>124000</v>
      </c>
    </row>
    <row r="738" spans="1:15" x14ac:dyDescent="0.35">
      <c r="A738" t="s">
        <v>893</v>
      </c>
      <c r="B738">
        <v>141592.59259259258</v>
      </c>
      <c r="C738" t="s">
        <v>939</v>
      </c>
      <c r="D738" s="1">
        <v>45961</v>
      </c>
      <c r="E738" t="s">
        <v>14</v>
      </c>
      <c r="F738" t="s">
        <v>15</v>
      </c>
      <c r="G738" t="s">
        <v>55</v>
      </c>
      <c r="H738" t="s">
        <v>17</v>
      </c>
      <c r="I738" t="s">
        <v>892</v>
      </c>
      <c r="J738" t="s">
        <v>363</v>
      </c>
      <c r="K738">
        <v>2</v>
      </c>
      <c r="L738">
        <v>129000</v>
      </c>
      <c r="M738">
        <v>0</v>
      </c>
      <c r="N738">
        <v>86000</v>
      </c>
      <c r="O738">
        <v>129000</v>
      </c>
    </row>
    <row r="739" spans="1:15" x14ac:dyDescent="0.35">
      <c r="A739" t="s">
        <v>893</v>
      </c>
      <c r="B739">
        <v>141592.59259259258</v>
      </c>
      <c r="C739" t="s">
        <v>940</v>
      </c>
      <c r="D739" s="1">
        <v>45962</v>
      </c>
      <c r="E739" t="s">
        <v>41</v>
      </c>
      <c r="F739" t="s">
        <v>42</v>
      </c>
      <c r="G739" t="s">
        <v>524</v>
      </c>
      <c r="H739" t="s">
        <v>17</v>
      </c>
      <c r="I739" t="s">
        <v>892</v>
      </c>
      <c r="J739" t="s">
        <v>363</v>
      </c>
      <c r="K739">
        <v>3</v>
      </c>
      <c r="L739">
        <v>141592.59259259258</v>
      </c>
      <c r="M739">
        <v>0</v>
      </c>
      <c r="N739">
        <v>0</v>
      </c>
      <c r="O739">
        <v>141592.59259259258</v>
      </c>
    </row>
    <row r="740" spans="1:15" x14ac:dyDescent="0.35">
      <c r="A740" t="s">
        <v>893</v>
      </c>
      <c r="B740">
        <v>141592.59259259258</v>
      </c>
      <c r="C740" t="s">
        <v>941</v>
      </c>
      <c r="D740" s="1">
        <v>45986</v>
      </c>
      <c r="E740" t="s">
        <v>14</v>
      </c>
      <c r="F740" t="s">
        <v>15</v>
      </c>
      <c r="G740" t="s">
        <v>419</v>
      </c>
      <c r="H740" t="s">
        <v>17</v>
      </c>
      <c r="I740" t="s">
        <v>892</v>
      </c>
      <c r="J740" t="s">
        <v>363</v>
      </c>
      <c r="K740">
        <v>1</v>
      </c>
      <c r="L740">
        <v>117000</v>
      </c>
      <c r="M740">
        <v>0</v>
      </c>
      <c r="N740">
        <v>76000</v>
      </c>
      <c r="O740">
        <v>117000</v>
      </c>
    </row>
    <row r="741" spans="1:15" x14ac:dyDescent="0.35">
      <c r="A741" t="s">
        <v>893</v>
      </c>
      <c r="B741">
        <v>141592.59259259258</v>
      </c>
      <c r="C741" t="s">
        <v>942</v>
      </c>
      <c r="D741" s="1">
        <v>46021</v>
      </c>
      <c r="E741" t="s">
        <v>14</v>
      </c>
      <c r="F741" t="s">
        <v>15</v>
      </c>
      <c r="G741" t="s">
        <v>164</v>
      </c>
      <c r="H741" t="s">
        <v>23</v>
      </c>
      <c r="I741" t="s">
        <v>892</v>
      </c>
      <c r="J741" t="s">
        <v>363</v>
      </c>
      <c r="K741">
        <v>1</v>
      </c>
      <c r="L741">
        <v>89000</v>
      </c>
      <c r="M741">
        <v>0</v>
      </c>
      <c r="N741">
        <v>59000</v>
      </c>
      <c r="O741">
        <v>89000</v>
      </c>
    </row>
    <row r="742" spans="1:15" x14ac:dyDescent="0.35">
      <c r="A742" t="s">
        <v>893</v>
      </c>
      <c r="B742">
        <v>141592.59259259258</v>
      </c>
      <c r="C742" t="s">
        <v>943</v>
      </c>
      <c r="D742" s="1">
        <v>46035</v>
      </c>
      <c r="E742" t="s">
        <v>14</v>
      </c>
      <c r="F742" t="s">
        <v>15</v>
      </c>
      <c r="G742" t="s">
        <v>224</v>
      </c>
      <c r="H742" t="s">
        <v>23</v>
      </c>
      <c r="I742" t="s">
        <v>892</v>
      </c>
      <c r="J742" t="s">
        <v>363</v>
      </c>
      <c r="K742">
        <v>1</v>
      </c>
      <c r="L742">
        <v>138000</v>
      </c>
      <c r="M742">
        <v>0.1</v>
      </c>
      <c r="N742">
        <v>88000</v>
      </c>
      <c r="O742">
        <v>138000</v>
      </c>
    </row>
    <row r="743" spans="1:15" x14ac:dyDescent="0.35">
      <c r="A743" t="s">
        <v>893</v>
      </c>
      <c r="B743">
        <v>141592.59259259258</v>
      </c>
      <c r="C743" t="s">
        <v>944</v>
      </c>
      <c r="D743" s="1">
        <v>46050</v>
      </c>
      <c r="E743" t="s">
        <v>14</v>
      </c>
      <c r="F743" t="s">
        <v>15</v>
      </c>
      <c r="G743" t="s">
        <v>239</v>
      </c>
      <c r="H743" t="s">
        <v>23</v>
      </c>
      <c r="I743" t="s">
        <v>892</v>
      </c>
      <c r="J743" t="s">
        <v>363</v>
      </c>
      <c r="K743">
        <v>1</v>
      </c>
      <c r="L743">
        <v>153000</v>
      </c>
      <c r="M743">
        <v>0</v>
      </c>
      <c r="N743">
        <v>101000</v>
      </c>
      <c r="O743">
        <v>153000</v>
      </c>
    </row>
    <row r="744" spans="1:15" x14ac:dyDescent="0.35">
      <c r="A744" t="s">
        <v>893</v>
      </c>
      <c r="B744">
        <v>141592.59259259258</v>
      </c>
      <c r="C744" t="s">
        <v>945</v>
      </c>
      <c r="D744" s="1">
        <v>46059</v>
      </c>
      <c r="E744" t="s">
        <v>14</v>
      </c>
      <c r="F744" t="s">
        <v>15</v>
      </c>
      <c r="G744" t="s">
        <v>89</v>
      </c>
      <c r="H744" t="s">
        <v>23</v>
      </c>
      <c r="I744" t="s">
        <v>892</v>
      </c>
      <c r="J744" t="s">
        <v>363</v>
      </c>
      <c r="K744">
        <v>2</v>
      </c>
      <c r="L744">
        <v>94000</v>
      </c>
      <c r="M744">
        <v>0</v>
      </c>
      <c r="N744">
        <v>60000</v>
      </c>
      <c r="O744">
        <v>94000</v>
      </c>
    </row>
    <row r="745" spans="1:15" x14ac:dyDescent="0.35">
      <c r="A745" t="s">
        <v>893</v>
      </c>
      <c r="B745">
        <v>141592.59259259258</v>
      </c>
      <c r="C745" t="s">
        <v>946</v>
      </c>
      <c r="D745" s="1">
        <v>46137</v>
      </c>
      <c r="E745" t="s">
        <v>14</v>
      </c>
      <c r="F745" t="s">
        <v>15</v>
      </c>
      <c r="G745" t="s">
        <v>239</v>
      </c>
      <c r="H745" t="s">
        <v>23</v>
      </c>
      <c r="I745" t="s">
        <v>892</v>
      </c>
      <c r="J745" t="s">
        <v>363</v>
      </c>
      <c r="K745">
        <v>1</v>
      </c>
      <c r="L745">
        <v>165000</v>
      </c>
      <c r="M745">
        <v>0.05</v>
      </c>
      <c r="N745">
        <v>106000</v>
      </c>
      <c r="O745">
        <v>165000</v>
      </c>
    </row>
    <row r="746" spans="1:15" x14ac:dyDescent="0.35">
      <c r="A746" t="s">
        <v>893</v>
      </c>
      <c r="B746">
        <v>141592.59259259258</v>
      </c>
      <c r="C746" t="s">
        <v>947</v>
      </c>
      <c r="D746" s="1">
        <v>46152</v>
      </c>
      <c r="E746" t="s">
        <v>14</v>
      </c>
      <c r="F746" t="s">
        <v>15</v>
      </c>
      <c r="G746" t="s">
        <v>327</v>
      </c>
      <c r="H746" t="s">
        <v>23</v>
      </c>
      <c r="I746" t="s">
        <v>892</v>
      </c>
      <c r="J746" t="s">
        <v>363</v>
      </c>
      <c r="K746">
        <v>1</v>
      </c>
      <c r="L746">
        <v>159000</v>
      </c>
      <c r="M746">
        <v>0.15</v>
      </c>
      <c r="N746">
        <v>105000</v>
      </c>
      <c r="O746">
        <v>159000</v>
      </c>
    </row>
    <row r="747" spans="1:15" x14ac:dyDescent="0.35">
      <c r="A747" t="s">
        <v>893</v>
      </c>
      <c r="B747">
        <v>141592.59259259258</v>
      </c>
      <c r="C747" t="s">
        <v>948</v>
      </c>
      <c r="D747" s="1">
        <v>46198</v>
      </c>
      <c r="E747" t="s">
        <v>14</v>
      </c>
      <c r="F747" t="s">
        <v>15</v>
      </c>
      <c r="G747" t="s">
        <v>394</v>
      </c>
      <c r="H747" t="s">
        <v>23</v>
      </c>
      <c r="I747" t="s">
        <v>892</v>
      </c>
      <c r="J747" t="s">
        <v>363</v>
      </c>
      <c r="K747">
        <v>3</v>
      </c>
      <c r="L747">
        <v>183000</v>
      </c>
      <c r="M747">
        <v>0</v>
      </c>
      <c r="N747">
        <v>120000</v>
      </c>
      <c r="O747">
        <v>183000</v>
      </c>
    </row>
    <row r="748" spans="1:15" x14ac:dyDescent="0.35">
      <c r="A748" t="s">
        <v>951</v>
      </c>
      <c r="B748">
        <v>1133885.2459016393</v>
      </c>
      <c r="C748" t="s">
        <v>949</v>
      </c>
      <c r="D748" s="1">
        <v>44937</v>
      </c>
      <c r="E748" t="s">
        <v>41</v>
      </c>
      <c r="F748" t="s">
        <v>42</v>
      </c>
      <c r="G748" t="s">
        <v>741</v>
      </c>
      <c r="H748" t="s">
        <v>23</v>
      </c>
      <c r="I748" t="s">
        <v>950</v>
      </c>
      <c r="J748" t="s">
        <v>20</v>
      </c>
      <c r="K748">
        <v>1</v>
      </c>
      <c r="L748">
        <v>939000</v>
      </c>
      <c r="M748">
        <v>0.15</v>
      </c>
      <c r="N748">
        <v>672000</v>
      </c>
      <c r="O748">
        <v>939000</v>
      </c>
    </row>
    <row r="749" spans="1:15" x14ac:dyDescent="0.35">
      <c r="A749" t="s">
        <v>951</v>
      </c>
      <c r="B749">
        <v>1133885.2459016393</v>
      </c>
      <c r="C749" t="s">
        <v>952</v>
      </c>
      <c r="D749" s="1">
        <v>44941</v>
      </c>
      <c r="E749" t="s">
        <v>14</v>
      </c>
      <c r="F749" t="s">
        <v>15</v>
      </c>
      <c r="G749" t="s">
        <v>498</v>
      </c>
      <c r="H749" t="s">
        <v>23</v>
      </c>
      <c r="I749" t="s">
        <v>950</v>
      </c>
      <c r="J749" t="s">
        <v>20</v>
      </c>
      <c r="K749">
        <v>1</v>
      </c>
      <c r="L749">
        <v>814000</v>
      </c>
      <c r="M749">
        <v>0</v>
      </c>
      <c r="N749">
        <v>590000</v>
      </c>
      <c r="O749">
        <v>814000</v>
      </c>
    </row>
    <row r="750" spans="1:15" x14ac:dyDescent="0.35">
      <c r="A750" t="s">
        <v>951</v>
      </c>
      <c r="B750">
        <v>1133885.2459016393</v>
      </c>
      <c r="C750" t="s">
        <v>953</v>
      </c>
      <c r="D750" s="1">
        <v>44943</v>
      </c>
      <c r="E750" t="s">
        <v>49</v>
      </c>
      <c r="F750" t="s">
        <v>50</v>
      </c>
      <c r="G750" t="s">
        <v>166</v>
      </c>
      <c r="H750" t="s">
        <v>28</v>
      </c>
      <c r="I750" t="s">
        <v>950</v>
      </c>
      <c r="J750" t="s">
        <v>20</v>
      </c>
      <c r="K750">
        <v>1</v>
      </c>
      <c r="L750">
        <v>806000</v>
      </c>
      <c r="M750">
        <v>0</v>
      </c>
      <c r="N750">
        <v>588000</v>
      </c>
      <c r="O750">
        <v>806000</v>
      </c>
    </row>
    <row r="751" spans="1:15" x14ac:dyDescent="0.35">
      <c r="A751" t="s">
        <v>951</v>
      </c>
      <c r="B751">
        <v>1133885.2459016393</v>
      </c>
      <c r="C751" t="s">
        <v>954</v>
      </c>
      <c r="D751" s="1">
        <v>44987</v>
      </c>
      <c r="E751" t="s">
        <v>41</v>
      </c>
      <c r="F751" t="s">
        <v>42</v>
      </c>
      <c r="G751" t="s">
        <v>195</v>
      </c>
      <c r="H751" t="s">
        <v>23</v>
      </c>
      <c r="I751" t="s">
        <v>950</v>
      </c>
      <c r="J751" t="s">
        <v>20</v>
      </c>
      <c r="K751">
        <v>1</v>
      </c>
      <c r="L751">
        <v>1218000</v>
      </c>
      <c r="M751">
        <v>0</v>
      </c>
      <c r="N751">
        <v>896000</v>
      </c>
      <c r="O751">
        <v>1218000</v>
      </c>
    </row>
    <row r="752" spans="1:15" x14ac:dyDescent="0.35">
      <c r="A752" t="s">
        <v>951</v>
      </c>
      <c r="B752">
        <v>1133885.2459016393</v>
      </c>
      <c r="C752" t="s">
        <v>955</v>
      </c>
      <c r="D752" s="1">
        <v>45085</v>
      </c>
      <c r="E752" t="s">
        <v>49</v>
      </c>
      <c r="F752" t="s">
        <v>50</v>
      </c>
      <c r="G752" t="s">
        <v>102</v>
      </c>
      <c r="H752" t="s">
        <v>58</v>
      </c>
      <c r="I752" t="s">
        <v>950</v>
      </c>
      <c r="J752" t="s">
        <v>20</v>
      </c>
      <c r="K752">
        <v>1</v>
      </c>
      <c r="L752">
        <v>927000</v>
      </c>
      <c r="M752">
        <v>0</v>
      </c>
      <c r="N752">
        <v>667000</v>
      </c>
      <c r="O752">
        <v>927000</v>
      </c>
    </row>
    <row r="753" spans="1:15" x14ac:dyDescent="0.35">
      <c r="A753" t="s">
        <v>951</v>
      </c>
      <c r="B753">
        <v>1133885.2459016393</v>
      </c>
      <c r="C753" t="s">
        <v>956</v>
      </c>
      <c r="D753" s="1">
        <v>45126</v>
      </c>
      <c r="E753" t="s">
        <v>14</v>
      </c>
      <c r="F753" t="s">
        <v>15</v>
      </c>
      <c r="G753" t="s">
        <v>203</v>
      </c>
      <c r="H753" t="s">
        <v>17</v>
      </c>
      <c r="I753" t="s">
        <v>950</v>
      </c>
      <c r="J753" t="s">
        <v>20</v>
      </c>
      <c r="K753">
        <v>1</v>
      </c>
      <c r="L753">
        <v>1235000</v>
      </c>
      <c r="M753">
        <v>0</v>
      </c>
      <c r="N753">
        <v>907000</v>
      </c>
      <c r="O753">
        <v>1235000</v>
      </c>
    </row>
    <row r="754" spans="1:15" x14ac:dyDescent="0.35">
      <c r="A754" t="s">
        <v>951</v>
      </c>
      <c r="B754">
        <v>1133885.2459016393</v>
      </c>
      <c r="C754" t="s">
        <v>957</v>
      </c>
      <c r="D754" s="1">
        <v>45128</v>
      </c>
      <c r="E754" t="s">
        <v>14</v>
      </c>
      <c r="F754" t="s">
        <v>15</v>
      </c>
      <c r="G754" t="s">
        <v>186</v>
      </c>
      <c r="H754" t="s">
        <v>23</v>
      </c>
      <c r="I754" t="s">
        <v>950</v>
      </c>
      <c r="J754" t="s">
        <v>20</v>
      </c>
      <c r="K754">
        <v>3</v>
      </c>
      <c r="L754">
        <v>996000</v>
      </c>
      <c r="M754">
        <v>0</v>
      </c>
      <c r="N754">
        <v>735000</v>
      </c>
      <c r="O754">
        <v>996000</v>
      </c>
    </row>
    <row r="755" spans="1:15" x14ac:dyDescent="0.35">
      <c r="A755" t="s">
        <v>951</v>
      </c>
      <c r="B755">
        <v>1133885.2459016393</v>
      </c>
      <c r="C755" t="s">
        <v>958</v>
      </c>
      <c r="D755" s="1">
        <v>45221</v>
      </c>
      <c r="E755" t="s">
        <v>14</v>
      </c>
      <c r="F755" t="s">
        <v>15</v>
      </c>
      <c r="G755" t="s">
        <v>130</v>
      </c>
      <c r="H755" t="s">
        <v>28</v>
      </c>
      <c r="I755" t="s">
        <v>950</v>
      </c>
      <c r="J755" t="s">
        <v>20</v>
      </c>
      <c r="K755">
        <v>1</v>
      </c>
      <c r="L755">
        <v>1050000</v>
      </c>
      <c r="M755">
        <v>0</v>
      </c>
      <c r="N755">
        <v>772000</v>
      </c>
      <c r="O755">
        <v>1050000</v>
      </c>
    </row>
    <row r="756" spans="1:15" x14ac:dyDescent="0.35">
      <c r="A756" t="s">
        <v>951</v>
      </c>
      <c r="B756">
        <v>1133885.2459016393</v>
      </c>
      <c r="C756" t="s">
        <v>959</v>
      </c>
      <c r="D756" s="1">
        <v>45269</v>
      </c>
      <c r="E756" t="s">
        <v>14</v>
      </c>
      <c r="F756" t="s">
        <v>15</v>
      </c>
      <c r="G756" t="s">
        <v>123</v>
      </c>
      <c r="H756" t="s">
        <v>28</v>
      </c>
      <c r="I756" t="s">
        <v>950</v>
      </c>
      <c r="J756" t="s">
        <v>20</v>
      </c>
      <c r="K756">
        <v>1</v>
      </c>
      <c r="L756">
        <v>1286000</v>
      </c>
      <c r="M756">
        <v>0</v>
      </c>
      <c r="N756">
        <v>935000</v>
      </c>
      <c r="O756">
        <v>1286000</v>
      </c>
    </row>
    <row r="757" spans="1:15" x14ac:dyDescent="0.35">
      <c r="A757" t="s">
        <v>951</v>
      </c>
      <c r="B757">
        <v>1133885.2459016393</v>
      </c>
      <c r="C757" t="s">
        <v>960</v>
      </c>
      <c r="D757" s="1">
        <v>45276</v>
      </c>
      <c r="E757" t="s">
        <v>25</v>
      </c>
      <c r="F757" t="s">
        <v>26</v>
      </c>
      <c r="G757" t="s">
        <v>825</v>
      </c>
      <c r="H757" t="s">
        <v>23</v>
      </c>
      <c r="I757" t="s">
        <v>950</v>
      </c>
      <c r="J757" t="s">
        <v>20</v>
      </c>
      <c r="K757">
        <v>1</v>
      </c>
      <c r="L757">
        <v>1153000</v>
      </c>
      <c r="M757">
        <v>0</v>
      </c>
      <c r="N757">
        <v>813000</v>
      </c>
      <c r="O757">
        <v>1153000</v>
      </c>
    </row>
    <row r="758" spans="1:15" x14ac:dyDescent="0.35">
      <c r="A758" t="s">
        <v>951</v>
      </c>
      <c r="B758">
        <v>1133885.2459016393</v>
      </c>
      <c r="C758" t="s">
        <v>961</v>
      </c>
      <c r="D758" s="1">
        <v>45294</v>
      </c>
      <c r="E758" t="s">
        <v>25</v>
      </c>
      <c r="F758" t="s">
        <v>26</v>
      </c>
      <c r="G758" t="s">
        <v>224</v>
      </c>
      <c r="H758" t="s">
        <v>23</v>
      </c>
      <c r="I758" t="s">
        <v>950</v>
      </c>
      <c r="J758" t="s">
        <v>20</v>
      </c>
      <c r="K758">
        <v>1</v>
      </c>
      <c r="L758">
        <v>960000</v>
      </c>
      <c r="M758">
        <v>0</v>
      </c>
      <c r="N758">
        <v>706000</v>
      </c>
      <c r="O758">
        <v>960000</v>
      </c>
    </row>
    <row r="759" spans="1:15" x14ac:dyDescent="0.35">
      <c r="A759" t="s">
        <v>951</v>
      </c>
      <c r="B759">
        <v>1133885.2459016393</v>
      </c>
      <c r="C759" t="s">
        <v>962</v>
      </c>
      <c r="D759" s="1">
        <v>45331</v>
      </c>
      <c r="E759" t="s">
        <v>36</v>
      </c>
      <c r="F759" t="s">
        <v>37</v>
      </c>
      <c r="G759" t="s">
        <v>152</v>
      </c>
      <c r="H759" t="s">
        <v>23</v>
      </c>
      <c r="I759" t="s">
        <v>950</v>
      </c>
      <c r="J759" t="s">
        <v>20</v>
      </c>
      <c r="K759">
        <v>5</v>
      </c>
      <c r="L759">
        <v>897000</v>
      </c>
      <c r="M759">
        <v>0</v>
      </c>
      <c r="N759">
        <v>649000</v>
      </c>
      <c r="O759">
        <v>897000</v>
      </c>
    </row>
    <row r="760" spans="1:15" x14ac:dyDescent="0.35">
      <c r="A760" t="s">
        <v>951</v>
      </c>
      <c r="B760">
        <v>1133885.2459016393</v>
      </c>
      <c r="C760" t="s">
        <v>963</v>
      </c>
      <c r="D760" s="1">
        <v>45347</v>
      </c>
      <c r="E760" t="s">
        <v>14</v>
      </c>
      <c r="F760" t="s">
        <v>15</v>
      </c>
      <c r="G760" t="s">
        <v>63</v>
      </c>
      <c r="H760" t="s">
        <v>28</v>
      </c>
      <c r="I760" t="s">
        <v>950</v>
      </c>
      <c r="J760" t="s">
        <v>20</v>
      </c>
      <c r="K760">
        <v>1</v>
      </c>
      <c r="L760">
        <v>1308000</v>
      </c>
      <c r="M760">
        <v>0.1</v>
      </c>
      <c r="N760">
        <v>945000</v>
      </c>
      <c r="O760">
        <v>1308000</v>
      </c>
    </row>
    <row r="761" spans="1:15" x14ac:dyDescent="0.35">
      <c r="A761" t="s">
        <v>951</v>
      </c>
      <c r="B761">
        <v>1133885.2459016393</v>
      </c>
      <c r="C761" t="s">
        <v>964</v>
      </c>
      <c r="D761" s="1">
        <v>45386</v>
      </c>
      <c r="E761" t="s">
        <v>14</v>
      </c>
      <c r="F761" t="s">
        <v>15</v>
      </c>
      <c r="G761" t="s">
        <v>208</v>
      </c>
      <c r="H761" t="s">
        <v>23</v>
      </c>
      <c r="I761" t="s">
        <v>950</v>
      </c>
      <c r="J761" t="s">
        <v>20</v>
      </c>
      <c r="K761">
        <v>3</v>
      </c>
      <c r="L761">
        <v>883000</v>
      </c>
      <c r="M761">
        <v>0.05</v>
      </c>
      <c r="N761">
        <v>651000</v>
      </c>
      <c r="O761">
        <v>883000</v>
      </c>
    </row>
    <row r="762" spans="1:15" x14ac:dyDescent="0.35">
      <c r="A762" t="s">
        <v>951</v>
      </c>
      <c r="B762">
        <v>1133885.2459016393</v>
      </c>
      <c r="C762" t="s">
        <v>965</v>
      </c>
      <c r="D762" s="1">
        <v>45402</v>
      </c>
      <c r="E762" t="s">
        <v>14</v>
      </c>
      <c r="F762" t="s">
        <v>15</v>
      </c>
      <c r="G762" t="s">
        <v>76</v>
      </c>
      <c r="H762" t="s">
        <v>23</v>
      </c>
      <c r="I762" t="s">
        <v>950</v>
      </c>
      <c r="J762" t="s">
        <v>20</v>
      </c>
      <c r="K762">
        <v>1</v>
      </c>
      <c r="L762">
        <v>1231000</v>
      </c>
      <c r="M762">
        <v>0</v>
      </c>
      <c r="N762">
        <v>867000</v>
      </c>
      <c r="O762">
        <v>1231000</v>
      </c>
    </row>
    <row r="763" spans="1:15" x14ac:dyDescent="0.35">
      <c r="A763" t="s">
        <v>951</v>
      </c>
      <c r="B763">
        <v>1133885.2459016393</v>
      </c>
      <c r="C763" t="s">
        <v>966</v>
      </c>
      <c r="D763" s="1">
        <v>45408</v>
      </c>
      <c r="E763" t="s">
        <v>49</v>
      </c>
      <c r="F763" t="s">
        <v>50</v>
      </c>
      <c r="G763" t="s">
        <v>208</v>
      </c>
      <c r="H763" t="s">
        <v>23</v>
      </c>
      <c r="I763" t="s">
        <v>950</v>
      </c>
      <c r="J763" t="s">
        <v>20</v>
      </c>
      <c r="K763">
        <v>1</v>
      </c>
      <c r="L763">
        <v>899000</v>
      </c>
      <c r="M763">
        <v>0</v>
      </c>
      <c r="N763">
        <v>633000</v>
      </c>
      <c r="O763">
        <v>899000</v>
      </c>
    </row>
    <row r="764" spans="1:15" x14ac:dyDescent="0.35">
      <c r="A764" t="s">
        <v>951</v>
      </c>
      <c r="B764">
        <v>1133885.2459016393</v>
      </c>
      <c r="C764" t="s">
        <v>967</v>
      </c>
      <c r="D764" s="1">
        <v>45432</v>
      </c>
      <c r="E764" t="s">
        <v>14</v>
      </c>
      <c r="F764" t="s">
        <v>15</v>
      </c>
      <c r="G764" t="s">
        <v>489</v>
      </c>
      <c r="H764" t="s">
        <v>17</v>
      </c>
      <c r="I764" t="s">
        <v>950</v>
      </c>
      <c r="J764" t="s">
        <v>20</v>
      </c>
      <c r="K764">
        <v>1</v>
      </c>
      <c r="L764">
        <v>900000</v>
      </c>
      <c r="M764">
        <v>0</v>
      </c>
      <c r="N764">
        <v>643000</v>
      </c>
      <c r="O764">
        <v>900000</v>
      </c>
    </row>
    <row r="765" spans="1:15" x14ac:dyDescent="0.35">
      <c r="A765" t="s">
        <v>951</v>
      </c>
      <c r="B765">
        <v>1133885.2459016393</v>
      </c>
      <c r="C765" t="s">
        <v>968</v>
      </c>
      <c r="D765" s="1">
        <v>45435</v>
      </c>
      <c r="E765" t="s">
        <v>36</v>
      </c>
      <c r="F765" t="s">
        <v>37</v>
      </c>
      <c r="G765" t="s">
        <v>359</v>
      </c>
      <c r="H765" t="s">
        <v>23</v>
      </c>
      <c r="I765" t="s">
        <v>950</v>
      </c>
      <c r="J765" t="s">
        <v>20</v>
      </c>
      <c r="K765">
        <v>1</v>
      </c>
      <c r="L765">
        <v>1342000</v>
      </c>
      <c r="M765">
        <v>0</v>
      </c>
      <c r="N765">
        <v>965000</v>
      </c>
      <c r="O765">
        <v>1342000</v>
      </c>
    </row>
    <row r="766" spans="1:15" x14ac:dyDescent="0.35">
      <c r="A766" t="s">
        <v>951</v>
      </c>
      <c r="B766">
        <v>1133885.2459016393</v>
      </c>
      <c r="C766" t="s">
        <v>969</v>
      </c>
      <c r="D766" s="1">
        <v>45441</v>
      </c>
      <c r="E766" t="s">
        <v>36</v>
      </c>
      <c r="F766" t="s">
        <v>37</v>
      </c>
      <c r="G766" t="s">
        <v>489</v>
      </c>
      <c r="H766" t="s">
        <v>17</v>
      </c>
      <c r="I766" t="s">
        <v>950</v>
      </c>
      <c r="J766" t="s">
        <v>20</v>
      </c>
      <c r="K766">
        <v>1</v>
      </c>
      <c r="L766">
        <v>885000</v>
      </c>
      <c r="M766">
        <v>0</v>
      </c>
      <c r="N766">
        <v>645000</v>
      </c>
      <c r="O766">
        <v>885000</v>
      </c>
    </row>
    <row r="767" spans="1:15" x14ac:dyDescent="0.35">
      <c r="A767" t="s">
        <v>951</v>
      </c>
      <c r="B767">
        <v>1133885.2459016393</v>
      </c>
      <c r="C767" t="s">
        <v>970</v>
      </c>
      <c r="D767" s="1">
        <v>45442</v>
      </c>
      <c r="E767" t="s">
        <v>36</v>
      </c>
      <c r="F767" t="s">
        <v>37</v>
      </c>
      <c r="G767" t="s">
        <v>203</v>
      </c>
      <c r="H767" t="s">
        <v>17</v>
      </c>
      <c r="I767" t="s">
        <v>950</v>
      </c>
      <c r="J767" t="s">
        <v>20</v>
      </c>
      <c r="K767">
        <v>1</v>
      </c>
      <c r="L767">
        <v>868000</v>
      </c>
      <c r="M767">
        <v>0.05</v>
      </c>
      <c r="N767">
        <v>634000</v>
      </c>
      <c r="O767">
        <v>868000</v>
      </c>
    </row>
    <row r="768" spans="1:15" x14ac:dyDescent="0.35">
      <c r="A768" t="s">
        <v>951</v>
      </c>
      <c r="B768">
        <v>1133885.2459016393</v>
      </c>
      <c r="C768" t="s">
        <v>971</v>
      </c>
      <c r="D768" s="1">
        <v>45459</v>
      </c>
      <c r="E768" t="s">
        <v>49</v>
      </c>
      <c r="F768" t="s">
        <v>50</v>
      </c>
      <c r="G768" t="s">
        <v>115</v>
      </c>
      <c r="H768" t="s">
        <v>23</v>
      </c>
      <c r="I768" t="s">
        <v>950</v>
      </c>
      <c r="J768" t="s">
        <v>20</v>
      </c>
      <c r="K768">
        <v>1</v>
      </c>
      <c r="L768">
        <v>1185000</v>
      </c>
      <c r="M768">
        <v>0</v>
      </c>
      <c r="N768">
        <v>869000</v>
      </c>
      <c r="O768">
        <v>1185000</v>
      </c>
    </row>
    <row r="769" spans="1:15" x14ac:dyDescent="0.35">
      <c r="A769" t="s">
        <v>951</v>
      </c>
      <c r="B769">
        <v>1133885.2459016393</v>
      </c>
      <c r="C769" t="s">
        <v>972</v>
      </c>
      <c r="D769" s="1">
        <v>45469</v>
      </c>
      <c r="E769" t="s">
        <v>41</v>
      </c>
      <c r="F769" t="s">
        <v>42</v>
      </c>
      <c r="G769" t="s">
        <v>99</v>
      </c>
      <c r="H769" t="s">
        <v>23</v>
      </c>
      <c r="I769" t="s">
        <v>950</v>
      </c>
      <c r="J769" t="s">
        <v>20</v>
      </c>
      <c r="K769">
        <v>1</v>
      </c>
      <c r="L769">
        <v>1131000</v>
      </c>
      <c r="M769">
        <v>0</v>
      </c>
      <c r="N769">
        <v>818000</v>
      </c>
      <c r="O769">
        <v>1131000</v>
      </c>
    </row>
    <row r="770" spans="1:15" x14ac:dyDescent="0.35">
      <c r="A770" t="s">
        <v>951</v>
      </c>
      <c r="B770">
        <v>1133885.2459016393</v>
      </c>
      <c r="C770" t="s">
        <v>973</v>
      </c>
      <c r="D770" s="1">
        <v>45545</v>
      </c>
      <c r="E770" t="s">
        <v>49</v>
      </c>
      <c r="F770" t="s">
        <v>50</v>
      </c>
      <c r="G770" t="s">
        <v>32</v>
      </c>
      <c r="H770" t="s">
        <v>23</v>
      </c>
      <c r="I770" t="s">
        <v>950</v>
      </c>
      <c r="J770" t="s">
        <v>20</v>
      </c>
      <c r="K770">
        <v>2</v>
      </c>
      <c r="L770">
        <v>930000</v>
      </c>
      <c r="M770">
        <v>0</v>
      </c>
      <c r="N770">
        <v>671000</v>
      </c>
      <c r="O770">
        <v>930000</v>
      </c>
    </row>
    <row r="771" spans="1:15" x14ac:dyDescent="0.35">
      <c r="A771" t="s">
        <v>951</v>
      </c>
      <c r="B771">
        <v>1133885.2459016393</v>
      </c>
      <c r="C771" t="s">
        <v>974</v>
      </c>
      <c r="D771" s="1">
        <v>45564</v>
      </c>
      <c r="E771" t="s">
        <v>14</v>
      </c>
      <c r="F771" t="s">
        <v>15</v>
      </c>
      <c r="G771" t="s">
        <v>210</v>
      </c>
      <c r="H771" t="s">
        <v>23</v>
      </c>
      <c r="I771" t="s">
        <v>950</v>
      </c>
      <c r="J771" t="s">
        <v>20</v>
      </c>
      <c r="K771">
        <v>1</v>
      </c>
      <c r="L771">
        <v>1287000</v>
      </c>
      <c r="M771">
        <v>0</v>
      </c>
      <c r="N771">
        <v>932000</v>
      </c>
      <c r="O771">
        <v>1287000</v>
      </c>
    </row>
    <row r="772" spans="1:15" x14ac:dyDescent="0.35">
      <c r="A772" t="s">
        <v>951</v>
      </c>
      <c r="B772">
        <v>1133885.2459016393</v>
      </c>
      <c r="C772" t="s">
        <v>975</v>
      </c>
      <c r="D772" s="1">
        <v>45578</v>
      </c>
      <c r="E772" t="s">
        <v>41</v>
      </c>
      <c r="F772" t="s">
        <v>42</v>
      </c>
      <c r="G772" t="s">
        <v>85</v>
      </c>
      <c r="H772" t="s">
        <v>23</v>
      </c>
      <c r="I772" t="s">
        <v>950</v>
      </c>
      <c r="J772" t="s">
        <v>20</v>
      </c>
      <c r="K772">
        <v>2</v>
      </c>
      <c r="L772">
        <v>1226000</v>
      </c>
      <c r="M772">
        <v>0.05</v>
      </c>
      <c r="N772">
        <v>879000</v>
      </c>
      <c r="O772">
        <v>1226000</v>
      </c>
    </row>
    <row r="773" spans="1:15" x14ac:dyDescent="0.35">
      <c r="A773" t="s">
        <v>951</v>
      </c>
      <c r="B773">
        <v>1133885.2459016393</v>
      </c>
      <c r="C773" t="s">
        <v>976</v>
      </c>
      <c r="D773" s="1">
        <v>45584</v>
      </c>
      <c r="E773" t="s">
        <v>36</v>
      </c>
      <c r="F773" t="s">
        <v>37</v>
      </c>
      <c r="G773" t="s">
        <v>524</v>
      </c>
      <c r="H773" t="s">
        <v>17</v>
      </c>
      <c r="I773" t="s">
        <v>950</v>
      </c>
      <c r="J773" t="s">
        <v>20</v>
      </c>
      <c r="K773">
        <v>2</v>
      </c>
      <c r="L773">
        <v>1280000</v>
      </c>
      <c r="M773">
        <v>0</v>
      </c>
      <c r="N773">
        <v>912000</v>
      </c>
      <c r="O773">
        <v>1280000</v>
      </c>
    </row>
    <row r="774" spans="1:15" x14ac:dyDescent="0.35">
      <c r="A774" t="s">
        <v>951</v>
      </c>
      <c r="B774">
        <v>1133885.2459016393</v>
      </c>
      <c r="C774" t="s">
        <v>977</v>
      </c>
      <c r="D774" s="1">
        <v>45599</v>
      </c>
      <c r="E774" t="s">
        <v>14</v>
      </c>
      <c r="F774" t="s">
        <v>15</v>
      </c>
      <c r="G774" t="s">
        <v>45</v>
      </c>
      <c r="H774" t="s">
        <v>17</v>
      </c>
      <c r="I774" t="s">
        <v>950</v>
      </c>
      <c r="J774" t="s">
        <v>20</v>
      </c>
      <c r="K774">
        <v>1</v>
      </c>
      <c r="L774">
        <v>1107000</v>
      </c>
      <c r="M774">
        <v>0</v>
      </c>
      <c r="N774">
        <v>804000</v>
      </c>
      <c r="O774">
        <v>1107000</v>
      </c>
    </row>
    <row r="775" spans="1:15" x14ac:dyDescent="0.35">
      <c r="A775" t="s">
        <v>951</v>
      </c>
      <c r="B775">
        <v>1133885.2459016393</v>
      </c>
      <c r="C775" t="s">
        <v>978</v>
      </c>
      <c r="D775" s="1">
        <v>45607</v>
      </c>
      <c r="E775" t="s">
        <v>14</v>
      </c>
      <c r="F775" t="s">
        <v>15</v>
      </c>
      <c r="G775" t="s">
        <v>311</v>
      </c>
      <c r="H775" t="s">
        <v>17</v>
      </c>
      <c r="I775" t="s">
        <v>950</v>
      </c>
      <c r="J775" t="s">
        <v>20</v>
      </c>
      <c r="K775">
        <v>2</v>
      </c>
      <c r="L775">
        <v>1178000</v>
      </c>
      <c r="M775">
        <v>0</v>
      </c>
      <c r="N775">
        <v>856000</v>
      </c>
      <c r="O775">
        <v>1178000</v>
      </c>
    </row>
    <row r="776" spans="1:15" x14ac:dyDescent="0.35">
      <c r="A776" t="s">
        <v>951</v>
      </c>
      <c r="B776">
        <v>1133885.2459016393</v>
      </c>
      <c r="C776" t="s">
        <v>979</v>
      </c>
      <c r="D776" s="1">
        <v>45611</v>
      </c>
      <c r="E776" t="s">
        <v>14</v>
      </c>
      <c r="F776" t="s">
        <v>15</v>
      </c>
      <c r="G776" t="s">
        <v>315</v>
      </c>
      <c r="H776" t="s">
        <v>23</v>
      </c>
      <c r="I776" t="s">
        <v>950</v>
      </c>
      <c r="J776" t="s">
        <v>20</v>
      </c>
      <c r="K776">
        <v>1</v>
      </c>
      <c r="L776">
        <v>969000</v>
      </c>
      <c r="M776">
        <v>0</v>
      </c>
      <c r="N776">
        <v>690000</v>
      </c>
      <c r="O776">
        <v>969000</v>
      </c>
    </row>
    <row r="777" spans="1:15" x14ac:dyDescent="0.35">
      <c r="A777" t="s">
        <v>951</v>
      </c>
      <c r="B777">
        <v>1133885.2459016393</v>
      </c>
      <c r="C777" t="s">
        <v>980</v>
      </c>
      <c r="D777" s="1">
        <v>45620</v>
      </c>
      <c r="E777" t="s">
        <v>14</v>
      </c>
      <c r="F777" t="s">
        <v>15</v>
      </c>
      <c r="G777" t="s">
        <v>432</v>
      </c>
      <c r="H777" t="s">
        <v>23</v>
      </c>
      <c r="I777" t="s">
        <v>950</v>
      </c>
      <c r="J777" t="s">
        <v>20</v>
      </c>
      <c r="K777">
        <v>2</v>
      </c>
      <c r="L777">
        <v>1198000</v>
      </c>
      <c r="M777">
        <v>0</v>
      </c>
      <c r="N777">
        <v>868000</v>
      </c>
      <c r="O777">
        <v>1198000</v>
      </c>
    </row>
    <row r="778" spans="1:15" x14ac:dyDescent="0.35">
      <c r="A778" t="s">
        <v>951</v>
      </c>
      <c r="B778">
        <v>1133885.2459016393</v>
      </c>
      <c r="C778" t="s">
        <v>981</v>
      </c>
      <c r="D778" s="1">
        <v>45624</v>
      </c>
      <c r="E778" t="s">
        <v>49</v>
      </c>
      <c r="F778" t="s">
        <v>50</v>
      </c>
      <c r="G778" t="s">
        <v>195</v>
      </c>
      <c r="H778" t="s">
        <v>23</v>
      </c>
      <c r="I778" t="s">
        <v>950</v>
      </c>
      <c r="J778" t="s">
        <v>20</v>
      </c>
      <c r="K778">
        <v>2</v>
      </c>
      <c r="L778">
        <v>894000</v>
      </c>
      <c r="M778">
        <v>0</v>
      </c>
      <c r="N778">
        <v>644000</v>
      </c>
      <c r="O778">
        <v>894000</v>
      </c>
    </row>
    <row r="779" spans="1:15" x14ac:dyDescent="0.35">
      <c r="A779" t="s">
        <v>951</v>
      </c>
      <c r="B779">
        <v>1133885.2459016393</v>
      </c>
      <c r="C779" t="s">
        <v>982</v>
      </c>
      <c r="D779" s="1">
        <v>45641</v>
      </c>
      <c r="E779" t="s">
        <v>36</v>
      </c>
      <c r="F779" t="s">
        <v>37</v>
      </c>
      <c r="G779" t="s">
        <v>432</v>
      </c>
      <c r="H779" t="s">
        <v>23</v>
      </c>
      <c r="I779" t="s">
        <v>950</v>
      </c>
      <c r="J779" t="s">
        <v>20</v>
      </c>
      <c r="K779">
        <v>1</v>
      </c>
      <c r="L779">
        <v>1114000</v>
      </c>
      <c r="M779">
        <v>0</v>
      </c>
      <c r="N779">
        <v>798000</v>
      </c>
      <c r="O779">
        <v>1114000</v>
      </c>
    </row>
    <row r="780" spans="1:15" x14ac:dyDescent="0.35">
      <c r="A780" t="s">
        <v>951</v>
      </c>
      <c r="B780">
        <v>1133885.2459016393</v>
      </c>
      <c r="C780" t="s">
        <v>983</v>
      </c>
      <c r="D780" s="1">
        <v>45651</v>
      </c>
      <c r="E780" t="s">
        <v>14</v>
      </c>
      <c r="F780" t="s">
        <v>15</v>
      </c>
      <c r="G780" t="s">
        <v>182</v>
      </c>
      <c r="H780" t="s">
        <v>23</v>
      </c>
      <c r="I780" t="s">
        <v>950</v>
      </c>
      <c r="J780" t="s">
        <v>20</v>
      </c>
      <c r="K780">
        <v>2</v>
      </c>
      <c r="L780">
        <v>1120000</v>
      </c>
      <c r="M780">
        <v>0</v>
      </c>
      <c r="N780">
        <v>791000</v>
      </c>
      <c r="O780">
        <v>1120000</v>
      </c>
    </row>
    <row r="781" spans="1:15" x14ac:dyDescent="0.35">
      <c r="A781" t="s">
        <v>951</v>
      </c>
      <c r="B781">
        <v>1133885.2459016393</v>
      </c>
      <c r="C781" t="s">
        <v>984</v>
      </c>
      <c r="D781" s="1">
        <v>45703</v>
      </c>
      <c r="E781" t="s">
        <v>41</v>
      </c>
      <c r="F781" t="s">
        <v>42</v>
      </c>
      <c r="G781" t="s">
        <v>301</v>
      </c>
      <c r="H781" t="s">
        <v>28</v>
      </c>
      <c r="I781" t="s">
        <v>950</v>
      </c>
      <c r="J781" t="s">
        <v>20</v>
      </c>
      <c r="K781">
        <v>1</v>
      </c>
      <c r="L781">
        <v>1161000</v>
      </c>
      <c r="M781">
        <v>0</v>
      </c>
      <c r="N781">
        <v>819000</v>
      </c>
      <c r="O781">
        <v>1161000</v>
      </c>
    </row>
    <row r="782" spans="1:15" x14ac:dyDescent="0.35">
      <c r="A782" t="s">
        <v>951</v>
      </c>
      <c r="B782">
        <v>1133885.2459016393</v>
      </c>
      <c r="C782" t="s">
        <v>985</v>
      </c>
      <c r="D782" s="1">
        <v>45706</v>
      </c>
      <c r="E782" t="s">
        <v>41</v>
      </c>
      <c r="F782" t="s">
        <v>42</v>
      </c>
      <c r="G782" t="s">
        <v>447</v>
      </c>
      <c r="H782" t="s">
        <v>23</v>
      </c>
      <c r="I782" t="s">
        <v>950</v>
      </c>
      <c r="J782" t="s">
        <v>20</v>
      </c>
      <c r="K782">
        <v>1</v>
      </c>
      <c r="L782">
        <v>905000</v>
      </c>
      <c r="M782">
        <v>0</v>
      </c>
      <c r="N782">
        <v>664000</v>
      </c>
      <c r="O782">
        <v>905000</v>
      </c>
    </row>
    <row r="783" spans="1:15" x14ac:dyDescent="0.35">
      <c r="A783" t="s">
        <v>951</v>
      </c>
      <c r="B783">
        <v>1133885.2459016393</v>
      </c>
      <c r="C783" t="s">
        <v>986</v>
      </c>
      <c r="D783" s="1">
        <v>45763</v>
      </c>
      <c r="E783" t="s">
        <v>14</v>
      </c>
      <c r="F783" t="s">
        <v>15</v>
      </c>
      <c r="G783" t="s">
        <v>69</v>
      </c>
      <c r="H783" t="s">
        <v>23</v>
      </c>
      <c r="I783" t="s">
        <v>950</v>
      </c>
      <c r="J783" t="s">
        <v>20</v>
      </c>
      <c r="K783">
        <v>1</v>
      </c>
      <c r="L783">
        <v>1265000</v>
      </c>
      <c r="M783">
        <v>0.05</v>
      </c>
      <c r="N783">
        <v>898000</v>
      </c>
      <c r="O783">
        <v>1265000</v>
      </c>
    </row>
    <row r="784" spans="1:15" x14ac:dyDescent="0.35">
      <c r="A784" t="s">
        <v>951</v>
      </c>
      <c r="B784">
        <v>1133885.2459016393</v>
      </c>
      <c r="C784" t="s">
        <v>987</v>
      </c>
      <c r="D784" s="1">
        <v>45783</v>
      </c>
      <c r="E784" t="s">
        <v>49</v>
      </c>
      <c r="F784" t="s">
        <v>50</v>
      </c>
      <c r="G784" t="s">
        <v>71</v>
      </c>
      <c r="H784" t="s">
        <v>23</v>
      </c>
      <c r="I784" t="s">
        <v>950</v>
      </c>
      <c r="J784" t="s">
        <v>20</v>
      </c>
      <c r="K784">
        <v>1</v>
      </c>
      <c r="L784">
        <v>910000</v>
      </c>
      <c r="M784">
        <v>0</v>
      </c>
      <c r="N784">
        <v>653000</v>
      </c>
      <c r="O784">
        <v>910000</v>
      </c>
    </row>
    <row r="785" spans="1:15" x14ac:dyDescent="0.35">
      <c r="A785" t="s">
        <v>951</v>
      </c>
      <c r="B785">
        <v>1133885.2459016393</v>
      </c>
      <c r="C785" t="s">
        <v>988</v>
      </c>
      <c r="D785" s="1">
        <v>45813</v>
      </c>
      <c r="E785" t="s">
        <v>14</v>
      </c>
      <c r="F785" t="s">
        <v>15</v>
      </c>
      <c r="G785" t="s">
        <v>333</v>
      </c>
      <c r="H785" t="s">
        <v>17</v>
      </c>
      <c r="I785" t="s">
        <v>950</v>
      </c>
      <c r="J785" t="s">
        <v>20</v>
      </c>
      <c r="K785">
        <v>1</v>
      </c>
      <c r="L785">
        <v>1058000</v>
      </c>
      <c r="M785">
        <v>0</v>
      </c>
      <c r="N785">
        <v>756000</v>
      </c>
      <c r="O785">
        <v>1058000</v>
      </c>
    </row>
    <row r="786" spans="1:15" x14ac:dyDescent="0.35">
      <c r="A786" t="s">
        <v>951</v>
      </c>
      <c r="B786">
        <v>1133885.2459016393</v>
      </c>
      <c r="C786" t="s">
        <v>989</v>
      </c>
      <c r="D786" s="1">
        <v>45819</v>
      </c>
      <c r="E786" t="s">
        <v>36</v>
      </c>
      <c r="F786" t="s">
        <v>37</v>
      </c>
      <c r="G786" t="s">
        <v>402</v>
      </c>
      <c r="H786" t="s">
        <v>23</v>
      </c>
      <c r="I786" t="s">
        <v>950</v>
      </c>
      <c r="J786" t="s">
        <v>20</v>
      </c>
      <c r="K786">
        <v>1</v>
      </c>
      <c r="L786">
        <v>1408000</v>
      </c>
      <c r="M786">
        <v>0.1</v>
      </c>
      <c r="N786">
        <v>987000</v>
      </c>
      <c r="O786">
        <v>1408000</v>
      </c>
    </row>
    <row r="787" spans="1:15" x14ac:dyDescent="0.35">
      <c r="A787" t="s">
        <v>951</v>
      </c>
      <c r="B787">
        <v>1133885.2459016393</v>
      </c>
      <c r="C787" t="s">
        <v>990</v>
      </c>
      <c r="D787" s="1">
        <v>45826</v>
      </c>
      <c r="E787" t="s">
        <v>41</v>
      </c>
      <c r="F787" t="s">
        <v>42</v>
      </c>
      <c r="G787" t="s">
        <v>76</v>
      </c>
      <c r="H787" t="s">
        <v>23</v>
      </c>
      <c r="I787" t="s">
        <v>950</v>
      </c>
      <c r="J787" t="s">
        <v>20</v>
      </c>
      <c r="K787">
        <v>5</v>
      </c>
      <c r="L787">
        <v>1133885.2459016393</v>
      </c>
      <c r="M787">
        <v>0</v>
      </c>
      <c r="N787">
        <v>756000</v>
      </c>
      <c r="O787">
        <v>1133885.2459016393</v>
      </c>
    </row>
    <row r="788" spans="1:15" x14ac:dyDescent="0.35">
      <c r="A788" t="s">
        <v>951</v>
      </c>
      <c r="B788">
        <v>1133885.2459016393</v>
      </c>
      <c r="C788" t="s">
        <v>991</v>
      </c>
      <c r="D788" s="1">
        <v>45829</v>
      </c>
      <c r="E788" t="s">
        <v>36</v>
      </c>
      <c r="F788" t="s">
        <v>37</v>
      </c>
      <c r="G788" t="s">
        <v>274</v>
      </c>
      <c r="H788" t="s">
        <v>58</v>
      </c>
      <c r="I788" t="s">
        <v>950</v>
      </c>
      <c r="J788" t="s">
        <v>20</v>
      </c>
      <c r="K788">
        <v>2</v>
      </c>
      <c r="L788">
        <v>1056000</v>
      </c>
      <c r="M788">
        <v>0.15</v>
      </c>
      <c r="N788">
        <v>752000</v>
      </c>
      <c r="O788">
        <v>1056000</v>
      </c>
    </row>
    <row r="789" spans="1:15" x14ac:dyDescent="0.35">
      <c r="A789" t="s">
        <v>951</v>
      </c>
      <c r="B789">
        <v>1133885.2459016393</v>
      </c>
      <c r="C789" t="s">
        <v>992</v>
      </c>
      <c r="D789" s="1">
        <v>45831</v>
      </c>
      <c r="E789" t="s">
        <v>49</v>
      </c>
      <c r="F789" t="s">
        <v>50</v>
      </c>
      <c r="G789" t="s">
        <v>255</v>
      </c>
      <c r="H789" t="s">
        <v>17</v>
      </c>
      <c r="I789" t="s">
        <v>950</v>
      </c>
      <c r="J789" t="s">
        <v>20</v>
      </c>
      <c r="K789">
        <v>3</v>
      </c>
      <c r="L789">
        <v>1295000</v>
      </c>
      <c r="M789">
        <v>0</v>
      </c>
      <c r="N789">
        <v>944000</v>
      </c>
      <c r="O789">
        <v>1295000</v>
      </c>
    </row>
    <row r="790" spans="1:15" x14ac:dyDescent="0.35">
      <c r="A790" t="s">
        <v>951</v>
      </c>
      <c r="B790">
        <v>1133885.2459016393</v>
      </c>
      <c r="C790" t="s">
        <v>993</v>
      </c>
      <c r="D790" s="1">
        <v>45847</v>
      </c>
      <c r="E790" t="s">
        <v>14</v>
      </c>
      <c r="F790" t="s">
        <v>15</v>
      </c>
      <c r="G790" t="s">
        <v>239</v>
      </c>
      <c r="H790" t="s">
        <v>23</v>
      </c>
      <c r="I790" t="s">
        <v>950</v>
      </c>
      <c r="J790" t="s">
        <v>20</v>
      </c>
      <c r="K790">
        <v>3</v>
      </c>
      <c r="L790">
        <v>1051000</v>
      </c>
      <c r="M790">
        <v>0</v>
      </c>
      <c r="N790">
        <v>739000</v>
      </c>
      <c r="O790">
        <v>1051000</v>
      </c>
    </row>
    <row r="791" spans="1:15" x14ac:dyDescent="0.35">
      <c r="A791" t="s">
        <v>951</v>
      </c>
      <c r="B791">
        <v>1133885.2459016393</v>
      </c>
      <c r="C791" t="s">
        <v>994</v>
      </c>
      <c r="D791" s="1">
        <v>45856</v>
      </c>
      <c r="E791" t="s">
        <v>14</v>
      </c>
      <c r="F791" t="s">
        <v>15</v>
      </c>
      <c r="G791" t="s">
        <v>764</v>
      </c>
      <c r="H791" t="s">
        <v>17</v>
      </c>
      <c r="I791" t="s">
        <v>950</v>
      </c>
      <c r="J791" t="s">
        <v>20</v>
      </c>
      <c r="K791">
        <v>1</v>
      </c>
      <c r="L791">
        <v>1428000</v>
      </c>
      <c r="M791">
        <v>0</v>
      </c>
      <c r="N791">
        <v>1044000</v>
      </c>
      <c r="O791">
        <v>1428000</v>
      </c>
    </row>
    <row r="792" spans="1:15" x14ac:dyDescent="0.35">
      <c r="A792" t="s">
        <v>951</v>
      </c>
      <c r="B792">
        <v>1133885.2459016393</v>
      </c>
      <c r="C792" t="s">
        <v>995</v>
      </c>
      <c r="D792" s="1">
        <v>45858</v>
      </c>
      <c r="E792" t="s">
        <v>14</v>
      </c>
      <c r="F792" t="s">
        <v>15</v>
      </c>
      <c r="G792" t="s">
        <v>825</v>
      </c>
      <c r="H792" t="s">
        <v>23</v>
      </c>
      <c r="I792" t="s">
        <v>950</v>
      </c>
      <c r="J792" t="s">
        <v>20</v>
      </c>
      <c r="K792">
        <v>1</v>
      </c>
      <c r="L792">
        <v>1375000</v>
      </c>
      <c r="M792">
        <v>0</v>
      </c>
      <c r="N792">
        <v>990000</v>
      </c>
      <c r="O792">
        <v>1375000</v>
      </c>
    </row>
    <row r="793" spans="1:15" x14ac:dyDescent="0.35">
      <c r="A793" t="s">
        <v>951</v>
      </c>
      <c r="B793">
        <v>1133885.2459016393</v>
      </c>
      <c r="C793" t="s">
        <v>996</v>
      </c>
      <c r="D793" s="1">
        <v>45865</v>
      </c>
      <c r="E793" t="s">
        <v>41</v>
      </c>
      <c r="F793" t="s">
        <v>42</v>
      </c>
      <c r="G793" t="s">
        <v>634</v>
      </c>
      <c r="H793" t="s">
        <v>17</v>
      </c>
      <c r="I793" t="s">
        <v>950</v>
      </c>
      <c r="J793" t="s">
        <v>20</v>
      </c>
      <c r="K793">
        <v>1</v>
      </c>
      <c r="L793">
        <v>1376000</v>
      </c>
      <c r="M793">
        <v>0</v>
      </c>
      <c r="N793">
        <v>1003000</v>
      </c>
      <c r="O793">
        <v>1376000</v>
      </c>
    </row>
    <row r="794" spans="1:15" x14ac:dyDescent="0.35">
      <c r="A794" t="s">
        <v>951</v>
      </c>
      <c r="B794">
        <v>1133885.2459016393</v>
      </c>
      <c r="C794" t="s">
        <v>997</v>
      </c>
      <c r="D794" s="1">
        <v>45881</v>
      </c>
      <c r="E794" t="s">
        <v>25</v>
      </c>
      <c r="F794" t="s">
        <v>26</v>
      </c>
      <c r="G794" t="s">
        <v>182</v>
      </c>
      <c r="H794" t="s">
        <v>23</v>
      </c>
      <c r="I794" t="s">
        <v>950</v>
      </c>
      <c r="J794" t="s">
        <v>20</v>
      </c>
      <c r="K794">
        <v>2</v>
      </c>
      <c r="L794">
        <v>1194000</v>
      </c>
      <c r="M794">
        <v>0</v>
      </c>
      <c r="N794">
        <v>861000</v>
      </c>
      <c r="O794">
        <v>1194000</v>
      </c>
    </row>
    <row r="795" spans="1:15" x14ac:dyDescent="0.35">
      <c r="A795" t="s">
        <v>951</v>
      </c>
      <c r="B795">
        <v>1133885.2459016393</v>
      </c>
      <c r="C795" t="s">
        <v>998</v>
      </c>
      <c r="D795" s="1">
        <v>45976</v>
      </c>
      <c r="E795" t="s">
        <v>36</v>
      </c>
      <c r="F795" t="s">
        <v>37</v>
      </c>
      <c r="G795" t="s">
        <v>432</v>
      </c>
      <c r="H795" t="s">
        <v>23</v>
      </c>
      <c r="I795" t="s">
        <v>950</v>
      </c>
      <c r="J795" t="s">
        <v>20</v>
      </c>
      <c r="K795">
        <v>1</v>
      </c>
      <c r="L795">
        <v>1155000</v>
      </c>
      <c r="M795">
        <v>0</v>
      </c>
      <c r="N795">
        <v>814000</v>
      </c>
      <c r="O795">
        <v>1155000</v>
      </c>
    </row>
    <row r="796" spans="1:15" x14ac:dyDescent="0.35">
      <c r="A796" t="s">
        <v>951</v>
      </c>
      <c r="B796">
        <v>1133885.2459016393</v>
      </c>
      <c r="C796" t="s">
        <v>999</v>
      </c>
      <c r="D796" s="1">
        <v>45990</v>
      </c>
      <c r="E796" t="s">
        <v>36</v>
      </c>
      <c r="F796" t="s">
        <v>37</v>
      </c>
      <c r="G796" t="s">
        <v>136</v>
      </c>
      <c r="H796" t="s">
        <v>23</v>
      </c>
      <c r="I796" t="s">
        <v>950</v>
      </c>
      <c r="J796" t="s">
        <v>20</v>
      </c>
      <c r="K796">
        <v>1</v>
      </c>
      <c r="L796">
        <v>1133885.2459016393</v>
      </c>
      <c r="M796">
        <v>0.05</v>
      </c>
      <c r="N796">
        <v>0</v>
      </c>
      <c r="O796">
        <v>1133885.2459016393</v>
      </c>
    </row>
    <row r="797" spans="1:15" x14ac:dyDescent="0.35">
      <c r="A797" t="s">
        <v>951</v>
      </c>
      <c r="B797">
        <v>1133885.2459016393</v>
      </c>
      <c r="C797" t="s">
        <v>1000</v>
      </c>
      <c r="D797" s="1">
        <v>45992</v>
      </c>
      <c r="E797" t="s">
        <v>25</v>
      </c>
      <c r="F797" t="s">
        <v>26</v>
      </c>
      <c r="G797" t="s">
        <v>74</v>
      </c>
      <c r="H797" t="s">
        <v>23</v>
      </c>
      <c r="I797" t="s">
        <v>950</v>
      </c>
      <c r="J797" t="s">
        <v>20</v>
      </c>
      <c r="K797">
        <v>1</v>
      </c>
      <c r="L797">
        <v>1133885.2459016393</v>
      </c>
      <c r="M797">
        <v>0</v>
      </c>
      <c r="N797">
        <v>756000</v>
      </c>
      <c r="O797">
        <v>1133885.2459016393</v>
      </c>
    </row>
    <row r="798" spans="1:15" x14ac:dyDescent="0.35">
      <c r="A798" t="s">
        <v>951</v>
      </c>
      <c r="B798">
        <v>1133885.2459016393</v>
      </c>
      <c r="C798" t="s">
        <v>1001</v>
      </c>
      <c r="D798" s="1">
        <v>46057</v>
      </c>
      <c r="E798" t="s">
        <v>49</v>
      </c>
      <c r="F798" t="s">
        <v>50</v>
      </c>
      <c r="G798" t="s">
        <v>102</v>
      </c>
      <c r="H798" t="s">
        <v>58</v>
      </c>
      <c r="I798" t="s">
        <v>950</v>
      </c>
      <c r="J798" t="s">
        <v>20</v>
      </c>
      <c r="K798">
        <v>1</v>
      </c>
      <c r="L798">
        <v>936000</v>
      </c>
      <c r="M798">
        <v>0</v>
      </c>
      <c r="N798">
        <v>676000</v>
      </c>
      <c r="O798">
        <v>936000</v>
      </c>
    </row>
    <row r="799" spans="1:15" x14ac:dyDescent="0.35">
      <c r="A799" t="s">
        <v>951</v>
      </c>
      <c r="B799">
        <v>1133885.2459016393</v>
      </c>
      <c r="C799" t="s">
        <v>1002</v>
      </c>
      <c r="D799" s="1">
        <v>46063</v>
      </c>
      <c r="E799" t="s">
        <v>36</v>
      </c>
      <c r="F799" t="s">
        <v>37</v>
      </c>
      <c r="G799" t="s">
        <v>65</v>
      </c>
      <c r="H799" t="s">
        <v>17</v>
      </c>
      <c r="I799" t="s">
        <v>950</v>
      </c>
      <c r="J799" t="s">
        <v>20</v>
      </c>
      <c r="K799">
        <v>2</v>
      </c>
      <c r="L799">
        <v>1444000</v>
      </c>
      <c r="M799">
        <v>0</v>
      </c>
      <c r="N799">
        <v>1021000</v>
      </c>
      <c r="O799">
        <v>1444000</v>
      </c>
    </row>
    <row r="800" spans="1:15" x14ac:dyDescent="0.35">
      <c r="A800" t="s">
        <v>951</v>
      </c>
      <c r="B800">
        <v>1133885.2459016393</v>
      </c>
      <c r="C800" t="s">
        <v>1003</v>
      </c>
      <c r="D800" s="1">
        <v>46074</v>
      </c>
      <c r="E800" t="s">
        <v>14</v>
      </c>
      <c r="F800" t="s">
        <v>15</v>
      </c>
      <c r="G800" t="s">
        <v>155</v>
      </c>
      <c r="H800" t="s">
        <v>58</v>
      </c>
      <c r="I800" t="s">
        <v>950</v>
      </c>
      <c r="J800" t="s">
        <v>20</v>
      </c>
      <c r="K800">
        <v>1</v>
      </c>
      <c r="L800">
        <v>1469000</v>
      </c>
      <c r="M800">
        <v>0.05</v>
      </c>
      <c r="N800">
        <v>1075000</v>
      </c>
      <c r="O800">
        <v>1469000</v>
      </c>
    </row>
    <row r="801" spans="1:15" x14ac:dyDescent="0.35">
      <c r="A801" t="s">
        <v>951</v>
      </c>
      <c r="B801">
        <v>1133885.2459016393</v>
      </c>
      <c r="C801" t="s">
        <v>1004</v>
      </c>
      <c r="D801" s="1">
        <v>46075</v>
      </c>
      <c r="E801" t="s">
        <v>49</v>
      </c>
      <c r="F801" t="s">
        <v>50</v>
      </c>
      <c r="G801" t="s">
        <v>221</v>
      </c>
      <c r="H801" t="s">
        <v>17</v>
      </c>
      <c r="I801" t="s">
        <v>950</v>
      </c>
      <c r="J801" t="s">
        <v>20</v>
      </c>
      <c r="K801">
        <v>1</v>
      </c>
      <c r="L801">
        <v>1220000</v>
      </c>
      <c r="M801">
        <v>0</v>
      </c>
      <c r="N801">
        <v>878000</v>
      </c>
      <c r="O801">
        <v>1220000</v>
      </c>
    </row>
    <row r="802" spans="1:15" x14ac:dyDescent="0.35">
      <c r="A802" t="s">
        <v>951</v>
      </c>
      <c r="B802">
        <v>1133885.2459016393</v>
      </c>
      <c r="C802" t="s">
        <v>1005</v>
      </c>
      <c r="D802" s="1">
        <v>46111</v>
      </c>
      <c r="E802" t="s">
        <v>14</v>
      </c>
      <c r="F802" t="s">
        <v>15</v>
      </c>
      <c r="G802" t="s">
        <v>329</v>
      </c>
      <c r="H802" t="s">
        <v>28</v>
      </c>
      <c r="I802" t="s">
        <v>950</v>
      </c>
      <c r="J802" t="s">
        <v>20</v>
      </c>
      <c r="K802">
        <v>2</v>
      </c>
      <c r="L802">
        <v>1365000</v>
      </c>
      <c r="M802">
        <v>0</v>
      </c>
      <c r="N802">
        <v>993000</v>
      </c>
      <c r="O802">
        <v>1365000</v>
      </c>
    </row>
    <row r="803" spans="1:15" x14ac:dyDescent="0.35">
      <c r="A803" t="s">
        <v>951</v>
      </c>
      <c r="B803">
        <v>1133885.2459016393</v>
      </c>
      <c r="C803" t="s">
        <v>1006</v>
      </c>
      <c r="D803" s="1">
        <v>46138</v>
      </c>
      <c r="E803" t="s">
        <v>14</v>
      </c>
      <c r="F803" t="s">
        <v>15</v>
      </c>
      <c r="G803" t="s">
        <v>34</v>
      </c>
      <c r="H803" t="s">
        <v>17</v>
      </c>
      <c r="I803" t="s">
        <v>950</v>
      </c>
      <c r="J803" t="s">
        <v>20</v>
      </c>
      <c r="K803">
        <v>2</v>
      </c>
      <c r="L803">
        <v>1169000</v>
      </c>
      <c r="M803">
        <v>0.1</v>
      </c>
      <c r="N803">
        <v>856000</v>
      </c>
      <c r="O803">
        <v>1169000</v>
      </c>
    </row>
    <row r="804" spans="1:15" x14ac:dyDescent="0.35">
      <c r="A804" t="s">
        <v>951</v>
      </c>
      <c r="B804">
        <v>1133885.2459016393</v>
      </c>
      <c r="C804" t="s">
        <v>1007</v>
      </c>
      <c r="D804" s="1">
        <v>46168</v>
      </c>
      <c r="E804" t="s">
        <v>25</v>
      </c>
      <c r="F804" t="s">
        <v>26</v>
      </c>
      <c r="G804" t="s">
        <v>319</v>
      </c>
      <c r="H804" t="s">
        <v>23</v>
      </c>
      <c r="I804" t="s">
        <v>950</v>
      </c>
      <c r="J804" t="s">
        <v>20</v>
      </c>
      <c r="K804">
        <v>1</v>
      </c>
      <c r="L804">
        <v>1280000</v>
      </c>
      <c r="M804">
        <v>0</v>
      </c>
      <c r="N804">
        <v>923000</v>
      </c>
      <c r="O804">
        <v>1280000</v>
      </c>
    </row>
    <row r="805" spans="1:15" x14ac:dyDescent="0.35">
      <c r="A805" t="s">
        <v>951</v>
      </c>
      <c r="B805">
        <v>1133885.2459016393</v>
      </c>
      <c r="C805" t="s">
        <v>1008</v>
      </c>
      <c r="D805" s="1">
        <v>46173</v>
      </c>
      <c r="E805" t="s">
        <v>25</v>
      </c>
      <c r="F805" t="s">
        <v>26</v>
      </c>
      <c r="G805" t="s">
        <v>489</v>
      </c>
      <c r="H805" t="s">
        <v>17</v>
      </c>
      <c r="I805" t="s">
        <v>950</v>
      </c>
      <c r="J805" t="s">
        <v>20</v>
      </c>
      <c r="K805">
        <v>1</v>
      </c>
      <c r="L805">
        <v>1414000</v>
      </c>
      <c r="M805">
        <v>0</v>
      </c>
      <c r="N805">
        <v>1041000</v>
      </c>
      <c r="O805">
        <v>1414000</v>
      </c>
    </row>
    <row r="806" spans="1:15" x14ac:dyDescent="0.35">
      <c r="A806" t="s">
        <v>951</v>
      </c>
      <c r="B806">
        <v>1133885.2459016393</v>
      </c>
      <c r="C806" t="s">
        <v>1009</v>
      </c>
      <c r="D806" s="1">
        <v>46179</v>
      </c>
      <c r="E806" t="s">
        <v>14</v>
      </c>
      <c r="F806" t="s">
        <v>15</v>
      </c>
      <c r="G806" t="s">
        <v>349</v>
      </c>
      <c r="H806" t="s">
        <v>23</v>
      </c>
      <c r="I806" t="s">
        <v>950</v>
      </c>
      <c r="J806" t="s">
        <v>20</v>
      </c>
      <c r="K806">
        <v>1</v>
      </c>
      <c r="L806">
        <v>1065000</v>
      </c>
      <c r="M806">
        <v>0</v>
      </c>
      <c r="N806">
        <v>777000</v>
      </c>
      <c r="O806">
        <v>1065000</v>
      </c>
    </row>
    <row r="807" spans="1:15" x14ac:dyDescent="0.35">
      <c r="A807" t="s">
        <v>951</v>
      </c>
      <c r="B807">
        <v>1133885.2459016393</v>
      </c>
      <c r="C807" t="s">
        <v>1010</v>
      </c>
      <c r="D807" s="1">
        <v>46190</v>
      </c>
      <c r="E807" t="s">
        <v>14</v>
      </c>
      <c r="F807" t="s">
        <v>15</v>
      </c>
      <c r="G807" t="s">
        <v>212</v>
      </c>
      <c r="H807" t="s">
        <v>28</v>
      </c>
      <c r="I807" t="s">
        <v>950</v>
      </c>
      <c r="J807" t="s">
        <v>20</v>
      </c>
      <c r="K807">
        <v>3</v>
      </c>
      <c r="L807">
        <v>1174000</v>
      </c>
      <c r="M807">
        <v>0.05</v>
      </c>
      <c r="N807">
        <v>856000</v>
      </c>
      <c r="O807">
        <v>1174000</v>
      </c>
    </row>
    <row r="808" spans="1:15" x14ac:dyDescent="0.35">
      <c r="A808" t="s">
        <v>951</v>
      </c>
      <c r="B808">
        <v>1133885.2459016393</v>
      </c>
      <c r="C808" t="s">
        <v>1011</v>
      </c>
      <c r="D808" s="1">
        <v>46191</v>
      </c>
      <c r="E808" t="s">
        <v>14</v>
      </c>
      <c r="F808" t="s">
        <v>15</v>
      </c>
      <c r="G808" t="s">
        <v>311</v>
      </c>
      <c r="H808" t="s">
        <v>17</v>
      </c>
      <c r="I808" t="s">
        <v>950</v>
      </c>
      <c r="J808" t="s">
        <v>20</v>
      </c>
      <c r="K808">
        <v>1</v>
      </c>
      <c r="L808">
        <v>1400000</v>
      </c>
      <c r="M808">
        <v>0.05</v>
      </c>
      <c r="N808">
        <v>1035000</v>
      </c>
      <c r="O808">
        <v>1400000</v>
      </c>
    </row>
    <row r="809" spans="1:15" x14ac:dyDescent="0.35">
      <c r="A809" t="s">
        <v>951</v>
      </c>
      <c r="B809">
        <v>1133885.2459016393</v>
      </c>
      <c r="C809" t="s">
        <v>1012</v>
      </c>
      <c r="D809" s="1">
        <v>46198</v>
      </c>
      <c r="E809" t="s">
        <v>14</v>
      </c>
      <c r="F809" t="s">
        <v>15</v>
      </c>
      <c r="G809" t="s">
        <v>675</v>
      </c>
      <c r="H809" t="s">
        <v>17</v>
      </c>
      <c r="I809" t="s">
        <v>950</v>
      </c>
      <c r="J809" t="s">
        <v>20</v>
      </c>
      <c r="K809">
        <v>1</v>
      </c>
      <c r="L809">
        <v>970000</v>
      </c>
      <c r="M809">
        <v>0.05</v>
      </c>
      <c r="N809">
        <v>685000</v>
      </c>
      <c r="O809">
        <v>970000</v>
      </c>
    </row>
    <row r="810" spans="1:15" x14ac:dyDescent="0.35">
      <c r="A810" t="s">
        <v>951</v>
      </c>
      <c r="B810">
        <v>1133885.2459016393</v>
      </c>
      <c r="C810" t="s">
        <v>1013</v>
      </c>
      <c r="D810" s="1">
        <v>46199</v>
      </c>
      <c r="E810" t="s">
        <v>41</v>
      </c>
      <c r="F810" t="s">
        <v>42</v>
      </c>
      <c r="G810" t="s">
        <v>172</v>
      </c>
      <c r="H810" t="s">
        <v>23</v>
      </c>
      <c r="I810" t="s">
        <v>950</v>
      </c>
      <c r="J810" t="s">
        <v>20</v>
      </c>
      <c r="K810">
        <v>3</v>
      </c>
      <c r="L810">
        <v>1421000</v>
      </c>
      <c r="M810">
        <v>0</v>
      </c>
      <c r="N810">
        <v>1022000</v>
      </c>
      <c r="O810">
        <v>1421000</v>
      </c>
    </row>
    <row r="811" spans="1:15" x14ac:dyDescent="0.35">
      <c r="A811" t="s">
        <v>951</v>
      </c>
      <c r="B811">
        <v>1133885.2459016393</v>
      </c>
      <c r="C811" t="s">
        <v>1014</v>
      </c>
      <c r="D811" s="1">
        <v>46200</v>
      </c>
      <c r="E811" t="s">
        <v>49</v>
      </c>
      <c r="F811" t="s">
        <v>50</v>
      </c>
      <c r="G811" t="s">
        <v>164</v>
      </c>
      <c r="H811" t="s">
        <v>23</v>
      </c>
      <c r="I811" t="s">
        <v>950</v>
      </c>
      <c r="J811" t="s">
        <v>20</v>
      </c>
      <c r="K811">
        <v>1</v>
      </c>
      <c r="L811">
        <v>987000</v>
      </c>
      <c r="M811">
        <v>0</v>
      </c>
      <c r="N811">
        <v>708000</v>
      </c>
      <c r="O811">
        <v>987000</v>
      </c>
    </row>
    <row r="812" spans="1:15" x14ac:dyDescent="0.35">
      <c r="A812" t="s">
        <v>1017</v>
      </c>
      <c r="B812">
        <v>1241600</v>
      </c>
      <c r="C812" t="s">
        <v>1015</v>
      </c>
      <c r="D812" s="1">
        <v>44939</v>
      </c>
      <c r="E812" t="s">
        <v>14</v>
      </c>
      <c r="F812" t="s">
        <v>15</v>
      </c>
      <c r="G812" t="s">
        <v>30</v>
      </c>
      <c r="H812" t="s">
        <v>23</v>
      </c>
      <c r="I812" t="s">
        <v>1016</v>
      </c>
      <c r="J812" t="s">
        <v>160</v>
      </c>
      <c r="K812">
        <v>1</v>
      </c>
      <c r="L812">
        <v>1245000</v>
      </c>
      <c r="M812">
        <v>0</v>
      </c>
      <c r="N812">
        <v>920000</v>
      </c>
      <c r="O812">
        <v>1245000</v>
      </c>
    </row>
    <row r="813" spans="1:15" x14ac:dyDescent="0.35">
      <c r="A813" t="s">
        <v>1017</v>
      </c>
      <c r="B813">
        <v>1241600</v>
      </c>
      <c r="C813" t="s">
        <v>1018</v>
      </c>
      <c r="D813" s="1">
        <v>44974</v>
      </c>
      <c r="E813" t="s">
        <v>14</v>
      </c>
      <c r="F813" t="s">
        <v>15</v>
      </c>
      <c r="G813" t="s">
        <v>311</v>
      </c>
      <c r="H813" t="s">
        <v>17</v>
      </c>
      <c r="I813" t="s">
        <v>1016</v>
      </c>
      <c r="J813" t="s">
        <v>160</v>
      </c>
      <c r="K813">
        <v>5</v>
      </c>
      <c r="L813">
        <v>1304000</v>
      </c>
      <c r="M813">
        <v>0.05</v>
      </c>
      <c r="N813">
        <v>963000</v>
      </c>
      <c r="O813">
        <v>1304000</v>
      </c>
    </row>
    <row r="814" spans="1:15" x14ac:dyDescent="0.35">
      <c r="A814" t="s">
        <v>1017</v>
      </c>
      <c r="B814">
        <v>1241600</v>
      </c>
      <c r="C814" t="s">
        <v>1019</v>
      </c>
      <c r="D814" s="1">
        <v>45052</v>
      </c>
      <c r="E814" t="s">
        <v>41</v>
      </c>
      <c r="F814" t="s">
        <v>42</v>
      </c>
      <c r="G814" t="s">
        <v>89</v>
      </c>
      <c r="H814" t="s">
        <v>23</v>
      </c>
      <c r="I814" t="s">
        <v>1016</v>
      </c>
      <c r="J814" t="s">
        <v>160</v>
      </c>
      <c r="K814">
        <v>1</v>
      </c>
      <c r="L814">
        <v>1434000</v>
      </c>
      <c r="M814">
        <v>0</v>
      </c>
      <c r="N814">
        <v>1073000</v>
      </c>
      <c r="O814">
        <v>1434000</v>
      </c>
    </row>
    <row r="815" spans="1:15" x14ac:dyDescent="0.35">
      <c r="A815" t="s">
        <v>1017</v>
      </c>
      <c r="B815">
        <v>1241600</v>
      </c>
      <c r="C815" t="s">
        <v>1020</v>
      </c>
      <c r="D815" s="1">
        <v>45056</v>
      </c>
      <c r="E815" t="s">
        <v>41</v>
      </c>
      <c r="F815" t="s">
        <v>42</v>
      </c>
      <c r="G815" t="s">
        <v>182</v>
      </c>
      <c r="H815" t="s">
        <v>23</v>
      </c>
      <c r="I815" t="s">
        <v>1016</v>
      </c>
      <c r="J815" t="s">
        <v>160</v>
      </c>
      <c r="K815">
        <v>1</v>
      </c>
      <c r="L815">
        <v>1161000</v>
      </c>
      <c r="M815">
        <v>0</v>
      </c>
      <c r="N815">
        <v>846000</v>
      </c>
      <c r="O815">
        <v>1161000</v>
      </c>
    </row>
    <row r="816" spans="1:15" x14ac:dyDescent="0.35">
      <c r="A816" t="s">
        <v>1017</v>
      </c>
      <c r="B816">
        <v>1241600</v>
      </c>
      <c r="C816" t="s">
        <v>1021</v>
      </c>
      <c r="D816" s="1">
        <v>45069</v>
      </c>
      <c r="E816" t="s">
        <v>14</v>
      </c>
      <c r="F816" t="s">
        <v>15</v>
      </c>
      <c r="G816" t="s">
        <v>155</v>
      </c>
      <c r="H816" t="s">
        <v>58</v>
      </c>
      <c r="I816" t="s">
        <v>1016</v>
      </c>
      <c r="J816" t="s">
        <v>160</v>
      </c>
      <c r="K816">
        <v>1</v>
      </c>
      <c r="L816">
        <v>921000</v>
      </c>
      <c r="M816">
        <v>0</v>
      </c>
      <c r="N816">
        <v>673000</v>
      </c>
      <c r="O816">
        <v>921000</v>
      </c>
    </row>
    <row r="817" spans="1:15" x14ac:dyDescent="0.35">
      <c r="A817" t="s">
        <v>1017</v>
      </c>
      <c r="B817">
        <v>1241600</v>
      </c>
      <c r="C817" t="s">
        <v>1022</v>
      </c>
      <c r="D817" s="1">
        <v>45097</v>
      </c>
      <c r="E817" t="s">
        <v>14</v>
      </c>
      <c r="F817" t="s">
        <v>15</v>
      </c>
      <c r="G817" t="s">
        <v>51</v>
      </c>
      <c r="H817" t="s">
        <v>23</v>
      </c>
      <c r="I817" t="s">
        <v>1016</v>
      </c>
      <c r="J817" t="s">
        <v>160</v>
      </c>
      <c r="K817">
        <v>1</v>
      </c>
      <c r="L817">
        <v>1093000</v>
      </c>
      <c r="M817">
        <v>0</v>
      </c>
      <c r="N817">
        <v>782000</v>
      </c>
      <c r="O817">
        <v>1093000</v>
      </c>
    </row>
    <row r="818" spans="1:15" x14ac:dyDescent="0.35">
      <c r="A818" t="s">
        <v>1017</v>
      </c>
      <c r="B818">
        <v>1241600</v>
      </c>
      <c r="C818" t="s">
        <v>1023</v>
      </c>
      <c r="D818" s="1">
        <v>45115</v>
      </c>
      <c r="E818" t="s">
        <v>49</v>
      </c>
      <c r="F818" t="s">
        <v>50</v>
      </c>
      <c r="G818" t="s">
        <v>274</v>
      </c>
      <c r="H818" t="s">
        <v>58</v>
      </c>
      <c r="I818" t="s">
        <v>1016</v>
      </c>
      <c r="J818" t="s">
        <v>160</v>
      </c>
      <c r="K818">
        <v>1</v>
      </c>
      <c r="L818">
        <v>1106000</v>
      </c>
      <c r="M818">
        <v>0</v>
      </c>
      <c r="N818">
        <v>811000</v>
      </c>
      <c r="O818">
        <v>1106000</v>
      </c>
    </row>
    <row r="819" spans="1:15" x14ac:dyDescent="0.35">
      <c r="A819" t="s">
        <v>1017</v>
      </c>
      <c r="B819">
        <v>1241600</v>
      </c>
      <c r="C819" t="s">
        <v>1024</v>
      </c>
      <c r="D819" s="1">
        <v>45143</v>
      </c>
      <c r="E819" t="s">
        <v>14</v>
      </c>
      <c r="F819" t="s">
        <v>15</v>
      </c>
      <c r="G819" t="s">
        <v>218</v>
      </c>
      <c r="H819" t="s">
        <v>23</v>
      </c>
      <c r="I819" t="s">
        <v>1016</v>
      </c>
      <c r="J819" t="s">
        <v>160</v>
      </c>
      <c r="K819">
        <v>3</v>
      </c>
      <c r="L819">
        <v>1334000</v>
      </c>
      <c r="M819">
        <v>0</v>
      </c>
      <c r="N819">
        <v>975000</v>
      </c>
      <c r="O819">
        <v>1334000</v>
      </c>
    </row>
    <row r="820" spans="1:15" x14ac:dyDescent="0.35">
      <c r="A820" t="s">
        <v>1017</v>
      </c>
      <c r="B820">
        <v>1241600</v>
      </c>
      <c r="C820" t="s">
        <v>1025</v>
      </c>
      <c r="D820" s="1">
        <v>45148</v>
      </c>
      <c r="E820" t="s">
        <v>25</v>
      </c>
      <c r="F820" t="s">
        <v>26</v>
      </c>
      <c r="G820" t="s">
        <v>825</v>
      </c>
      <c r="H820" t="s">
        <v>23</v>
      </c>
      <c r="I820" t="s">
        <v>1016</v>
      </c>
      <c r="J820" t="s">
        <v>160</v>
      </c>
      <c r="K820">
        <v>5</v>
      </c>
      <c r="L820">
        <v>1241600</v>
      </c>
      <c r="M820">
        <v>0.05</v>
      </c>
      <c r="N820">
        <v>840000</v>
      </c>
      <c r="O820">
        <v>1241600</v>
      </c>
    </row>
    <row r="821" spans="1:15" x14ac:dyDescent="0.35">
      <c r="A821" t="s">
        <v>1017</v>
      </c>
      <c r="B821">
        <v>1241600</v>
      </c>
      <c r="C821" t="s">
        <v>1026</v>
      </c>
      <c r="D821" s="1">
        <v>45149</v>
      </c>
      <c r="E821" t="s">
        <v>36</v>
      </c>
      <c r="F821" t="s">
        <v>37</v>
      </c>
      <c r="G821" t="s">
        <v>340</v>
      </c>
      <c r="H821" t="s">
        <v>23</v>
      </c>
      <c r="I821" t="s">
        <v>1016</v>
      </c>
      <c r="J821" t="s">
        <v>160</v>
      </c>
      <c r="K821">
        <v>1</v>
      </c>
      <c r="L821">
        <v>1177000</v>
      </c>
      <c r="M821">
        <v>0</v>
      </c>
      <c r="N821">
        <v>845000</v>
      </c>
      <c r="O821">
        <v>1177000</v>
      </c>
    </row>
    <row r="822" spans="1:15" x14ac:dyDescent="0.35">
      <c r="A822" t="s">
        <v>1017</v>
      </c>
      <c r="B822">
        <v>1241600</v>
      </c>
      <c r="C822" t="s">
        <v>1027</v>
      </c>
      <c r="D822" s="1">
        <v>45160</v>
      </c>
      <c r="E822" t="s">
        <v>36</v>
      </c>
      <c r="F822" t="s">
        <v>37</v>
      </c>
      <c r="G822" t="s">
        <v>43</v>
      </c>
      <c r="H822" t="s">
        <v>17</v>
      </c>
      <c r="I822" t="s">
        <v>1016</v>
      </c>
      <c r="J822" t="s">
        <v>160</v>
      </c>
      <c r="K822">
        <v>2</v>
      </c>
      <c r="L822">
        <v>1497000</v>
      </c>
      <c r="M822">
        <v>0</v>
      </c>
      <c r="N822">
        <v>1118000</v>
      </c>
      <c r="O822">
        <v>1497000</v>
      </c>
    </row>
    <row r="823" spans="1:15" x14ac:dyDescent="0.35">
      <c r="A823" t="s">
        <v>1017</v>
      </c>
      <c r="B823">
        <v>1241600</v>
      </c>
      <c r="C823" t="s">
        <v>1028</v>
      </c>
      <c r="D823" s="1">
        <v>45185</v>
      </c>
      <c r="E823" t="s">
        <v>14</v>
      </c>
      <c r="F823" t="s">
        <v>15</v>
      </c>
      <c r="G823" t="s">
        <v>150</v>
      </c>
      <c r="H823" t="s">
        <v>28</v>
      </c>
      <c r="I823" t="s">
        <v>1016</v>
      </c>
      <c r="J823" t="s">
        <v>160</v>
      </c>
      <c r="K823">
        <v>3</v>
      </c>
      <c r="L823">
        <v>905000</v>
      </c>
      <c r="M823">
        <v>0</v>
      </c>
      <c r="N823">
        <v>649000</v>
      </c>
      <c r="O823">
        <v>905000</v>
      </c>
    </row>
    <row r="824" spans="1:15" x14ac:dyDescent="0.35">
      <c r="A824" t="s">
        <v>1017</v>
      </c>
      <c r="B824">
        <v>1241600</v>
      </c>
      <c r="C824" t="s">
        <v>1029</v>
      </c>
      <c r="D824" s="1">
        <v>45192</v>
      </c>
      <c r="E824" t="s">
        <v>14</v>
      </c>
      <c r="F824" t="s">
        <v>15</v>
      </c>
      <c r="G824" t="s">
        <v>517</v>
      </c>
      <c r="H824" t="s">
        <v>23</v>
      </c>
      <c r="I824" t="s">
        <v>1016</v>
      </c>
      <c r="J824" t="s">
        <v>160</v>
      </c>
      <c r="K824">
        <v>1</v>
      </c>
      <c r="L824">
        <v>1242000</v>
      </c>
      <c r="M824">
        <v>0</v>
      </c>
      <c r="N824">
        <v>894000</v>
      </c>
      <c r="O824">
        <v>1242000</v>
      </c>
    </row>
    <row r="825" spans="1:15" x14ac:dyDescent="0.35">
      <c r="A825" t="s">
        <v>1017</v>
      </c>
      <c r="B825">
        <v>1241600</v>
      </c>
      <c r="C825" t="s">
        <v>1030</v>
      </c>
      <c r="D825" s="1">
        <v>45201</v>
      </c>
      <c r="E825" t="s">
        <v>25</v>
      </c>
      <c r="F825" t="s">
        <v>26</v>
      </c>
      <c r="G825" t="s">
        <v>214</v>
      </c>
      <c r="H825" t="s">
        <v>23</v>
      </c>
      <c r="I825" t="s">
        <v>1016</v>
      </c>
      <c r="J825" t="s">
        <v>160</v>
      </c>
      <c r="K825">
        <v>2</v>
      </c>
      <c r="L825">
        <v>1335000</v>
      </c>
      <c r="M825">
        <v>0</v>
      </c>
      <c r="N825">
        <v>988000</v>
      </c>
      <c r="O825">
        <v>1335000</v>
      </c>
    </row>
    <row r="826" spans="1:15" x14ac:dyDescent="0.35">
      <c r="A826" t="s">
        <v>1017</v>
      </c>
      <c r="B826">
        <v>1241600</v>
      </c>
      <c r="C826" t="s">
        <v>1031</v>
      </c>
      <c r="D826" s="1">
        <v>45224</v>
      </c>
      <c r="E826" t="s">
        <v>41</v>
      </c>
      <c r="F826" t="s">
        <v>42</v>
      </c>
      <c r="G826" t="s">
        <v>524</v>
      </c>
      <c r="H826" t="s">
        <v>17</v>
      </c>
      <c r="I826" t="s">
        <v>1016</v>
      </c>
      <c r="J826" t="s">
        <v>160</v>
      </c>
      <c r="K826">
        <v>3</v>
      </c>
      <c r="L826">
        <v>1078000</v>
      </c>
      <c r="M826">
        <v>0</v>
      </c>
      <c r="N826">
        <v>807000</v>
      </c>
      <c r="O826">
        <v>1078000</v>
      </c>
    </row>
    <row r="827" spans="1:15" x14ac:dyDescent="0.35">
      <c r="A827" t="s">
        <v>1017</v>
      </c>
      <c r="B827">
        <v>1241600</v>
      </c>
      <c r="C827" t="s">
        <v>1032</v>
      </c>
      <c r="D827" s="1">
        <v>45234</v>
      </c>
      <c r="E827" t="s">
        <v>49</v>
      </c>
      <c r="F827" t="s">
        <v>50</v>
      </c>
      <c r="G827" t="s">
        <v>432</v>
      </c>
      <c r="H827" t="s">
        <v>23</v>
      </c>
      <c r="I827" t="s">
        <v>1016</v>
      </c>
      <c r="J827" t="s">
        <v>160</v>
      </c>
      <c r="K827">
        <v>2</v>
      </c>
      <c r="L827">
        <v>1343000</v>
      </c>
      <c r="M827">
        <v>0.1</v>
      </c>
      <c r="N827">
        <v>985000</v>
      </c>
      <c r="O827">
        <v>1343000</v>
      </c>
    </row>
    <row r="828" spans="1:15" x14ac:dyDescent="0.35">
      <c r="A828" t="s">
        <v>1017</v>
      </c>
      <c r="B828">
        <v>1241600</v>
      </c>
      <c r="C828" t="s">
        <v>1033</v>
      </c>
      <c r="D828" s="1">
        <v>45253</v>
      </c>
      <c r="E828" t="s">
        <v>14</v>
      </c>
      <c r="F828" t="s">
        <v>15</v>
      </c>
      <c r="G828" t="s">
        <v>489</v>
      </c>
      <c r="H828" t="s">
        <v>17</v>
      </c>
      <c r="I828" t="s">
        <v>1016</v>
      </c>
      <c r="J828" t="s">
        <v>160</v>
      </c>
      <c r="K828">
        <v>2</v>
      </c>
      <c r="L828">
        <v>1449000</v>
      </c>
      <c r="M828">
        <v>0</v>
      </c>
      <c r="N828">
        <v>1039000</v>
      </c>
      <c r="O828">
        <v>1449000</v>
      </c>
    </row>
    <row r="829" spans="1:15" x14ac:dyDescent="0.35">
      <c r="A829" t="s">
        <v>1017</v>
      </c>
      <c r="B829">
        <v>1241600</v>
      </c>
      <c r="C829" t="s">
        <v>1034</v>
      </c>
      <c r="D829" s="1">
        <v>45287</v>
      </c>
      <c r="E829" t="s">
        <v>41</v>
      </c>
      <c r="F829" t="s">
        <v>42</v>
      </c>
      <c r="G829" t="s">
        <v>634</v>
      </c>
      <c r="H829" t="s">
        <v>17</v>
      </c>
      <c r="I829" t="s">
        <v>1016</v>
      </c>
      <c r="J829" t="s">
        <v>160</v>
      </c>
      <c r="K829">
        <v>1</v>
      </c>
      <c r="L829">
        <v>872000</v>
      </c>
      <c r="M829">
        <v>0</v>
      </c>
      <c r="N829">
        <v>632000</v>
      </c>
      <c r="O829">
        <v>872000</v>
      </c>
    </row>
    <row r="830" spans="1:15" x14ac:dyDescent="0.35">
      <c r="A830" t="s">
        <v>1017</v>
      </c>
      <c r="B830">
        <v>1241600</v>
      </c>
      <c r="C830" t="s">
        <v>1035</v>
      </c>
      <c r="D830" s="1">
        <v>45327</v>
      </c>
      <c r="E830" t="s">
        <v>49</v>
      </c>
      <c r="F830" t="s">
        <v>50</v>
      </c>
      <c r="G830" t="s">
        <v>230</v>
      </c>
      <c r="H830" t="s">
        <v>23</v>
      </c>
      <c r="I830" t="s">
        <v>1016</v>
      </c>
      <c r="J830" t="s">
        <v>160</v>
      </c>
      <c r="K830">
        <v>3</v>
      </c>
      <c r="L830">
        <v>1208000</v>
      </c>
      <c r="M830">
        <v>0</v>
      </c>
      <c r="N830">
        <v>885000</v>
      </c>
      <c r="O830">
        <v>1208000</v>
      </c>
    </row>
    <row r="831" spans="1:15" x14ac:dyDescent="0.35">
      <c r="A831" t="s">
        <v>1017</v>
      </c>
      <c r="B831">
        <v>1241600</v>
      </c>
      <c r="C831" t="s">
        <v>1036</v>
      </c>
      <c r="D831" s="1">
        <v>45333</v>
      </c>
      <c r="E831" t="s">
        <v>49</v>
      </c>
      <c r="F831" t="s">
        <v>50</v>
      </c>
      <c r="G831" t="s">
        <v>335</v>
      </c>
      <c r="H831" t="s">
        <v>23</v>
      </c>
      <c r="I831" t="s">
        <v>1016</v>
      </c>
      <c r="J831" t="s">
        <v>160</v>
      </c>
      <c r="K831">
        <v>1</v>
      </c>
      <c r="L831">
        <v>1123000</v>
      </c>
      <c r="M831">
        <v>0.05</v>
      </c>
      <c r="N831">
        <v>829000</v>
      </c>
      <c r="O831">
        <v>1123000</v>
      </c>
    </row>
    <row r="832" spans="1:15" x14ac:dyDescent="0.35">
      <c r="A832" t="s">
        <v>1017</v>
      </c>
      <c r="B832">
        <v>1241600</v>
      </c>
      <c r="C832" t="s">
        <v>1037</v>
      </c>
      <c r="D832" s="1">
        <v>45381</v>
      </c>
      <c r="E832" t="s">
        <v>14</v>
      </c>
      <c r="F832" t="s">
        <v>15</v>
      </c>
      <c r="G832" t="s">
        <v>32</v>
      </c>
      <c r="H832" t="s">
        <v>23</v>
      </c>
      <c r="I832" t="s">
        <v>1016</v>
      </c>
      <c r="J832" t="s">
        <v>160</v>
      </c>
      <c r="K832">
        <v>2</v>
      </c>
      <c r="L832">
        <v>898000</v>
      </c>
      <c r="M832">
        <v>0</v>
      </c>
      <c r="N832">
        <v>666000</v>
      </c>
      <c r="O832">
        <v>898000</v>
      </c>
    </row>
    <row r="833" spans="1:15" x14ac:dyDescent="0.35">
      <c r="A833" t="s">
        <v>1017</v>
      </c>
      <c r="B833">
        <v>1241600</v>
      </c>
      <c r="C833" t="s">
        <v>1038</v>
      </c>
      <c r="D833" s="1">
        <v>45386</v>
      </c>
      <c r="E833" t="s">
        <v>14</v>
      </c>
      <c r="F833" t="s">
        <v>15</v>
      </c>
      <c r="G833" t="s">
        <v>447</v>
      </c>
      <c r="H833" t="s">
        <v>23</v>
      </c>
      <c r="I833" t="s">
        <v>1016</v>
      </c>
      <c r="J833" t="s">
        <v>160</v>
      </c>
      <c r="K833">
        <v>1</v>
      </c>
      <c r="L833">
        <v>1072000</v>
      </c>
      <c r="M833">
        <v>0</v>
      </c>
      <c r="N833">
        <v>770000</v>
      </c>
      <c r="O833">
        <v>1072000</v>
      </c>
    </row>
    <row r="834" spans="1:15" x14ac:dyDescent="0.35">
      <c r="A834" t="s">
        <v>1017</v>
      </c>
      <c r="B834">
        <v>1241600</v>
      </c>
      <c r="C834" t="s">
        <v>1039</v>
      </c>
      <c r="D834" s="1">
        <v>45412</v>
      </c>
      <c r="E834" t="s">
        <v>14</v>
      </c>
      <c r="F834" t="s">
        <v>15</v>
      </c>
      <c r="G834" t="s">
        <v>193</v>
      </c>
      <c r="H834" t="s">
        <v>23</v>
      </c>
      <c r="I834" t="s">
        <v>1016</v>
      </c>
      <c r="J834" t="s">
        <v>160</v>
      </c>
      <c r="K834">
        <v>1</v>
      </c>
      <c r="L834">
        <v>1323000</v>
      </c>
      <c r="M834">
        <v>0</v>
      </c>
      <c r="N834">
        <v>949000</v>
      </c>
      <c r="O834">
        <v>1323000</v>
      </c>
    </row>
    <row r="835" spans="1:15" x14ac:dyDescent="0.35">
      <c r="A835" t="s">
        <v>1017</v>
      </c>
      <c r="B835">
        <v>1241600</v>
      </c>
      <c r="C835" t="s">
        <v>1040</v>
      </c>
      <c r="D835" s="1">
        <v>45433</v>
      </c>
      <c r="E835" t="s">
        <v>36</v>
      </c>
      <c r="F835" t="s">
        <v>37</v>
      </c>
      <c r="G835" t="s">
        <v>1041</v>
      </c>
      <c r="H835" t="s">
        <v>23</v>
      </c>
      <c r="I835" t="s">
        <v>1016</v>
      </c>
      <c r="J835" t="s">
        <v>160</v>
      </c>
      <c r="K835">
        <v>1</v>
      </c>
      <c r="L835">
        <v>924000</v>
      </c>
      <c r="M835">
        <v>0</v>
      </c>
      <c r="N835">
        <v>691000</v>
      </c>
      <c r="O835">
        <v>924000</v>
      </c>
    </row>
    <row r="836" spans="1:15" x14ac:dyDescent="0.35">
      <c r="A836" t="s">
        <v>1017</v>
      </c>
      <c r="B836">
        <v>1241600</v>
      </c>
      <c r="C836" t="s">
        <v>1042</v>
      </c>
      <c r="D836" s="1">
        <v>45434</v>
      </c>
      <c r="E836" t="s">
        <v>14</v>
      </c>
      <c r="F836" t="s">
        <v>15</v>
      </c>
      <c r="G836" t="s">
        <v>522</v>
      </c>
      <c r="H836" t="s">
        <v>23</v>
      </c>
      <c r="I836" t="s">
        <v>1016</v>
      </c>
      <c r="J836" t="s">
        <v>160</v>
      </c>
      <c r="K836">
        <v>2</v>
      </c>
      <c r="L836">
        <v>1333000</v>
      </c>
      <c r="M836">
        <v>0</v>
      </c>
      <c r="N836">
        <v>961000</v>
      </c>
      <c r="O836">
        <v>1333000</v>
      </c>
    </row>
    <row r="837" spans="1:15" x14ac:dyDescent="0.35">
      <c r="A837" t="s">
        <v>1017</v>
      </c>
      <c r="B837">
        <v>1241600</v>
      </c>
      <c r="C837" t="s">
        <v>1043</v>
      </c>
      <c r="D837" s="1">
        <v>45446</v>
      </c>
      <c r="E837" t="s">
        <v>49</v>
      </c>
      <c r="F837" t="s">
        <v>50</v>
      </c>
      <c r="G837" t="s">
        <v>132</v>
      </c>
      <c r="H837" t="s">
        <v>28</v>
      </c>
      <c r="I837" t="s">
        <v>1016</v>
      </c>
      <c r="J837" t="s">
        <v>160</v>
      </c>
      <c r="K837">
        <v>2</v>
      </c>
      <c r="L837">
        <v>1090000</v>
      </c>
      <c r="M837">
        <v>0</v>
      </c>
      <c r="N837">
        <v>801000</v>
      </c>
      <c r="O837">
        <v>1090000</v>
      </c>
    </row>
    <row r="838" spans="1:15" x14ac:dyDescent="0.35">
      <c r="A838" t="s">
        <v>1017</v>
      </c>
      <c r="B838">
        <v>1241600</v>
      </c>
      <c r="C838" t="s">
        <v>1044</v>
      </c>
      <c r="D838" s="1">
        <v>45456</v>
      </c>
      <c r="E838" t="s">
        <v>14</v>
      </c>
      <c r="F838" t="s">
        <v>15</v>
      </c>
      <c r="G838" t="s">
        <v>146</v>
      </c>
      <c r="H838" t="s">
        <v>17</v>
      </c>
      <c r="I838" t="s">
        <v>1016</v>
      </c>
      <c r="J838" t="s">
        <v>160</v>
      </c>
      <c r="K838">
        <v>1</v>
      </c>
      <c r="L838">
        <v>1414000</v>
      </c>
      <c r="M838">
        <v>0</v>
      </c>
      <c r="N838">
        <v>1026000</v>
      </c>
      <c r="O838">
        <v>1414000</v>
      </c>
    </row>
    <row r="839" spans="1:15" x14ac:dyDescent="0.35">
      <c r="A839" t="s">
        <v>1017</v>
      </c>
      <c r="B839">
        <v>1241600</v>
      </c>
      <c r="C839" t="s">
        <v>1045</v>
      </c>
      <c r="D839" s="1">
        <v>45486</v>
      </c>
      <c r="E839" t="s">
        <v>14</v>
      </c>
      <c r="F839" t="s">
        <v>15</v>
      </c>
      <c r="G839" t="s">
        <v>63</v>
      </c>
      <c r="H839" t="s">
        <v>28</v>
      </c>
      <c r="I839" t="s">
        <v>1016</v>
      </c>
      <c r="J839" t="s">
        <v>160</v>
      </c>
      <c r="K839">
        <v>1</v>
      </c>
      <c r="L839">
        <v>1524000</v>
      </c>
      <c r="M839">
        <v>0</v>
      </c>
      <c r="N839">
        <v>1139000</v>
      </c>
      <c r="O839">
        <v>1524000</v>
      </c>
    </row>
    <row r="840" spans="1:15" x14ac:dyDescent="0.35">
      <c r="A840" t="s">
        <v>1017</v>
      </c>
      <c r="B840">
        <v>1241600</v>
      </c>
      <c r="C840" t="s">
        <v>1046</v>
      </c>
      <c r="D840" s="1">
        <v>45507</v>
      </c>
      <c r="E840" t="s">
        <v>41</v>
      </c>
      <c r="F840" t="s">
        <v>42</v>
      </c>
      <c r="G840" t="s">
        <v>327</v>
      </c>
      <c r="H840" t="s">
        <v>23</v>
      </c>
      <c r="I840" t="s">
        <v>1016</v>
      </c>
      <c r="J840" t="s">
        <v>160</v>
      </c>
      <c r="K840">
        <v>1</v>
      </c>
      <c r="L840">
        <v>1479000</v>
      </c>
      <c r="M840">
        <v>0.05</v>
      </c>
      <c r="N840">
        <v>1054000</v>
      </c>
      <c r="O840">
        <v>1479000</v>
      </c>
    </row>
    <row r="841" spans="1:15" x14ac:dyDescent="0.35">
      <c r="A841" t="s">
        <v>1017</v>
      </c>
      <c r="B841">
        <v>1241600</v>
      </c>
      <c r="C841" t="s">
        <v>1047</v>
      </c>
      <c r="D841" s="1">
        <v>45527</v>
      </c>
      <c r="E841" t="s">
        <v>49</v>
      </c>
      <c r="F841" t="s">
        <v>50</v>
      </c>
      <c r="G841" t="s">
        <v>144</v>
      </c>
      <c r="H841" t="s">
        <v>23</v>
      </c>
      <c r="I841" t="s">
        <v>1016</v>
      </c>
      <c r="J841" t="s">
        <v>160</v>
      </c>
      <c r="K841">
        <v>1</v>
      </c>
      <c r="L841">
        <v>1339000</v>
      </c>
      <c r="M841">
        <v>0</v>
      </c>
      <c r="N841">
        <v>992000</v>
      </c>
      <c r="O841">
        <v>1339000</v>
      </c>
    </row>
    <row r="842" spans="1:15" x14ac:dyDescent="0.35">
      <c r="A842" t="s">
        <v>1017</v>
      </c>
      <c r="B842">
        <v>1241600</v>
      </c>
      <c r="C842" t="s">
        <v>1048</v>
      </c>
      <c r="D842" s="1">
        <v>45539</v>
      </c>
      <c r="E842" t="s">
        <v>49</v>
      </c>
      <c r="F842" t="s">
        <v>50</v>
      </c>
      <c r="G842" t="s">
        <v>22</v>
      </c>
      <c r="H842" t="s">
        <v>23</v>
      </c>
      <c r="I842" t="s">
        <v>1016</v>
      </c>
      <c r="J842" t="s">
        <v>160</v>
      </c>
      <c r="K842">
        <v>1</v>
      </c>
      <c r="L842">
        <v>939000</v>
      </c>
      <c r="M842">
        <v>0</v>
      </c>
      <c r="N842">
        <v>674000</v>
      </c>
      <c r="O842">
        <v>939000</v>
      </c>
    </row>
    <row r="843" spans="1:15" x14ac:dyDescent="0.35">
      <c r="A843" t="s">
        <v>1017</v>
      </c>
      <c r="B843">
        <v>1241600</v>
      </c>
      <c r="C843" t="s">
        <v>1049</v>
      </c>
      <c r="D843" s="1">
        <v>45558</v>
      </c>
      <c r="E843" t="s">
        <v>49</v>
      </c>
      <c r="F843" t="s">
        <v>50</v>
      </c>
      <c r="G843" t="s">
        <v>307</v>
      </c>
      <c r="H843" t="s">
        <v>28</v>
      </c>
      <c r="I843" t="s">
        <v>1016</v>
      </c>
      <c r="J843" t="s">
        <v>160</v>
      </c>
      <c r="K843">
        <v>1</v>
      </c>
      <c r="L843">
        <v>917000</v>
      </c>
      <c r="M843">
        <v>0</v>
      </c>
      <c r="N843">
        <v>658000</v>
      </c>
      <c r="O843">
        <v>917000</v>
      </c>
    </row>
    <row r="844" spans="1:15" x14ac:dyDescent="0.35">
      <c r="A844" t="s">
        <v>1017</v>
      </c>
      <c r="B844">
        <v>1241600</v>
      </c>
      <c r="C844" t="s">
        <v>1050</v>
      </c>
      <c r="D844" s="1">
        <v>45563</v>
      </c>
      <c r="E844" t="s">
        <v>14</v>
      </c>
      <c r="F844" t="s">
        <v>15</v>
      </c>
      <c r="G844" t="s">
        <v>394</v>
      </c>
      <c r="H844" t="s">
        <v>23</v>
      </c>
      <c r="I844" t="s">
        <v>1016</v>
      </c>
      <c r="J844" t="s">
        <v>160</v>
      </c>
      <c r="K844">
        <v>3</v>
      </c>
      <c r="L844">
        <v>1171000</v>
      </c>
      <c r="M844">
        <v>0</v>
      </c>
      <c r="N844">
        <v>843000</v>
      </c>
      <c r="O844">
        <v>1171000</v>
      </c>
    </row>
    <row r="845" spans="1:15" x14ac:dyDescent="0.35">
      <c r="A845" t="s">
        <v>1017</v>
      </c>
      <c r="B845">
        <v>1241600</v>
      </c>
      <c r="C845" t="s">
        <v>1051</v>
      </c>
      <c r="D845" s="1">
        <v>45626</v>
      </c>
      <c r="E845" t="s">
        <v>14</v>
      </c>
      <c r="F845" t="s">
        <v>15</v>
      </c>
      <c r="G845" t="s">
        <v>270</v>
      </c>
      <c r="H845" t="s">
        <v>23</v>
      </c>
      <c r="I845" t="s">
        <v>1016</v>
      </c>
      <c r="J845" t="s">
        <v>160</v>
      </c>
      <c r="K845">
        <v>1</v>
      </c>
      <c r="L845">
        <v>1241600</v>
      </c>
      <c r="M845">
        <v>0</v>
      </c>
      <c r="N845">
        <v>840000</v>
      </c>
      <c r="O845">
        <v>1241600</v>
      </c>
    </row>
    <row r="846" spans="1:15" x14ac:dyDescent="0.35">
      <c r="A846" t="s">
        <v>1017</v>
      </c>
      <c r="B846">
        <v>1241600</v>
      </c>
      <c r="C846" t="s">
        <v>1052</v>
      </c>
      <c r="D846" s="1">
        <v>45629</v>
      </c>
      <c r="E846" t="s">
        <v>49</v>
      </c>
      <c r="F846" t="s">
        <v>50</v>
      </c>
      <c r="G846" t="s">
        <v>208</v>
      </c>
      <c r="H846" t="s">
        <v>23</v>
      </c>
      <c r="I846" t="s">
        <v>1016</v>
      </c>
      <c r="J846" t="s">
        <v>160</v>
      </c>
      <c r="K846">
        <v>1</v>
      </c>
      <c r="L846">
        <v>982000</v>
      </c>
      <c r="M846">
        <v>0.05</v>
      </c>
      <c r="N846">
        <v>715000</v>
      </c>
      <c r="O846">
        <v>982000</v>
      </c>
    </row>
    <row r="847" spans="1:15" x14ac:dyDescent="0.35">
      <c r="A847" t="s">
        <v>1017</v>
      </c>
      <c r="B847">
        <v>1241600</v>
      </c>
      <c r="C847" t="s">
        <v>1053</v>
      </c>
      <c r="D847" s="1">
        <v>45683</v>
      </c>
      <c r="E847" t="s">
        <v>49</v>
      </c>
      <c r="F847" t="s">
        <v>50</v>
      </c>
      <c r="G847" t="s">
        <v>432</v>
      </c>
      <c r="H847" t="s">
        <v>23</v>
      </c>
      <c r="I847" t="s">
        <v>1016</v>
      </c>
      <c r="J847" t="s">
        <v>160</v>
      </c>
      <c r="K847">
        <v>1</v>
      </c>
      <c r="L847">
        <v>919000</v>
      </c>
      <c r="M847">
        <v>0.05</v>
      </c>
      <c r="N847">
        <v>656000</v>
      </c>
      <c r="O847">
        <v>919000</v>
      </c>
    </row>
    <row r="848" spans="1:15" x14ac:dyDescent="0.35">
      <c r="A848" t="s">
        <v>1017</v>
      </c>
      <c r="B848">
        <v>1241600</v>
      </c>
      <c r="C848" t="s">
        <v>1054</v>
      </c>
      <c r="D848" s="1">
        <v>45697</v>
      </c>
      <c r="E848" t="s">
        <v>14</v>
      </c>
      <c r="F848" t="s">
        <v>15</v>
      </c>
      <c r="G848" t="s">
        <v>447</v>
      </c>
      <c r="H848" t="s">
        <v>23</v>
      </c>
      <c r="I848" t="s">
        <v>1016</v>
      </c>
      <c r="J848" t="s">
        <v>160</v>
      </c>
      <c r="K848">
        <v>1</v>
      </c>
      <c r="L848">
        <v>1630000</v>
      </c>
      <c r="M848">
        <v>0</v>
      </c>
      <c r="N848">
        <v>1164000</v>
      </c>
      <c r="O848">
        <v>1630000</v>
      </c>
    </row>
    <row r="849" spans="1:15" x14ac:dyDescent="0.35">
      <c r="A849" t="s">
        <v>1017</v>
      </c>
      <c r="B849">
        <v>1241600</v>
      </c>
      <c r="C849" t="s">
        <v>1055</v>
      </c>
      <c r="D849" s="1">
        <v>45720</v>
      </c>
      <c r="E849" t="s">
        <v>14</v>
      </c>
      <c r="F849" t="s">
        <v>15</v>
      </c>
      <c r="G849" t="s">
        <v>262</v>
      </c>
      <c r="H849" t="s">
        <v>23</v>
      </c>
      <c r="I849" t="s">
        <v>1016</v>
      </c>
      <c r="J849" t="s">
        <v>160</v>
      </c>
      <c r="K849">
        <v>1</v>
      </c>
      <c r="L849">
        <v>1611000</v>
      </c>
      <c r="M849">
        <v>0</v>
      </c>
      <c r="N849">
        <v>1147000</v>
      </c>
      <c r="O849">
        <v>1611000</v>
      </c>
    </row>
    <row r="850" spans="1:15" x14ac:dyDescent="0.35">
      <c r="A850" t="s">
        <v>1017</v>
      </c>
      <c r="B850">
        <v>1241600</v>
      </c>
      <c r="C850" t="s">
        <v>1056</v>
      </c>
      <c r="D850" s="1">
        <v>45735</v>
      </c>
      <c r="E850" t="s">
        <v>41</v>
      </c>
      <c r="F850" t="s">
        <v>42</v>
      </c>
      <c r="G850" t="s">
        <v>43</v>
      </c>
      <c r="H850" t="s">
        <v>17</v>
      </c>
      <c r="I850" t="s">
        <v>1016</v>
      </c>
      <c r="J850" t="s">
        <v>160</v>
      </c>
      <c r="K850">
        <v>1</v>
      </c>
      <c r="L850">
        <v>910000</v>
      </c>
      <c r="M850">
        <v>0.1</v>
      </c>
      <c r="N850">
        <v>651000</v>
      </c>
      <c r="O850">
        <v>910000</v>
      </c>
    </row>
    <row r="851" spans="1:15" x14ac:dyDescent="0.35">
      <c r="A851" t="s">
        <v>1017</v>
      </c>
      <c r="B851">
        <v>1241600</v>
      </c>
      <c r="C851" t="s">
        <v>1057</v>
      </c>
      <c r="D851" s="1">
        <v>45739</v>
      </c>
      <c r="E851" t="s">
        <v>25</v>
      </c>
      <c r="F851" t="s">
        <v>26</v>
      </c>
      <c r="G851" t="s">
        <v>309</v>
      </c>
      <c r="H851" t="s">
        <v>23</v>
      </c>
      <c r="I851" t="s">
        <v>1016</v>
      </c>
      <c r="J851" t="s">
        <v>160</v>
      </c>
      <c r="K851">
        <v>1</v>
      </c>
      <c r="L851">
        <v>1374000</v>
      </c>
      <c r="M851">
        <v>0.05</v>
      </c>
      <c r="N851">
        <v>1024000</v>
      </c>
      <c r="O851">
        <v>1374000</v>
      </c>
    </row>
    <row r="852" spans="1:15" x14ac:dyDescent="0.35">
      <c r="A852" t="s">
        <v>1017</v>
      </c>
      <c r="B852">
        <v>1241600</v>
      </c>
      <c r="C852" t="s">
        <v>1058</v>
      </c>
      <c r="D852" s="1">
        <v>45741</v>
      </c>
      <c r="E852" t="s">
        <v>14</v>
      </c>
      <c r="F852" t="s">
        <v>15</v>
      </c>
      <c r="G852" t="s">
        <v>352</v>
      </c>
      <c r="H852" t="s">
        <v>23</v>
      </c>
      <c r="I852" t="s">
        <v>1016</v>
      </c>
      <c r="J852" t="s">
        <v>160</v>
      </c>
      <c r="K852">
        <v>3</v>
      </c>
      <c r="L852">
        <v>1489000</v>
      </c>
      <c r="M852">
        <v>0</v>
      </c>
      <c r="N852">
        <v>1108000</v>
      </c>
      <c r="O852">
        <v>1489000</v>
      </c>
    </row>
    <row r="853" spans="1:15" x14ac:dyDescent="0.35">
      <c r="A853" t="s">
        <v>1017</v>
      </c>
      <c r="B853">
        <v>1241600</v>
      </c>
      <c r="C853" t="s">
        <v>1059</v>
      </c>
      <c r="D853" s="1">
        <v>45757</v>
      </c>
      <c r="E853" t="s">
        <v>14</v>
      </c>
      <c r="F853" t="s">
        <v>15</v>
      </c>
      <c r="G853" t="s">
        <v>462</v>
      </c>
      <c r="H853" t="s">
        <v>58</v>
      </c>
      <c r="I853" t="s">
        <v>1016</v>
      </c>
      <c r="J853" t="s">
        <v>160</v>
      </c>
      <c r="K853">
        <v>1</v>
      </c>
      <c r="L853">
        <v>1369000</v>
      </c>
      <c r="M853">
        <v>0</v>
      </c>
      <c r="N853">
        <v>1025000</v>
      </c>
      <c r="O853">
        <v>1369000</v>
      </c>
    </row>
    <row r="854" spans="1:15" x14ac:dyDescent="0.35">
      <c r="A854" t="s">
        <v>1017</v>
      </c>
      <c r="B854">
        <v>1241600</v>
      </c>
      <c r="C854" t="s">
        <v>1060</v>
      </c>
      <c r="D854" s="1">
        <v>45802</v>
      </c>
      <c r="E854" t="s">
        <v>14</v>
      </c>
      <c r="F854" t="s">
        <v>15</v>
      </c>
      <c r="G854" t="s">
        <v>193</v>
      </c>
      <c r="H854" t="s">
        <v>23</v>
      </c>
      <c r="I854" t="s">
        <v>1016</v>
      </c>
      <c r="J854" t="s">
        <v>160</v>
      </c>
      <c r="K854">
        <v>1</v>
      </c>
      <c r="L854">
        <v>1604000</v>
      </c>
      <c r="M854">
        <v>0</v>
      </c>
      <c r="N854">
        <v>1153000</v>
      </c>
      <c r="O854">
        <v>1604000</v>
      </c>
    </row>
    <row r="855" spans="1:15" x14ac:dyDescent="0.35">
      <c r="A855" t="s">
        <v>1017</v>
      </c>
      <c r="B855">
        <v>1241600</v>
      </c>
      <c r="C855" t="s">
        <v>1061</v>
      </c>
      <c r="D855" s="1">
        <v>45826</v>
      </c>
      <c r="E855" t="s">
        <v>41</v>
      </c>
      <c r="F855" t="s">
        <v>42</v>
      </c>
      <c r="G855" t="s">
        <v>244</v>
      </c>
      <c r="H855" t="s">
        <v>17</v>
      </c>
      <c r="I855" t="s">
        <v>1016</v>
      </c>
      <c r="J855" t="s">
        <v>160</v>
      </c>
      <c r="K855">
        <v>2</v>
      </c>
      <c r="L855">
        <v>1330000</v>
      </c>
      <c r="M855">
        <v>0.05</v>
      </c>
      <c r="N855">
        <v>995000</v>
      </c>
      <c r="O855">
        <v>1330000</v>
      </c>
    </row>
    <row r="856" spans="1:15" x14ac:dyDescent="0.35">
      <c r="A856" t="s">
        <v>1017</v>
      </c>
      <c r="B856">
        <v>1241600</v>
      </c>
      <c r="C856" t="s">
        <v>1062</v>
      </c>
      <c r="D856" s="1">
        <v>45834</v>
      </c>
      <c r="E856" t="s">
        <v>36</v>
      </c>
      <c r="F856" t="s">
        <v>37</v>
      </c>
      <c r="G856" t="s">
        <v>193</v>
      </c>
      <c r="H856" t="s">
        <v>23</v>
      </c>
      <c r="I856" t="s">
        <v>1016</v>
      </c>
      <c r="J856" t="s">
        <v>160</v>
      </c>
      <c r="K856">
        <v>1</v>
      </c>
      <c r="L856">
        <v>1563000</v>
      </c>
      <c r="M856">
        <v>0</v>
      </c>
      <c r="N856">
        <v>1133000</v>
      </c>
      <c r="O856">
        <v>1563000</v>
      </c>
    </row>
    <row r="857" spans="1:15" x14ac:dyDescent="0.35">
      <c r="A857" t="s">
        <v>1017</v>
      </c>
      <c r="B857">
        <v>1241600</v>
      </c>
      <c r="C857" t="s">
        <v>1063</v>
      </c>
      <c r="D857" s="1">
        <v>45852</v>
      </c>
      <c r="E857" t="s">
        <v>49</v>
      </c>
      <c r="F857" t="s">
        <v>50</v>
      </c>
      <c r="G857" t="s">
        <v>349</v>
      </c>
      <c r="H857" t="s">
        <v>23</v>
      </c>
      <c r="I857" t="s">
        <v>1016</v>
      </c>
      <c r="J857" t="s">
        <v>160</v>
      </c>
      <c r="K857">
        <v>3</v>
      </c>
      <c r="L857">
        <v>1004000</v>
      </c>
      <c r="M857">
        <v>0</v>
      </c>
      <c r="N857">
        <v>721000</v>
      </c>
      <c r="O857">
        <v>1004000</v>
      </c>
    </row>
    <row r="858" spans="1:15" x14ac:dyDescent="0.35">
      <c r="A858" t="s">
        <v>1017</v>
      </c>
      <c r="B858">
        <v>1241600</v>
      </c>
      <c r="C858" t="s">
        <v>1064</v>
      </c>
      <c r="D858" s="1">
        <v>45858</v>
      </c>
      <c r="E858" t="s">
        <v>41</v>
      </c>
      <c r="F858" t="s">
        <v>42</v>
      </c>
      <c r="G858" t="s">
        <v>216</v>
      </c>
      <c r="H858" t="s">
        <v>17</v>
      </c>
      <c r="I858" t="s">
        <v>1016</v>
      </c>
      <c r="J858" t="s">
        <v>160</v>
      </c>
      <c r="K858">
        <v>1</v>
      </c>
      <c r="L858">
        <v>1241600</v>
      </c>
      <c r="M858">
        <v>0</v>
      </c>
      <c r="N858">
        <v>840000</v>
      </c>
      <c r="O858">
        <v>1241600</v>
      </c>
    </row>
    <row r="859" spans="1:15" x14ac:dyDescent="0.35">
      <c r="A859" t="s">
        <v>1017</v>
      </c>
      <c r="B859">
        <v>1241600</v>
      </c>
      <c r="C859" t="s">
        <v>1065</v>
      </c>
      <c r="D859" s="1">
        <v>45905</v>
      </c>
      <c r="E859" t="s">
        <v>41</v>
      </c>
      <c r="F859" t="s">
        <v>42</v>
      </c>
      <c r="G859" t="s">
        <v>208</v>
      </c>
      <c r="H859" t="s">
        <v>23</v>
      </c>
      <c r="I859" t="s">
        <v>1016</v>
      </c>
      <c r="J859" t="s">
        <v>160</v>
      </c>
      <c r="K859">
        <v>2</v>
      </c>
      <c r="L859">
        <v>1401000</v>
      </c>
      <c r="M859">
        <v>0</v>
      </c>
      <c r="N859">
        <v>1040000</v>
      </c>
      <c r="O859">
        <v>1401000</v>
      </c>
    </row>
    <row r="860" spans="1:15" x14ac:dyDescent="0.35">
      <c r="A860" t="s">
        <v>1017</v>
      </c>
      <c r="B860">
        <v>1241600</v>
      </c>
      <c r="C860" t="s">
        <v>1066</v>
      </c>
      <c r="D860" s="1">
        <v>45921</v>
      </c>
      <c r="E860" t="s">
        <v>14</v>
      </c>
      <c r="F860" t="s">
        <v>15</v>
      </c>
      <c r="G860" t="s">
        <v>247</v>
      </c>
      <c r="H860" t="s">
        <v>17</v>
      </c>
      <c r="I860" t="s">
        <v>1016</v>
      </c>
      <c r="J860" t="s">
        <v>160</v>
      </c>
      <c r="K860">
        <v>2</v>
      </c>
      <c r="L860">
        <v>1483000</v>
      </c>
      <c r="M860">
        <v>0</v>
      </c>
      <c r="N860">
        <v>1077000</v>
      </c>
      <c r="O860">
        <v>1483000</v>
      </c>
    </row>
    <row r="861" spans="1:15" x14ac:dyDescent="0.35">
      <c r="A861" t="s">
        <v>1017</v>
      </c>
      <c r="B861">
        <v>1241600</v>
      </c>
      <c r="C861" t="s">
        <v>1067</v>
      </c>
      <c r="D861" s="1">
        <v>45924</v>
      </c>
      <c r="E861" t="s">
        <v>36</v>
      </c>
      <c r="F861" t="s">
        <v>37</v>
      </c>
      <c r="G861" t="s">
        <v>212</v>
      </c>
      <c r="H861" t="s">
        <v>28</v>
      </c>
      <c r="I861" t="s">
        <v>1016</v>
      </c>
      <c r="J861" t="s">
        <v>160</v>
      </c>
      <c r="K861">
        <v>1</v>
      </c>
      <c r="L861">
        <v>1241600</v>
      </c>
      <c r="M861">
        <v>0</v>
      </c>
      <c r="N861">
        <v>840000</v>
      </c>
      <c r="O861">
        <v>1241600</v>
      </c>
    </row>
    <row r="862" spans="1:15" x14ac:dyDescent="0.35">
      <c r="A862" t="s">
        <v>1017</v>
      </c>
      <c r="B862">
        <v>1241600</v>
      </c>
      <c r="C862" t="s">
        <v>1068</v>
      </c>
      <c r="D862" s="1">
        <v>45942</v>
      </c>
      <c r="E862" t="s">
        <v>41</v>
      </c>
      <c r="F862" t="s">
        <v>42</v>
      </c>
      <c r="G862" t="s">
        <v>150</v>
      </c>
      <c r="H862" t="s">
        <v>28</v>
      </c>
      <c r="I862" t="s">
        <v>1016</v>
      </c>
      <c r="J862" t="s">
        <v>160</v>
      </c>
      <c r="K862">
        <v>5</v>
      </c>
      <c r="L862">
        <v>1170000</v>
      </c>
      <c r="M862">
        <v>0</v>
      </c>
      <c r="N862">
        <v>864000</v>
      </c>
      <c r="O862">
        <v>1170000</v>
      </c>
    </row>
    <row r="863" spans="1:15" x14ac:dyDescent="0.35">
      <c r="A863" t="s">
        <v>1017</v>
      </c>
      <c r="B863">
        <v>1241600</v>
      </c>
      <c r="C863" t="s">
        <v>1069</v>
      </c>
      <c r="D863" s="1">
        <v>45960</v>
      </c>
      <c r="E863" t="s">
        <v>41</v>
      </c>
      <c r="F863" t="s">
        <v>42</v>
      </c>
      <c r="G863" t="s">
        <v>79</v>
      </c>
      <c r="H863" t="s">
        <v>17</v>
      </c>
      <c r="I863" t="s">
        <v>1016</v>
      </c>
      <c r="J863" t="s">
        <v>160</v>
      </c>
      <c r="K863">
        <v>2</v>
      </c>
      <c r="L863">
        <v>1413000</v>
      </c>
      <c r="M863">
        <v>0</v>
      </c>
      <c r="N863">
        <v>1034000</v>
      </c>
      <c r="O863">
        <v>1413000</v>
      </c>
    </row>
    <row r="864" spans="1:15" x14ac:dyDescent="0.35">
      <c r="A864" t="s">
        <v>1017</v>
      </c>
      <c r="B864">
        <v>1241600</v>
      </c>
      <c r="C864" t="s">
        <v>1070</v>
      </c>
      <c r="D864" s="1">
        <v>46034</v>
      </c>
      <c r="E864" t="s">
        <v>49</v>
      </c>
      <c r="F864" t="s">
        <v>50</v>
      </c>
      <c r="G864" t="s">
        <v>230</v>
      </c>
      <c r="H864" t="s">
        <v>23</v>
      </c>
      <c r="I864" t="s">
        <v>1016</v>
      </c>
      <c r="J864" t="s">
        <v>160</v>
      </c>
      <c r="K864">
        <v>2</v>
      </c>
      <c r="L864">
        <v>1318000</v>
      </c>
      <c r="M864">
        <v>0</v>
      </c>
      <c r="N864">
        <v>943000</v>
      </c>
      <c r="O864">
        <v>1318000</v>
      </c>
    </row>
    <row r="865" spans="1:15" x14ac:dyDescent="0.35">
      <c r="A865" t="s">
        <v>1017</v>
      </c>
      <c r="B865">
        <v>1241600</v>
      </c>
      <c r="C865" t="s">
        <v>1071</v>
      </c>
      <c r="D865" s="1">
        <v>46049</v>
      </c>
      <c r="E865" t="s">
        <v>41</v>
      </c>
      <c r="F865" t="s">
        <v>42</v>
      </c>
      <c r="G865" t="s">
        <v>553</v>
      </c>
      <c r="H865" t="s">
        <v>17</v>
      </c>
      <c r="I865" t="s">
        <v>1016</v>
      </c>
      <c r="J865" t="s">
        <v>160</v>
      </c>
      <c r="K865">
        <v>1</v>
      </c>
      <c r="L865">
        <v>1314000</v>
      </c>
      <c r="M865">
        <v>0</v>
      </c>
      <c r="N865">
        <v>935000</v>
      </c>
      <c r="O865">
        <v>1314000</v>
      </c>
    </row>
    <row r="866" spans="1:15" x14ac:dyDescent="0.35">
      <c r="A866" t="s">
        <v>1017</v>
      </c>
      <c r="B866">
        <v>1241600</v>
      </c>
      <c r="C866" t="s">
        <v>1072</v>
      </c>
      <c r="D866" s="1">
        <v>46058</v>
      </c>
      <c r="E866" t="s">
        <v>41</v>
      </c>
      <c r="F866" t="s">
        <v>42</v>
      </c>
      <c r="G866" t="s">
        <v>121</v>
      </c>
      <c r="H866" t="s">
        <v>23</v>
      </c>
      <c r="I866" t="s">
        <v>1016</v>
      </c>
      <c r="J866" t="s">
        <v>160</v>
      </c>
      <c r="K866">
        <v>1</v>
      </c>
      <c r="L866">
        <v>1051000</v>
      </c>
      <c r="M866">
        <v>0</v>
      </c>
      <c r="N866">
        <v>772000</v>
      </c>
      <c r="O866">
        <v>1051000</v>
      </c>
    </row>
    <row r="867" spans="1:15" x14ac:dyDescent="0.35">
      <c r="A867" t="s">
        <v>1017</v>
      </c>
      <c r="B867">
        <v>1241600</v>
      </c>
      <c r="C867" t="s">
        <v>1073</v>
      </c>
      <c r="D867" s="1">
        <v>46066</v>
      </c>
      <c r="E867" t="s">
        <v>14</v>
      </c>
      <c r="F867" t="s">
        <v>15</v>
      </c>
      <c r="G867" t="s">
        <v>228</v>
      </c>
      <c r="H867" t="s">
        <v>17</v>
      </c>
      <c r="I867" t="s">
        <v>1016</v>
      </c>
      <c r="J867" t="s">
        <v>160</v>
      </c>
      <c r="K867">
        <v>1</v>
      </c>
      <c r="L867">
        <v>1212000</v>
      </c>
      <c r="M867">
        <v>0</v>
      </c>
      <c r="N867">
        <v>873000</v>
      </c>
      <c r="O867">
        <v>1212000</v>
      </c>
    </row>
    <row r="868" spans="1:15" x14ac:dyDescent="0.35">
      <c r="A868" t="s">
        <v>1017</v>
      </c>
      <c r="B868">
        <v>1241600</v>
      </c>
      <c r="C868" t="s">
        <v>1074</v>
      </c>
      <c r="D868" s="1">
        <v>46067</v>
      </c>
      <c r="E868" t="s">
        <v>41</v>
      </c>
      <c r="F868" t="s">
        <v>42</v>
      </c>
      <c r="G868" t="s">
        <v>117</v>
      </c>
      <c r="H868" t="s">
        <v>23</v>
      </c>
      <c r="I868" t="s">
        <v>1016</v>
      </c>
      <c r="J868" t="s">
        <v>160</v>
      </c>
      <c r="K868">
        <v>2</v>
      </c>
      <c r="L868">
        <v>1013000</v>
      </c>
      <c r="M868">
        <v>0</v>
      </c>
      <c r="N868">
        <v>733000</v>
      </c>
      <c r="O868">
        <v>1013000</v>
      </c>
    </row>
    <row r="869" spans="1:15" x14ac:dyDescent="0.35">
      <c r="A869" t="s">
        <v>1017</v>
      </c>
      <c r="B869">
        <v>1241600</v>
      </c>
      <c r="C869" t="s">
        <v>1075</v>
      </c>
      <c r="D869" s="1">
        <v>46083</v>
      </c>
      <c r="E869" t="s">
        <v>36</v>
      </c>
      <c r="F869" t="s">
        <v>37</v>
      </c>
      <c r="G869" t="s">
        <v>270</v>
      </c>
      <c r="H869" t="s">
        <v>23</v>
      </c>
      <c r="I869" t="s">
        <v>1016</v>
      </c>
      <c r="J869" t="s">
        <v>160</v>
      </c>
      <c r="K869">
        <v>1</v>
      </c>
      <c r="L869">
        <v>1193000</v>
      </c>
      <c r="M869">
        <v>0</v>
      </c>
      <c r="N869">
        <v>870000</v>
      </c>
      <c r="O869">
        <v>1193000</v>
      </c>
    </row>
    <row r="870" spans="1:15" x14ac:dyDescent="0.35">
      <c r="A870" t="s">
        <v>1017</v>
      </c>
      <c r="B870">
        <v>1241600</v>
      </c>
      <c r="C870" t="s">
        <v>1076</v>
      </c>
      <c r="D870" s="1">
        <v>46110</v>
      </c>
      <c r="E870" t="s">
        <v>49</v>
      </c>
      <c r="F870" t="s">
        <v>50</v>
      </c>
      <c r="G870" t="s">
        <v>447</v>
      </c>
      <c r="H870" t="s">
        <v>23</v>
      </c>
      <c r="I870" t="s">
        <v>1016</v>
      </c>
      <c r="J870" t="s">
        <v>160</v>
      </c>
      <c r="K870">
        <v>1</v>
      </c>
      <c r="L870">
        <v>1408000</v>
      </c>
      <c r="M870">
        <v>0</v>
      </c>
      <c r="N870">
        <v>1010000</v>
      </c>
      <c r="O870">
        <v>1408000</v>
      </c>
    </row>
    <row r="871" spans="1:15" x14ac:dyDescent="0.35">
      <c r="A871" t="s">
        <v>1017</v>
      </c>
      <c r="B871">
        <v>1241600</v>
      </c>
      <c r="C871" t="s">
        <v>1077</v>
      </c>
      <c r="D871" s="1">
        <v>46120</v>
      </c>
      <c r="E871" t="s">
        <v>49</v>
      </c>
      <c r="F871" t="s">
        <v>50</v>
      </c>
      <c r="G871" t="s">
        <v>110</v>
      </c>
      <c r="H871" t="s">
        <v>23</v>
      </c>
      <c r="I871" t="s">
        <v>1016</v>
      </c>
      <c r="J871" t="s">
        <v>160</v>
      </c>
      <c r="K871">
        <v>2</v>
      </c>
      <c r="L871">
        <v>959000</v>
      </c>
      <c r="M871">
        <v>0</v>
      </c>
      <c r="N871">
        <v>694000</v>
      </c>
      <c r="O871">
        <v>959000</v>
      </c>
    </row>
    <row r="872" spans="1:15" x14ac:dyDescent="0.35">
      <c r="A872" t="s">
        <v>1017</v>
      </c>
      <c r="B872">
        <v>1241600</v>
      </c>
      <c r="C872" t="s">
        <v>1078</v>
      </c>
      <c r="D872" s="1">
        <v>46142</v>
      </c>
      <c r="E872" t="s">
        <v>14</v>
      </c>
      <c r="F872" t="s">
        <v>15</v>
      </c>
      <c r="G872" t="s">
        <v>69</v>
      </c>
      <c r="H872" t="s">
        <v>23</v>
      </c>
      <c r="I872" t="s">
        <v>1016</v>
      </c>
      <c r="J872" t="s">
        <v>160</v>
      </c>
      <c r="K872">
        <v>1</v>
      </c>
      <c r="L872">
        <v>1276000</v>
      </c>
      <c r="M872">
        <v>0.05</v>
      </c>
      <c r="N872">
        <v>951000</v>
      </c>
      <c r="O872">
        <v>1276000</v>
      </c>
    </row>
    <row r="873" spans="1:15" x14ac:dyDescent="0.35">
      <c r="A873" t="s">
        <v>1017</v>
      </c>
      <c r="B873">
        <v>1241600</v>
      </c>
      <c r="C873" t="s">
        <v>1079</v>
      </c>
      <c r="D873" s="1">
        <v>46143</v>
      </c>
      <c r="E873" t="s">
        <v>14</v>
      </c>
      <c r="F873" t="s">
        <v>15</v>
      </c>
      <c r="G873" t="s">
        <v>108</v>
      </c>
      <c r="H873" t="s">
        <v>23</v>
      </c>
      <c r="I873" t="s">
        <v>1016</v>
      </c>
      <c r="J873" t="s">
        <v>160</v>
      </c>
      <c r="K873">
        <v>1</v>
      </c>
      <c r="L873">
        <v>1364000</v>
      </c>
      <c r="M873">
        <v>0</v>
      </c>
      <c r="N873">
        <v>989000</v>
      </c>
      <c r="O873">
        <v>1364000</v>
      </c>
    </row>
    <row r="874" spans="1:15" x14ac:dyDescent="0.35">
      <c r="A874" t="s">
        <v>1017</v>
      </c>
      <c r="B874">
        <v>1241600</v>
      </c>
      <c r="C874" t="s">
        <v>1080</v>
      </c>
      <c r="D874" s="1">
        <v>46155</v>
      </c>
      <c r="E874" t="s">
        <v>14</v>
      </c>
      <c r="F874" t="s">
        <v>15</v>
      </c>
      <c r="G874" t="s">
        <v>675</v>
      </c>
      <c r="H874" t="s">
        <v>17</v>
      </c>
      <c r="I874" t="s">
        <v>1016</v>
      </c>
      <c r="J874" t="s">
        <v>160</v>
      </c>
      <c r="K874">
        <v>1</v>
      </c>
      <c r="L874">
        <v>1618000</v>
      </c>
      <c r="M874">
        <v>0</v>
      </c>
      <c r="N874">
        <v>1175000</v>
      </c>
      <c r="O874">
        <v>1618000</v>
      </c>
    </row>
    <row r="875" spans="1:15" x14ac:dyDescent="0.35">
      <c r="A875" t="s">
        <v>1017</v>
      </c>
      <c r="B875">
        <v>1241600</v>
      </c>
      <c r="C875" t="s">
        <v>1081</v>
      </c>
      <c r="D875" s="1">
        <v>46170</v>
      </c>
      <c r="E875" t="s">
        <v>36</v>
      </c>
      <c r="F875" t="s">
        <v>37</v>
      </c>
      <c r="G875" t="s">
        <v>327</v>
      </c>
      <c r="H875" t="s">
        <v>23</v>
      </c>
      <c r="I875" t="s">
        <v>1016</v>
      </c>
      <c r="J875" t="s">
        <v>160</v>
      </c>
      <c r="K875">
        <v>1</v>
      </c>
      <c r="L875">
        <v>1268000</v>
      </c>
      <c r="M875">
        <v>0</v>
      </c>
      <c r="N875">
        <v>929000</v>
      </c>
      <c r="O875">
        <v>1268000</v>
      </c>
    </row>
    <row r="876" spans="1:15" x14ac:dyDescent="0.35">
      <c r="A876" t="s">
        <v>1084</v>
      </c>
      <c r="B876">
        <v>3967203.3898305083</v>
      </c>
      <c r="C876" t="s">
        <v>1082</v>
      </c>
      <c r="D876" s="1">
        <v>44942</v>
      </c>
      <c r="E876" t="s">
        <v>14</v>
      </c>
      <c r="F876" t="s">
        <v>15</v>
      </c>
      <c r="G876" t="s">
        <v>255</v>
      </c>
      <c r="H876" t="s">
        <v>17</v>
      </c>
      <c r="I876" t="s">
        <v>1083</v>
      </c>
      <c r="J876" t="s">
        <v>465</v>
      </c>
      <c r="K876">
        <v>1</v>
      </c>
      <c r="L876">
        <v>4242000</v>
      </c>
      <c r="M876">
        <v>0.05</v>
      </c>
      <c r="N876">
        <v>3271000</v>
      </c>
      <c r="O876">
        <v>4242000</v>
      </c>
    </row>
    <row r="877" spans="1:15" x14ac:dyDescent="0.35">
      <c r="A877" t="s">
        <v>1084</v>
      </c>
      <c r="B877">
        <v>3967203.3898305083</v>
      </c>
      <c r="C877" t="s">
        <v>1085</v>
      </c>
      <c r="D877" s="1">
        <v>44954</v>
      </c>
      <c r="E877" t="s">
        <v>14</v>
      </c>
      <c r="F877" t="s">
        <v>15</v>
      </c>
      <c r="G877" t="s">
        <v>489</v>
      </c>
      <c r="H877" t="s">
        <v>17</v>
      </c>
      <c r="I877" t="s">
        <v>1083</v>
      </c>
      <c r="J877" t="s">
        <v>465</v>
      </c>
      <c r="K877">
        <v>1</v>
      </c>
      <c r="L877">
        <v>3535000</v>
      </c>
      <c r="M877">
        <v>0</v>
      </c>
      <c r="N877">
        <v>2795000</v>
      </c>
      <c r="O877">
        <v>3535000</v>
      </c>
    </row>
    <row r="878" spans="1:15" x14ac:dyDescent="0.35">
      <c r="A878" t="s">
        <v>1084</v>
      </c>
      <c r="B878">
        <v>3967203.3898305083</v>
      </c>
      <c r="C878" t="s">
        <v>1086</v>
      </c>
      <c r="D878" s="1">
        <v>44958</v>
      </c>
      <c r="E878" t="s">
        <v>14</v>
      </c>
      <c r="F878" t="s">
        <v>15</v>
      </c>
      <c r="G878" t="s">
        <v>287</v>
      </c>
      <c r="H878" t="s">
        <v>28</v>
      </c>
      <c r="I878" t="s">
        <v>1083</v>
      </c>
      <c r="J878" t="s">
        <v>465</v>
      </c>
      <c r="K878">
        <v>1</v>
      </c>
      <c r="L878">
        <v>4510000</v>
      </c>
      <c r="M878">
        <v>0</v>
      </c>
      <c r="N878">
        <v>3441000</v>
      </c>
      <c r="O878">
        <v>4510000</v>
      </c>
    </row>
    <row r="879" spans="1:15" x14ac:dyDescent="0.35">
      <c r="A879" t="s">
        <v>1084</v>
      </c>
      <c r="B879">
        <v>3967203.3898305083</v>
      </c>
      <c r="C879" t="s">
        <v>1087</v>
      </c>
      <c r="D879" s="1">
        <v>45052</v>
      </c>
      <c r="E879" t="s">
        <v>14</v>
      </c>
      <c r="F879" t="s">
        <v>15</v>
      </c>
      <c r="G879" t="s">
        <v>291</v>
      </c>
      <c r="H879" t="s">
        <v>17</v>
      </c>
      <c r="I879" t="s">
        <v>1083</v>
      </c>
      <c r="J879" t="s">
        <v>465</v>
      </c>
      <c r="K879">
        <v>1</v>
      </c>
      <c r="L879">
        <v>3967203.3898305083</v>
      </c>
      <c r="M879">
        <v>0</v>
      </c>
      <c r="N879">
        <v>2925000</v>
      </c>
      <c r="O879">
        <v>3967203.3898305083</v>
      </c>
    </row>
    <row r="880" spans="1:15" x14ac:dyDescent="0.35">
      <c r="A880" t="s">
        <v>1084</v>
      </c>
      <c r="B880">
        <v>3967203.3898305083</v>
      </c>
      <c r="C880" t="s">
        <v>1088</v>
      </c>
      <c r="D880" s="1">
        <v>45058</v>
      </c>
      <c r="E880" t="s">
        <v>41</v>
      </c>
      <c r="F880" t="s">
        <v>42</v>
      </c>
      <c r="G880" t="s">
        <v>307</v>
      </c>
      <c r="H880" t="s">
        <v>28</v>
      </c>
      <c r="I880" t="s">
        <v>1083</v>
      </c>
      <c r="J880" t="s">
        <v>465</v>
      </c>
      <c r="K880">
        <v>1</v>
      </c>
      <c r="L880">
        <v>3360000</v>
      </c>
      <c r="M880">
        <v>0</v>
      </c>
      <c r="N880">
        <v>2650000</v>
      </c>
      <c r="O880">
        <v>3360000</v>
      </c>
    </row>
    <row r="881" spans="1:15" x14ac:dyDescent="0.35">
      <c r="A881" t="s">
        <v>1084</v>
      </c>
      <c r="B881">
        <v>3967203.3898305083</v>
      </c>
      <c r="C881" t="s">
        <v>1089</v>
      </c>
      <c r="D881" s="1">
        <v>45067</v>
      </c>
      <c r="E881" t="s">
        <v>41</v>
      </c>
      <c r="F881" t="s">
        <v>42</v>
      </c>
      <c r="G881" t="s">
        <v>323</v>
      </c>
      <c r="H881" t="s">
        <v>28</v>
      </c>
      <c r="I881" t="s">
        <v>1083</v>
      </c>
      <c r="J881" t="s">
        <v>465</v>
      </c>
      <c r="K881">
        <v>1</v>
      </c>
      <c r="L881">
        <v>2718000</v>
      </c>
      <c r="M881">
        <v>0</v>
      </c>
      <c r="N881">
        <v>2074000</v>
      </c>
      <c r="O881">
        <v>2718000</v>
      </c>
    </row>
    <row r="882" spans="1:15" x14ac:dyDescent="0.35">
      <c r="A882" t="s">
        <v>1084</v>
      </c>
      <c r="B882">
        <v>3967203.3898305083</v>
      </c>
      <c r="C882" t="s">
        <v>1090</v>
      </c>
      <c r="D882" s="1">
        <v>45079</v>
      </c>
      <c r="E882" t="s">
        <v>41</v>
      </c>
      <c r="F882" t="s">
        <v>42</v>
      </c>
      <c r="G882" t="s">
        <v>110</v>
      </c>
      <c r="H882" t="s">
        <v>23</v>
      </c>
      <c r="I882" t="s">
        <v>1083</v>
      </c>
      <c r="J882" t="s">
        <v>465</v>
      </c>
      <c r="K882">
        <v>3</v>
      </c>
      <c r="L882">
        <v>4645000</v>
      </c>
      <c r="M882">
        <v>0.1</v>
      </c>
      <c r="N882">
        <v>3693000</v>
      </c>
      <c r="O882">
        <v>4645000</v>
      </c>
    </row>
    <row r="883" spans="1:15" x14ac:dyDescent="0.35">
      <c r="A883" t="s">
        <v>1084</v>
      </c>
      <c r="B883">
        <v>3967203.3898305083</v>
      </c>
      <c r="C883" t="s">
        <v>1091</v>
      </c>
      <c r="D883" s="1">
        <v>45093</v>
      </c>
      <c r="E883" t="s">
        <v>41</v>
      </c>
      <c r="F883" t="s">
        <v>42</v>
      </c>
      <c r="G883" t="s">
        <v>569</v>
      </c>
      <c r="H883" t="s">
        <v>23</v>
      </c>
      <c r="I883" t="s">
        <v>1083</v>
      </c>
      <c r="J883" t="s">
        <v>465</v>
      </c>
      <c r="K883">
        <v>1</v>
      </c>
      <c r="L883">
        <v>4767000</v>
      </c>
      <c r="M883">
        <v>0</v>
      </c>
      <c r="N883">
        <v>3799000</v>
      </c>
      <c r="O883">
        <v>4767000</v>
      </c>
    </row>
    <row r="884" spans="1:15" x14ac:dyDescent="0.35">
      <c r="A884" t="s">
        <v>1084</v>
      </c>
      <c r="B884">
        <v>3967203.3898305083</v>
      </c>
      <c r="C884" t="s">
        <v>1092</v>
      </c>
      <c r="D884" s="1">
        <v>45115</v>
      </c>
      <c r="E884" t="s">
        <v>36</v>
      </c>
      <c r="F884" t="s">
        <v>37</v>
      </c>
      <c r="G884" t="s">
        <v>85</v>
      </c>
      <c r="H884" t="s">
        <v>23</v>
      </c>
      <c r="I884" t="s">
        <v>1083</v>
      </c>
      <c r="J884" t="s">
        <v>465</v>
      </c>
      <c r="K884">
        <v>1</v>
      </c>
      <c r="L884">
        <v>4062000</v>
      </c>
      <c r="M884">
        <v>0</v>
      </c>
      <c r="N884">
        <v>3135000</v>
      </c>
      <c r="O884">
        <v>4062000</v>
      </c>
    </row>
    <row r="885" spans="1:15" x14ac:dyDescent="0.35">
      <c r="A885" t="s">
        <v>1084</v>
      </c>
      <c r="B885">
        <v>3967203.3898305083</v>
      </c>
      <c r="C885" t="s">
        <v>1093</v>
      </c>
      <c r="D885" s="1">
        <v>45127</v>
      </c>
      <c r="E885" t="s">
        <v>14</v>
      </c>
      <c r="F885" t="s">
        <v>15</v>
      </c>
      <c r="G885" t="s">
        <v>423</v>
      </c>
      <c r="H885" t="s">
        <v>17</v>
      </c>
      <c r="I885" t="s">
        <v>1083</v>
      </c>
      <c r="J885" t="s">
        <v>465</v>
      </c>
      <c r="K885">
        <v>1</v>
      </c>
      <c r="L885">
        <v>4976000</v>
      </c>
      <c r="M885">
        <v>0</v>
      </c>
      <c r="N885">
        <v>3859000</v>
      </c>
      <c r="O885">
        <v>4976000</v>
      </c>
    </row>
    <row r="886" spans="1:15" x14ac:dyDescent="0.35">
      <c r="A886" t="s">
        <v>1084</v>
      </c>
      <c r="B886">
        <v>3967203.3898305083</v>
      </c>
      <c r="C886" t="s">
        <v>1094</v>
      </c>
      <c r="D886" s="1">
        <v>45133</v>
      </c>
      <c r="E886" t="s">
        <v>49</v>
      </c>
      <c r="F886" t="s">
        <v>50</v>
      </c>
      <c r="G886" t="s">
        <v>195</v>
      </c>
      <c r="H886" t="s">
        <v>23</v>
      </c>
      <c r="I886" t="s">
        <v>1083</v>
      </c>
      <c r="J886" t="s">
        <v>465</v>
      </c>
      <c r="K886">
        <v>1</v>
      </c>
      <c r="L886">
        <v>2631000</v>
      </c>
      <c r="M886">
        <v>0</v>
      </c>
      <c r="N886">
        <v>2057000</v>
      </c>
      <c r="O886">
        <v>2631000</v>
      </c>
    </row>
    <row r="887" spans="1:15" x14ac:dyDescent="0.35">
      <c r="A887" t="s">
        <v>1084</v>
      </c>
      <c r="B887">
        <v>3967203.3898305083</v>
      </c>
      <c r="C887" t="s">
        <v>1095</v>
      </c>
      <c r="D887" s="1">
        <v>45137</v>
      </c>
      <c r="E887" t="s">
        <v>36</v>
      </c>
      <c r="F887" t="s">
        <v>37</v>
      </c>
      <c r="G887" t="s">
        <v>236</v>
      </c>
      <c r="H887" t="s">
        <v>28</v>
      </c>
      <c r="I887" t="s">
        <v>1083</v>
      </c>
      <c r="J887" t="s">
        <v>465</v>
      </c>
      <c r="K887">
        <v>1</v>
      </c>
      <c r="L887">
        <v>3216000</v>
      </c>
      <c r="M887">
        <v>0.1</v>
      </c>
      <c r="N887">
        <v>2468000</v>
      </c>
      <c r="O887">
        <v>3216000</v>
      </c>
    </row>
    <row r="888" spans="1:15" x14ac:dyDescent="0.35">
      <c r="A888" t="s">
        <v>1084</v>
      </c>
      <c r="B888">
        <v>3967203.3898305083</v>
      </c>
      <c r="C888" t="s">
        <v>1096</v>
      </c>
      <c r="D888" s="1">
        <v>45139</v>
      </c>
      <c r="E888" t="s">
        <v>14</v>
      </c>
      <c r="F888" t="s">
        <v>15</v>
      </c>
      <c r="G888" t="s">
        <v>498</v>
      </c>
      <c r="H888" t="s">
        <v>23</v>
      </c>
      <c r="I888" t="s">
        <v>1083</v>
      </c>
      <c r="J888" t="s">
        <v>465</v>
      </c>
      <c r="K888">
        <v>1</v>
      </c>
      <c r="L888">
        <v>4122000</v>
      </c>
      <c r="M888">
        <v>0.05</v>
      </c>
      <c r="N888">
        <v>3182000</v>
      </c>
      <c r="O888">
        <v>4122000</v>
      </c>
    </row>
    <row r="889" spans="1:15" x14ac:dyDescent="0.35">
      <c r="A889" t="s">
        <v>1084</v>
      </c>
      <c r="B889">
        <v>3967203.3898305083</v>
      </c>
      <c r="C889" t="s">
        <v>1097</v>
      </c>
      <c r="D889" s="1">
        <v>45163</v>
      </c>
      <c r="E889" t="s">
        <v>14</v>
      </c>
      <c r="F889" t="s">
        <v>15</v>
      </c>
      <c r="G889" t="s">
        <v>45</v>
      </c>
      <c r="H889" t="s">
        <v>17</v>
      </c>
      <c r="I889" t="s">
        <v>1083</v>
      </c>
      <c r="J889" t="s">
        <v>465</v>
      </c>
      <c r="K889">
        <v>1</v>
      </c>
      <c r="L889">
        <v>2994000</v>
      </c>
      <c r="M889">
        <v>0.1</v>
      </c>
      <c r="N889">
        <v>2291000</v>
      </c>
      <c r="O889">
        <v>2994000</v>
      </c>
    </row>
    <row r="890" spans="1:15" x14ac:dyDescent="0.35">
      <c r="A890" t="s">
        <v>1084</v>
      </c>
      <c r="B890">
        <v>3967203.3898305083</v>
      </c>
      <c r="C890" t="s">
        <v>1098</v>
      </c>
      <c r="D890" s="1">
        <v>45182</v>
      </c>
      <c r="E890" t="s">
        <v>49</v>
      </c>
      <c r="F890" t="s">
        <v>50</v>
      </c>
      <c r="G890" t="s">
        <v>39</v>
      </c>
      <c r="H890" t="s">
        <v>23</v>
      </c>
      <c r="I890" t="s">
        <v>1083</v>
      </c>
      <c r="J890" t="s">
        <v>465</v>
      </c>
      <c r="K890">
        <v>3</v>
      </c>
      <c r="L890">
        <v>3667000</v>
      </c>
      <c r="M890">
        <v>0.1</v>
      </c>
      <c r="N890">
        <v>2889000</v>
      </c>
      <c r="O890">
        <v>3667000</v>
      </c>
    </row>
    <row r="891" spans="1:15" x14ac:dyDescent="0.35">
      <c r="A891" t="s">
        <v>1084</v>
      </c>
      <c r="B891">
        <v>3967203.3898305083</v>
      </c>
      <c r="C891" t="s">
        <v>1099</v>
      </c>
      <c r="D891" s="1">
        <v>45187</v>
      </c>
      <c r="E891" t="s">
        <v>14</v>
      </c>
      <c r="F891" t="s">
        <v>15</v>
      </c>
      <c r="G891" t="s">
        <v>210</v>
      </c>
      <c r="H891" t="s">
        <v>23</v>
      </c>
      <c r="I891" t="s">
        <v>1083</v>
      </c>
      <c r="J891" t="s">
        <v>465</v>
      </c>
      <c r="K891">
        <v>1</v>
      </c>
      <c r="L891">
        <v>3668000</v>
      </c>
      <c r="M891">
        <v>0</v>
      </c>
      <c r="N891">
        <v>2820000</v>
      </c>
      <c r="O891">
        <v>3668000</v>
      </c>
    </row>
    <row r="892" spans="1:15" x14ac:dyDescent="0.35">
      <c r="A892" t="s">
        <v>1084</v>
      </c>
      <c r="B892">
        <v>3967203.3898305083</v>
      </c>
      <c r="C892" t="s">
        <v>1100</v>
      </c>
      <c r="D892" s="1">
        <v>45195</v>
      </c>
      <c r="E892" t="s">
        <v>41</v>
      </c>
      <c r="F892" t="s">
        <v>42</v>
      </c>
      <c r="G892" t="s">
        <v>230</v>
      </c>
      <c r="H892" t="s">
        <v>23</v>
      </c>
      <c r="I892" t="s">
        <v>1083</v>
      </c>
      <c r="J892" t="s">
        <v>465</v>
      </c>
      <c r="K892">
        <v>1</v>
      </c>
      <c r="L892">
        <v>3299000</v>
      </c>
      <c r="M892">
        <v>0.05</v>
      </c>
      <c r="N892">
        <v>2581000</v>
      </c>
      <c r="O892">
        <v>3299000</v>
      </c>
    </row>
    <row r="893" spans="1:15" x14ac:dyDescent="0.35">
      <c r="A893" t="s">
        <v>1084</v>
      </c>
      <c r="B893">
        <v>3967203.3898305083</v>
      </c>
      <c r="C893" t="s">
        <v>1101</v>
      </c>
      <c r="D893" s="1">
        <v>45213</v>
      </c>
      <c r="E893" t="s">
        <v>14</v>
      </c>
      <c r="F893" t="s">
        <v>15</v>
      </c>
      <c r="G893" t="s">
        <v>258</v>
      </c>
      <c r="H893" t="s">
        <v>23</v>
      </c>
      <c r="I893" t="s">
        <v>1083</v>
      </c>
      <c r="J893" t="s">
        <v>465</v>
      </c>
      <c r="K893">
        <v>1</v>
      </c>
      <c r="L893">
        <v>3751000</v>
      </c>
      <c r="M893">
        <v>0</v>
      </c>
      <c r="N893">
        <v>2893000</v>
      </c>
      <c r="O893">
        <v>3751000</v>
      </c>
    </row>
    <row r="894" spans="1:15" x14ac:dyDescent="0.35">
      <c r="A894" t="s">
        <v>1084</v>
      </c>
      <c r="B894">
        <v>3967203.3898305083</v>
      </c>
      <c r="C894" t="s">
        <v>1102</v>
      </c>
      <c r="D894" s="1">
        <v>45229</v>
      </c>
      <c r="E894" t="s">
        <v>41</v>
      </c>
      <c r="F894" t="s">
        <v>42</v>
      </c>
      <c r="G894" t="s">
        <v>340</v>
      </c>
      <c r="H894" t="s">
        <v>23</v>
      </c>
      <c r="I894" t="s">
        <v>1083</v>
      </c>
      <c r="J894" t="s">
        <v>465</v>
      </c>
      <c r="K894">
        <v>1</v>
      </c>
      <c r="L894">
        <v>4361000</v>
      </c>
      <c r="M894">
        <v>0</v>
      </c>
      <c r="N894">
        <v>3355000</v>
      </c>
      <c r="O894">
        <v>4361000</v>
      </c>
    </row>
    <row r="895" spans="1:15" x14ac:dyDescent="0.35">
      <c r="A895" t="s">
        <v>1084</v>
      </c>
      <c r="B895">
        <v>3967203.3898305083</v>
      </c>
      <c r="C895" t="s">
        <v>1103</v>
      </c>
      <c r="D895" s="1">
        <v>45238</v>
      </c>
      <c r="E895" t="s">
        <v>25</v>
      </c>
      <c r="F895" t="s">
        <v>26</v>
      </c>
      <c r="G895" t="s">
        <v>197</v>
      </c>
      <c r="H895" t="s">
        <v>28</v>
      </c>
      <c r="I895" t="s">
        <v>1083</v>
      </c>
      <c r="J895" t="s">
        <v>465</v>
      </c>
      <c r="K895">
        <v>3</v>
      </c>
      <c r="L895">
        <v>3967203.3898305083</v>
      </c>
      <c r="M895">
        <v>0.1</v>
      </c>
      <c r="N895">
        <v>2925000</v>
      </c>
      <c r="O895">
        <v>3967203.3898305083</v>
      </c>
    </row>
    <row r="896" spans="1:15" x14ac:dyDescent="0.35">
      <c r="A896" t="s">
        <v>1084</v>
      </c>
      <c r="B896">
        <v>3967203.3898305083</v>
      </c>
      <c r="C896" t="s">
        <v>1104</v>
      </c>
      <c r="D896" s="1">
        <v>45303</v>
      </c>
      <c r="E896" t="s">
        <v>41</v>
      </c>
      <c r="F896" t="s">
        <v>42</v>
      </c>
      <c r="G896" t="s">
        <v>260</v>
      </c>
      <c r="H896" t="s">
        <v>23</v>
      </c>
      <c r="I896" t="s">
        <v>1083</v>
      </c>
      <c r="J896" t="s">
        <v>465</v>
      </c>
      <c r="K896">
        <v>1</v>
      </c>
      <c r="L896">
        <v>2693000</v>
      </c>
      <c r="M896">
        <v>0</v>
      </c>
      <c r="N896">
        <v>2095000</v>
      </c>
      <c r="O896">
        <v>2693000</v>
      </c>
    </row>
    <row r="897" spans="1:15" x14ac:dyDescent="0.35">
      <c r="A897" t="s">
        <v>1084</v>
      </c>
      <c r="B897">
        <v>3967203.3898305083</v>
      </c>
      <c r="C897" t="s">
        <v>1105</v>
      </c>
      <c r="D897" s="1">
        <v>45326</v>
      </c>
      <c r="E897" t="s">
        <v>14</v>
      </c>
      <c r="F897" t="s">
        <v>15</v>
      </c>
      <c r="G897" t="s">
        <v>413</v>
      </c>
      <c r="H897" t="s">
        <v>23</v>
      </c>
      <c r="I897" t="s">
        <v>1083</v>
      </c>
      <c r="J897" t="s">
        <v>465</v>
      </c>
      <c r="K897">
        <v>1</v>
      </c>
      <c r="L897">
        <v>4372000</v>
      </c>
      <c r="M897">
        <v>0</v>
      </c>
      <c r="N897">
        <v>3357000</v>
      </c>
      <c r="O897">
        <v>4372000</v>
      </c>
    </row>
    <row r="898" spans="1:15" x14ac:dyDescent="0.35">
      <c r="A898" t="s">
        <v>1084</v>
      </c>
      <c r="B898">
        <v>3967203.3898305083</v>
      </c>
      <c r="C898" t="s">
        <v>1106</v>
      </c>
      <c r="D898" s="1">
        <v>45338</v>
      </c>
      <c r="E898" t="s">
        <v>41</v>
      </c>
      <c r="F898" t="s">
        <v>42</v>
      </c>
      <c r="G898" t="s">
        <v>741</v>
      </c>
      <c r="H898" t="s">
        <v>23</v>
      </c>
      <c r="I898" t="s">
        <v>1083</v>
      </c>
      <c r="J898" t="s">
        <v>465</v>
      </c>
      <c r="K898">
        <v>1</v>
      </c>
      <c r="L898">
        <v>2650000</v>
      </c>
      <c r="M898">
        <v>0.1</v>
      </c>
      <c r="N898">
        <v>2081000</v>
      </c>
      <c r="O898">
        <v>2650000</v>
      </c>
    </row>
    <row r="899" spans="1:15" x14ac:dyDescent="0.35">
      <c r="A899" t="s">
        <v>1084</v>
      </c>
      <c r="B899">
        <v>3967203.3898305083</v>
      </c>
      <c r="C899" t="s">
        <v>1107</v>
      </c>
      <c r="D899" s="1">
        <v>45345</v>
      </c>
      <c r="E899" t="s">
        <v>41</v>
      </c>
      <c r="F899" t="s">
        <v>42</v>
      </c>
      <c r="G899" t="s">
        <v>432</v>
      </c>
      <c r="H899" t="s">
        <v>23</v>
      </c>
      <c r="I899" t="s">
        <v>1083</v>
      </c>
      <c r="J899" t="s">
        <v>465</v>
      </c>
      <c r="K899">
        <v>5</v>
      </c>
      <c r="L899">
        <v>3678000</v>
      </c>
      <c r="M899">
        <v>0</v>
      </c>
      <c r="N899">
        <v>2880000</v>
      </c>
      <c r="O899">
        <v>3678000</v>
      </c>
    </row>
    <row r="900" spans="1:15" x14ac:dyDescent="0.35">
      <c r="A900" t="s">
        <v>1084</v>
      </c>
      <c r="B900">
        <v>3967203.3898305083</v>
      </c>
      <c r="C900" t="s">
        <v>1108</v>
      </c>
      <c r="D900" s="1">
        <v>45365</v>
      </c>
      <c r="E900" t="s">
        <v>14</v>
      </c>
      <c r="F900" t="s">
        <v>15</v>
      </c>
      <c r="G900" t="s">
        <v>108</v>
      </c>
      <c r="H900" t="s">
        <v>23</v>
      </c>
      <c r="I900" t="s">
        <v>1083</v>
      </c>
      <c r="J900" t="s">
        <v>465</v>
      </c>
      <c r="K900">
        <v>1</v>
      </c>
      <c r="L900">
        <v>3756000</v>
      </c>
      <c r="M900">
        <v>0</v>
      </c>
      <c r="N900">
        <v>2928000</v>
      </c>
      <c r="O900">
        <v>3756000</v>
      </c>
    </row>
    <row r="901" spans="1:15" x14ac:dyDescent="0.35">
      <c r="A901" t="s">
        <v>1084</v>
      </c>
      <c r="B901">
        <v>3967203.3898305083</v>
      </c>
      <c r="C901" t="s">
        <v>1109</v>
      </c>
      <c r="D901" s="1">
        <v>45390</v>
      </c>
      <c r="E901" t="s">
        <v>14</v>
      </c>
      <c r="F901" t="s">
        <v>15</v>
      </c>
      <c r="G901" t="s">
        <v>329</v>
      </c>
      <c r="H901" t="s">
        <v>28</v>
      </c>
      <c r="I901" t="s">
        <v>1083</v>
      </c>
      <c r="J901" t="s">
        <v>465</v>
      </c>
      <c r="K901">
        <v>1</v>
      </c>
      <c r="L901">
        <v>2684000</v>
      </c>
      <c r="M901">
        <v>0</v>
      </c>
      <c r="N901">
        <v>2064000</v>
      </c>
      <c r="O901">
        <v>2684000</v>
      </c>
    </row>
    <row r="902" spans="1:15" x14ac:dyDescent="0.35">
      <c r="A902" t="s">
        <v>1084</v>
      </c>
      <c r="B902">
        <v>3967203.3898305083</v>
      </c>
      <c r="C902" t="s">
        <v>1110</v>
      </c>
      <c r="D902" s="1">
        <v>45416</v>
      </c>
      <c r="E902" t="s">
        <v>14</v>
      </c>
      <c r="F902" t="s">
        <v>15</v>
      </c>
      <c r="G902" t="s">
        <v>63</v>
      </c>
      <c r="H902" t="s">
        <v>28</v>
      </c>
      <c r="I902" t="s">
        <v>1083</v>
      </c>
      <c r="J902" t="s">
        <v>465</v>
      </c>
      <c r="K902">
        <v>3</v>
      </c>
      <c r="L902">
        <v>3386000</v>
      </c>
      <c r="M902">
        <v>0</v>
      </c>
      <c r="N902">
        <v>2649000</v>
      </c>
      <c r="O902">
        <v>3386000</v>
      </c>
    </row>
    <row r="903" spans="1:15" x14ac:dyDescent="0.35">
      <c r="A903" t="s">
        <v>1084</v>
      </c>
      <c r="B903">
        <v>3967203.3898305083</v>
      </c>
      <c r="C903" t="s">
        <v>1111</v>
      </c>
      <c r="D903" s="1">
        <v>45445</v>
      </c>
      <c r="E903" t="s">
        <v>25</v>
      </c>
      <c r="F903" t="s">
        <v>26</v>
      </c>
      <c r="G903" t="s">
        <v>301</v>
      </c>
      <c r="H903" t="s">
        <v>28</v>
      </c>
      <c r="I903" t="s">
        <v>1083</v>
      </c>
      <c r="J903" t="s">
        <v>465</v>
      </c>
      <c r="K903">
        <v>2</v>
      </c>
      <c r="L903">
        <v>4915000</v>
      </c>
      <c r="M903">
        <v>0.05</v>
      </c>
      <c r="N903">
        <v>3812000</v>
      </c>
      <c r="O903">
        <v>4915000</v>
      </c>
    </row>
    <row r="904" spans="1:15" x14ac:dyDescent="0.35">
      <c r="A904" t="s">
        <v>1084</v>
      </c>
      <c r="B904">
        <v>3967203.3898305083</v>
      </c>
      <c r="C904" t="s">
        <v>1112</v>
      </c>
      <c r="D904" s="1">
        <v>45507</v>
      </c>
      <c r="E904" t="s">
        <v>41</v>
      </c>
      <c r="F904" t="s">
        <v>42</v>
      </c>
      <c r="G904" t="s">
        <v>352</v>
      </c>
      <c r="H904" t="s">
        <v>23</v>
      </c>
      <c r="I904" t="s">
        <v>1083</v>
      </c>
      <c r="J904" t="s">
        <v>465</v>
      </c>
      <c r="K904">
        <v>1</v>
      </c>
      <c r="L904">
        <v>4600000</v>
      </c>
      <c r="M904">
        <v>0</v>
      </c>
      <c r="N904">
        <v>3645000</v>
      </c>
      <c r="O904">
        <v>4600000</v>
      </c>
    </row>
    <row r="905" spans="1:15" x14ac:dyDescent="0.35">
      <c r="A905" t="s">
        <v>1084</v>
      </c>
      <c r="B905">
        <v>3967203.3898305083</v>
      </c>
      <c r="C905" t="s">
        <v>1113</v>
      </c>
      <c r="D905" s="1">
        <v>45511</v>
      </c>
      <c r="E905" t="s">
        <v>14</v>
      </c>
      <c r="F905" t="s">
        <v>15</v>
      </c>
      <c r="G905" t="s">
        <v>79</v>
      </c>
      <c r="H905" t="s">
        <v>17</v>
      </c>
      <c r="I905" t="s">
        <v>1083</v>
      </c>
      <c r="J905" t="s">
        <v>465</v>
      </c>
      <c r="K905">
        <v>1</v>
      </c>
      <c r="L905">
        <v>4665000</v>
      </c>
      <c r="M905">
        <v>0.05</v>
      </c>
      <c r="N905">
        <v>3658000</v>
      </c>
      <c r="O905">
        <v>4665000</v>
      </c>
    </row>
    <row r="906" spans="1:15" x14ac:dyDescent="0.35">
      <c r="A906" t="s">
        <v>1084</v>
      </c>
      <c r="B906">
        <v>3967203.3898305083</v>
      </c>
      <c r="C906" t="s">
        <v>1114</v>
      </c>
      <c r="D906" s="1">
        <v>45514</v>
      </c>
      <c r="E906" t="s">
        <v>41</v>
      </c>
      <c r="F906" t="s">
        <v>42</v>
      </c>
      <c r="G906" t="s">
        <v>309</v>
      </c>
      <c r="H906" t="s">
        <v>23</v>
      </c>
      <c r="I906" t="s">
        <v>1083</v>
      </c>
      <c r="J906" t="s">
        <v>465</v>
      </c>
      <c r="K906">
        <v>1</v>
      </c>
      <c r="L906">
        <v>4552000</v>
      </c>
      <c r="M906">
        <v>0</v>
      </c>
      <c r="N906">
        <v>3540000</v>
      </c>
      <c r="O906">
        <v>4552000</v>
      </c>
    </row>
    <row r="907" spans="1:15" x14ac:dyDescent="0.35">
      <c r="A907" t="s">
        <v>1084</v>
      </c>
      <c r="B907">
        <v>3967203.3898305083</v>
      </c>
      <c r="C907" t="s">
        <v>1115</v>
      </c>
      <c r="D907" s="1">
        <v>45538</v>
      </c>
      <c r="E907" t="s">
        <v>49</v>
      </c>
      <c r="F907" t="s">
        <v>50</v>
      </c>
      <c r="G907" t="s">
        <v>91</v>
      </c>
      <c r="H907" t="s">
        <v>23</v>
      </c>
      <c r="I907" t="s">
        <v>1083</v>
      </c>
      <c r="J907" t="s">
        <v>465</v>
      </c>
      <c r="K907">
        <v>1</v>
      </c>
      <c r="L907">
        <v>5106000</v>
      </c>
      <c r="M907">
        <v>0</v>
      </c>
      <c r="N907">
        <v>3883000</v>
      </c>
      <c r="O907">
        <v>5106000</v>
      </c>
    </row>
    <row r="908" spans="1:15" x14ac:dyDescent="0.35">
      <c r="A908" t="s">
        <v>1084</v>
      </c>
      <c r="B908">
        <v>3967203.3898305083</v>
      </c>
      <c r="C908" t="s">
        <v>1116</v>
      </c>
      <c r="D908" s="1">
        <v>45563</v>
      </c>
      <c r="E908" t="s">
        <v>25</v>
      </c>
      <c r="F908" t="s">
        <v>26</v>
      </c>
      <c r="G908" t="s">
        <v>315</v>
      </c>
      <c r="H908" t="s">
        <v>23</v>
      </c>
      <c r="I908" t="s">
        <v>1083</v>
      </c>
      <c r="J908" t="s">
        <v>465</v>
      </c>
      <c r="K908">
        <v>1</v>
      </c>
      <c r="L908">
        <v>4389000</v>
      </c>
      <c r="M908">
        <v>0</v>
      </c>
      <c r="N908">
        <v>3415000</v>
      </c>
      <c r="O908">
        <v>4389000</v>
      </c>
    </row>
    <row r="909" spans="1:15" x14ac:dyDescent="0.35">
      <c r="A909" t="s">
        <v>1084</v>
      </c>
      <c r="B909">
        <v>3967203.3898305083</v>
      </c>
      <c r="C909" t="s">
        <v>1117</v>
      </c>
      <c r="D909" s="1">
        <v>45572</v>
      </c>
      <c r="E909" t="s">
        <v>14</v>
      </c>
      <c r="F909" t="s">
        <v>15</v>
      </c>
      <c r="G909" t="s">
        <v>378</v>
      </c>
      <c r="H909" t="s">
        <v>23</v>
      </c>
      <c r="I909" t="s">
        <v>1083</v>
      </c>
      <c r="J909" t="s">
        <v>465</v>
      </c>
      <c r="K909">
        <v>1</v>
      </c>
      <c r="L909">
        <v>3097000</v>
      </c>
      <c r="M909">
        <v>0.1</v>
      </c>
      <c r="N909">
        <v>2386000</v>
      </c>
      <c r="O909">
        <v>3097000</v>
      </c>
    </row>
    <row r="910" spans="1:15" x14ac:dyDescent="0.35">
      <c r="A910" t="s">
        <v>1084</v>
      </c>
      <c r="B910">
        <v>3967203.3898305083</v>
      </c>
      <c r="C910" t="s">
        <v>1118</v>
      </c>
      <c r="D910" s="1">
        <v>45580</v>
      </c>
      <c r="E910" t="s">
        <v>14</v>
      </c>
      <c r="F910" t="s">
        <v>15</v>
      </c>
      <c r="G910" t="s">
        <v>419</v>
      </c>
      <c r="H910" t="s">
        <v>17</v>
      </c>
      <c r="I910" t="s">
        <v>1083</v>
      </c>
      <c r="J910" t="s">
        <v>465</v>
      </c>
      <c r="K910">
        <v>1</v>
      </c>
      <c r="L910">
        <v>3641000</v>
      </c>
      <c r="M910">
        <v>0</v>
      </c>
      <c r="N910">
        <v>2772000</v>
      </c>
      <c r="O910">
        <v>3641000</v>
      </c>
    </row>
    <row r="911" spans="1:15" x14ac:dyDescent="0.35">
      <c r="A911" t="s">
        <v>1084</v>
      </c>
      <c r="B911">
        <v>3967203.3898305083</v>
      </c>
      <c r="C911" t="s">
        <v>1119</v>
      </c>
      <c r="D911" s="1">
        <v>45625</v>
      </c>
      <c r="E911" t="s">
        <v>41</v>
      </c>
      <c r="F911" t="s">
        <v>42</v>
      </c>
      <c r="G911" t="s">
        <v>301</v>
      </c>
      <c r="H911" t="s">
        <v>28</v>
      </c>
      <c r="I911" t="s">
        <v>1083</v>
      </c>
      <c r="J911" t="s">
        <v>465</v>
      </c>
      <c r="K911">
        <v>1</v>
      </c>
      <c r="L911">
        <v>3104000</v>
      </c>
      <c r="M911">
        <v>0</v>
      </c>
      <c r="N911">
        <v>2423000</v>
      </c>
      <c r="O911">
        <v>3104000</v>
      </c>
    </row>
    <row r="912" spans="1:15" x14ac:dyDescent="0.35">
      <c r="A912" t="s">
        <v>1084</v>
      </c>
      <c r="B912">
        <v>3967203.3898305083</v>
      </c>
      <c r="C912" t="s">
        <v>1120</v>
      </c>
      <c r="D912" s="1">
        <v>45627</v>
      </c>
      <c r="E912" t="s">
        <v>36</v>
      </c>
      <c r="F912" t="s">
        <v>37</v>
      </c>
      <c r="G912" t="s">
        <v>260</v>
      </c>
      <c r="H912" t="s">
        <v>23</v>
      </c>
      <c r="I912" t="s">
        <v>1083</v>
      </c>
      <c r="J912" t="s">
        <v>465</v>
      </c>
      <c r="K912">
        <v>1</v>
      </c>
      <c r="L912">
        <v>3224000</v>
      </c>
      <c r="M912">
        <v>0</v>
      </c>
      <c r="N912">
        <v>2510000</v>
      </c>
      <c r="O912">
        <v>3224000</v>
      </c>
    </row>
    <row r="913" spans="1:15" x14ac:dyDescent="0.35">
      <c r="A913" t="s">
        <v>1084</v>
      </c>
      <c r="B913">
        <v>3967203.3898305083</v>
      </c>
      <c r="C913" t="s">
        <v>1121</v>
      </c>
      <c r="D913" s="1">
        <v>45628</v>
      </c>
      <c r="E913" t="s">
        <v>49</v>
      </c>
      <c r="F913" t="s">
        <v>50</v>
      </c>
      <c r="G913" t="s">
        <v>166</v>
      </c>
      <c r="H913" t="s">
        <v>28</v>
      </c>
      <c r="I913" t="s">
        <v>1083</v>
      </c>
      <c r="J913" t="s">
        <v>465</v>
      </c>
      <c r="K913">
        <v>1</v>
      </c>
      <c r="L913">
        <v>4175000</v>
      </c>
      <c r="M913">
        <v>0.05</v>
      </c>
      <c r="N913">
        <v>3293000</v>
      </c>
      <c r="O913">
        <v>4175000</v>
      </c>
    </row>
    <row r="914" spans="1:15" x14ac:dyDescent="0.35">
      <c r="A914" t="s">
        <v>1084</v>
      </c>
      <c r="B914">
        <v>3967203.3898305083</v>
      </c>
      <c r="C914" t="s">
        <v>1122</v>
      </c>
      <c r="D914" s="1">
        <v>45674</v>
      </c>
      <c r="E914" t="s">
        <v>14</v>
      </c>
      <c r="F914" t="s">
        <v>15</v>
      </c>
      <c r="G914" t="s">
        <v>89</v>
      </c>
      <c r="H914" t="s">
        <v>23</v>
      </c>
      <c r="I914" t="s">
        <v>1083</v>
      </c>
      <c r="J914" t="s">
        <v>465</v>
      </c>
      <c r="K914">
        <v>1</v>
      </c>
      <c r="L914">
        <v>4001000</v>
      </c>
      <c r="M914">
        <v>0</v>
      </c>
      <c r="N914">
        <v>3078000</v>
      </c>
      <c r="O914">
        <v>4001000</v>
      </c>
    </row>
    <row r="915" spans="1:15" x14ac:dyDescent="0.35">
      <c r="A915" t="s">
        <v>1084</v>
      </c>
      <c r="B915">
        <v>3967203.3898305083</v>
      </c>
      <c r="C915" t="s">
        <v>1123</v>
      </c>
      <c r="D915" s="1">
        <v>45683</v>
      </c>
      <c r="E915" t="s">
        <v>14</v>
      </c>
      <c r="F915" t="s">
        <v>15</v>
      </c>
      <c r="G915" t="s">
        <v>134</v>
      </c>
      <c r="H915" t="s">
        <v>28</v>
      </c>
      <c r="I915" t="s">
        <v>1083</v>
      </c>
      <c r="J915" t="s">
        <v>465</v>
      </c>
      <c r="K915">
        <v>1</v>
      </c>
      <c r="L915">
        <v>4528000</v>
      </c>
      <c r="M915">
        <v>0</v>
      </c>
      <c r="N915">
        <v>3571000</v>
      </c>
      <c r="O915">
        <v>4528000</v>
      </c>
    </row>
    <row r="916" spans="1:15" x14ac:dyDescent="0.35">
      <c r="A916" t="s">
        <v>1084</v>
      </c>
      <c r="B916">
        <v>3967203.3898305083</v>
      </c>
      <c r="C916" t="s">
        <v>1124</v>
      </c>
      <c r="D916" s="1">
        <v>45753</v>
      </c>
      <c r="E916" t="s">
        <v>36</v>
      </c>
      <c r="F916" t="s">
        <v>37</v>
      </c>
      <c r="G916" t="s">
        <v>255</v>
      </c>
      <c r="H916" t="s">
        <v>17</v>
      </c>
      <c r="I916" t="s">
        <v>1083</v>
      </c>
      <c r="J916" t="s">
        <v>465</v>
      </c>
      <c r="K916">
        <v>1</v>
      </c>
      <c r="L916">
        <v>3735000</v>
      </c>
      <c r="M916">
        <v>0</v>
      </c>
      <c r="N916">
        <v>2971000</v>
      </c>
      <c r="O916">
        <v>3735000</v>
      </c>
    </row>
    <row r="917" spans="1:15" x14ac:dyDescent="0.35">
      <c r="A917" t="s">
        <v>1084</v>
      </c>
      <c r="B917">
        <v>3967203.3898305083</v>
      </c>
      <c r="C917" t="s">
        <v>1125</v>
      </c>
      <c r="D917" s="1">
        <v>45764</v>
      </c>
      <c r="E917" t="s">
        <v>41</v>
      </c>
      <c r="F917" t="s">
        <v>42</v>
      </c>
      <c r="G917" t="s">
        <v>498</v>
      </c>
      <c r="H917" t="s">
        <v>23</v>
      </c>
      <c r="I917" t="s">
        <v>1083</v>
      </c>
      <c r="J917" t="s">
        <v>465</v>
      </c>
      <c r="K917">
        <v>1</v>
      </c>
      <c r="L917">
        <v>5277000</v>
      </c>
      <c r="M917">
        <v>0.1</v>
      </c>
      <c r="N917">
        <v>4204000</v>
      </c>
      <c r="O917">
        <v>5277000</v>
      </c>
    </row>
    <row r="918" spans="1:15" x14ac:dyDescent="0.35">
      <c r="A918" t="s">
        <v>1084</v>
      </c>
      <c r="B918">
        <v>3967203.3898305083</v>
      </c>
      <c r="C918" t="s">
        <v>1126</v>
      </c>
      <c r="D918" s="1">
        <v>45765</v>
      </c>
      <c r="E918" t="s">
        <v>49</v>
      </c>
      <c r="F918" t="s">
        <v>50</v>
      </c>
      <c r="G918" t="s">
        <v>226</v>
      </c>
      <c r="H918" t="s">
        <v>17</v>
      </c>
      <c r="I918" t="s">
        <v>1083</v>
      </c>
      <c r="J918" t="s">
        <v>465</v>
      </c>
      <c r="K918">
        <v>1</v>
      </c>
      <c r="L918">
        <v>4370000</v>
      </c>
      <c r="M918">
        <v>0</v>
      </c>
      <c r="N918">
        <v>3472000</v>
      </c>
      <c r="O918">
        <v>4370000</v>
      </c>
    </row>
    <row r="919" spans="1:15" x14ac:dyDescent="0.35">
      <c r="A919" t="s">
        <v>1084</v>
      </c>
      <c r="B919">
        <v>3967203.3898305083</v>
      </c>
      <c r="C919" t="s">
        <v>1127</v>
      </c>
      <c r="D919" s="1">
        <v>45808</v>
      </c>
      <c r="E919" t="s">
        <v>14</v>
      </c>
      <c r="F919" t="s">
        <v>15</v>
      </c>
      <c r="G919" t="s">
        <v>319</v>
      </c>
      <c r="H919" t="s">
        <v>23</v>
      </c>
      <c r="I919" t="s">
        <v>1083</v>
      </c>
      <c r="J919" t="s">
        <v>465</v>
      </c>
      <c r="K919">
        <v>5</v>
      </c>
      <c r="L919">
        <v>3451000</v>
      </c>
      <c r="M919">
        <v>0</v>
      </c>
      <c r="N919">
        <v>2695000</v>
      </c>
      <c r="O919">
        <v>3451000</v>
      </c>
    </row>
    <row r="920" spans="1:15" x14ac:dyDescent="0.35">
      <c r="A920" t="s">
        <v>1084</v>
      </c>
      <c r="B920">
        <v>3967203.3898305083</v>
      </c>
      <c r="C920" t="s">
        <v>1128</v>
      </c>
      <c r="D920" s="1">
        <v>45821</v>
      </c>
      <c r="E920" t="s">
        <v>49</v>
      </c>
      <c r="F920" t="s">
        <v>50</v>
      </c>
      <c r="G920" t="s">
        <v>102</v>
      </c>
      <c r="H920" t="s">
        <v>58</v>
      </c>
      <c r="I920" t="s">
        <v>1083</v>
      </c>
      <c r="J920" t="s">
        <v>465</v>
      </c>
      <c r="K920">
        <v>1</v>
      </c>
      <c r="L920">
        <v>3382000</v>
      </c>
      <c r="M920">
        <v>0</v>
      </c>
      <c r="N920">
        <v>2695000</v>
      </c>
      <c r="O920">
        <v>3382000</v>
      </c>
    </row>
    <row r="921" spans="1:15" x14ac:dyDescent="0.35">
      <c r="A921" t="s">
        <v>1084</v>
      </c>
      <c r="B921">
        <v>3967203.3898305083</v>
      </c>
      <c r="C921" t="s">
        <v>1129</v>
      </c>
      <c r="D921" s="1">
        <v>45835</v>
      </c>
      <c r="E921" t="s">
        <v>14</v>
      </c>
      <c r="F921" t="s">
        <v>15</v>
      </c>
      <c r="G921" t="s">
        <v>166</v>
      </c>
      <c r="H921" t="s">
        <v>28</v>
      </c>
      <c r="I921" t="s">
        <v>1083</v>
      </c>
      <c r="J921" t="s">
        <v>465</v>
      </c>
      <c r="K921">
        <v>1</v>
      </c>
      <c r="L921">
        <v>5012000</v>
      </c>
      <c r="M921">
        <v>0</v>
      </c>
      <c r="N921">
        <v>3925000</v>
      </c>
      <c r="O921">
        <v>5012000</v>
      </c>
    </row>
    <row r="922" spans="1:15" x14ac:dyDescent="0.35">
      <c r="A922" t="s">
        <v>1084</v>
      </c>
      <c r="B922">
        <v>3967203.3898305083</v>
      </c>
      <c r="C922" t="s">
        <v>1130</v>
      </c>
      <c r="D922" s="1">
        <v>45853</v>
      </c>
      <c r="E922" t="s">
        <v>49</v>
      </c>
      <c r="F922" t="s">
        <v>50</v>
      </c>
      <c r="G922" t="s">
        <v>216</v>
      </c>
      <c r="H922" t="s">
        <v>17</v>
      </c>
      <c r="I922" t="s">
        <v>1083</v>
      </c>
      <c r="J922" t="s">
        <v>465</v>
      </c>
      <c r="K922">
        <v>2</v>
      </c>
      <c r="L922">
        <v>3311000</v>
      </c>
      <c r="M922">
        <v>0</v>
      </c>
      <c r="N922">
        <v>2539000</v>
      </c>
      <c r="O922">
        <v>3311000</v>
      </c>
    </row>
    <row r="923" spans="1:15" x14ac:dyDescent="0.35">
      <c r="A923" t="s">
        <v>1084</v>
      </c>
      <c r="B923">
        <v>3967203.3898305083</v>
      </c>
      <c r="C923" t="s">
        <v>1131</v>
      </c>
      <c r="D923" s="1">
        <v>45858</v>
      </c>
      <c r="E923" t="s">
        <v>41</v>
      </c>
      <c r="F923" t="s">
        <v>42</v>
      </c>
      <c r="G923" t="s">
        <v>61</v>
      </c>
      <c r="H923" t="s">
        <v>23</v>
      </c>
      <c r="I923" t="s">
        <v>1083</v>
      </c>
      <c r="J923" t="s">
        <v>465</v>
      </c>
      <c r="K923">
        <v>2</v>
      </c>
      <c r="L923">
        <v>5096000</v>
      </c>
      <c r="M923">
        <v>0</v>
      </c>
      <c r="N923">
        <v>3878000</v>
      </c>
      <c r="O923">
        <v>5096000</v>
      </c>
    </row>
    <row r="924" spans="1:15" x14ac:dyDescent="0.35">
      <c r="A924" t="s">
        <v>1084</v>
      </c>
      <c r="B924">
        <v>3967203.3898305083</v>
      </c>
      <c r="C924" t="s">
        <v>1132</v>
      </c>
      <c r="D924" s="1">
        <v>45860</v>
      </c>
      <c r="E924" t="s">
        <v>49</v>
      </c>
      <c r="F924" t="s">
        <v>50</v>
      </c>
      <c r="G924" t="s">
        <v>27</v>
      </c>
      <c r="H924" t="s">
        <v>28</v>
      </c>
      <c r="I924" t="s">
        <v>1083</v>
      </c>
      <c r="J924" t="s">
        <v>465</v>
      </c>
      <c r="K924">
        <v>1</v>
      </c>
      <c r="L924">
        <v>5405000</v>
      </c>
      <c r="M924">
        <v>0</v>
      </c>
      <c r="N924">
        <v>4200000</v>
      </c>
      <c r="O924">
        <v>5405000</v>
      </c>
    </row>
    <row r="925" spans="1:15" x14ac:dyDescent="0.35">
      <c r="A925" t="s">
        <v>1084</v>
      </c>
      <c r="B925">
        <v>3967203.3898305083</v>
      </c>
      <c r="C925" t="s">
        <v>1133</v>
      </c>
      <c r="D925" s="1">
        <v>45896</v>
      </c>
      <c r="E925" t="s">
        <v>49</v>
      </c>
      <c r="F925" t="s">
        <v>50</v>
      </c>
      <c r="G925" t="s">
        <v>144</v>
      </c>
      <c r="H925" t="s">
        <v>23</v>
      </c>
      <c r="I925" t="s">
        <v>1083</v>
      </c>
      <c r="J925" t="s">
        <v>465</v>
      </c>
      <c r="K925">
        <v>1</v>
      </c>
      <c r="L925">
        <v>5460000</v>
      </c>
      <c r="M925">
        <v>0</v>
      </c>
      <c r="N925">
        <v>4356000</v>
      </c>
      <c r="O925">
        <v>5460000</v>
      </c>
    </row>
    <row r="926" spans="1:15" x14ac:dyDescent="0.35">
      <c r="A926" t="s">
        <v>1084</v>
      </c>
      <c r="B926">
        <v>3967203.3898305083</v>
      </c>
      <c r="C926" t="s">
        <v>1134</v>
      </c>
      <c r="D926" s="1">
        <v>45898</v>
      </c>
      <c r="E926" t="s">
        <v>49</v>
      </c>
      <c r="F926" t="s">
        <v>50</v>
      </c>
      <c r="G926" t="s">
        <v>97</v>
      </c>
      <c r="H926" t="s">
        <v>23</v>
      </c>
      <c r="I926" t="s">
        <v>1083</v>
      </c>
      <c r="J926" t="s">
        <v>465</v>
      </c>
      <c r="K926">
        <v>1</v>
      </c>
      <c r="L926">
        <v>2994000</v>
      </c>
      <c r="M926">
        <v>0</v>
      </c>
      <c r="N926">
        <v>2383000</v>
      </c>
      <c r="O926">
        <v>2994000</v>
      </c>
    </row>
    <row r="927" spans="1:15" x14ac:dyDescent="0.35">
      <c r="A927" t="s">
        <v>1084</v>
      </c>
      <c r="B927">
        <v>3967203.3898305083</v>
      </c>
      <c r="C927" t="s">
        <v>1135</v>
      </c>
      <c r="D927" s="1">
        <v>45956</v>
      </c>
      <c r="E927" t="s">
        <v>14</v>
      </c>
      <c r="F927" t="s">
        <v>15</v>
      </c>
      <c r="G927" t="s">
        <v>226</v>
      </c>
      <c r="H927" t="s">
        <v>17</v>
      </c>
      <c r="I927" t="s">
        <v>1083</v>
      </c>
      <c r="J927" t="s">
        <v>465</v>
      </c>
      <c r="K927">
        <v>1</v>
      </c>
      <c r="L927">
        <v>3562000</v>
      </c>
      <c r="M927">
        <v>0</v>
      </c>
      <c r="N927">
        <v>2798000</v>
      </c>
      <c r="O927">
        <v>3562000</v>
      </c>
    </row>
    <row r="928" spans="1:15" x14ac:dyDescent="0.35">
      <c r="A928" t="s">
        <v>1084</v>
      </c>
      <c r="B928">
        <v>3967203.3898305083</v>
      </c>
      <c r="C928" t="s">
        <v>1136</v>
      </c>
      <c r="D928" s="1">
        <v>46008</v>
      </c>
      <c r="E928" t="s">
        <v>14</v>
      </c>
      <c r="F928" t="s">
        <v>15</v>
      </c>
      <c r="G928" t="s">
        <v>333</v>
      </c>
      <c r="H928" t="s">
        <v>17</v>
      </c>
      <c r="I928" t="s">
        <v>1083</v>
      </c>
      <c r="J928" t="s">
        <v>465</v>
      </c>
      <c r="K928">
        <v>1</v>
      </c>
      <c r="L928">
        <v>5448000</v>
      </c>
      <c r="M928">
        <v>0.1</v>
      </c>
      <c r="N928">
        <v>4305000</v>
      </c>
      <c r="O928">
        <v>5448000</v>
      </c>
    </row>
    <row r="929" spans="1:15" x14ac:dyDescent="0.35">
      <c r="A929" t="s">
        <v>1084</v>
      </c>
      <c r="B929">
        <v>3967203.3898305083</v>
      </c>
      <c r="C929" t="s">
        <v>1137</v>
      </c>
      <c r="D929" s="1">
        <v>46034</v>
      </c>
      <c r="E929" t="s">
        <v>41</v>
      </c>
      <c r="F929" t="s">
        <v>42</v>
      </c>
      <c r="G929" t="s">
        <v>384</v>
      </c>
      <c r="H929" t="s">
        <v>23</v>
      </c>
      <c r="I929" t="s">
        <v>1083</v>
      </c>
      <c r="J929" t="s">
        <v>465</v>
      </c>
      <c r="K929">
        <v>1</v>
      </c>
      <c r="L929">
        <v>3137000</v>
      </c>
      <c r="M929">
        <v>0</v>
      </c>
      <c r="N929">
        <v>2490000</v>
      </c>
      <c r="O929">
        <v>3137000</v>
      </c>
    </row>
    <row r="930" spans="1:15" x14ac:dyDescent="0.35">
      <c r="A930" t="s">
        <v>1084</v>
      </c>
      <c r="B930">
        <v>3967203.3898305083</v>
      </c>
      <c r="C930" t="s">
        <v>1138</v>
      </c>
      <c r="D930" s="1">
        <v>46053</v>
      </c>
      <c r="E930" t="s">
        <v>14</v>
      </c>
      <c r="F930" t="s">
        <v>15</v>
      </c>
      <c r="G930" t="s">
        <v>168</v>
      </c>
      <c r="H930" t="s">
        <v>23</v>
      </c>
      <c r="I930" t="s">
        <v>1083</v>
      </c>
      <c r="J930" t="s">
        <v>465</v>
      </c>
      <c r="K930">
        <v>1</v>
      </c>
      <c r="L930">
        <v>4272000</v>
      </c>
      <c r="M930">
        <v>0</v>
      </c>
      <c r="N930">
        <v>3304000</v>
      </c>
      <c r="O930">
        <v>4272000</v>
      </c>
    </row>
    <row r="931" spans="1:15" x14ac:dyDescent="0.35">
      <c r="A931" t="s">
        <v>1084</v>
      </c>
      <c r="B931">
        <v>3967203.3898305083</v>
      </c>
      <c r="C931" t="s">
        <v>1139</v>
      </c>
      <c r="D931" s="1">
        <v>46096</v>
      </c>
      <c r="E931" t="s">
        <v>41</v>
      </c>
      <c r="F931" t="s">
        <v>42</v>
      </c>
      <c r="G931" t="s">
        <v>230</v>
      </c>
      <c r="H931" t="s">
        <v>23</v>
      </c>
      <c r="I931" t="s">
        <v>1083</v>
      </c>
      <c r="J931" t="s">
        <v>465</v>
      </c>
      <c r="K931">
        <v>1</v>
      </c>
      <c r="L931">
        <v>3422000</v>
      </c>
      <c r="M931">
        <v>0</v>
      </c>
      <c r="N931">
        <v>2609000</v>
      </c>
      <c r="O931">
        <v>3422000</v>
      </c>
    </row>
    <row r="932" spans="1:15" x14ac:dyDescent="0.35">
      <c r="A932" t="s">
        <v>1084</v>
      </c>
      <c r="B932">
        <v>3967203.3898305083</v>
      </c>
      <c r="C932" t="s">
        <v>1140</v>
      </c>
      <c r="D932" s="1">
        <v>46115</v>
      </c>
      <c r="E932" t="s">
        <v>49</v>
      </c>
      <c r="F932" t="s">
        <v>50</v>
      </c>
      <c r="G932" t="s">
        <v>244</v>
      </c>
      <c r="H932" t="s">
        <v>17</v>
      </c>
      <c r="I932" t="s">
        <v>1083</v>
      </c>
      <c r="J932" t="s">
        <v>465</v>
      </c>
      <c r="K932">
        <v>1</v>
      </c>
      <c r="L932">
        <v>2928000</v>
      </c>
      <c r="M932">
        <v>0.1</v>
      </c>
      <c r="N932">
        <v>2271000</v>
      </c>
      <c r="O932">
        <v>2928000</v>
      </c>
    </row>
    <row r="933" spans="1:15" x14ac:dyDescent="0.35">
      <c r="A933" t="s">
        <v>1084</v>
      </c>
      <c r="B933">
        <v>3967203.3898305083</v>
      </c>
      <c r="C933" t="s">
        <v>1141</v>
      </c>
      <c r="D933" s="1">
        <v>46125</v>
      </c>
      <c r="E933" t="s">
        <v>36</v>
      </c>
      <c r="F933" t="s">
        <v>37</v>
      </c>
      <c r="G933" t="s">
        <v>498</v>
      </c>
      <c r="H933" t="s">
        <v>23</v>
      </c>
      <c r="I933" t="s">
        <v>1083</v>
      </c>
      <c r="J933" t="s">
        <v>465</v>
      </c>
      <c r="K933">
        <v>1</v>
      </c>
      <c r="L933">
        <v>5183000</v>
      </c>
      <c r="M933">
        <v>0.15</v>
      </c>
      <c r="N933">
        <v>4095000</v>
      </c>
      <c r="O933">
        <v>5183000</v>
      </c>
    </row>
    <row r="934" spans="1:15" x14ac:dyDescent="0.35">
      <c r="A934" t="s">
        <v>1084</v>
      </c>
      <c r="B934">
        <v>3967203.3898305083</v>
      </c>
      <c r="C934" t="s">
        <v>1142</v>
      </c>
      <c r="D934" s="1">
        <v>46127</v>
      </c>
      <c r="E934" t="s">
        <v>41</v>
      </c>
      <c r="F934" t="s">
        <v>42</v>
      </c>
      <c r="G934" t="s">
        <v>63</v>
      </c>
      <c r="H934" t="s">
        <v>28</v>
      </c>
      <c r="I934" t="s">
        <v>1083</v>
      </c>
      <c r="J934" t="s">
        <v>465</v>
      </c>
      <c r="K934">
        <v>2</v>
      </c>
      <c r="L934">
        <v>5213000</v>
      </c>
      <c r="M934">
        <v>0</v>
      </c>
      <c r="N934">
        <v>4121000</v>
      </c>
      <c r="O934">
        <v>5213000</v>
      </c>
    </row>
    <row r="935" spans="1:15" x14ac:dyDescent="0.35">
      <c r="A935" t="s">
        <v>1084</v>
      </c>
      <c r="B935">
        <v>3967203.3898305083</v>
      </c>
      <c r="C935" t="s">
        <v>1143</v>
      </c>
      <c r="D935" s="1">
        <v>46136</v>
      </c>
      <c r="E935" t="s">
        <v>14</v>
      </c>
      <c r="F935" t="s">
        <v>15</v>
      </c>
      <c r="G935" t="s">
        <v>413</v>
      </c>
      <c r="H935" t="s">
        <v>23</v>
      </c>
      <c r="I935" t="s">
        <v>1083</v>
      </c>
      <c r="J935" t="s">
        <v>465</v>
      </c>
      <c r="K935">
        <v>1</v>
      </c>
      <c r="L935">
        <v>4273000</v>
      </c>
      <c r="M935">
        <v>0</v>
      </c>
      <c r="N935">
        <v>3332000</v>
      </c>
      <c r="O935">
        <v>4273000</v>
      </c>
    </row>
    <row r="936" spans="1:15" x14ac:dyDescent="0.35">
      <c r="A936" t="s">
        <v>1084</v>
      </c>
      <c r="B936">
        <v>3967203.3898305083</v>
      </c>
      <c r="C936" t="s">
        <v>1144</v>
      </c>
      <c r="D936" s="1">
        <v>46149</v>
      </c>
      <c r="E936" t="s">
        <v>36</v>
      </c>
      <c r="F936" t="s">
        <v>37</v>
      </c>
      <c r="G936" t="s">
        <v>270</v>
      </c>
      <c r="H936" t="s">
        <v>23</v>
      </c>
      <c r="I936" t="s">
        <v>1083</v>
      </c>
      <c r="J936" t="s">
        <v>465</v>
      </c>
      <c r="K936">
        <v>5</v>
      </c>
      <c r="L936">
        <v>3394000</v>
      </c>
      <c r="M936">
        <v>0</v>
      </c>
      <c r="N936">
        <v>2611000</v>
      </c>
      <c r="O936">
        <v>3394000</v>
      </c>
    </row>
    <row r="937" spans="1:15" x14ac:dyDescent="0.35">
      <c r="A937" t="s">
        <v>1147</v>
      </c>
      <c r="B937">
        <v>3191131.1475409837</v>
      </c>
      <c r="C937" t="s">
        <v>1145</v>
      </c>
      <c r="D937" s="1">
        <v>44944</v>
      </c>
      <c r="E937" t="s">
        <v>36</v>
      </c>
      <c r="F937" t="s">
        <v>37</v>
      </c>
      <c r="G937" t="s">
        <v>110</v>
      </c>
      <c r="H937" t="s">
        <v>23</v>
      </c>
      <c r="I937" t="s">
        <v>1146</v>
      </c>
      <c r="J937" t="s">
        <v>465</v>
      </c>
      <c r="K937">
        <v>1</v>
      </c>
      <c r="L937">
        <v>2177000</v>
      </c>
      <c r="M937">
        <v>0</v>
      </c>
      <c r="N937">
        <v>1626000</v>
      </c>
      <c r="O937">
        <v>2177000</v>
      </c>
    </row>
    <row r="938" spans="1:15" x14ac:dyDescent="0.35">
      <c r="A938" t="s">
        <v>1147</v>
      </c>
      <c r="B938">
        <v>3191131.1475409837</v>
      </c>
      <c r="C938" t="s">
        <v>1148</v>
      </c>
      <c r="D938" s="1">
        <v>44967</v>
      </c>
      <c r="E938" t="s">
        <v>14</v>
      </c>
      <c r="F938" t="s">
        <v>15</v>
      </c>
      <c r="G938" t="s">
        <v>93</v>
      </c>
      <c r="H938" t="s">
        <v>23</v>
      </c>
      <c r="I938" t="s">
        <v>1146</v>
      </c>
      <c r="J938" t="s">
        <v>465</v>
      </c>
      <c r="K938">
        <v>1</v>
      </c>
      <c r="L938">
        <v>2363000</v>
      </c>
      <c r="M938">
        <v>0.05</v>
      </c>
      <c r="N938">
        <v>1762000</v>
      </c>
      <c r="O938">
        <v>2363000</v>
      </c>
    </row>
    <row r="939" spans="1:15" x14ac:dyDescent="0.35">
      <c r="A939" t="s">
        <v>1147</v>
      </c>
      <c r="B939">
        <v>3191131.1475409837</v>
      </c>
      <c r="C939" t="s">
        <v>1149</v>
      </c>
      <c r="D939" s="1">
        <v>44979</v>
      </c>
      <c r="E939" t="s">
        <v>14</v>
      </c>
      <c r="F939" t="s">
        <v>15</v>
      </c>
      <c r="G939" t="s">
        <v>91</v>
      </c>
      <c r="H939" t="s">
        <v>23</v>
      </c>
      <c r="I939" t="s">
        <v>1146</v>
      </c>
      <c r="J939" t="s">
        <v>465</v>
      </c>
      <c r="K939">
        <v>2</v>
      </c>
      <c r="L939">
        <v>2468000</v>
      </c>
      <c r="M939">
        <v>0</v>
      </c>
      <c r="N939">
        <v>1881000</v>
      </c>
      <c r="O939">
        <v>2468000</v>
      </c>
    </row>
    <row r="940" spans="1:15" x14ac:dyDescent="0.35">
      <c r="A940" t="s">
        <v>1147</v>
      </c>
      <c r="B940">
        <v>3191131.1475409837</v>
      </c>
      <c r="C940" t="s">
        <v>1150</v>
      </c>
      <c r="D940" s="1">
        <v>45044</v>
      </c>
      <c r="E940" t="s">
        <v>41</v>
      </c>
      <c r="F940" t="s">
        <v>42</v>
      </c>
      <c r="G940" t="s">
        <v>91</v>
      </c>
      <c r="H940" t="s">
        <v>23</v>
      </c>
      <c r="I940" t="s">
        <v>1146</v>
      </c>
      <c r="J940" t="s">
        <v>465</v>
      </c>
      <c r="K940">
        <v>2</v>
      </c>
      <c r="L940">
        <v>2711000</v>
      </c>
      <c r="M940">
        <v>0.05</v>
      </c>
      <c r="N940">
        <v>2025000</v>
      </c>
      <c r="O940">
        <v>2711000</v>
      </c>
    </row>
    <row r="941" spans="1:15" x14ac:dyDescent="0.35">
      <c r="A941" t="s">
        <v>1147</v>
      </c>
      <c r="B941">
        <v>3191131.1475409837</v>
      </c>
      <c r="C941" t="s">
        <v>1151</v>
      </c>
      <c r="D941" s="1">
        <v>45057</v>
      </c>
      <c r="E941" t="s">
        <v>41</v>
      </c>
      <c r="F941" t="s">
        <v>42</v>
      </c>
      <c r="G941" t="s">
        <v>69</v>
      </c>
      <c r="H941" t="s">
        <v>23</v>
      </c>
      <c r="I941" t="s">
        <v>1146</v>
      </c>
      <c r="J941" t="s">
        <v>465</v>
      </c>
      <c r="K941">
        <v>1</v>
      </c>
      <c r="L941">
        <v>2495000</v>
      </c>
      <c r="M941">
        <v>0.1</v>
      </c>
      <c r="N941">
        <v>1879000</v>
      </c>
      <c r="O941">
        <v>2495000</v>
      </c>
    </row>
    <row r="942" spans="1:15" x14ac:dyDescent="0.35">
      <c r="A942" t="s">
        <v>1147</v>
      </c>
      <c r="B942">
        <v>3191131.1475409837</v>
      </c>
      <c r="C942" t="s">
        <v>1152</v>
      </c>
      <c r="D942" s="1">
        <v>45064</v>
      </c>
      <c r="E942" t="s">
        <v>41</v>
      </c>
      <c r="F942" t="s">
        <v>42</v>
      </c>
      <c r="G942" t="s">
        <v>301</v>
      </c>
      <c r="H942" t="s">
        <v>28</v>
      </c>
      <c r="I942" t="s">
        <v>1146</v>
      </c>
      <c r="J942" t="s">
        <v>465</v>
      </c>
      <c r="K942">
        <v>1</v>
      </c>
      <c r="L942">
        <v>2793000</v>
      </c>
      <c r="M942">
        <v>0</v>
      </c>
      <c r="N942">
        <v>2044000</v>
      </c>
      <c r="O942">
        <v>2793000</v>
      </c>
    </row>
    <row r="943" spans="1:15" x14ac:dyDescent="0.35">
      <c r="A943" t="s">
        <v>1147</v>
      </c>
      <c r="B943">
        <v>3191131.1475409837</v>
      </c>
      <c r="C943" t="s">
        <v>1153</v>
      </c>
      <c r="D943" s="1">
        <v>45065</v>
      </c>
      <c r="E943" t="s">
        <v>41</v>
      </c>
      <c r="F943" t="s">
        <v>42</v>
      </c>
      <c r="G943" t="s">
        <v>93</v>
      </c>
      <c r="H943" t="s">
        <v>23</v>
      </c>
      <c r="I943" t="s">
        <v>1146</v>
      </c>
      <c r="J943" t="s">
        <v>465</v>
      </c>
      <c r="K943">
        <v>1</v>
      </c>
      <c r="L943">
        <v>3198000</v>
      </c>
      <c r="M943">
        <v>0</v>
      </c>
      <c r="N943">
        <v>2417000</v>
      </c>
      <c r="O943">
        <v>3198000</v>
      </c>
    </row>
    <row r="944" spans="1:15" x14ac:dyDescent="0.35">
      <c r="A944" t="s">
        <v>1147</v>
      </c>
      <c r="B944">
        <v>3191131.1475409837</v>
      </c>
      <c r="C944" t="s">
        <v>1154</v>
      </c>
      <c r="D944" s="1">
        <v>45124</v>
      </c>
      <c r="E944" t="s">
        <v>36</v>
      </c>
      <c r="F944" t="s">
        <v>37</v>
      </c>
      <c r="G944" t="s">
        <v>132</v>
      </c>
      <c r="H944" t="s">
        <v>28</v>
      </c>
      <c r="I944" t="s">
        <v>1146</v>
      </c>
      <c r="J944" t="s">
        <v>465</v>
      </c>
      <c r="K944">
        <v>1</v>
      </c>
      <c r="L944">
        <v>3005000</v>
      </c>
      <c r="M944">
        <v>0</v>
      </c>
      <c r="N944">
        <v>2249000</v>
      </c>
      <c r="O944">
        <v>3005000</v>
      </c>
    </row>
    <row r="945" spans="1:15" x14ac:dyDescent="0.35">
      <c r="A945" t="s">
        <v>1147</v>
      </c>
      <c r="B945">
        <v>3191131.1475409837</v>
      </c>
      <c r="C945" t="s">
        <v>1155</v>
      </c>
      <c r="D945" s="1">
        <v>45170</v>
      </c>
      <c r="E945" t="s">
        <v>41</v>
      </c>
      <c r="F945" t="s">
        <v>42</v>
      </c>
      <c r="G945" t="s">
        <v>517</v>
      </c>
      <c r="H945" t="s">
        <v>23</v>
      </c>
      <c r="I945" t="s">
        <v>1146</v>
      </c>
      <c r="J945" t="s">
        <v>465</v>
      </c>
      <c r="K945">
        <v>5</v>
      </c>
      <c r="L945">
        <v>3977000</v>
      </c>
      <c r="M945">
        <v>0</v>
      </c>
      <c r="N945">
        <v>3050000</v>
      </c>
      <c r="O945">
        <v>3977000</v>
      </c>
    </row>
    <row r="946" spans="1:15" x14ac:dyDescent="0.35">
      <c r="A946" t="s">
        <v>1147</v>
      </c>
      <c r="B946">
        <v>3191131.1475409837</v>
      </c>
      <c r="C946" t="s">
        <v>1156</v>
      </c>
      <c r="D946" s="1">
        <v>45215</v>
      </c>
      <c r="E946" t="s">
        <v>41</v>
      </c>
      <c r="F946" t="s">
        <v>42</v>
      </c>
      <c r="G946" t="s">
        <v>524</v>
      </c>
      <c r="H946" t="s">
        <v>17</v>
      </c>
      <c r="I946" t="s">
        <v>1146</v>
      </c>
      <c r="J946" t="s">
        <v>465</v>
      </c>
      <c r="K946">
        <v>1</v>
      </c>
      <c r="L946">
        <v>2853000</v>
      </c>
      <c r="M946">
        <v>0</v>
      </c>
      <c r="N946">
        <v>2128000</v>
      </c>
      <c r="O946">
        <v>2853000</v>
      </c>
    </row>
    <row r="947" spans="1:15" x14ac:dyDescent="0.35">
      <c r="A947" t="s">
        <v>1147</v>
      </c>
      <c r="B947">
        <v>3191131.1475409837</v>
      </c>
      <c r="C947" t="s">
        <v>1157</v>
      </c>
      <c r="D947" s="1">
        <v>45219</v>
      </c>
      <c r="E947" t="s">
        <v>14</v>
      </c>
      <c r="F947" t="s">
        <v>15</v>
      </c>
      <c r="G947" t="s">
        <v>179</v>
      </c>
      <c r="H947" t="s">
        <v>23</v>
      </c>
      <c r="I947" t="s">
        <v>1146</v>
      </c>
      <c r="J947" t="s">
        <v>465</v>
      </c>
      <c r="K947">
        <v>1</v>
      </c>
      <c r="L947">
        <v>2322000</v>
      </c>
      <c r="M947">
        <v>0</v>
      </c>
      <c r="N947">
        <v>1697000</v>
      </c>
      <c r="O947">
        <v>2322000</v>
      </c>
    </row>
    <row r="948" spans="1:15" x14ac:dyDescent="0.35">
      <c r="A948" t="s">
        <v>1147</v>
      </c>
      <c r="B948">
        <v>3191131.1475409837</v>
      </c>
      <c r="C948" t="s">
        <v>1158</v>
      </c>
      <c r="D948" s="1">
        <v>45244</v>
      </c>
      <c r="E948" t="s">
        <v>14</v>
      </c>
      <c r="F948" t="s">
        <v>15</v>
      </c>
      <c r="G948" t="s">
        <v>613</v>
      </c>
      <c r="H948" t="s">
        <v>28</v>
      </c>
      <c r="I948" t="s">
        <v>1146</v>
      </c>
      <c r="J948" t="s">
        <v>465</v>
      </c>
      <c r="K948">
        <v>1</v>
      </c>
      <c r="L948">
        <v>3718000</v>
      </c>
      <c r="M948">
        <v>0.1</v>
      </c>
      <c r="N948">
        <v>2814000</v>
      </c>
      <c r="O948">
        <v>3718000</v>
      </c>
    </row>
    <row r="949" spans="1:15" x14ac:dyDescent="0.35">
      <c r="A949" t="s">
        <v>1147</v>
      </c>
      <c r="B949">
        <v>3191131.1475409837</v>
      </c>
      <c r="C949" t="s">
        <v>1159</v>
      </c>
      <c r="D949" s="1">
        <v>45264</v>
      </c>
      <c r="E949" t="s">
        <v>41</v>
      </c>
      <c r="F949" t="s">
        <v>42</v>
      </c>
      <c r="G949" t="s">
        <v>378</v>
      </c>
      <c r="H949" t="s">
        <v>23</v>
      </c>
      <c r="I949" t="s">
        <v>1146</v>
      </c>
      <c r="J949" t="s">
        <v>465</v>
      </c>
      <c r="K949">
        <v>1</v>
      </c>
      <c r="L949">
        <v>2620000</v>
      </c>
      <c r="M949">
        <v>0</v>
      </c>
      <c r="N949">
        <v>1985000</v>
      </c>
      <c r="O949">
        <v>2620000</v>
      </c>
    </row>
    <row r="950" spans="1:15" x14ac:dyDescent="0.35">
      <c r="A950" t="s">
        <v>1147</v>
      </c>
      <c r="B950">
        <v>3191131.1475409837</v>
      </c>
      <c r="C950" t="s">
        <v>1160</v>
      </c>
      <c r="D950" s="1">
        <v>45267</v>
      </c>
      <c r="E950" t="s">
        <v>14</v>
      </c>
      <c r="F950" t="s">
        <v>15</v>
      </c>
      <c r="G950" t="s">
        <v>447</v>
      </c>
      <c r="H950" t="s">
        <v>23</v>
      </c>
      <c r="I950" t="s">
        <v>1146</v>
      </c>
      <c r="J950" t="s">
        <v>465</v>
      </c>
      <c r="K950">
        <v>3</v>
      </c>
      <c r="L950">
        <v>2497000</v>
      </c>
      <c r="M950">
        <v>0</v>
      </c>
      <c r="N950">
        <v>1874000</v>
      </c>
      <c r="O950">
        <v>2497000</v>
      </c>
    </row>
    <row r="951" spans="1:15" x14ac:dyDescent="0.35">
      <c r="A951" t="s">
        <v>1147</v>
      </c>
      <c r="B951">
        <v>3191131.1475409837</v>
      </c>
      <c r="C951" t="s">
        <v>1161</v>
      </c>
      <c r="D951" s="1">
        <v>45297</v>
      </c>
      <c r="E951" t="s">
        <v>41</v>
      </c>
      <c r="F951" t="s">
        <v>42</v>
      </c>
      <c r="G951" t="s">
        <v>613</v>
      </c>
      <c r="H951" t="s">
        <v>28</v>
      </c>
      <c r="I951" t="s">
        <v>1146</v>
      </c>
      <c r="J951" t="s">
        <v>465</v>
      </c>
      <c r="K951">
        <v>1</v>
      </c>
      <c r="L951">
        <v>3606000</v>
      </c>
      <c r="M951">
        <v>0</v>
      </c>
      <c r="N951">
        <v>2718000</v>
      </c>
      <c r="O951">
        <v>3606000</v>
      </c>
    </row>
    <row r="952" spans="1:15" x14ac:dyDescent="0.35">
      <c r="A952" t="s">
        <v>1147</v>
      </c>
      <c r="B952">
        <v>3191131.1475409837</v>
      </c>
      <c r="C952" t="s">
        <v>1162</v>
      </c>
      <c r="D952" s="1">
        <v>45300</v>
      </c>
      <c r="E952" t="s">
        <v>36</v>
      </c>
      <c r="F952" t="s">
        <v>37</v>
      </c>
      <c r="G952" t="s">
        <v>123</v>
      </c>
      <c r="H952" t="s">
        <v>28</v>
      </c>
      <c r="I952" t="s">
        <v>1146</v>
      </c>
      <c r="J952" t="s">
        <v>465</v>
      </c>
      <c r="K952">
        <v>1</v>
      </c>
      <c r="L952">
        <v>2706000</v>
      </c>
      <c r="M952">
        <v>0</v>
      </c>
      <c r="N952">
        <v>2048000</v>
      </c>
      <c r="O952">
        <v>2706000</v>
      </c>
    </row>
    <row r="953" spans="1:15" x14ac:dyDescent="0.35">
      <c r="A953" t="s">
        <v>1147</v>
      </c>
      <c r="B953">
        <v>3191131.1475409837</v>
      </c>
      <c r="C953" t="s">
        <v>1163</v>
      </c>
      <c r="D953" s="1">
        <v>45303</v>
      </c>
      <c r="E953" t="s">
        <v>14</v>
      </c>
      <c r="F953" t="s">
        <v>15</v>
      </c>
      <c r="G953" t="s">
        <v>132</v>
      </c>
      <c r="H953" t="s">
        <v>28</v>
      </c>
      <c r="I953" t="s">
        <v>1146</v>
      </c>
      <c r="J953" t="s">
        <v>465</v>
      </c>
      <c r="K953">
        <v>1</v>
      </c>
      <c r="L953">
        <v>3687000</v>
      </c>
      <c r="M953">
        <v>0</v>
      </c>
      <c r="N953">
        <v>2790000</v>
      </c>
      <c r="O953">
        <v>3687000</v>
      </c>
    </row>
    <row r="954" spans="1:15" x14ac:dyDescent="0.35">
      <c r="A954" t="s">
        <v>1147</v>
      </c>
      <c r="B954">
        <v>3191131.1475409837</v>
      </c>
      <c r="C954" t="s">
        <v>1164</v>
      </c>
      <c r="D954" s="1">
        <v>45303</v>
      </c>
      <c r="E954" t="s">
        <v>14</v>
      </c>
      <c r="F954" t="s">
        <v>15</v>
      </c>
      <c r="G954" t="s">
        <v>447</v>
      </c>
      <c r="H954" t="s">
        <v>23</v>
      </c>
      <c r="I954" t="s">
        <v>1146</v>
      </c>
      <c r="J954" t="s">
        <v>465</v>
      </c>
      <c r="K954">
        <v>1</v>
      </c>
      <c r="L954">
        <v>3935000</v>
      </c>
      <c r="M954">
        <v>0</v>
      </c>
      <c r="N954">
        <v>2951000</v>
      </c>
      <c r="O954">
        <v>3935000</v>
      </c>
    </row>
    <row r="955" spans="1:15" x14ac:dyDescent="0.35">
      <c r="A955" t="s">
        <v>1147</v>
      </c>
      <c r="B955">
        <v>3191131.1475409837</v>
      </c>
      <c r="C955" t="s">
        <v>1165</v>
      </c>
      <c r="D955" s="1">
        <v>45314</v>
      </c>
      <c r="E955" t="s">
        <v>25</v>
      </c>
      <c r="F955" t="s">
        <v>26</v>
      </c>
      <c r="G955" t="s">
        <v>295</v>
      </c>
      <c r="H955" t="s">
        <v>23</v>
      </c>
      <c r="I955" t="s">
        <v>1146</v>
      </c>
      <c r="J955" t="s">
        <v>465</v>
      </c>
      <c r="K955">
        <v>1</v>
      </c>
      <c r="L955">
        <v>3445000</v>
      </c>
      <c r="M955">
        <v>0</v>
      </c>
      <c r="N955">
        <v>2554000</v>
      </c>
      <c r="O955">
        <v>3445000</v>
      </c>
    </row>
    <row r="956" spans="1:15" x14ac:dyDescent="0.35">
      <c r="A956" t="s">
        <v>1147</v>
      </c>
      <c r="B956">
        <v>3191131.1475409837</v>
      </c>
      <c r="C956" t="s">
        <v>1166</v>
      </c>
      <c r="D956" s="1">
        <v>45340</v>
      </c>
      <c r="E956" t="s">
        <v>14</v>
      </c>
      <c r="F956" t="s">
        <v>15</v>
      </c>
      <c r="G956" t="s">
        <v>349</v>
      </c>
      <c r="H956" t="s">
        <v>23</v>
      </c>
      <c r="I956" t="s">
        <v>1146</v>
      </c>
      <c r="J956" t="s">
        <v>465</v>
      </c>
      <c r="K956">
        <v>1</v>
      </c>
      <c r="L956">
        <v>3548000</v>
      </c>
      <c r="M956">
        <v>0</v>
      </c>
      <c r="N956">
        <v>2593000</v>
      </c>
      <c r="O956">
        <v>3548000</v>
      </c>
    </row>
    <row r="957" spans="1:15" x14ac:dyDescent="0.35">
      <c r="A957" t="s">
        <v>1147</v>
      </c>
      <c r="B957">
        <v>3191131.1475409837</v>
      </c>
      <c r="C957" t="s">
        <v>1167</v>
      </c>
      <c r="D957" s="1">
        <v>45357</v>
      </c>
      <c r="E957" t="s">
        <v>14</v>
      </c>
      <c r="F957" t="s">
        <v>15</v>
      </c>
      <c r="G957" t="s">
        <v>210</v>
      </c>
      <c r="H957" t="s">
        <v>23</v>
      </c>
      <c r="I957" t="s">
        <v>1146</v>
      </c>
      <c r="J957" t="s">
        <v>465</v>
      </c>
      <c r="K957">
        <v>1</v>
      </c>
      <c r="L957">
        <v>3273000</v>
      </c>
      <c r="M957">
        <v>0</v>
      </c>
      <c r="N957">
        <v>2447000</v>
      </c>
      <c r="O957">
        <v>3273000</v>
      </c>
    </row>
    <row r="958" spans="1:15" x14ac:dyDescent="0.35">
      <c r="A958" t="s">
        <v>1147</v>
      </c>
      <c r="B958">
        <v>3191131.1475409837</v>
      </c>
      <c r="C958" t="s">
        <v>1168</v>
      </c>
      <c r="D958" s="1">
        <v>45414</v>
      </c>
      <c r="E958" t="s">
        <v>41</v>
      </c>
      <c r="F958" t="s">
        <v>42</v>
      </c>
      <c r="G958" t="s">
        <v>419</v>
      </c>
      <c r="H958" t="s">
        <v>17</v>
      </c>
      <c r="I958" t="s">
        <v>1146</v>
      </c>
      <c r="J958" t="s">
        <v>465</v>
      </c>
      <c r="K958">
        <v>2</v>
      </c>
      <c r="L958">
        <v>3813000</v>
      </c>
      <c r="M958">
        <v>0</v>
      </c>
      <c r="N958">
        <v>2860000</v>
      </c>
      <c r="O958">
        <v>3813000</v>
      </c>
    </row>
    <row r="959" spans="1:15" x14ac:dyDescent="0.35">
      <c r="A959" t="s">
        <v>1147</v>
      </c>
      <c r="B959">
        <v>3191131.1475409837</v>
      </c>
      <c r="C959" t="s">
        <v>1169</v>
      </c>
      <c r="D959" s="1">
        <v>45415</v>
      </c>
      <c r="E959" t="s">
        <v>41</v>
      </c>
      <c r="F959" t="s">
        <v>42</v>
      </c>
      <c r="G959" t="s">
        <v>208</v>
      </c>
      <c r="H959" t="s">
        <v>23</v>
      </c>
      <c r="I959" t="s">
        <v>1146</v>
      </c>
      <c r="J959" t="s">
        <v>465</v>
      </c>
      <c r="K959">
        <v>2</v>
      </c>
      <c r="L959">
        <v>2836000</v>
      </c>
      <c r="M959">
        <v>0</v>
      </c>
      <c r="N959">
        <v>2136000</v>
      </c>
      <c r="O959">
        <v>2836000</v>
      </c>
    </row>
    <row r="960" spans="1:15" x14ac:dyDescent="0.35">
      <c r="A960" t="s">
        <v>1147</v>
      </c>
      <c r="B960">
        <v>3191131.1475409837</v>
      </c>
      <c r="C960" t="s">
        <v>1170</v>
      </c>
      <c r="D960" s="1">
        <v>45454</v>
      </c>
      <c r="E960" t="s">
        <v>41</v>
      </c>
      <c r="F960" t="s">
        <v>42</v>
      </c>
      <c r="G960" t="s">
        <v>55</v>
      </c>
      <c r="H960" t="s">
        <v>17</v>
      </c>
      <c r="I960" t="s">
        <v>1146</v>
      </c>
      <c r="J960" t="s">
        <v>465</v>
      </c>
      <c r="K960">
        <v>1</v>
      </c>
      <c r="L960">
        <v>2801000</v>
      </c>
      <c r="M960">
        <v>0</v>
      </c>
      <c r="N960">
        <v>2145000</v>
      </c>
      <c r="O960">
        <v>2801000</v>
      </c>
    </row>
    <row r="961" spans="1:15" x14ac:dyDescent="0.35">
      <c r="A961" t="s">
        <v>1147</v>
      </c>
      <c r="B961">
        <v>3191131.1475409837</v>
      </c>
      <c r="C961" t="s">
        <v>1171</v>
      </c>
      <c r="D961" s="1">
        <v>45463</v>
      </c>
      <c r="E961" t="s">
        <v>14</v>
      </c>
      <c r="F961" t="s">
        <v>15</v>
      </c>
      <c r="G961" t="s">
        <v>57</v>
      </c>
      <c r="H961" t="s">
        <v>58</v>
      </c>
      <c r="I961" t="s">
        <v>1146</v>
      </c>
      <c r="J961" t="s">
        <v>465</v>
      </c>
      <c r="K961">
        <v>1</v>
      </c>
      <c r="L961">
        <v>3962000</v>
      </c>
      <c r="M961">
        <v>0</v>
      </c>
      <c r="N961">
        <v>2979000</v>
      </c>
      <c r="O961">
        <v>3962000</v>
      </c>
    </row>
    <row r="962" spans="1:15" x14ac:dyDescent="0.35">
      <c r="A962" t="s">
        <v>1147</v>
      </c>
      <c r="B962">
        <v>3191131.1475409837</v>
      </c>
      <c r="C962" t="s">
        <v>1172</v>
      </c>
      <c r="D962" s="1">
        <v>45528</v>
      </c>
      <c r="E962" t="s">
        <v>14</v>
      </c>
      <c r="F962" t="s">
        <v>15</v>
      </c>
      <c r="G962" t="s">
        <v>274</v>
      </c>
      <c r="H962" t="s">
        <v>58</v>
      </c>
      <c r="I962" t="s">
        <v>1146</v>
      </c>
      <c r="J962" t="s">
        <v>465</v>
      </c>
      <c r="K962">
        <v>2</v>
      </c>
      <c r="L962">
        <v>3367000</v>
      </c>
      <c r="M962">
        <v>0</v>
      </c>
      <c r="N962">
        <v>2505000</v>
      </c>
      <c r="O962">
        <v>3367000</v>
      </c>
    </row>
    <row r="963" spans="1:15" x14ac:dyDescent="0.35">
      <c r="A963" t="s">
        <v>1147</v>
      </c>
      <c r="B963">
        <v>3191131.1475409837</v>
      </c>
      <c r="C963" t="s">
        <v>1173</v>
      </c>
      <c r="D963" s="1">
        <v>45537</v>
      </c>
      <c r="E963" t="s">
        <v>14</v>
      </c>
      <c r="F963" t="s">
        <v>15</v>
      </c>
      <c r="G963" t="s">
        <v>186</v>
      </c>
      <c r="H963" t="s">
        <v>23</v>
      </c>
      <c r="I963" t="s">
        <v>1146</v>
      </c>
      <c r="J963" t="s">
        <v>465</v>
      </c>
      <c r="K963">
        <v>3</v>
      </c>
      <c r="L963">
        <v>2410000</v>
      </c>
      <c r="M963">
        <v>0</v>
      </c>
      <c r="N963">
        <v>1784000</v>
      </c>
      <c r="O963">
        <v>2410000</v>
      </c>
    </row>
    <row r="964" spans="1:15" x14ac:dyDescent="0.35">
      <c r="A964" t="s">
        <v>1147</v>
      </c>
      <c r="B964">
        <v>3191131.1475409837</v>
      </c>
      <c r="C964" t="s">
        <v>1174</v>
      </c>
      <c r="D964" s="1">
        <v>45543</v>
      </c>
      <c r="E964" t="s">
        <v>14</v>
      </c>
      <c r="F964" t="s">
        <v>15</v>
      </c>
      <c r="G964" t="s">
        <v>224</v>
      </c>
      <c r="H964" t="s">
        <v>23</v>
      </c>
      <c r="I964" t="s">
        <v>1146</v>
      </c>
      <c r="J964" t="s">
        <v>465</v>
      </c>
      <c r="K964">
        <v>3</v>
      </c>
      <c r="L964">
        <v>2422000</v>
      </c>
      <c r="M964">
        <v>0</v>
      </c>
      <c r="N964">
        <v>1769000</v>
      </c>
      <c r="O964">
        <v>2422000</v>
      </c>
    </row>
    <row r="965" spans="1:15" x14ac:dyDescent="0.35">
      <c r="A965" t="s">
        <v>1147</v>
      </c>
      <c r="B965">
        <v>3191131.1475409837</v>
      </c>
      <c r="C965" t="s">
        <v>1175</v>
      </c>
      <c r="D965" s="1">
        <v>45558</v>
      </c>
      <c r="E965" t="s">
        <v>49</v>
      </c>
      <c r="F965" t="s">
        <v>50</v>
      </c>
      <c r="G965" t="s">
        <v>27</v>
      </c>
      <c r="H965" t="s">
        <v>28</v>
      </c>
      <c r="I965" t="s">
        <v>1146</v>
      </c>
      <c r="J965" t="s">
        <v>465</v>
      </c>
      <c r="K965">
        <v>2</v>
      </c>
      <c r="L965">
        <v>2439000</v>
      </c>
      <c r="M965">
        <v>0.1</v>
      </c>
      <c r="N965">
        <v>1816000</v>
      </c>
      <c r="O965">
        <v>2439000</v>
      </c>
    </row>
    <row r="966" spans="1:15" x14ac:dyDescent="0.35">
      <c r="A966" t="s">
        <v>1147</v>
      </c>
      <c r="B966">
        <v>3191131.1475409837</v>
      </c>
      <c r="C966" t="s">
        <v>1176</v>
      </c>
      <c r="D966" s="1">
        <v>45558</v>
      </c>
      <c r="E966" t="s">
        <v>36</v>
      </c>
      <c r="F966" t="s">
        <v>37</v>
      </c>
      <c r="G966" t="s">
        <v>384</v>
      </c>
      <c r="H966" t="s">
        <v>23</v>
      </c>
      <c r="I966" t="s">
        <v>1146</v>
      </c>
      <c r="J966" t="s">
        <v>465</v>
      </c>
      <c r="K966">
        <v>1</v>
      </c>
      <c r="L966">
        <v>2281000</v>
      </c>
      <c r="M966">
        <v>0.05</v>
      </c>
      <c r="N966">
        <v>1751000</v>
      </c>
      <c r="O966">
        <v>2281000</v>
      </c>
    </row>
    <row r="967" spans="1:15" x14ac:dyDescent="0.35">
      <c r="A967" t="s">
        <v>1147</v>
      </c>
      <c r="B967">
        <v>3191131.1475409837</v>
      </c>
      <c r="C967" t="s">
        <v>1177</v>
      </c>
      <c r="D967" s="1">
        <v>45588</v>
      </c>
      <c r="E967" t="s">
        <v>36</v>
      </c>
      <c r="F967" t="s">
        <v>37</v>
      </c>
      <c r="G967" t="s">
        <v>667</v>
      </c>
      <c r="H967" t="s">
        <v>23</v>
      </c>
      <c r="I967" t="s">
        <v>1146</v>
      </c>
      <c r="J967" t="s">
        <v>465</v>
      </c>
      <c r="K967">
        <v>1</v>
      </c>
      <c r="L967">
        <v>2555000</v>
      </c>
      <c r="M967">
        <v>0.05</v>
      </c>
      <c r="N967">
        <v>1955000</v>
      </c>
      <c r="O967">
        <v>2555000</v>
      </c>
    </row>
    <row r="968" spans="1:15" x14ac:dyDescent="0.35">
      <c r="A968" t="s">
        <v>1147</v>
      </c>
      <c r="B968">
        <v>3191131.1475409837</v>
      </c>
      <c r="C968" t="s">
        <v>1178</v>
      </c>
      <c r="D968" s="1">
        <v>45590</v>
      </c>
      <c r="E968" t="s">
        <v>41</v>
      </c>
      <c r="F968" t="s">
        <v>42</v>
      </c>
      <c r="G968" t="s">
        <v>262</v>
      </c>
      <c r="H968" t="s">
        <v>23</v>
      </c>
      <c r="I968" t="s">
        <v>1146</v>
      </c>
      <c r="J968" t="s">
        <v>465</v>
      </c>
      <c r="K968">
        <v>1</v>
      </c>
      <c r="L968">
        <v>3429000</v>
      </c>
      <c r="M968">
        <v>0.05</v>
      </c>
      <c r="N968">
        <v>2505000</v>
      </c>
      <c r="O968">
        <v>3429000</v>
      </c>
    </row>
    <row r="969" spans="1:15" x14ac:dyDescent="0.35">
      <c r="A969" t="s">
        <v>1147</v>
      </c>
      <c r="B969">
        <v>3191131.1475409837</v>
      </c>
      <c r="C969" t="s">
        <v>1179</v>
      </c>
      <c r="D969" s="1">
        <v>45620</v>
      </c>
      <c r="E969" t="s">
        <v>14</v>
      </c>
      <c r="F969" t="s">
        <v>15</v>
      </c>
      <c r="G969" t="s">
        <v>203</v>
      </c>
      <c r="H969" t="s">
        <v>17</v>
      </c>
      <c r="I969" t="s">
        <v>1146</v>
      </c>
      <c r="J969" t="s">
        <v>465</v>
      </c>
      <c r="K969">
        <v>3</v>
      </c>
      <c r="L969">
        <v>3729000</v>
      </c>
      <c r="M969">
        <v>0</v>
      </c>
      <c r="N969">
        <v>2747000</v>
      </c>
      <c r="O969">
        <v>3729000</v>
      </c>
    </row>
    <row r="970" spans="1:15" x14ac:dyDescent="0.35">
      <c r="A970" t="s">
        <v>1147</v>
      </c>
      <c r="B970">
        <v>3191131.1475409837</v>
      </c>
      <c r="C970" t="s">
        <v>1180</v>
      </c>
      <c r="D970" s="1">
        <v>45664</v>
      </c>
      <c r="E970" t="s">
        <v>41</v>
      </c>
      <c r="F970" t="s">
        <v>42</v>
      </c>
      <c r="G970" t="s">
        <v>265</v>
      </c>
      <c r="H970" t="s">
        <v>23</v>
      </c>
      <c r="I970" t="s">
        <v>1146</v>
      </c>
      <c r="J970" t="s">
        <v>465</v>
      </c>
      <c r="K970">
        <v>1</v>
      </c>
      <c r="L970">
        <v>4256000</v>
      </c>
      <c r="M970">
        <v>0</v>
      </c>
      <c r="N970">
        <v>3150000</v>
      </c>
      <c r="O970">
        <v>4256000</v>
      </c>
    </row>
    <row r="971" spans="1:15" x14ac:dyDescent="0.35">
      <c r="A971" t="s">
        <v>1147</v>
      </c>
      <c r="B971">
        <v>3191131.1475409837</v>
      </c>
      <c r="C971" t="s">
        <v>1181</v>
      </c>
      <c r="D971" s="1">
        <v>45673</v>
      </c>
      <c r="E971" t="s">
        <v>41</v>
      </c>
      <c r="F971" t="s">
        <v>42</v>
      </c>
      <c r="G971" t="s">
        <v>81</v>
      </c>
      <c r="H971" t="s">
        <v>17</v>
      </c>
      <c r="I971" t="s">
        <v>1146</v>
      </c>
      <c r="J971" t="s">
        <v>465</v>
      </c>
      <c r="K971">
        <v>1</v>
      </c>
      <c r="L971">
        <v>2744000</v>
      </c>
      <c r="M971">
        <v>0</v>
      </c>
      <c r="N971">
        <v>2008000</v>
      </c>
      <c r="O971">
        <v>2744000</v>
      </c>
    </row>
    <row r="972" spans="1:15" x14ac:dyDescent="0.35">
      <c r="A972" t="s">
        <v>1147</v>
      </c>
      <c r="B972">
        <v>3191131.1475409837</v>
      </c>
      <c r="C972" t="s">
        <v>1182</v>
      </c>
      <c r="D972" s="1">
        <v>45682</v>
      </c>
      <c r="E972" t="s">
        <v>49</v>
      </c>
      <c r="F972" t="s">
        <v>50</v>
      </c>
      <c r="G972" t="s">
        <v>216</v>
      </c>
      <c r="H972" t="s">
        <v>17</v>
      </c>
      <c r="I972" t="s">
        <v>1146</v>
      </c>
      <c r="J972" t="s">
        <v>465</v>
      </c>
      <c r="K972">
        <v>1</v>
      </c>
      <c r="L972">
        <v>4147000</v>
      </c>
      <c r="M972">
        <v>0</v>
      </c>
      <c r="N972">
        <v>3155000</v>
      </c>
      <c r="O972">
        <v>4147000</v>
      </c>
    </row>
    <row r="973" spans="1:15" x14ac:dyDescent="0.35">
      <c r="A973" t="s">
        <v>1147</v>
      </c>
      <c r="B973">
        <v>3191131.1475409837</v>
      </c>
      <c r="C973" t="s">
        <v>1183</v>
      </c>
      <c r="D973" s="1">
        <v>45701</v>
      </c>
      <c r="E973" t="s">
        <v>14</v>
      </c>
      <c r="F973" t="s">
        <v>15</v>
      </c>
      <c r="G973" t="s">
        <v>191</v>
      </c>
      <c r="H973" t="s">
        <v>23</v>
      </c>
      <c r="I973" t="s">
        <v>1146</v>
      </c>
      <c r="J973" t="s">
        <v>465</v>
      </c>
      <c r="K973">
        <v>1</v>
      </c>
      <c r="L973">
        <v>3043000</v>
      </c>
      <c r="M973">
        <v>0</v>
      </c>
      <c r="N973">
        <v>2293000</v>
      </c>
      <c r="O973">
        <v>3043000</v>
      </c>
    </row>
    <row r="974" spans="1:15" x14ac:dyDescent="0.35">
      <c r="A974" t="s">
        <v>1147</v>
      </c>
      <c r="B974">
        <v>3191131.1475409837</v>
      </c>
      <c r="C974" t="s">
        <v>1184</v>
      </c>
      <c r="D974" s="1">
        <v>45716</v>
      </c>
      <c r="E974" t="s">
        <v>36</v>
      </c>
      <c r="F974" t="s">
        <v>37</v>
      </c>
      <c r="G974" t="s">
        <v>57</v>
      </c>
      <c r="H974" t="s">
        <v>58</v>
      </c>
      <c r="I974" t="s">
        <v>1146</v>
      </c>
      <c r="J974" t="s">
        <v>465</v>
      </c>
      <c r="K974">
        <v>1</v>
      </c>
      <c r="L974">
        <v>3599000</v>
      </c>
      <c r="M974">
        <v>0</v>
      </c>
      <c r="N974">
        <v>2649000</v>
      </c>
      <c r="O974">
        <v>3599000</v>
      </c>
    </row>
    <row r="975" spans="1:15" x14ac:dyDescent="0.35">
      <c r="A975" t="s">
        <v>1147</v>
      </c>
      <c r="B975">
        <v>3191131.1475409837</v>
      </c>
      <c r="C975" t="s">
        <v>1185</v>
      </c>
      <c r="D975" s="1">
        <v>45730</v>
      </c>
      <c r="E975" t="s">
        <v>41</v>
      </c>
      <c r="F975" t="s">
        <v>42</v>
      </c>
      <c r="G975" t="s">
        <v>319</v>
      </c>
      <c r="H975" t="s">
        <v>23</v>
      </c>
      <c r="I975" t="s">
        <v>1146</v>
      </c>
      <c r="J975" t="s">
        <v>465</v>
      </c>
      <c r="K975">
        <v>1</v>
      </c>
      <c r="L975">
        <v>4297000</v>
      </c>
      <c r="M975">
        <v>0</v>
      </c>
      <c r="N975">
        <v>3259000</v>
      </c>
      <c r="O975">
        <v>4297000</v>
      </c>
    </row>
    <row r="976" spans="1:15" x14ac:dyDescent="0.35">
      <c r="A976" t="s">
        <v>1147</v>
      </c>
      <c r="B976">
        <v>3191131.1475409837</v>
      </c>
      <c r="C976" t="s">
        <v>1186</v>
      </c>
      <c r="D976" s="1">
        <v>45730</v>
      </c>
      <c r="E976" t="s">
        <v>41</v>
      </c>
      <c r="F976" t="s">
        <v>42</v>
      </c>
      <c r="G976" t="s">
        <v>61</v>
      </c>
      <c r="H976" t="s">
        <v>23</v>
      </c>
      <c r="I976" t="s">
        <v>1146</v>
      </c>
      <c r="J976" t="s">
        <v>465</v>
      </c>
      <c r="K976">
        <v>1</v>
      </c>
      <c r="L976">
        <v>2922000</v>
      </c>
      <c r="M976">
        <v>0</v>
      </c>
      <c r="N976">
        <v>2177000</v>
      </c>
      <c r="O976">
        <v>2922000</v>
      </c>
    </row>
    <row r="977" spans="1:15" x14ac:dyDescent="0.35">
      <c r="A977" t="s">
        <v>1147</v>
      </c>
      <c r="B977">
        <v>3191131.1475409837</v>
      </c>
      <c r="C977" t="s">
        <v>1187</v>
      </c>
      <c r="D977" s="1">
        <v>45772</v>
      </c>
      <c r="E977" t="s">
        <v>36</v>
      </c>
      <c r="F977" t="s">
        <v>37</v>
      </c>
      <c r="G977" t="s">
        <v>205</v>
      </c>
      <c r="H977" t="s">
        <v>17</v>
      </c>
      <c r="I977" t="s">
        <v>1146</v>
      </c>
      <c r="J977" t="s">
        <v>465</v>
      </c>
      <c r="K977">
        <v>1</v>
      </c>
      <c r="L977">
        <v>2219000</v>
      </c>
      <c r="M977">
        <v>0.1</v>
      </c>
      <c r="N977">
        <v>1673000</v>
      </c>
      <c r="O977">
        <v>2219000</v>
      </c>
    </row>
    <row r="978" spans="1:15" x14ac:dyDescent="0.35">
      <c r="A978" t="s">
        <v>1147</v>
      </c>
      <c r="B978">
        <v>3191131.1475409837</v>
      </c>
      <c r="C978" t="s">
        <v>1188</v>
      </c>
      <c r="D978" s="1">
        <v>45782</v>
      </c>
      <c r="E978" t="s">
        <v>14</v>
      </c>
      <c r="F978" t="s">
        <v>15</v>
      </c>
      <c r="G978" t="s">
        <v>247</v>
      </c>
      <c r="H978" t="s">
        <v>17</v>
      </c>
      <c r="I978" t="s">
        <v>1146</v>
      </c>
      <c r="J978" t="s">
        <v>465</v>
      </c>
      <c r="K978">
        <v>1</v>
      </c>
      <c r="L978">
        <v>3531000</v>
      </c>
      <c r="M978">
        <v>0</v>
      </c>
      <c r="N978">
        <v>2633000</v>
      </c>
      <c r="O978">
        <v>3531000</v>
      </c>
    </row>
    <row r="979" spans="1:15" x14ac:dyDescent="0.35">
      <c r="A979" t="s">
        <v>1147</v>
      </c>
      <c r="B979">
        <v>3191131.1475409837</v>
      </c>
      <c r="C979" t="s">
        <v>1189</v>
      </c>
      <c r="D979" s="1">
        <v>45794</v>
      </c>
      <c r="E979" t="s">
        <v>14</v>
      </c>
      <c r="F979" t="s">
        <v>15</v>
      </c>
      <c r="G979" t="s">
        <v>559</v>
      </c>
      <c r="H979" t="s">
        <v>23</v>
      </c>
      <c r="I979" t="s">
        <v>1146</v>
      </c>
      <c r="J979" t="s">
        <v>465</v>
      </c>
      <c r="K979">
        <v>3</v>
      </c>
      <c r="L979">
        <v>2599000</v>
      </c>
      <c r="M979">
        <v>0</v>
      </c>
      <c r="N979">
        <v>1900000</v>
      </c>
      <c r="O979">
        <v>2599000</v>
      </c>
    </row>
    <row r="980" spans="1:15" x14ac:dyDescent="0.35">
      <c r="A980" t="s">
        <v>1147</v>
      </c>
      <c r="B980">
        <v>3191131.1475409837</v>
      </c>
      <c r="C980" t="s">
        <v>1190</v>
      </c>
      <c r="D980" s="1">
        <v>45797</v>
      </c>
      <c r="E980" t="s">
        <v>14</v>
      </c>
      <c r="F980" t="s">
        <v>15</v>
      </c>
      <c r="G980" t="s">
        <v>174</v>
      </c>
      <c r="H980" t="s">
        <v>23</v>
      </c>
      <c r="I980" t="s">
        <v>1146</v>
      </c>
      <c r="J980" t="s">
        <v>465</v>
      </c>
      <c r="K980">
        <v>1</v>
      </c>
      <c r="L980">
        <v>3278000</v>
      </c>
      <c r="M980">
        <v>0</v>
      </c>
      <c r="N980">
        <v>2505000</v>
      </c>
      <c r="O980">
        <v>3278000</v>
      </c>
    </row>
    <row r="981" spans="1:15" x14ac:dyDescent="0.35">
      <c r="A981" t="s">
        <v>1147</v>
      </c>
      <c r="B981">
        <v>3191131.1475409837</v>
      </c>
      <c r="C981" t="s">
        <v>1191</v>
      </c>
      <c r="D981" s="1">
        <v>45812</v>
      </c>
      <c r="E981" t="s">
        <v>36</v>
      </c>
      <c r="F981" t="s">
        <v>37</v>
      </c>
      <c r="G981" t="s">
        <v>162</v>
      </c>
      <c r="H981" t="s">
        <v>28</v>
      </c>
      <c r="I981" t="s">
        <v>1146</v>
      </c>
      <c r="J981" t="s">
        <v>465</v>
      </c>
      <c r="K981">
        <v>1</v>
      </c>
      <c r="L981">
        <v>4374000</v>
      </c>
      <c r="M981">
        <v>0.05</v>
      </c>
      <c r="N981">
        <v>3350000</v>
      </c>
      <c r="O981">
        <v>4374000</v>
      </c>
    </row>
    <row r="982" spans="1:15" x14ac:dyDescent="0.35">
      <c r="A982" t="s">
        <v>1147</v>
      </c>
      <c r="B982">
        <v>3191131.1475409837</v>
      </c>
      <c r="C982" t="s">
        <v>1192</v>
      </c>
      <c r="D982" s="1">
        <v>45818</v>
      </c>
      <c r="E982" t="s">
        <v>41</v>
      </c>
      <c r="F982" t="s">
        <v>42</v>
      </c>
      <c r="G982" t="s">
        <v>195</v>
      </c>
      <c r="H982" t="s">
        <v>23</v>
      </c>
      <c r="I982" t="s">
        <v>1146</v>
      </c>
      <c r="J982" t="s">
        <v>465</v>
      </c>
      <c r="K982">
        <v>1</v>
      </c>
      <c r="L982">
        <v>2548000</v>
      </c>
      <c r="M982">
        <v>0.1</v>
      </c>
      <c r="N982">
        <v>1937000</v>
      </c>
      <c r="O982">
        <v>2548000</v>
      </c>
    </row>
    <row r="983" spans="1:15" x14ac:dyDescent="0.35">
      <c r="A983" t="s">
        <v>1147</v>
      </c>
      <c r="B983">
        <v>3191131.1475409837</v>
      </c>
      <c r="C983" t="s">
        <v>1193</v>
      </c>
      <c r="D983" s="1">
        <v>45847</v>
      </c>
      <c r="E983" t="s">
        <v>36</v>
      </c>
      <c r="F983" t="s">
        <v>37</v>
      </c>
      <c r="G983" t="s">
        <v>311</v>
      </c>
      <c r="H983" t="s">
        <v>17</v>
      </c>
      <c r="I983" t="s">
        <v>1146</v>
      </c>
      <c r="J983" t="s">
        <v>465</v>
      </c>
      <c r="K983">
        <v>2</v>
      </c>
      <c r="L983">
        <v>4096000</v>
      </c>
      <c r="M983">
        <v>0.1</v>
      </c>
      <c r="N983">
        <v>3053000</v>
      </c>
      <c r="O983">
        <v>4096000</v>
      </c>
    </row>
    <row r="984" spans="1:15" x14ac:dyDescent="0.35">
      <c r="A984" t="s">
        <v>1147</v>
      </c>
      <c r="B984">
        <v>3191131.1475409837</v>
      </c>
      <c r="C984" t="s">
        <v>1194</v>
      </c>
      <c r="D984" s="1">
        <v>45918</v>
      </c>
      <c r="E984" t="s">
        <v>41</v>
      </c>
      <c r="F984" t="s">
        <v>42</v>
      </c>
      <c r="G984" t="s">
        <v>174</v>
      </c>
      <c r="H984" t="s">
        <v>23</v>
      </c>
      <c r="I984" t="s">
        <v>1146</v>
      </c>
      <c r="J984" t="s">
        <v>465</v>
      </c>
      <c r="K984">
        <v>3</v>
      </c>
      <c r="L984">
        <v>3895000</v>
      </c>
      <c r="M984">
        <v>0</v>
      </c>
      <c r="N984">
        <v>2883000</v>
      </c>
      <c r="O984">
        <v>3895000</v>
      </c>
    </row>
    <row r="985" spans="1:15" x14ac:dyDescent="0.35">
      <c r="A985" t="s">
        <v>1147</v>
      </c>
      <c r="B985">
        <v>3191131.1475409837</v>
      </c>
      <c r="C985" t="s">
        <v>1195</v>
      </c>
      <c r="D985" s="1">
        <v>45921</v>
      </c>
      <c r="E985" t="s">
        <v>41</v>
      </c>
      <c r="F985" t="s">
        <v>42</v>
      </c>
      <c r="G985" t="s">
        <v>498</v>
      </c>
      <c r="H985" t="s">
        <v>23</v>
      </c>
      <c r="I985" t="s">
        <v>1146</v>
      </c>
      <c r="J985" t="s">
        <v>465</v>
      </c>
      <c r="K985">
        <v>1</v>
      </c>
      <c r="L985">
        <v>3644000</v>
      </c>
      <c r="M985">
        <v>0</v>
      </c>
      <c r="N985">
        <v>2703000</v>
      </c>
      <c r="O985">
        <v>3644000</v>
      </c>
    </row>
    <row r="986" spans="1:15" x14ac:dyDescent="0.35">
      <c r="A986" t="s">
        <v>1147</v>
      </c>
      <c r="B986">
        <v>3191131.1475409837</v>
      </c>
      <c r="C986" t="s">
        <v>1196</v>
      </c>
      <c r="D986" s="1">
        <v>45941</v>
      </c>
      <c r="E986" t="s">
        <v>14</v>
      </c>
      <c r="F986" t="s">
        <v>15</v>
      </c>
      <c r="G986" t="s">
        <v>110</v>
      </c>
      <c r="H986" t="s">
        <v>23</v>
      </c>
      <c r="I986" t="s">
        <v>1146</v>
      </c>
      <c r="J986" t="s">
        <v>465</v>
      </c>
      <c r="K986">
        <v>1</v>
      </c>
      <c r="L986">
        <v>3936000</v>
      </c>
      <c r="M986">
        <v>0</v>
      </c>
      <c r="N986">
        <v>3019000</v>
      </c>
      <c r="O986">
        <v>3936000</v>
      </c>
    </row>
    <row r="987" spans="1:15" x14ac:dyDescent="0.35">
      <c r="A987" t="s">
        <v>1147</v>
      </c>
      <c r="B987">
        <v>3191131.1475409837</v>
      </c>
      <c r="C987" t="s">
        <v>1197</v>
      </c>
      <c r="D987" s="1">
        <v>45951</v>
      </c>
      <c r="E987" t="s">
        <v>36</v>
      </c>
      <c r="F987" t="s">
        <v>37</v>
      </c>
      <c r="G987" t="s">
        <v>634</v>
      </c>
      <c r="H987" t="s">
        <v>17</v>
      </c>
      <c r="I987" t="s">
        <v>1146</v>
      </c>
      <c r="J987" t="s">
        <v>465</v>
      </c>
      <c r="K987">
        <v>1</v>
      </c>
      <c r="L987">
        <v>2684000</v>
      </c>
      <c r="M987">
        <v>0</v>
      </c>
      <c r="N987">
        <v>2044000</v>
      </c>
      <c r="O987">
        <v>2684000</v>
      </c>
    </row>
    <row r="988" spans="1:15" x14ac:dyDescent="0.35">
      <c r="A988" t="s">
        <v>1147</v>
      </c>
      <c r="B988">
        <v>3191131.1475409837</v>
      </c>
      <c r="C988" t="s">
        <v>1198</v>
      </c>
      <c r="D988" s="1">
        <v>45973</v>
      </c>
      <c r="E988" t="s">
        <v>36</v>
      </c>
      <c r="F988" t="s">
        <v>37</v>
      </c>
      <c r="G988" t="s">
        <v>115</v>
      </c>
      <c r="H988" t="s">
        <v>23</v>
      </c>
      <c r="I988" t="s">
        <v>1146</v>
      </c>
      <c r="J988" t="s">
        <v>465</v>
      </c>
      <c r="K988">
        <v>1</v>
      </c>
      <c r="L988">
        <v>2269000</v>
      </c>
      <c r="M988">
        <v>0.05</v>
      </c>
      <c r="N988">
        <v>1681000</v>
      </c>
      <c r="O988">
        <v>2269000</v>
      </c>
    </row>
    <row r="989" spans="1:15" x14ac:dyDescent="0.35">
      <c r="A989" t="s">
        <v>1147</v>
      </c>
      <c r="B989">
        <v>3191131.1475409837</v>
      </c>
      <c r="C989" t="s">
        <v>1199</v>
      </c>
      <c r="D989" s="1">
        <v>45992</v>
      </c>
      <c r="E989" t="s">
        <v>14</v>
      </c>
      <c r="F989" t="s">
        <v>15</v>
      </c>
      <c r="G989" t="s">
        <v>447</v>
      </c>
      <c r="H989" t="s">
        <v>23</v>
      </c>
      <c r="I989" t="s">
        <v>1146</v>
      </c>
      <c r="J989" t="s">
        <v>465</v>
      </c>
      <c r="K989">
        <v>2</v>
      </c>
      <c r="L989">
        <v>4028000</v>
      </c>
      <c r="M989">
        <v>0.05</v>
      </c>
      <c r="N989">
        <v>3054000</v>
      </c>
      <c r="O989">
        <v>4028000</v>
      </c>
    </row>
    <row r="990" spans="1:15" x14ac:dyDescent="0.35">
      <c r="A990" t="s">
        <v>1147</v>
      </c>
      <c r="B990">
        <v>3191131.1475409837</v>
      </c>
      <c r="C990" t="s">
        <v>1200</v>
      </c>
      <c r="D990" s="1">
        <v>46006</v>
      </c>
      <c r="E990" t="s">
        <v>14</v>
      </c>
      <c r="F990" t="s">
        <v>15</v>
      </c>
      <c r="G990" t="s">
        <v>126</v>
      </c>
      <c r="H990" t="s">
        <v>17</v>
      </c>
      <c r="I990" t="s">
        <v>1146</v>
      </c>
      <c r="J990" t="s">
        <v>465</v>
      </c>
      <c r="K990">
        <v>1</v>
      </c>
      <c r="L990">
        <v>3191131.1475409837</v>
      </c>
      <c r="M990">
        <v>0</v>
      </c>
      <c r="N990">
        <v>2250000</v>
      </c>
      <c r="O990">
        <v>3191131.1475409837</v>
      </c>
    </row>
    <row r="991" spans="1:15" x14ac:dyDescent="0.35">
      <c r="A991" t="s">
        <v>1147</v>
      </c>
      <c r="B991">
        <v>3191131.1475409837</v>
      </c>
      <c r="C991" t="s">
        <v>1201</v>
      </c>
      <c r="D991" s="1">
        <v>46015</v>
      </c>
      <c r="E991" t="s">
        <v>36</v>
      </c>
      <c r="F991" t="s">
        <v>37</v>
      </c>
      <c r="G991" t="s">
        <v>121</v>
      </c>
      <c r="H991" t="s">
        <v>23</v>
      </c>
      <c r="I991" t="s">
        <v>1146</v>
      </c>
      <c r="J991" t="s">
        <v>465</v>
      </c>
      <c r="K991">
        <v>1</v>
      </c>
      <c r="L991">
        <v>4269000</v>
      </c>
      <c r="M991">
        <v>0</v>
      </c>
      <c r="N991">
        <v>3157000</v>
      </c>
      <c r="O991">
        <v>4269000</v>
      </c>
    </row>
    <row r="992" spans="1:15" x14ac:dyDescent="0.35">
      <c r="A992" t="s">
        <v>1147</v>
      </c>
      <c r="B992">
        <v>3191131.1475409837</v>
      </c>
      <c r="C992" t="s">
        <v>1202</v>
      </c>
      <c r="D992" s="1">
        <v>46067</v>
      </c>
      <c r="E992" t="s">
        <v>25</v>
      </c>
      <c r="F992" t="s">
        <v>26</v>
      </c>
      <c r="G992" t="s">
        <v>164</v>
      </c>
      <c r="H992" t="s">
        <v>23</v>
      </c>
      <c r="I992" t="s">
        <v>1146</v>
      </c>
      <c r="J992" t="s">
        <v>465</v>
      </c>
      <c r="K992">
        <v>3</v>
      </c>
      <c r="L992">
        <v>2423000</v>
      </c>
      <c r="M992">
        <v>0</v>
      </c>
      <c r="N992">
        <v>1817000</v>
      </c>
      <c r="O992">
        <v>2423000</v>
      </c>
    </row>
    <row r="993" spans="1:15" x14ac:dyDescent="0.35">
      <c r="A993" t="s">
        <v>1147</v>
      </c>
      <c r="B993">
        <v>3191131.1475409837</v>
      </c>
      <c r="C993" t="s">
        <v>1203</v>
      </c>
      <c r="D993" s="1">
        <v>46070</v>
      </c>
      <c r="E993" t="s">
        <v>49</v>
      </c>
      <c r="F993" t="s">
        <v>50</v>
      </c>
      <c r="G993" t="s">
        <v>186</v>
      </c>
      <c r="H993" t="s">
        <v>23</v>
      </c>
      <c r="I993" t="s">
        <v>1146</v>
      </c>
      <c r="J993" t="s">
        <v>465</v>
      </c>
      <c r="K993">
        <v>1</v>
      </c>
      <c r="L993">
        <v>3646000</v>
      </c>
      <c r="M993">
        <v>0</v>
      </c>
      <c r="N993">
        <v>2760000</v>
      </c>
      <c r="O993">
        <v>3646000</v>
      </c>
    </row>
    <row r="994" spans="1:15" x14ac:dyDescent="0.35">
      <c r="A994" t="s">
        <v>1147</v>
      </c>
      <c r="B994">
        <v>3191131.1475409837</v>
      </c>
      <c r="C994" t="s">
        <v>1204</v>
      </c>
      <c r="D994" s="1">
        <v>46114</v>
      </c>
      <c r="E994" t="s">
        <v>14</v>
      </c>
      <c r="F994" t="s">
        <v>15</v>
      </c>
      <c r="G994" t="s">
        <v>155</v>
      </c>
      <c r="H994" t="s">
        <v>58</v>
      </c>
      <c r="I994" t="s">
        <v>1146</v>
      </c>
      <c r="J994" t="s">
        <v>465</v>
      </c>
      <c r="K994">
        <v>1</v>
      </c>
      <c r="L994">
        <v>3508000</v>
      </c>
      <c r="M994">
        <v>0.05</v>
      </c>
      <c r="N994">
        <v>2686000</v>
      </c>
      <c r="O994">
        <v>3508000</v>
      </c>
    </row>
    <row r="995" spans="1:15" x14ac:dyDescent="0.35">
      <c r="A995" t="s">
        <v>1147</v>
      </c>
      <c r="B995">
        <v>3191131.1475409837</v>
      </c>
      <c r="C995" t="s">
        <v>1205</v>
      </c>
      <c r="D995" s="1">
        <v>46134</v>
      </c>
      <c r="E995" t="s">
        <v>14</v>
      </c>
      <c r="F995" t="s">
        <v>15</v>
      </c>
      <c r="G995" t="s">
        <v>1041</v>
      </c>
      <c r="H995" t="s">
        <v>23</v>
      </c>
      <c r="I995" t="s">
        <v>1146</v>
      </c>
      <c r="J995" t="s">
        <v>465</v>
      </c>
      <c r="K995">
        <v>1</v>
      </c>
      <c r="L995">
        <v>2856000</v>
      </c>
      <c r="M995">
        <v>0</v>
      </c>
      <c r="N995">
        <v>2100000</v>
      </c>
      <c r="O995">
        <v>2856000</v>
      </c>
    </row>
    <row r="996" spans="1:15" x14ac:dyDescent="0.35">
      <c r="A996" t="s">
        <v>1147</v>
      </c>
      <c r="B996">
        <v>3191131.1475409837</v>
      </c>
      <c r="C996" t="s">
        <v>1206</v>
      </c>
      <c r="D996" s="1">
        <v>46153</v>
      </c>
      <c r="E996" t="s">
        <v>14</v>
      </c>
      <c r="F996" t="s">
        <v>15</v>
      </c>
      <c r="G996" t="s">
        <v>349</v>
      </c>
      <c r="H996" t="s">
        <v>23</v>
      </c>
      <c r="I996" t="s">
        <v>1146</v>
      </c>
      <c r="J996" t="s">
        <v>465</v>
      </c>
      <c r="K996">
        <v>1</v>
      </c>
      <c r="L996">
        <v>4183000</v>
      </c>
      <c r="M996">
        <v>0</v>
      </c>
      <c r="N996">
        <v>3179000</v>
      </c>
      <c r="O996">
        <v>4183000</v>
      </c>
    </row>
    <row r="997" spans="1:15" x14ac:dyDescent="0.35">
      <c r="A997" t="s">
        <v>1147</v>
      </c>
      <c r="B997">
        <v>3191131.1475409837</v>
      </c>
      <c r="C997" t="s">
        <v>1207</v>
      </c>
      <c r="D997" s="1">
        <v>46181</v>
      </c>
      <c r="E997" t="s">
        <v>14</v>
      </c>
      <c r="F997" t="s">
        <v>15</v>
      </c>
      <c r="G997" t="s">
        <v>76</v>
      </c>
      <c r="H997" t="s">
        <v>23</v>
      </c>
      <c r="I997" t="s">
        <v>1146</v>
      </c>
      <c r="J997" t="s">
        <v>465</v>
      </c>
      <c r="K997">
        <v>1</v>
      </c>
      <c r="L997">
        <v>3636000</v>
      </c>
      <c r="M997">
        <v>0</v>
      </c>
      <c r="N997">
        <v>2705000</v>
      </c>
      <c r="O997">
        <v>3636000</v>
      </c>
    </row>
    <row r="998" spans="1:15" x14ac:dyDescent="0.35">
      <c r="A998" t="s">
        <v>1147</v>
      </c>
      <c r="B998">
        <v>3191131.1475409837</v>
      </c>
      <c r="C998" t="s">
        <v>1208</v>
      </c>
      <c r="D998" s="1">
        <v>46185</v>
      </c>
      <c r="E998" t="s">
        <v>14</v>
      </c>
      <c r="F998" t="s">
        <v>15</v>
      </c>
      <c r="G998" t="s">
        <v>65</v>
      </c>
      <c r="H998" t="s">
        <v>17</v>
      </c>
      <c r="I998" t="s">
        <v>1146</v>
      </c>
      <c r="J998" t="s">
        <v>465</v>
      </c>
      <c r="K998">
        <v>1</v>
      </c>
      <c r="L998">
        <v>2588000</v>
      </c>
      <c r="M998">
        <v>0.1</v>
      </c>
      <c r="N998">
        <v>1916000</v>
      </c>
      <c r="O998">
        <v>2588000</v>
      </c>
    </row>
    <row r="999" spans="1:15" x14ac:dyDescent="0.35">
      <c r="A999" t="s">
        <v>1147</v>
      </c>
      <c r="B999">
        <v>3191131.1475409837</v>
      </c>
      <c r="C999" t="s">
        <v>1209</v>
      </c>
      <c r="D999" s="1">
        <v>46190</v>
      </c>
      <c r="E999" t="s">
        <v>14</v>
      </c>
      <c r="F999" t="s">
        <v>15</v>
      </c>
      <c r="G999" t="s">
        <v>333</v>
      </c>
      <c r="H999" t="s">
        <v>17</v>
      </c>
      <c r="I999" t="s">
        <v>1146</v>
      </c>
      <c r="J999" t="s">
        <v>465</v>
      </c>
      <c r="K999">
        <v>1</v>
      </c>
      <c r="L999">
        <v>3191131.1475409837</v>
      </c>
      <c r="M999">
        <v>0</v>
      </c>
      <c r="N999">
        <v>2250000</v>
      </c>
      <c r="O999">
        <v>3191131.1475409837</v>
      </c>
    </row>
    <row r="1000" spans="1:15" x14ac:dyDescent="0.35">
      <c r="A1000" t="s">
        <v>1212</v>
      </c>
      <c r="B1000">
        <v>429388.88888888888</v>
      </c>
      <c r="C1000" t="s">
        <v>1210</v>
      </c>
      <c r="D1000" s="1">
        <v>44945</v>
      </c>
      <c r="E1000" t="s">
        <v>49</v>
      </c>
      <c r="F1000" t="s">
        <v>50</v>
      </c>
      <c r="G1000" t="s">
        <v>43</v>
      </c>
      <c r="H1000" t="s">
        <v>17</v>
      </c>
      <c r="I1000" t="s">
        <v>1211</v>
      </c>
      <c r="J1000" t="s">
        <v>363</v>
      </c>
      <c r="K1000">
        <v>1</v>
      </c>
      <c r="L1000">
        <v>389000</v>
      </c>
      <c r="M1000">
        <v>0.05</v>
      </c>
      <c r="N1000">
        <v>274000</v>
      </c>
      <c r="O1000">
        <v>389000</v>
      </c>
    </row>
    <row r="1001" spans="1:15" x14ac:dyDescent="0.35">
      <c r="A1001" t="s">
        <v>1212</v>
      </c>
      <c r="B1001">
        <v>429388.88888888888</v>
      </c>
      <c r="C1001" t="s">
        <v>1213</v>
      </c>
      <c r="D1001" s="1">
        <v>44970</v>
      </c>
      <c r="E1001" t="s">
        <v>41</v>
      </c>
      <c r="F1001" t="s">
        <v>42</v>
      </c>
      <c r="G1001" t="s">
        <v>413</v>
      </c>
      <c r="H1001" t="s">
        <v>23</v>
      </c>
      <c r="I1001" t="s">
        <v>1211</v>
      </c>
      <c r="J1001" t="s">
        <v>363</v>
      </c>
      <c r="K1001">
        <v>1</v>
      </c>
      <c r="L1001">
        <v>368000</v>
      </c>
      <c r="M1001">
        <v>0</v>
      </c>
      <c r="N1001">
        <v>254000</v>
      </c>
      <c r="O1001">
        <v>368000</v>
      </c>
    </row>
    <row r="1002" spans="1:15" x14ac:dyDescent="0.35">
      <c r="A1002" t="s">
        <v>1212</v>
      </c>
      <c r="B1002">
        <v>429388.88888888888</v>
      </c>
      <c r="C1002" t="s">
        <v>1214</v>
      </c>
      <c r="D1002" s="1">
        <v>44974</v>
      </c>
      <c r="E1002" t="s">
        <v>14</v>
      </c>
      <c r="F1002" t="s">
        <v>15</v>
      </c>
      <c r="G1002" t="s">
        <v>295</v>
      </c>
      <c r="H1002" t="s">
        <v>23</v>
      </c>
      <c r="I1002" t="s">
        <v>1211</v>
      </c>
      <c r="J1002" t="s">
        <v>363</v>
      </c>
      <c r="K1002">
        <v>1</v>
      </c>
      <c r="L1002">
        <v>533000</v>
      </c>
      <c r="M1002">
        <v>0.1</v>
      </c>
      <c r="N1002">
        <v>377000</v>
      </c>
      <c r="O1002">
        <v>533000</v>
      </c>
    </row>
    <row r="1003" spans="1:15" x14ac:dyDescent="0.35">
      <c r="A1003" t="s">
        <v>1212</v>
      </c>
      <c r="B1003">
        <v>429388.88888888888</v>
      </c>
      <c r="C1003" t="s">
        <v>1215</v>
      </c>
      <c r="D1003" s="1">
        <v>44993</v>
      </c>
      <c r="E1003" t="s">
        <v>14</v>
      </c>
      <c r="F1003" t="s">
        <v>15</v>
      </c>
      <c r="G1003" t="s">
        <v>798</v>
      </c>
      <c r="H1003" t="s">
        <v>28</v>
      </c>
      <c r="I1003" t="s">
        <v>1211</v>
      </c>
      <c r="J1003" t="s">
        <v>363</v>
      </c>
      <c r="K1003">
        <v>5</v>
      </c>
      <c r="L1003">
        <v>306000</v>
      </c>
      <c r="M1003">
        <v>0</v>
      </c>
      <c r="N1003">
        <v>220000</v>
      </c>
      <c r="O1003">
        <v>306000</v>
      </c>
    </row>
    <row r="1004" spans="1:15" x14ac:dyDescent="0.35">
      <c r="A1004" t="s">
        <v>1212</v>
      </c>
      <c r="B1004">
        <v>429388.88888888888</v>
      </c>
      <c r="C1004" t="s">
        <v>1216</v>
      </c>
      <c r="D1004" s="1">
        <v>45004</v>
      </c>
      <c r="E1004" t="s">
        <v>49</v>
      </c>
      <c r="F1004" t="s">
        <v>50</v>
      </c>
      <c r="G1004" t="s">
        <v>182</v>
      </c>
      <c r="H1004" t="s">
        <v>23</v>
      </c>
      <c r="I1004" t="s">
        <v>1211</v>
      </c>
      <c r="J1004" t="s">
        <v>363</v>
      </c>
      <c r="K1004">
        <v>1</v>
      </c>
      <c r="L1004">
        <v>401000</v>
      </c>
      <c r="M1004">
        <v>0</v>
      </c>
      <c r="N1004">
        <v>277000</v>
      </c>
      <c r="O1004">
        <v>401000</v>
      </c>
    </row>
    <row r="1005" spans="1:15" x14ac:dyDescent="0.35">
      <c r="A1005" t="s">
        <v>1212</v>
      </c>
      <c r="B1005">
        <v>429388.88888888888</v>
      </c>
      <c r="C1005" t="s">
        <v>1217</v>
      </c>
      <c r="D1005" s="1">
        <v>45020</v>
      </c>
      <c r="E1005" t="s">
        <v>14</v>
      </c>
      <c r="F1005" t="s">
        <v>15</v>
      </c>
      <c r="G1005" t="s">
        <v>150</v>
      </c>
      <c r="H1005" t="s">
        <v>28</v>
      </c>
      <c r="I1005" t="s">
        <v>1211</v>
      </c>
      <c r="J1005" t="s">
        <v>363</v>
      </c>
      <c r="K1005">
        <v>2</v>
      </c>
      <c r="L1005">
        <v>360000</v>
      </c>
      <c r="M1005">
        <v>0</v>
      </c>
      <c r="N1005">
        <v>257000</v>
      </c>
      <c r="O1005">
        <v>360000</v>
      </c>
    </row>
    <row r="1006" spans="1:15" x14ac:dyDescent="0.35">
      <c r="A1006" t="s">
        <v>1212</v>
      </c>
      <c r="B1006">
        <v>429388.88888888888</v>
      </c>
      <c r="C1006" t="s">
        <v>1218</v>
      </c>
      <c r="D1006" s="1">
        <v>45025</v>
      </c>
      <c r="E1006" t="s">
        <v>36</v>
      </c>
      <c r="F1006" t="s">
        <v>37</v>
      </c>
      <c r="G1006" t="s">
        <v>419</v>
      </c>
      <c r="H1006" t="s">
        <v>17</v>
      </c>
      <c r="I1006" t="s">
        <v>1211</v>
      </c>
      <c r="J1006" t="s">
        <v>363</v>
      </c>
      <c r="K1006">
        <v>1</v>
      </c>
      <c r="L1006">
        <v>317000</v>
      </c>
      <c r="M1006">
        <v>0</v>
      </c>
      <c r="N1006">
        <v>223000</v>
      </c>
      <c r="O1006">
        <v>317000</v>
      </c>
    </row>
    <row r="1007" spans="1:15" x14ac:dyDescent="0.35">
      <c r="A1007" t="s">
        <v>1212</v>
      </c>
      <c r="B1007">
        <v>429388.88888888888</v>
      </c>
      <c r="C1007" t="s">
        <v>1219</v>
      </c>
      <c r="D1007" s="1">
        <v>45060</v>
      </c>
      <c r="E1007" t="s">
        <v>14</v>
      </c>
      <c r="F1007" t="s">
        <v>15</v>
      </c>
      <c r="G1007" t="s">
        <v>117</v>
      </c>
      <c r="H1007" t="s">
        <v>23</v>
      </c>
      <c r="I1007" t="s">
        <v>1211</v>
      </c>
      <c r="J1007" t="s">
        <v>363</v>
      </c>
      <c r="K1007">
        <v>1</v>
      </c>
      <c r="L1007">
        <v>295000</v>
      </c>
      <c r="M1007">
        <v>0.1</v>
      </c>
      <c r="N1007">
        <v>202000</v>
      </c>
      <c r="O1007">
        <v>295000</v>
      </c>
    </row>
    <row r="1008" spans="1:15" x14ac:dyDescent="0.35">
      <c r="A1008" t="s">
        <v>1212</v>
      </c>
      <c r="B1008">
        <v>429388.88888888888</v>
      </c>
      <c r="C1008" t="s">
        <v>1220</v>
      </c>
      <c r="D1008" s="1">
        <v>45097</v>
      </c>
      <c r="E1008" t="s">
        <v>41</v>
      </c>
      <c r="F1008" t="s">
        <v>42</v>
      </c>
      <c r="G1008" t="s">
        <v>110</v>
      </c>
      <c r="H1008" t="s">
        <v>23</v>
      </c>
      <c r="I1008" t="s">
        <v>1211</v>
      </c>
      <c r="J1008" t="s">
        <v>363</v>
      </c>
      <c r="K1008">
        <v>1</v>
      </c>
      <c r="L1008">
        <v>258000</v>
      </c>
      <c r="M1008">
        <v>0</v>
      </c>
      <c r="N1008">
        <v>184000</v>
      </c>
      <c r="O1008">
        <v>258000</v>
      </c>
    </row>
    <row r="1009" spans="1:15" x14ac:dyDescent="0.35">
      <c r="A1009" t="s">
        <v>1212</v>
      </c>
      <c r="B1009">
        <v>429388.88888888888</v>
      </c>
      <c r="C1009" t="s">
        <v>1221</v>
      </c>
      <c r="D1009" s="1">
        <v>45099</v>
      </c>
      <c r="E1009" t="s">
        <v>25</v>
      </c>
      <c r="F1009" t="s">
        <v>26</v>
      </c>
      <c r="G1009" t="s">
        <v>85</v>
      </c>
      <c r="H1009" t="s">
        <v>23</v>
      </c>
      <c r="I1009" t="s">
        <v>1211</v>
      </c>
      <c r="J1009" t="s">
        <v>363</v>
      </c>
      <c r="K1009">
        <v>1</v>
      </c>
      <c r="L1009">
        <v>254000</v>
      </c>
      <c r="M1009">
        <v>0</v>
      </c>
      <c r="N1009">
        <v>173000</v>
      </c>
      <c r="O1009">
        <v>254000</v>
      </c>
    </row>
    <row r="1010" spans="1:15" x14ac:dyDescent="0.35">
      <c r="A1010" t="s">
        <v>1212</v>
      </c>
      <c r="B1010">
        <v>429388.88888888888</v>
      </c>
      <c r="C1010" t="s">
        <v>1222</v>
      </c>
      <c r="D1010" s="1">
        <v>45102</v>
      </c>
      <c r="E1010" t="s">
        <v>14</v>
      </c>
      <c r="F1010" t="s">
        <v>15</v>
      </c>
      <c r="G1010" t="s">
        <v>327</v>
      </c>
      <c r="H1010" t="s">
        <v>23</v>
      </c>
      <c r="I1010" t="s">
        <v>1211</v>
      </c>
      <c r="J1010" t="s">
        <v>363</v>
      </c>
      <c r="K1010">
        <v>2</v>
      </c>
      <c r="L1010">
        <v>455000</v>
      </c>
      <c r="M1010">
        <v>0</v>
      </c>
      <c r="N1010">
        <v>326000</v>
      </c>
      <c r="O1010">
        <v>455000</v>
      </c>
    </row>
    <row r="1011" spans="1:15" x14ac:dyDescent="0.35">
      <c r="A1011" t="s">
        <v>1212</v>
      </c>
      <c r="B1011">
        <v>429388.88888888888</v>
      </c>
      <c r="C1011" t="s">
        <v>1223</v>
      </c>
      <c r="D1011" s="1">
        <v>45113</v>
      </c>
      <c r="E1011" t="s">
        <v>14</v>
      </c>
      <c r="F1011" t="s">
        <v>15</v>
      </c>
      <c r="G1011" t="s">
        <v>378</v>
      </c>
      <c r="H1011" t="s">
        <v>23</v>
      </c>
      <c r="I1011" t="s">
        <v>1211</v>
      </c>
      <c r="J1011" t="s">
        <v>363</v>
      </c>
      <c r="K1011">
        <v>1</v>
      </c>
      <c r="L1011">
        <v>267000</v>
      </c>
      <c r="M1011">
        <v>0.05</v>
      </c>
      <c r="N1011">
        <v>191000</v>
      </c>
      <c r="O1011">
        <v>267000</v>
      </c>
    </row>
    <row r="1012" spans="1:15" x14ac:dyDescent="0.35">
      <c r="A1012" t="s">
        <v>1212</v>
      </c>
      <c r="B1012">
        <v>429388.88888888888</v>
      </c>
      <c r="C1012" t="s">
        <v>1224</v>
      </c>
      <c r="D1012" s="1">
        <v>45123</v>
      </c>
      <c r="E1012" t="s">
        <v>14</v>
      </c>
      <c r="F1012" t="s">
        <v>15</v>
      </c>
      <c r="G1012" t="s">
        <v>260</v>
      </c>
      <c r="H1012" t="s">
        <v>23</v>
      </c>
      <c r="I1012" t="s">
        <v>1211</v>
      </c>
      <c r="J1012" t="s">
        <v>363</v>
      </c>
      <c r="K1012">
        <v>2</v>
      </c>
      <c r="L1012">
        <v>411000</v>
      </c>
      <c r="M1012">
        <v>0</v>
      </c>
      <c r="N1012">
        <v>291000</v>
      </c>
      <c r="O1012">
        <v>411000</v>
      </c>
    </row>
    <row r="1013" spans="1:15" x14ac:dyDescent="0.35">
      <c r="A1013" t="s">
        <v>1212</v>
      </c>
      <c r="B1013">
        <v>429388.88888888888</v>
      </c>
      <c r="C1013" t="s">
        <v>1225</v>
      </c>
      <c r="D1013" s="1">
        <v>45130</v>
      </c>
      <c r="E1013" t="s">
        <v>14</v>
      </c>
      <c r="F1013" t="s">
        <v>15</v>
      </c>
      <c r="G1013" t="s">
        <v>61</v>
      </c>
      <c r="H1013" t="s">
        <v>23</v>
      </c>
      <c r="I1013" t="s">
        <v>1211</v>
      </c>
      <c r="J1013" t="s">
        <v>363</v>
      </c>
      <c r="K1013">
        <v>2</v>
      </c>
      <c r="L1013">
        <v>354000</v>
      </c>
      <c r="M1013">
        <v>0</v>
      </c>
      <c r="N1013">
        <v>244000</v>
      </c>
      <c r="O1013">
        <v>354000</v>
      </c>
    </row>
    <row r="1014" spans="1:15" x14ac:dyDescent="0.35">
      <c r="A1014" t="s">
        <v>1212</v>
      </c>
      <c r="B1014">
        <v>429388.88888888888</v>
      </c>
      <c r="C1014" t="s">
        <v>1226</v>
      </c>
      <c r="D1014" s="1">
        <v>45238</v>
      </c>
      <c r="E1014" t="s">
        <v>25</v>
      </c>
      <c r="F1014" t="s">
        <v>26</v>
      </c>
      <c r="G1014" t="s">
        <v>61</v>
      </c>
      <c r="H1014" t="s">
        <v>23</v>
      </c>
      <c r="I1014" t="s">
        <v>1211</v>
      </c>
      <c r="J1014" t="s">
        <v>363</v>
      </c>
      <c r="K1014">
        <v>2</v>
      </c>
      <c r="L1014">
        <v>322000</v>
      </c>
      <c r="M1014">
        <v>0.05</v>
      </c>
      <c r="N1014">
        <v>220000</v>
      </c>
      <c r="O1014">
        <v>322000</v>
      </c>
    </row>
    <row r="1015" spans="1:15" x14ac:dyDescent="0.35">
      <c r="A1015" t="s">
        <v>1212</v>
      </c>
      <c r="B1015">
        <v>429388.88888888888</v>
      </c>
      <c r="C1015" t="s">
        <v>1227</v>
      </c>
      <c r="D1015" s="1">
        <v>45259</v>
      </c>
      <c r="E1015" t="s">
        <v>41</v>
      </c>
      <c r="F1015" t="s">
        <v>42</v>
      </c>
      <c r="G1015" t="s">
        <v>113</v>
      </c>
      <c r="H1015" t="s">
        <v>23</v>
      </c>
      <c r="I1015" t="s">
        <v>1211</v>
      </c>
      <c r="J1015" t="s">
        <v>363</v>
      </c>
      <c r="K1015">
        <v>2</v>
      </c>
      <c r="L1015">
        <v>304000</v>
      </c>
      <c r="M1015">
        <v>0</v>
      </c>
      <c r="N1015">
        <v>209000</v>
      </c>
      <c r="O1015">
        <v>304000</v>
      </c>
    </row>
    <row r="1016" spans="1:15" x14ac:dyDescent="0.35">
      <c r="A1016" t="s">
        <v>1212</v>
      </c>
      <c r="B1016">
        <v>429388.88888888888</v>
      </c>
      <c r="C1016" t="s">
        <v>1228</v>
      </c>
      <c r="D1016" s="1">
        <v>45259</v>
      </c>
      <c r="E1016" t="s">
        <v>41</v>
      </c>
      <c r="F1016" t="s">
        <v>42</v>
      </c>
      <c r="G1016" t="s">
        <v>242</v>
      </c>
      <c r="H1016" t="s">
        <v>17</v>
      </c>
      <c r="I1016" t="s">
        <v>1211</v>
      </c>
      <c r="J1016" t="s">
        <v>363</v>
      </c>
      <c r="K1016">
        <v>2</v>
      </c>
      <c r="L1016">
        <v>355000</v>
      </c>
      <c r="M1016">
        <v>0.05</v>
      </c>
      <c r="N1016">
        <v>250000</v>
      </c>
      <c r="O1016">
        <v>355000</v>
      </c>
    </row>
    <row r="1017" spans="1:15" x14ac:dyDescent="0.35">
      <c r="A1017" t="s">
        <v>1212</v>
      </c>
      <c r="B1017">
        <v>429388.88888888888</v>
      </c>
      <c r="C1017" t="s">
        <v>1229</v>
      </c>
      <c r="D1017" s="1">
        <v>45271</v>
      </c>
      <c r="E1017" t="s">
        <v>14</v>
      </c>
      <c r="F1017" t="s">
        <v>15</v>
      </c>
      <c r="G1017" t="s">
        <v>168</v>
      </c>
      <c r="H1017" t="s">
        <v>23</v>
      </c>
      <c r="I1017" t="s">
        <v>1211</v>
      </c>
      <c r="J1017" t="s">
        <v>363</v>
      </c>
      <c r="K1017">
        <v>1</v>
      </c>
      <c r="L1017">
        <v>384000</v>
      </c>
      <c r="M1017">
        <v>0</v>
      </c>
      <c r="N1017">
        <v>275000</v>
      </c>
      <c r="O1017">
        <v>384000</v>
      </c>
    </row>
    <row r="1018" spans="1:15" x14ac:dyDescent="0.35">
      <c r="A1018" t="s">
        <v>1212</v>
      </c>
      <c r="B1018">
        <v>429388.88888888888</v>
      </c>
      <c r="C1018" t="s">
        <v>1230</v>
      </c>
      <c r="D1018" s="1">
        <v>45276</v>
      </c>
      <c r="E1018" t="s">
        <v>41</v>
      </c>
      <c r="F1018" t="s">
        <v>42</v>
      </c>
      <c r="G1018" t="s">
        <v>456</v>
      </c>
      <c r="H1018" t="s">
        <v>23</v>
      </c>
      <c r="I1018" t="s">
        <v>1211</v>
      </c>
      <c r="J1018" t="s">
        <v>363</v>
      </c>
      <c r="K1018">
        <v>1</v>
      </c>
      <c r="L1018">
        <v>257000</v>
      </c>
      <c r="M1018">
        <v>0</v>
      </c>
      <c r="N1018">
        <v>181000</v>
      </c>
      <c r="O1018">
        <v>257000</v>
      </c>
    </row>
    <row r="1019" spans="1:15" x14ac:dyDescent="0.35">
      <c r="A1019" t="s">
        <v>1212</v>
      </c>
      <c r="B1019">
        <v>429388.88888888888</v>
      </c>
      <c r="C1019" t="s">
        <v>1231</v>
      </c>
      <c r="D1019" s="1">
        <v>45325</v>
      </c>
      <c r="E1019" t="s">
        <v>49</v>
      </c>
      <c r="F1019" t="s">
        <v>50</v>
      </c>
      <c r="G1019" t="s">
        <v>218</v>
      </c>
      <c r="H1019" t="s">
        <v>23</v>
      </c>
      <c r="I1019" t="s">
        <v>1211</v>
      </c>
      <c r="J1019" t="s">
        <v>363</v>
      </c>
      <c r="K1019">
        <v>1</v>
      </c>
      <c r="L1019">
        <v>543000</v>
      </c>
      <c r="M1019">
        <v>0</v>
      </c>
      <c r="N1019">
        <v>372000</v>
      </c>
      <c r="O1019">
        <v>543000</v>
      </c>
    </row>
    <row r="1020" spans="1:15" x14ac:dyDescent="0.35">
      <c r="A1020" t="s">
        <v>1212</v>
      </c>
      <c r="B1020">
        <v>429388.88888888888</v>
      </c>
      <c r="C1020" t="s">
        <v>1232</v>
      </c>
      <c r="D1020" s="1">
        <v>45325</v>
      </c>
      <c r="E1020" t="s">
        <v>14</v>
      </c>
      <c r="F1020" t="s">
        <v>15</v>
      </c>
      <c r="G1020" t="s">
        <v>239</v>
      </c>
      <c r="H1020" t="s">
        <v>23</v>
      </c>
      <c r="I1020" t="s">
        <v>1211</v>
      </c>
      <c r="J1020" t="s">
        <v>363</v>
      </c>
      <c r="K1020">
        <v>1</v>
      </c>
      <c r="L1020">
        <v>340000</v>
      </c>
      <c r="M1020">
        <v>0.15</v>
      </c>
      <c r="N1020">
        <v>241000</v>
      </c>
      <c r="O1020">
        <v>340000</v>
      </c>
    </row>
    <row r="1021" spans="1:15" x14ac:dyDescent="0.35">
      <c r="A1021" t="s">
        <v>1212</v>
      </c>
      <c r="B1021">
        <v>429388.88888888888</v>
      </c>
      <c r="C1021" t="s">
        <v>1233</v>
      </c>
      <c r="D1021" s="1">
        <v>45348</v>
      </c>
      <c r="E1021" t="s">
        <v>41</v>
      </c>
      <c r="F1021" t="s">
        <v>42</v>
      </c>
      <c r="G1021" t="s">
        <v>262</v>
      </c>
      <c r="H1021" t="s">
        <v>23</v>
      </c>
      <c r="I1021" t="s">
        <v>1211</v>
      </c>
      <c r="J1021" t="s">
        <v>363</v>
      </c>
      <c r="K1021">
        <v>1</v>
      </c>
      <c r="L1021">
        <v>299000</v>
      </c>
      <c r="M1021">
        <v>0.1</v>
      </c>
      <c r="N1021">
        <v>214000</v>
      </c>
      <c r="O1021">
        <v>299000</v>
      </c>
    </row>
    <row r="1022" spans="1:15" x14ac:dyDescent="0.35">
      <c r="A1022" t="s">
        <v>1212</v>
      </c>
      <c r="B1022">
        <v>429388.88888888888</v>
      </c>
      <c r="C1022" t="s">
        <v>1234</v>
      </c>
      <c r="D1022" s="1">
        <v>45352</v>
      </c>
      <c r="E1022" t="s">
        <v>14</v>
      </c>
      <c r="F1022" t="s">
        <v>15</v>
      </c>
      <c r="G1022" t="s">
        <v>117</v>
      </c>
      <c r="H1022" t="s">
        <v>23</v>
      </c>
      <c r="I1022" t="s">
        <v>1211</v>
      </c>
      <c r="J1022" t="s">
        <v>363</v>
      </c>
      <c r="K1022">
        <v>1</v>
      </c>
      <c r="L1022">
        <v>414000</v>
      </c>
      <c r="M1022">
        <v>0.15</v>
      </c>
      <c r="N1022">
        <v>291000</v>
      </c>
      <c r="O1022">
        <v>414000</v>
      </c>
    </row>
    <row r="1023" spans="1:15" x14ac:dyDescent="0.35">
      <c r="A1023" t="s">
        <v>1212</v>
      </c>
      <c r="B1023">
        <v>429388.88888888888</v>
      </c>
      <c r="C1023" t="s">
        <v>1235</v>
      </c>
      <c r="D1023" s="1">
        <v>45373</v>
      </c>
      <c r="E1023" t="s">
        <v>41</v>
      </c>
      <c r="F1023" t="s">
        <v>42</v>
      </c>
      <c r="G1023" t="s">
        <v>119</v>
      </c>
      <c r="H1023" t="s">
        <v>23</v>
      </c>
      <c r="I1023" t="s">
        <v>1211</v>
      </c>
      <c r="J1023" t="s">
        <v>363</v>
      </c>
      <c r="K1023">
        <v>1</v>
      </c>
      <c r="L1023">
        <v>487000</v>
      </c>
      <c r="M1023">
        <v>0</v>
      </c>
      <c r="N1023">
        <v>345000</v>
      </c>
      <c r="O1023">
        <v>487000</v>
      </c>
    </row>
    <row r="1024" spans="1:15" x14ac:dyDescent="0.35">
      <c r="A1024" t="s">
        <v>1212</v>
      </c>
      <c r="B1024">
        <v>429388.88888888888</v>
      </c>
      <c r="C1024" t="s">
        <v>1236</v>
      </c>
      <c r="D1024" s="1">
        <v>45442</v>
      </c>
      <c r="E1024" t="s">
        <v>36</v>
      </c>
      <c r="F1024" t="s">
        <v>37</v>
      </c>
      <c r="G1024" t="s">
        <v>166</v>
      </c>
      <c r="H1024" t="s">
        <v>28</v>
      </c>
      <c r="I1024" t="s">
        <v>1211</v>
      </c>
      <c r="J1024" t="s">
        <v>363</v>
      </c>
      <c r="K1024">
        <v>1</v>
      </c>
      <c r="L1024">
        <v>512000</v>
      </c>
      <c r="M1024">
        <v>0</v>
      </c>
      <c r="N1024">
        <v>355000</v>
      </c>
      <c r="O1024">
        <v>512000</v>
      </c>
    </row>
    <row r="1025" spans="1:15" x14ac:dyDescent="0.35">
      <c r="A1025" t="s">
        <v>1212</v>
      </c>
      <c r="B1025">
        <v>429388.88888888888</v>
      </c>
      <c r="C1025" t="s">
        <v>1237</v>
      </c>
      <c r="D1025" s="1">
        <v>45445</v>
      </c>
      <c r="E1025" t="s">
        <v>41</v>
      </c>
      <c r="F1025" t="s">
        <v>42</v>
      </c>
      <c r="G1025" t="s">
        <v>51</v>
      </c>
      <c r="H1025" t="s">
        <v>23</v>
      </c>
      <c r="I1025" t="s">
        <v>1211</v>
      </c>
      <c r="J1025" t="s">
        <v>363</v>
      </c>
      <c r="K1025">
        <v>1</v>
      </c>
      <c r="L1025">
        <v>346000</v>
      </c>
      <c r="M1025">
        <v>0</v>
      </c>
      <c r="N1025">
        <v>247000</v>
      </c>
      <c r="O1025">
        <v>346000</v>
      </c>
    </row>
    <row r="1026" spans="1:15" x14ac:dyDescent="0.35">
      <c r="A1026" t="s">
        <v>1212</v>
      </c>
      <c r="B1026">
        <v>429388.88888888888</v>
      </c>
      <c r="C1026" t="s">
        <v>1238</v>
      </c>
      <c r="D1026" s="1">
        <v>45450</v>
      </c>
      <c r="E1026" t="s">
        <v>14</v>
      </c>
      <c r="F1026" t="s">
        <v>15</v>
      </c>
      <c r="G1026" t="s">
        <v>291</v>
      </c>
      <c r="H1026" t="s">
        <v>17</v>
      </c>
      <c r="I1026" t="s">
        <v>1211</v>
      </c>
      <c r="J1026" t="s">
        <v>363</v>
      </c>
      <c r="K1026">
        <v>1</v>
      </c>
      <c r="L1026">
        <v>442000</v>
      </c>
      <c r="M1026">
        <v>0</v>
      </c>
      <c r="N1026">
        <v>316000</v>
      </c>
      <c r="O1026">
        <v>442000</v>
      </c>
    </row>
    <row r="1027" spans="1:15" x14ac:dyDescent="0.35">
      <c r="A1027" t="s">
        <v>1212</v>
      </c>
      <c r="B1027">
        <v>429388.88888888888</v>
      </c>
      <c r="C1027" t="s">
        <v>1239</v>
      </c>
      <c r="D1027" s="1">
        <v>45469</v>
      </c>
      <c r="E1027" t="s">
        <v>41</v>
      </c>
      <c r="F1027" t="s">
        <v>42</v>
      </c>
      <c r="G1027" t="s">
        <v>174</v>
      </c>
      <c r="H1027" t="s">
        <v>23</v>
      </c>
      <c r="I1027" t="s">
        <v>1211</v>
      </c>
      <c r="J1027" t="s">
        <v>363</v>
      </c>
      <c r="K1027">
        <v>1</v>
      </c>
      <c r="L1027">
        <v>494000</v>
      </c>
      <c r="M1027">
        <v>0</v>
      </c>
      <c r="N1027">
        <v>350000</v>
      </c>
      <c r="O1027">
        <v>494000</v>
      </c>
    </row>
    <row r="1028" spans="1:15" x14ac:dyDescent="0.35">
      <c r="A1028" t="s">
        <v>1212</v>
      </c>
      <c r="B1028">
        <v>429388.88888888888</v>
      </c>
      <c r="C1028" t="s">
        <v>1240</v>
      </c>
      <c r="D1028" s="1">
        <v>45471</v>
      </c>
      <c r="E1028" t="s">
        <v>36</v>
      </c>
      <c r="F1028" t="s">
        <v>37</v>
      </c>
      <c r="G1028" t="s">
        <v>71</v>
      </c>
      <c r="H1028" t="s">
        <v>23</v>
      </c>
      <c r="I1028" t="s">
        <v>1211</v>
      </c>
      <c r="J1028" t="s">
        <v>363</v>
      </c>
      <c r="K1028">
        <v>1</v>
      </c>
      <c r="L1028">
        <v>535000</v>
      </c>
      <c r="M1028">
        <v>0</v>
      </c>
      <c r="N1028">
        <v>378000</v>
      </c>
      <c r="O1028">
        <v>535000</v>
      </c>
    </row>
    <row r="1029" spans="1:15" x14ac:dyDescent="0.35">
      <c r="A1029" t="s">
        <v>1212</v>
      </c>
      <c r="B1029">
        <v>429388.88888888888</v>
      </c>
      <c r="C1029" t="s">
        <v>1241</v>
      </c>
      <c r="D1029" s="1">
        <v>45474</v>
      </c>
      <c r="E1029" t="s">
        <v>14</v>
      </c>
      <c r="F1029" t="s">
        <v>15</v>
      </c>
      <c r="G1029" t="s">
        <v>179</v>
      </c>
      <c r="H1029" t="s">
        <v>23</v>
      </c>
      <c r="I1029" t="s">
        <v>1211</v>
      </c>
      <c r="J1029" t="s">
        <v>363</v>
      </c>
      <c r="K1029">
        <v>1</v>
      </c>
      <c r="L1029">
        <v>571000</v>
      </c>
      <c r="M1029">
        <v>0</v>
      </c>
      <c r="N1029">
        <v>408000</v>
      </c>
      <c r="O1029">
        <v>571000</v>
      </c>
    </row>
    <row r="1030" spans="1:15" x14ac:dyDescent="0.35">
      <c r="A1030" t="s">
        <v>1212</v>
      </c>
      <c r="B1030">
        <v>429388.88888888888</v>
      </c>
      <c r="C1030" t="s">
        <v>1242</v>
      </c>
      <c r="D1030" s="1">
        <v>45492</v>
      </c>
      <c r="E1030" t="s">
        <v>14</v>
      </c>
      <c r="F1030" t="s">
        <v>15</v>
      </c>
      <c r="G1030" t="s">
        <v>43</v>
      </c>
      <c r="H1030" t="s">
        <v>17</v>
      </c>
      <c r="I1030" t="s">
        <v>1211</v>
      </c>
      <c r="J1030" t="s">
        <v>363</v>
      </c>
      <c r="K1030">
        <v>1</v>
      </c>
      <c r="L1030">
        <v>367000</v>
      </c>
      <c r="M1030">
        <v>0</v>
      </c>
      <c r="N1030">
        <v>263000</v>
      </c>
      <c r="O1030">
        <v>367000</v>
      </c>
    </row>
    <row r="1031" spans="1:15" x14ac:dyDescent="0.35">
      <c r="A1031" t="s">
        <v>1212</v>
      </c>
      <c r="B1031">
        <v>429388.88888888888</v>
      </c>
      <c r="C1031" t="s">
        <v>1243</v>
      </c>
      <c r="D1031" s="1">
        <v>45498</v>
      </c>
      <c r="E1031" t="s">
        <v>14</v>
      </c>
      <c r="F1031" t="s">
        <v>15</v>
      </c>
      <c r="G1031" t="s">
        <v>141</v>
      </c>
      <c r="H1031" t="s">
        <v>17</v>
      </c>
      <c r="I1031" t="s">
        <v>1211</v>
      </c>
      <c r="J1031" t="s">
        <v>363</v>
      </c>
      <c r="K1031">
        <v>1</v>
      </c>
      <c r="L1031">
        <v>533000</v>
      </c>
      <c r="M1031">
        <v>0</v>
      </c>
      <c r="N1031">
        <v>366000</v>
      </c>
      <c r="O1031">
        <v>533000</v>
      </c>
    </row>
    <row r="1032" spans="1:15" x14ac:dyDescent="0.35">
      <c r="A1032" t="s">
        <v>1212</v>
      </c>
      <c r="B1032">
        <v>429388.88888888888</v>
      </c>
      <c r="C1032" t="s">
        <v>1244</v>
      </c>
      <c r="D1032" s="1">
        <v>45550</v>
      </c>
      <c r="E1032" t="s">
        <v>25</v>
      </c>
      <c r="F1032" t="s">
        <v>26</v>
      </c>
      <c r="G1032" t="s">
        <v>260</v>
      </c>
      <c r="H1032" t="s">
        <v>23</v>
      </c>
      <c r="I1032" t="s">
        <v>1211</v>
      </c>
      <c r="J1032" t="s">
        <v>363</v>
      </c>
      <c r="K1032">
        <v>1</v>
      </c>
      <c r="L1032">
        <v>541000</v>
      </c>
      <c r="M1032">
        <v>0</v>
      </c>
      <c r="N1032">
        <v>371000</v>
      </c>
      <c r="O1032">
        <v>541000</v>
      </c>
    </row>
    <row r="1033" spans="1:15" x14ac:dyDescent="0.35">
      <c r="A1033" t="s">
        <v>1212</v>
      </c>
      <c r="B1033">
        <v>429388.88888888888</v>
      </c>
      <c r="C1033" t="s">
        <v>1245</v>
      </c>
      <c r="D1033" s="1">
        <v>45577</v>
      </c>
      <c r="E1033" t="s">
        <v>41</v>
      </c>
      <c r="F1033" t="s">
        <v>42</v>
      </c>
      <c r="G1033" t="s">
        <v>340</v>
      </c>
      <c r="H1033" t="s">
        <v>23</v>
      </c>
      <c r="I1033" t="s">
        <v>1211</v>
      </c>
      <c r="J1033" t="s">
        <v>363</v>
      </c>
      <c r="K1033">
        <v>3</v>
      </c>
      <c r="L1033">
        <v>422000</v>
      </c>
      <c r="M1033">
        <v>0.05</v>
      </c>
      <c r="N1033">
        <v>297000</v>
      </c>
      <c r="O1033">
        <v>422000</v>
      </c>
    </row>
    <row r="1034" spans="1:15" x14ac:dyDescent="0.35">
      <c r="A1034" t="s">
        <v>1212</v>
      </c>
      <c r="B1034">
        <v>429388.88888888888</v>
      </c>
      <c r="C1034" t="s">
        <v>1246</v>
      </c>
      <c r="D1034" s="1">
        <v>45583</v>
      </c>
      <c r="E1034" t="s">
        <v>25</v>
      </c>
      <c r="F1034" t="s">
        <v>26</v>
      </c>
      <c r="G1034" t="s">
        <v>255</v>
      </c>
      <c r="H1034" t="s">
        <v>17</v>
      </c>
      <c r="I1034" t="s">
        <v>1211</v>
      </c>
      <c r="J1034" t="s">
        <v>363</v>
      </c>
      <c r="K1034">
        <v>1</v>
      </c>
      <c r="L1034">
        <v>440000</v>
      </c>
      <c r="M1034">
        <v>0</v>
      </c>
      <c r="N1034">
        <v>316000</v>
      </c>
      <c r="O1034">
        <v>440000</v>
      </c>
    </row>
    <row r="1035" spans="1:15" x14ac:dyDescent="0.35">
      <c r="A1035" t="s">
        <v>1212</v>
      </c>
      <c r="B1035">
        <v>429388.88888888888</v>
      </c>
      <c r="C1035" t="s">
        <v>1247</v>
      </c>
      <c r="D1035" s="1">
        <v>45603</v>
      </c>
      <c r="E1035" t="s">
        <v>49</v>
      </c>
      <c r="F1035" t="s">
        <v>50</v>
      </c>
      <c r="G1035" t="s">
        <v>255</v>
      </c>
      <c r="H1035" t="s">
        <v>17</v>
      </c>
      <c r="I1035" t="s">
        <v>1211</v>
      </c>
      <c r="J1035" t="s">
        <v>363</v>
      </c>
      <c r="K1035">
        <v>1</v>
      </c>
      <c r="L1035">
        <v>516000</v>
      </c>
      <c r="M1035">
        <v>0</v>
      </c>
      <c r="N1035">
        <v>361000</v>
      </c>
      <c r="O1035">
        <v>516000</v>
      </c>
    </row>
    <row r="1036" spans="1:15" x14ac:dyDescent="0.35">
      <c r="A1036" t="s">
        <v>1212</v>
      </c>
      <c r="B1036">
        <v>429388.88888888888</v>
      </c>
      <c r="C1036" t="s">
        <v>1248</v>
      </c>
      <c r="D1036" s="1">
        <v>45615</v>
      </c>
      <c r="E1036" t="s">
        <v>36</v>
      </c>
      <c r="F1036" t="s">
        <v>37</v>
      </c>
      <c r="G1036" t="s">
        <v>598</v>
      </c>
      <c r="H1036" t="s">
        <v>23</v>
      </c>
      <c r="I1036" t="s">
        <v>1211</v>
      </c>
      <c r="J1036" t="s">
        <v>363</v>
      </c>
      <c r="K1036">
        <v>1</v>
      </c>
      <c r="L1036">
        <v>512000</v>
      </c>
      <c r="M1036">
        <v>0</v>
      </c>
      <c r="N1036">
        <v>351000</v>
      </c>
      <c r="O1036">
        <v>512000</v>
      </c>
    </row>
    <row r="1037" spans="1:15" x14ac:dyDescent="0.35">
      <c r="A1037" t="s">
        <v>1212</v>
      </c>
      <c r="B1037">
        <v>429388.88888888888</v>
      </c>
      <c r="C1037" t="s">
        <v>1249</v>
      </c>
      <c r="D1037" s="1">
        <v>45683</v>
      </c>
      <c r="E1037" t="s">
        <v>14</v>
      </c>
      <c r="F1037" t="s">
        <v>15</v>
      </c>
      <c r="G1037" t="s">
        <v>130</v>
      </c>
      <c r="H1037" t="s">
        <v>28</v>
      </c>
      <c r="I1037" t="s">
        <v>1211</v>
      </c>
      <c r="J1037" t="s">
        <v>363</v>
      </c>
      <c r="K1037">
        <v>1</v>
      </c>
      <c r="L1037">
        <v>578000</v>
      </c>
      <c r="M1037">
        <v>0</v>
      </c>
      <c r="N1037">
        <v>408000</v>
      </c>
      <c r="O1037">
        <v>578000</v>
      </c>
    </row>
    <row r="1038" spans="1:15" x14ac:dyDescent="0.35">
      <c r="A1038" t="s">
        <v>1212</v>
      </c>
      <c r="B1038">
        <v>429388.88888888888</v>
      </c>
      <c r="C1038" t="s">
        <v>1250</v>
      </c>
      <c r="D1038" s="1">
        <v>45684</v>
      </c>
      <c r="E1038" t="s">
        <v>25</v>
      </c>
      <c r="F1038" t="s">
        <v>26</v>
      </c>
      <c r="G1038" t="s">
        <v>447</v>
      </c>
      <c r="H1038" t="s">
        <v>23</v>
      </c>
      <c r="I1038" t="s">
        <v>1211</v>
      </c>
      <c r="J1038" t="s">
        <v>363</v>
      </c>
      <c r="K1038">
        <v>1</v>
      </c>
      <c r="L1038">
        <v>388000</v>
      </c>
      <c r="M1038">
        <v>0</v>
      </c>
      <c r="N1038">
        <v>269000</v>
      </c>
      <c r="O1038">
        <v>388000</v>
      </c>
    </row>
    <row r="1039" spans="1:15" x14ac:dyDescent="0.35">
      <c r="A1039" t="s">
        <v>1212</v>
      </c>
      <c r="B1039">
        <v>429388.88888888888</v>
      </c>
      <c r="C1039" t="s">
        <v>1251</v>
      </c>
      <c r="D1039" s="1">
        <v>45708</v>
      </c>
      <c r="E1039" t="s">
        <v>49</v>
      </c>
      <c r="F1039" t="s">
        <v>50</v>
      </c>
      <c r="G1039" t="s">
        <v>186</v>
      </c>
      <c r="H1039" t="s">
        <v>23</v>
      </c>
      <c r="I1039" t="s">
        <v>1211</v>
      </c>
      <c r="J1039" t="s">
        <v>363</v>
      </c>
      <c r="K1039">
        <v>2</v>
      </c>
      <c r="L1039">
        <v>428000</v>
      </c>
      <c r="M1039">
        <v>0</v>
      </c>
      <c r="N1039">
        <v>294000</v>
      </c>
      <c r="O1039">
        <v>428000</v>
      </c>
    </row>
    <row r="1040" spans="1:15" x14ac:dyDescent="0.35">
      <c r="A1040" t="s">
        <v>1212</v>
      </c>
      <c r="B1040">
        <v>429388.88888888888</v>
      </c>
      <c r="C1040" t="s">
        <v>1252</v>
      </c>
      <c r="D1040" s="1">
        <v>45723</v>
      </c>
      <c r="E1040" t="s">
        <v>41</v>
      </c>
      <c r="F1040" t="s">
        <v>42</v>
      </c>
      <c r="G1040" t="s">
        <v>798</v>
      </c>
      <c r="H1040" t="s">
        <v>28</v>
      </c>
      <c r="I1040" t="s">
        <v>1211</v>
      </c>
      <c r="J1040" t="s">
        <v>363</v>
      </c>
      <c r="K1040">
        <v>1</v>
      </c>
      <c r="L1040">
        <v>604000</v>
      </c>
      <c r="M1040">
        <v>0.1</v>
      </c>
      <c r="N1040">
        <v>411000</v>
      </c>
      <c r="O1040">
        <v>604000</v>
      </c>
    </row>
    <row r="1041" spans="1:15" x14ac:dyDescent="0.35">
      <c r="A1041" t="s">
        <v>1212</v>
      </c>
      <c r="B1041">
        <v>429388.88888888888</v>
      </c>
      <c r="C1041" t="s">
        <v>1253</v>
      </c>
      <c r="D1041" s="1">
        <v>45729</v>
      </c>
      <c r="E1041" t="s">
        <v>49</v>
      </c>
      <c r="F1041" t="s">
        <v>50</v>
      </c>
      <c r="G1041" t="s">
        <v>224</v>
      </c>
      <c r="H1041" t="s">
        <v>23</v>
      </c>
      <c r="I1041" t="s">
        <v>1211</v>
      </c>
      <c r="J1041" t="s">
        <v>363</v>
      </c>
      <c r="K1041">
        <v>1</v>
      </c>
      <c r="L1041">
        <v>594000</v>
      </c>
      <c r="M1041">
        <v>0</v>
      </c>
      <c r="N1041">
        <v>413000</v>
      </c>
      <c r="O1041">
        <v>594000</v>
      </c>
    </row>
    <row r="1042" spans="1:15" x14ac:dyDescent="0.35">
      <c r="A1042" t="s">
        <v>1212</v>
      </c>
      <c r="B1042">
        <v>429388.88888888888</v>
      </c>
      <c r="C1042" t="s">
        <v>1254</v>
      </c>
      <c r="D1042" s="1">
        <v>45732</v>
      </c>
      <c r="E1042" t="s">
        <v>49</v>
      </c>
      <c r="F1042" t="s">
        <v>50</v>
      </c>
      <c r="G1042" t="s">
        <v>598</v>
      </c>
      <c r="H1042" t="s">
        <v>23</v>
      </c>
      <c r="I1042" t="s">
        <v>1211</v>
      </c>
      <c r="J1042" t="s">
        <v>363</v>
      </c>
      <c r="K1042">
        <v>1</v>
      </c>
      <c r="L1042">
        <v>429388.88888888888</v>
      </c>
      <c r="M1042">
        <v>0</v>
      </c>
      <c r="N1042">
        <v>0</v>
      </c>
      <c r="O1042">
        <v>429388.88888888888</v>
      </c>
    </row>
    <row r="1043" spans="1:15" x14ac:dyDescent="0.35">
      <c r="A1043" t="s">
        <v>1212</v>
      </c>
      <c r="B1043">
        <v>429388.88888888888</v>
      </c>
      <c r="C1043" t="s">
        <v>1255</v>
      </c>
      <c r="D1043" s="1">
        <v>45747</v>
      </c>
      <c r="E1043" t="s">
        <v>14</v>
      </c>
      <c r="F1043" t="s">
        <v>15</v>
      </c>
      <c r="G1043" t="s">
        <v>136</v>
      </c>
      <c r="H1043" t="s">
        <v>23</v>
      </c>
      <c r="I1043" t="s">
        <v>1211</v>
      </c>
      <c r="J1043" t="s">
        <v>363</v>
      </c>
      <c r="K1043">
        <v>3</v>
      </c>
      <c r="L1043">
        <v>379000</v>
      </c>
      <c r="M1043">
        <v>0</v>
      </c>
      <c r="N1043">
        <v>270000</v>
      </c>
      <c r="O1043">
        <v>379000</v>
      </c>
    </row>
    <row r="1044" spans="1:15" x14ac:dyDescent="0.35">
      <c r="A1044" t="s">
        <v>1212</v>
      </c>
      <c r="B1044">
        <v>429388.88888888888</v>
      </c>
      <c r="C1044" t="s">
        <v>1256</v>
      </c>
      <c r="D1044" s="1">
        <v>45751</v>
      </c>
      <c r="E1044" t="s">
        <v>14</v>
      </c>
      <c r="F1044" t="s">
        <v>15</v>
      </c>
      <c r="G1044" t="s">
        <v>244</v>
      </c>
      <c r="H1044" t="s">
        <v>17</v>
      </c>
      <c r="I1044" t="s">
        <v>1211</v>
      </c>
      <c r="J1044" t="s">
        <v>363</v>
      </c>
      <c r="K1044">
        <v>1</v>
      </c>
      <c r="L1044">
        <v>412000</v>
      </c>
      <c r="M1044">
        <v>0</v>
      </c>
      <c r="N1044">
        <v>281000</v>
      </c>
      <c r="O1044">
        <v>412000</v>
      </c>
    </row>
    <row r="1045" spans="1:15" x14ac:dyDescent="0.35">
      <c r="A1045" t="s">
        <v>1212</v>
      </c>
      <c r="B1045">
        <v>429388.88888888888</v>
      </c>
      <c r="C1045" t="s">
        <v>1257</v>
      </c>
      <c r="D1045" s="1">
        <v>45765</v>
      </c>
      <c r="E1045" t="s">
        <v>41</v>
      </c>
      <c r="F1045" t="s">
        <v>42</v>
      </c>
      <c r="G1045" t="s">
        <v>95</v>
      </c>
      <c r="H1045" t="s">
        <v>23</v>
      </c>
      <c r="I1045" t="s">
        <v>1211</v>
      </c>
      <c r="J1045" t="s">
        <v>363</v>
      </c>
      <c r="K1045">
        <v>1</v>
      </c>
      <c r="L1045">
        <v>435000</v>
      </c>
      <c r="M1045">
        <v>0.05</v>
      </c>
      <c r="N1045">
        <v>296000</v>
      </c>
      <c r="O1045">
        <v>435000</v>
      </c>
    </row>
    <row r="1046" spans="1:15" x14ac:dyDescent="0.35">
      <c r="A1046" t="s">
        <v>1212</v>
      </c>
      <c r="B1046">
        <v>429388.88888888888</v>
      </c>
      <c r="C1046" t="s">
        <v>1258</v>
      </c>
      <c r="D1046" s="1">
        <v>45766</v>
      </c>
      <c r="E1046" t="s">
        <v>25</v>
      </c>
      <c r="F1046" t="s">
        <v>26</v>
      </c>
      <c r="G1046" t="s">
        <v>141</v>
      </c>
      <c r="H1046" t="s">
        <v>17</v>
      </c>
      <c r="I1046" t="s">
        <v>1211</v>
      </c>
      <c r="J1046" t="s">
        <v>363</v>
      </c>
      <c r="K1046">
        <v>1</v>
      </c>
      <c r="L1046">
        <v>527000</v>
      </c>
      <c r="M1046">
        <v>0</v>
      </c>
      <c r="N1046">
        <v>364000</v>
      </c>
      <c r="O1046">
        <v>527000</v>
      </c>
    </row>
    <row r="1047" spans="1:15" x14ac:dyDescent="0.35">
      <c r="A1047" t="s">
        <v>1212</v>
      </c>
      <c r="B1047">
        <v>429388.88888888888</v>
      </c>
      <c r="C1047" t="s">
        <v>1259</v>
      </c>
      <c r="D1047" s="1">
        <v>45771</v>
      </c>
      <c r="E1047" t="s">
        <v>41</v>
      </c>
      <c r="F1047" t="s">
        <v>42</v>
      </c>
      <c r="G1047" t="s">
        <v>309</v>
      </c>
      <c r="H1047" t="s">
        <v>23</v>
      </c>
      <c r="I1047" t="s">
        <v>1211</v>
      </c>
      <c r="J1047" t="s">
        <v>363</v>
      </c>
      <c r="K1047">
        <v>5</v>
      </c>
      <c r="L1047">
        <v>343000</v>
      </c>
      <c r="M1047">
        <v>0.1</v>
      </c>
      <c r="N1047">
        <v>242000</v>
      </c>
      <c r="O1047">
        <v>343000</v>
      </c>
    </row>
    <row r="1048" spans="1:15" x14ac:dyDescent="0.35">
      <c r="A1048" t="s">
        <v>1212</v>
      </c>
      <c r="B1048">
        <v>429388.88888888888</v>
      </c>
      <c r="C1048" t="s">
        <v>1260</v>
      </c>
      <c r="D1048" s="1">
        <v>45776</v>
      </c>
      <c r="E1048" t="s">
        <v>49</v>
      </c>
      <c r="F1048" t="s">
        <v>50</v>
      </c>
      <c r="G1048" t="s">
        <v>164</v>
      </c>
      <c r="H1048" t="s">
        <v>23</v>
      </c>
      <c r="I1048" t="s">
        <v>1211</v>
      </c>
      <c r="J1048" t="s">
        <v>363</v>
      </c>
      <c r="K1048">
        <v>1</v>
      </c>
      <c r="L1048">
        <v>400000</v>
      </c>
      <c r="M1048">
        <v>0</v>
      </c>
      <c r="N1048">
        <v>273000</v>
      </c>
      <c r="O1048">
        <v>400000</v>
      </c>
    </row>
    <row r="1049" spans="1:15" x14ac:dyDescent="0.35">
      <c r="A1049" t="s">
        <v>1212</v>
      </c>
      <c r="B1049">
        <v>429388.88888888888</v>
      </c>
      <c r="C1049" t="s">
        <v>1261</v>
      </c>
      <c r="D1049" s="1">
        <v>45791</v>
      </c>
      <c r="E1049" t="s">
        <v>36</v>
      </c>
      <c r="F1049" t="s">
        <v>37</v>
      </c>
      <c r="G1049" t="s">
        <v>108</v>
      </c>
      <c r="H1049" t="s">
        <v>23</v>
      </c>
      <c r="I1049" t="s">
        <v>1211</v>
      </c>
      <c r="J1049" t="s">
        <v>363</v>
      </c>
      <c r="K1049">
        <v>1</v>
      </c>
      <c r="L1049">
        <v>480000</v>
      </c>
      <c r="M1049">
        <v>0.05</v>
      </c>
      <c r="N1049">
        <v>338000</v>
      </c>
      <c r="O1049">
        <v>480000</v>
      </c>
    </row>
    <row r="1050" spans="1:15" x14ac:dyDescent="0.35">
      <c r="A1050" t="s">
        <v>1212</v>
      </c>
      <c r="B1050">
        <v>429388.88888888888</v>
      </c>
      <c r="C1050" t="s">
        <v>1262</v>
      </c>
      <c r="D1050" s="1">
        <v>45801</v>
      </c>
      <c r="E1050" t="s">
        <v>14</v>
      </c>
      <c r="F1050" t="s">
        <v>15</v>
      </c>
      <c r="G1050" t="s">
        <v>53</v>
      </c>
      <c r="H1050" t="s">
        <v>17</v>
      </c>
      <c r="I1050" t="s">
        <v>1211</v>
      </c>
      <c r="J1050" t="s">
        <v>363</v>
      </c>
      <c r="K1050">
        <v>1</v>
      </c>
      <c r="L1050">
        <v>459000</v>
      </c>
      <c r="M1050">
        <v>0</v>
      </c>
      <c r="N1050">
        <v>330000</v>
      </c>
      <c r="O1050">
        <v>459000</v>
      </c>
    </row>
    <row r="1051" spans="1:15" x14ac:dyDescent="0.35">
      <c r="A1051" t="s">
        <v>1212</v>
      </c>
      <c r="B1051">
        <v>429388.88888888888</v>
      </c>
      <c r="C1051" t="s">
        <v>1263</v>
      </c>
      <c r="D1051" s="1">
        <v>45805</v>
      </c>
      <c r="E1051" t="s">
        <v>41</v>
      </c>
      <c r="F1051" t="s">
        <v>42</v>
      </c>
      <c r="G1051" t="s">
        <v>247</v>
      </c>
      <c r="H1051" t="s">
        <v>17</v>
      </c>
      <c r="I1051" t="s">
        <v>1211</v>
      </c>
      <c r="J1051" t="s">
        <v>363</v>
      </c>
      <c r="K1051">
        <v>2</v>
      </c>
      <c r="L1051">
        <v>341000</v>
      </c>
      <c r="M1051">
        <v>0</v>
      </c>
      <c r="N1051">
        <v>237000</v>
      </c>
      <c r="O1051">
        <v>341000</v>
      </c>
    </row>
    <row r="1052" spans="1:15" x14ac:dyDescent="0.35">
      <c r="A1052" t="s">
        <v>1212</v>
      </c>
      <c r="B1052">
        <v>429388.88888888888</v>
      </c>
      <c r="C1052" t="s">
        <v>1264</v>
      </c>
      <c r="D1052" s="1">
        <v>45809</v>
      </c>
      <c r="E1052" t="s">
        <v>41</v>
      </c>
      <c r="F1052" t="s">
        <v>42</v>
      </c>
      <c r="G1052" t="s">
        <v>265</v>
      </c>
      <c r="H1052" t="s">
        <v>23</v>
      </c>
      <c r="I1052" t="s">
        <v>1211</v>
      </c>
      <c r="J1052" t="s">
        <v>363</v>
      </c>
      <c r="K1052">
        <v>1</v>
      </c>
      <c r="L1052">
        <v>303000</v>
      </c>
      <c r="M1052">
        <v>0</v>
      </c>
      <c r="N1052">
        <v>214000</v>
      </c>
      <c r="O1052">
        <v>303000</v>
      </c>
    </row>
    <row r="1053" spans="1:15" x14ac:dyDescent="0.35">
      <c r="A1053" t="s">
        <v>1212</v>
      </c>
      <c r="B1053">
        <v>429388.88888888888</v>
      </c>
      <c r="C1053" t="s">
        <v>1265</v>
      </c>
      <c r="D1053" s="1">
        <v>45810</v>
      </c>
      <c r="E1053" t="s">
        <v>49</v>
      </c>
      <c r="F1053" t="s">
        <v>50</v>
      </c>
      <c r="G1053" t="s">
        <v>456</v>
      </c>
      <c r="H1053" t="s">
        <v>23</v>
      </c>
      <c r="I1053" t="s">
        <v>1211</v>
      </c>
      <c r="J1053" t="s">
        <v>363</v>
      </c>
      <c r="K1053">
        <v>1</v>
      </c>
      <c r="L1053">
        <v>373000</v>
      </c>
      <c r="M1053">
        <v>0</v>
      </c>
      <c r="N1053">
        <v>261000</v>
      </c>
      <c r="O1053">
        <v>373000</v>
      </c>
    </row>
    <row r="1054" spans="1:15" x14ac:dyDescent="0.35">
      <c r="A1054" t="s">
        <v>1212</v>
      </c>
      <c r="B1054">
        <v>429388.88888888888</v>
      </c>
      <c r="C1054" t="s">
        <v>1266</v>
      </c>
      <c r="D1054" s="1">
        <v>45812</v>
      </c>
      <c r="E1054" t="s">
        <v>14</v>
      </c>
      <c r="F1054" t="s">
        <v>15</v>
      </c>
      <c r="G1054" t="s">
        <v>85</v>
      </c>
      <c r="H1054" t="s">
        <v>23</v>
      </c>
      <c r="I1054" t="s">
        <v>1211</v>
      </c>
      <c r="J1054" t="s">
        <v>363</v>
      </c>
      <c r="K1054">
        <v>1</v>
      </c>
      <c r="L1054">
        <v>279000</v>
      </c>
      <c r="M1054">
        <v>0</v>
      </c>
      <c r="N1054">
        <v>197000</v>
      </c>
      <c r="O1054">
        <v>279000</v>
      </c>
    </row>
    <row r="1055" spans="1:15" x14ac:dyDescent="0.35">
      <c r="A1055" t="s">
        <v>1212</v>
      </c>
      <c r="B1055">
        <v>429388.88888888888</v>
      </c>
      <c r="C1055" t="s">
        <v>1267</v>
      </c>
      <c r="D1055" s="1">
        <v>45821</v>
      </c>
      <c r="E1055" t="s">
        <v>36</v>
      </c>
      <c r="F1055" t="s">
        <v>37</v>
      </c>
      <c r="G1055" t="s">
        <v>93</v>
      </c>
      <c r="H1055" t="s">
        <v>23</v>
      </c>
      <c r="I1055" t="s">
        <v>1211</v>
      </c>
      <c r="J1055" t="s">
        <v>363</v>
      </c>
      <c r="K1055">
        <v>1</v>
      </c>
      <c r="L1055">
        <v>452000</v>
      </c>
      <c r="M1055">
        <v>0</v>
      </c>
      <c r="N1055">
        <v>323000</v>
      </c>
      <c r="O1055">
        <v>452000</v>
      </c>
    </row>
    <row r="1056" spans="1:15" x14ac:dyDescent="0.35">
      <c r="A1056" t="s">
        <v>1212</v>
      </c>
      <c r="B1056">
        <v>429388.88888888888</v>
      </c>
      <c r="C1056" t="s">
        <v>1268</v>
      </c>
      <c r="D1056" s="1">
        <v>45833</v>
      </c>
      <c r="E1056" t="s">
        <v>41</v>
      </c>
      <c r="F1056" t="s">
        <v>42</v>
      </c>
      <c r="G1056" t="s">
        <v>97</v>
      </c>
      <c r="H1056" t="s">
        <v>23</v>
      </c>
      <c r="I1056" t="s">
        <v>1211</v>
      </c>
      <c r="J1056" t="s">
        <v>363</v>
      </c>
      <c r="K1056">
        <v>2</v>
      </c>
      <c r="L1056">
        <v>326000</v>
      </c>
      <c r="M1056">
        <v>0</v>
      </c>
      <c r="N1056">
        <v>230000</v>
      </c>
      <c r="O1056">
        <v>326000</v>
      </c>
    </row>
    <row r="1057" spans="1:15" x14ac:dyDescent="0.35">
      <c r="A1057" t="s">
        <v>1212</v>
      </c>
      <c r="B1057">
        <v>429388.88888888888</v>
      </c>
      <c r="C1057" t="s">
        <v>1269</v>
      </c>
      <c r="D1057" s="1">
        <v>45862</v>
      </c>
      <c r="E1057" t="s">
        <v>14</v>
      </c>
      <c r="F1057" t="s">
        <v>15</v>
      </c>
      <c r="G1057" t="s">
        <v>489</v>
      </c>
      <c r="H1057" t="s">
        <v>17</v>
      </c>
      <c r="I1057" t="s">
        <v>1211</v>
      </c>
      <c r="J1057" t="s">
        <v>363</v>
      </c>
      <c r="K1057">
        <v>1</v>
      </c>
      <c r="L1057">
        <v>546000</v>
      </c>
      <c r="M1057">
        <v>0</v>
      </c>
      <c r="N1057">
        <v>386000</v>
      </c>
      <c r="O1057">
        <v>546000</v>
      </c>
    </row>
    <row r="1058" spans="1:15" x14ac:dyDescent="0.35">
      <c r="A1058" t="s">
        <v>1212</v>
      </c>
      <c r="B1058">
        <v>429388.88888888888</v>
      </c>
      <c r="C1058" t="s">
        <v>1270</v>
      </c>
      <c r="D1058" s="1">
        <v>45864</v>
      </c>
      <c r="E1058" t="s">
        <v>14</v>
      </c>
      <c r="F1058" t="s">
        <v>15</v>
      </c>
      <c r="G1058" t="s">
        <v>174</v>
      </c>
      <c r="H1058" t="s">
        <v>23</v>
      </c>
      <c r="I1058" t="s">
        <v>1211</v>
      </c>
      <c r="J1058" t="s">
        <v>363</v>
      </c>
      <c r="K1058">
        <v>3</v>
      </c>
      <c r="L1058">
        <v>593000</v>
      </c>
      <c r="M1058">
        <v>0</v>
      </c>
      <c r="N1058">
        <v>419000</v>
      </c>
      <c r="O1058">
        <v>593000</v>
      </c>
    </row>
    <row r="1059" spans="1:15" x14ac:dyDescent="0.35">
      <c r="A1059" t="s">
        <v>1212</v>
      </c>
      <c r="B1059">
        <v>429388.88888888888</v>
      </c>
      <c r="C1059" t="s">
        <v>1271</v>
      </c>
      <c r="D1059" s="1">
        <v>45899</v>
      </c>
      <c r="E1059" t="s">
        <v>41</v>
      </c>
      <c r="F1059" t="s">
        <v>42</v>
      </c>
      <c r="G1059" t="s">
        <v>368</v>
      </c>
      <c r="H1059" t="s">
        <v>23</v>
      </c>
      <c r="I1059" t="s">
        <v>1211</v>
      </c>
      <c r="J1059" t="s">
        <v>363</v>
      </c>
      <c r="K1059">
        <v>1</v>
      </c>
      <c r="L1059">
        <v>301000</v>
      </c>
      <c r="M1059">
        <v>0</v>
      </c>
      <c r="N1059">
        <v>208000</v>
      </c>
      <c r="O1059">
        <v>301000</v>
      </c>
    </row>
    <row r="1060" spans="1:15" x14ac:dyDescent="0.35">
      <c r="A1060" t="s">
        <v>1212</v>
      </c>
      <c r="B1060">
        <v>429388.88888888888</v>
      </c>
      <c r="C1060" t="s">
        <v>1272</v>
      </c>
      <c r="D1060" s="1">
        <v>45929</v>
      </c>
      <c r="E1060" t="s">
        <v>25</v>
      </c>
      <c r="F1060" t="s">
        <v>26</v>
      </c>
      <c r="G1060" t="s">
        <v>162</v>
      </c>
      <c r="H1060" t="s">
        <v>28</v>
      </c>
      <c r="I1060" t="s">
        <v>1211</v>
      </c>
      <c r="J1060" t="s">
        <v>363</v>
      </c>
      <c r="K1060">
        <v>2</v>
      </c>
      <c r="L1060">
        <v>455000</v>
      </c>
      <c r="M1060">
        <v>0</v>
      </c>
      <c r="N1060">
        <v>317000</v>
      </c>
      <c r="O1060">
        <v>455000</v>
      </c>
    </row>
    <row r="1061" spans="1:15" x14ac:dyDescent="0.35">
      <c r="A1061" t="s">
        <v>1212</v>
      </c>
      <c r="B1061">
        <v>429388.88888888888</v>
      </c>
      <c r="C1061" t="s">
        <v>1273</v>
      </c>
      <c r="D1061" s="1">
        <v>46013</v>
      </c>
      <c r="E1061" t="s">
        <v>14</v>
      </c>
      <c r="F1061" t="s">
        <v>15</v>
      </c>
      <c r="G1061" t="s">
        <v>47</v>
      </c>
      <c r="H1061" t="s">
        <v>23</v>
      </c>
      <c r="I1061" t="s">
        <v>1211</v>
      </c>
      <c r="J1061" t="s">
        <v>363</v>
      </c>
      <c r="K1061">
        <v>2</v>
      </c>
      <c r="L1061">
        <v>485000</v>
      </c>
      <c r="M1061">
        <v>0</v>
      </c>
      <c r="N1061">
        <v>330000</v>
      </c>
      <c r="O1061">
        <v>485000</v>
      </c>
    </row>
    <row r="1062" spans="1:15" x14ac:dyDescent="0.35">
      <c r="A1062" t="s">
        <v>1212</v>
      </c>
      <c r="B1062">
        <v>429388.88888888888</v>
      </c>
      <c r="C1062" t="s">
        <v>1274</v>
      </c>
      <c r="D1062" s="1">
        <v>46047</v>
      </c>
      <c r="E1062" t="s">
        <v>14</v>
      </c>
      <c r="F1062" t="s">
        <v>15</v>
      </c>
      <c r="G1062" t="s">
        <v>168</v>
      </c>
      <c r="H1062" t="s">
        <v>23</v>
      </c>
      <c r="I1062" t="s">
        <v>1211</v>
      </c>
      <c r="J1062" t="s">
        <v>363</v>
      </c>
      <c r="K1062">
        <v>1</v>
      </c>
      <c r="L1062">
        <v>368000</v>
      </c>
      <c r="M1062">
        <v>0</v>
      </c>
      <c r="N1062">
        <v>252000</v>
      </c>
      <c r="O1062">
        <v>368000</v>
      </c>
    </row>
    <row r="1063" spans="1:15" x14ac:dyDescent="0.35">
      <c r="A1063" t="s">
        <v>1212</v>
      </c>
      <c r="B1063">
        <v>429388.88888888888</v>
      </c>
      <c r="C1063" t="s">
        <v>1275</v>
      </c>
      <c r="D1063" s="1">
        <v>46064</v>
      </c>
      <c r="E1063" t="s">
        <v>49</v>
      </c>
      <c r="F1063" t="s">
        <v>50</v>
      </c>
      <c r="G1063" t="s">
        <v>179</v>
      </c>
      <c r="H1063" t="s">
        <v>23</v>
      </c>
      <c r="I1063" t="s">
        <v>1211</v>
      </c>
      <c r="J1063" t="s">
        <v>363</v>
      </c>
      <c r="K1063">
        <v>1</v>
      </c>
      <c r="L1063">
        <v>516000</v>
      </c>
      <c r="M1063">
        <v>0</v>
      </c>
      <c r="N1063">
        <v>353000</v>
      </c>
      <c r="O1063">
        <v>516000</v>
      </c>
    </row>
    <row r="1064" spans="1:15" x14ac:dyDescent="0.35">
      <c r="A1064" t="s">
        <v>1212</v>
      </c>
      <c r="B1064">
        <v>429388.88888888888</v>
      </c>
      <c r="C1064" t="s">
        <v>1276</v>
      </c>
      <c r="D1064" s="1">
        <v>46068</v>
      </c>
      <c r="E1064" t="s">
        <v>41</v>
      </c>
      <c r="F1064" t="s">
        <v>42</v>
      </c>
      <c r="G1064" t="s">
        <v>224</v>
      </c>
      <c r="H1064" t="s">
        <v>23</v>
      </c>
      <c r="I1064" t="s">
        <v>1211</v>
      </c>
      <c r="J1064" t="s">
        <v>363</v>
      </c>
      <c r="K1064">
        <v>1</v>
      </c>
      <c r="L1064">
        <v>532000</v>
      </c>
      <c r="M1064">
        <v>0.1</v>
      </c>
      <c r="N1064">
        <v>377000</v>
      </c>
      <c r="O1064">
        <v>532000</v>
      </c>
    </row>
    <row r="1065" spans="1:15" x14ac:dyDescent="0.35">
      <c r="A1065" t="s">
        <v>1212</v>
      </c>
      <c r="B1065">
        <v>429388.88888888888</v>
      </c>
      <c r="C1065" t="s">
        <v>1277</v>
      </c>
      <c r="D1065" s="1">
        <v>46075</v>
      </c>
      <c r="E1065" t="s">
        <v>41</v>
      </c>
      <c r="F1065" t="s">
        <v>42</v>
      </c>
      <c r="G1065" t="s">
        <v>221</v>
      </c>
      <c r="H1065" t="s">
        <v>17</v>
      </c>
      <c r="I1065" t="s">
        <v>1211</v>
      </c>
      <c r="J1065" t="s">
        <v>363</v>
      </c>
      <c r="K1065">
        <v>2</v>
      </c>
      <c r="L1065">
        <v>417000</v>
      </c>
      <c r="M1065">
        <v>0</v>
      </c>
      <c r="N1065">
        <v>294000</v>
      </c>
      <c r="O1065">
        <v>417000</v>
      </c>
    </row>
    <row r="1066" spans="1:15" x14ac:dyDescent="0.35">
      <c r="A1066" t="s">
        <v>1212</v>
      </c>
      <c r="B1066">
        <v>429388.88888888888</v>
      </c>
      <c r="C1066" t="s">
        <v>1278</v>
      </c>
      <c r="D1066" s="1">
        <v>46098</v>
      </c>
      <c r="E1066" t="s">
        <v>14</v>
      </c>
      <c r="F1066" t="s">
        <v>15</v>
      </c>
      <c r="G1066" t="s">
        <v>205</v>
      </c>
      <c r="H1066" t="s">
        <v>17</v>
      </c>
      <c r="I1066" t="s">
        <v>1211</v>
      </c>
      <c r="J1066" t="s">
        <v>363</v>
      </c>
      <c r="K1066">
        <v>1</v>
      </c>
      <c r="L1066">
        <v>552000</v>
      </c>
      <c r="M1066">
        <v>0</v>
      </c>
      <c r="N1066">
        <v>382000</v>
      </c>
      <c r="O1066">
        <v>552000</v>
      </c>
    </row>
    <row r="1067" spans="1:15" x14ac:dyDescent="0.35">
      <c r="A1067" t="s">
        <v>1212</v>
      </c>
      <c r="B1067">
        <v>429388.88888888888</v>
      </c>
      <c r="C1067" t="s">
        <v>1279</v>
      </c>
      <c r="D1067" s="1">
        <v>46122</v>
      </c>
      <c r="E1067" t="s">
        <v>49</v>
      </c>
      <c r="F1067" t="s">
        <v>50</v>
      </c>
      <c r="G1067" t="s">
        <v>447</v>
      </c>
      <c r="H1067" t="s">
        <v>23</v>
      </c>
      <c r="I1067" t="s">
        <v>1211</v>
      </c>
      <c r="J1067" t="s">
        <v>363</v>
      </c>
      <c r="K1067">
        <v>2</v>
      </c>
      <c r="L1067">
        <v>570000</v>
      </c>
      <c r="M1067">
        <v>0.15</v>
      </c>
      <c r="N1067">
        <v>408000</v>
      </c>
      <c r="O1067">
        <v>570000</v>
      </c>
    </row>
    <row r="1068" spans="1:15" x14ac:dyDescent="0.35">
      <c r="A1068" t="s">
        <v>1212</v>
      </c>
      <c r="B1068">
        <v>429388.88888888888</v>
      </c>
      <c r="C1068" t="s">
        <v>1280</v>
      </c>
      <c r="D1068" s="1">
        <v>46162</v>
      </c>
      <c r="E1068" t="s">
        <v>14</v>
      </c>
      <c r="F1068" t="s">
        <v>15</v>
      </c>
      <c r="G1068" t="s">
        <v>146</v>
      </c>
      <c r="H1068" t="s">
        <v>17</v>
      </c>
      <c r="I1068" t="s">
        <v>1211</v>
      </c>
      <c r="J1068" t="s">
        <v>363</v>
      </c>
      <c r="K1068">
        <v>1</v>
      </c>
      <c r="L1068">
        <v>582000</v>
      </c>
      <c r="M1068">
        <v>0</v>
      </c>
      <c r="N1068">
        <v>397000</v>
      </c>
      <c r="O1068">
        <v>582000</v>
      </c>
    </row>
    <row r="1069" spans="1:15" x14ac:dyDescent="0.35">
      <c r="A1069" t="s">
        <v>1212</v>
      </c>
      <c r="B1069">
        <v>429388.88888888888</v>
      </c>
      <c r="C1069" t="s">
        <v>1281</v>
      </c>
      <c r="D1069" s="1">
        <v>46167</v>
      </c>
      <c r="E1069" t="s">
        <v>41</v>
      </c>
      <c r="F1069" t="s">
        <v>42</v>
      </c>
      <c r="G1069" t="s">
        <v>402</v>
      </c>
      <c r="H1069" t="s">
        <v>23</v>
      </c>
      <c r="I1069" t="s">
        <v>1211</v>
      </c>
      <c r="J1069" t="s">
        <v>363</v>
      </c>
      <c r="K1069">
        <v>1</v>
      </c>
      <c r="L1069">
        <v>448000</v>
      </c>
      <c r="M1069">
        <v>0.05</v>
      </c>
      <c r="N1069">
        <v>305000</v>
      </c>
      <c r="O1069">
        <v>448000</v>
      </c>
    </row>
    <row r="1070" spans="1:15" x14ac:dyDescent="0.35">
      <c r="A1070" t="s">
        <v>1212</v>
      </c>
      <c r="B1070">
        <v>429388.88888888888</v>
      </c>
      <c r="C1070" t="s">
        <v>1282</v>
      </c>
      <c r="D1070" s="1">
        <v>46202</v>
      </c>
      <c r="E1070" t="s">
        <v>14</v>
      </c>
      <c r="F1070" t="s">
        <v>15</v>
      </c>
      <c r="G1070" t="s">
        <v>413</v>
      </c>
      <c r="H1070" t="s">
        <v>23</v>
      </c>
      <c r="I1070" t="s">
        <v>1211</v>
      </c>
      <c r="J1070" t="s">
        <v>363</v>
      </c>
      <c r="K1070">
        <v>1</v>
      </c>
      <c r="L1070">
        <v>599000</v>
      </c>
      <c r="M1070">
        <v>0.05</v>
      </c>
      <c r="N1070">
        <v>416000</v>
      </c>
      <c r="O1070">
        <v>599000</v>
      </c>
    </row>
    <row r="1071" spans="1:15" x14ac:dyDescent="0.35">
      <c r="A1071" t="s">
        <v>1212</v>
      </c>
      <c r="B1071">
        <v>429388.88888888888</v>
      </c>
      <c r="C1071" t="s">
        <v>1283</v>
      </c>
      <c r="D1071" s="1">
        <v>46203</v>
      </c>
      <c r="E1071" t="s">
        <v>41</v>
      </c>
      <c r="F1071" t="s">
        <v>42</v>
      </c>
      <c r="G1071" t="s">
        <v>55</v>
      </c>
      <c r="H1071" t="s">
        <v>17</v>
      </c>
      <c r="I1071" t="s">
        <v>1211</v>
      </c>
      <c r="J1071" t="s">
        <v>363</v>
      </c>
      <c r="K1071">
        <v>1</v>
      </c>
      <c r="L1071">
        <v>430000</v>
      </c>
      <c r="M1071">
        <v>0</v>
      </c>
      <c r="N1071">
        <v>294000</v>
      </c>
      <c r="O1071">
        <v>430000</v>
      </c>
    </row>
    <row r="1072" spans="1:15" x14ac:dyDescent="0.35">
      <c r="A1072" t="s">
        <v>1212</v>
      </c>
      <c r="B1072">
        <v>429388.88888888888</v>
      </c>
      <c r="C1072" t="s">
        <v>1284</v>
      </c>
      <c r="D1072" s="1">
        <v>46203</v>
      </c>
      <c r="E1072" t="s">
        <v>41</v>
      </c>
      <c r="F1072" t="s">
        <v>42</v>
      </c>
      <c r="G1072" t="s">
        <v>179</v>
      </c>
      <c r="H1072" t="s">
        <v>23</v>
      </c>
      <c r="I1072" t="s">
        <v>1211</v>
      </c>
      <c r="J1072" t="s">
        <v>363</v>
      </c>
      <c r="K1072">
        <v>1</v>
      </c>
      <c r="L1072">
        <v>517000</v>
      </c>
      <c r="M1072">
        <v>0</v>
      </c>
      <c r="N1072">
        <v>358000</v>
      </c>
      <c r="O1072">
        <v>517000</v>
      </c>
    </row>
    <row r="1073" spans="1:15" x14ac:dyDescent="0.35">
      <c r="A1073" t="s">
        <v>1287</v>
      </c>
      <c r="B1073">
        <v>1220060.606060606</v>
      </c>
      <c r="C1073" t="s">
        <v>1285</v>
      </c>
      <c r="D1073" s="1">
        <v>44946</v>
      </c>
      <c r="E1073" t="s">
        <v>14</v>
      </c>
      <c r="F1073" t="s">
        <v>15</v>
      </c>
      <c r="G1073" t="s">
        <v>582</v>
      </c>
      <c r="H1073" t="s">
        <v>17</v>
      </c>
      <c r="I1073" t="s">
        <v>1286</v>
      </c>
      <c r="J1073" t="s">
        <v>465</v>
      </c>
      <c r="K1073">
        <v>1</v>
      </c>
      <c r="L1073">
        <v>1357000</v>
      </c>
      <c r="M1073">
        <v>0</v>
      </c>
      <c r="N1073">
        <v>1037000</v>
      </c>
      <c r="O1073">
        <v>1357000</v>
      </c>
    </row>
    <row r="1074" spans="1:15" x14ac:dyDescent="0.35">
      <c r="A1074" t="s">
        <v>1287</v>
      </c>
      <c r="B1074">
        <v>1220060.606060606</v>
      </c>
      <c r="C1074" t="s">
        <v>1288</v>
      </c>
      <c r="D1074" s="1">
        <v>44973</v>
      </c>
      <c r="E1074" t="s">
        <v>36</v>
      </c>
      <c r="F1074" t="s">
        <v>37</v>
      </c>
      <c r="G1074" t="s">
        <v>87</v>
      </c>
      <c r="H1074" t="s">
        <v>17</v>
      </c>
      <c r="I1074" t="s">
        <v>1286</v>
      </c>
      <c r="J1074" t="s">
        <v>465</v>
      </c>
      <c r="K1074">
        <v>1</v>
      </c>
      <c r="L1074">
        <v>975000</v>
      </c>
      <c r="M1074">
        <v>0</v>
      </c>
      <c r="N1074">
        <v>724000</v>
      </c>
      <c r="O1074">
        <v>975000</v>
      </c>
    </row>
    <row r="1075" spans="1:15" x14ac:dyDescent="0.35">
      <c r="A1075" t="s">
        <v>1287</v>
      </c>
      <c r="B1075">
        <v>1220060.606060606</v>
      </c>
      <c r="C1075" t="s">
        <v>1289</v>
      </c>
      <c r="D1075" s="1">
        <v>44979</v>
      </c>
      <c r="E1075" t="s">
        <v>14</v>
      </c>
      <c r="F1075" t="s">
        <v>15</v>
      </c>
      <c r="G1075" t="s">
        <v>489</v>
      </c>
      <c r="H1075" t="s">
        <v>17</v>
      </c>
      <c r="I1075" t="s">
        <v>1286</v>
      </c>
      <c r="J1075" t="s">
        <v>465</v>
      </c>
      <c r="K1075">
        <v>2</v>
      </c>
      <c r="L1075">
        <v>1282000</v>
      </c>
      <c r="M1075">
        <v>0</v>
      </c>
      <c r="N1075">
        <v>962000</v>
      </c>
      <c r="O1075">
        <v>1282000</v>
      </c>
    </row>
    <row r="1076" spans="1:15" x14ac:dyDescent="0.35">
      <c r="A1076" t="s">
        <v>1287</v>
      </c>
      <c r="B1076">
        <v>1220060.606060606</v>
      </c>
      <c r="C1076" t="s">
        <v>1290</v>
      </c>
      <c r="D1076" s="1">
        <v>45003</v>
      </c>
      <c r="E1076" t="s">
        <v>49</v>
      </c>
      <c r="F1076" t="s">
        <v>50</v>
      </c>
      <c r="G1076" t="s">
        <v>57</v>
      </c>
      <c r="H1076" t="s">
        <v>58</v>
      </c>
      <c r="I1076" t="s">
        <v>1286</v>
      </c>
      <c r="J1076" t="s">
        <v>465</v>
      </c>
      <c r="K1076">
        <v>2</v>
      </c>
      <c r="L1076">
        <v>1179000</v>
      </c>
      <c r="M1076">
        <v>0</v>
      </c>
      <c r="N1076">
        <v>909000</v>
      </c>
      <c r="O1076">
        <v>1179000</v>
      </c>
    </row>
    <row r="1077" spans="1:15" x14ac:dyDescent="0.35">
      <c r="A1077" t="s">
        <v>1287</v>
      </c>
      <c r="B1077">
        <v>1220060.606060606</v>
      </c>
      <c r="C1077" t="s">
        <v>1291</v>
      </c>
      <c r="D1077" s="1">
        <v>45007</v>
      </c>
      <c r="E1077" t="s">
        <v>41</v>
      </c>
      <c r="F1077" t="s">
        <v>42</v>
      </c>
      <c r="G1077" t="s">
        <v>157</v>
      </c>
      <c r="H1077" t="s">
        <v>23</v>
      </c>
      <c r="I1077" t="s">
        <v>1286</v>
      </c>
      <c r="J1077" t="s">
        <v>465</v>
      </c>
      <c r="K1077">
        <v>2</v>
      </c>
      <c r="L1077">
        <v>1274000</v>
      </c>
      <c r="M1077">
        <v>0</v>
      </c>
      <c r="N1077">
        <v>991000</v>
      </c>
      <c r="O1077">
        <v>1274000</v>
      </c>
    </row>
    <row r="1078" spans="1:15" x14ac:dyDescent="0.35">
      <c r="A1078" t="s">
        <v>1287</v>
      </c>
      <c r="B1078">
        <v>1220060.606060606</v>
      </c>
      <c r="C1078" t="s">
        <v>1292</v>
      </c>
      <c r="D1078" s="1">
        <v>45029</v>
      </c>
      <c r="E1078" t="s">
        <v>14</v>
      </c>
      <c r="F1078" t="s">
        <v>15</v>
      </c>
      <c r="G1078" t="s">
        <v>30</v>
      </c>
      <c r="H1078" t="s">
        <v>23</v>
      </c>
      <c r="I1078" t="s">
        <v>1286</v>
      </c>
      <c r="J1078" t="s">
        <v>465</v>
      </c>
      <c r="K1078">
        <v>2</v>
      </c>
      <c r="L1078">
        <v>1207000</v>
      </c>
      <c r="M1078">
        <v>0</v>
      </c>
      <c r="N1078">
        <v>895000</v>
      </c>
      <c r="O1078">
        <v>1207000</v>
      </c>
    </row>
    <row r="1079" spans="1:15" x14ac:dyDescent="0.35">
      <c r="A1079" t="s">
        <v>1287</v>
      </c>
      <c r="B1079">
        <v>1220060.606060606</v>
      </c>
      <c r="C1079" t="s">
        <v>1293</v>
      </c>
      <c r="D1079" s="1">
        <v>45038</v>
      </c>
      <c r="E1079" t="s">
        <v>14</v>
      </c>
      <c r="F1079" t="s">
        <v>15</v>
      </c>
      <c r="G1079" t="s">
        <v>216</v>
      </c>
      <c r="H1079" t="s">
        <v>17</v>
      </c>
      <c r="I1079" t="s">
        <v>1286</v>
      </c>
      <c r="J1079" t="s">
        <v>465</v>
      </c>
      <c r="K1079">
        <v>1</v>
      </c>
      <c r="L1079">
        <v>1308000</v>
      </c>
      <c r="M1079">
        <v>0</v>
      </c>
      <c r="N1079">
        <v>1019000</v>
      </c>
      <c r="O1079">
        <v>1308000</v>
      </c>
    </row>
    <row r="1080" spans="1:15" x14ac:dyDescent="0.35">
      <c r="A1080" t="s">
        <v>1287</v>
      </c>
      <c r="B1080">
        <v>1220060.606060606</v>
      </c>
      <c r="C1080" t="s">
        <v>1294</v>
      </c>
      <c r="D1080" s="1">
        <v>45039</v>
      </c>
      <c r="E1080" t="s">
        <v>14</v>
      </c>
      <c r="F1080" t="s">
        <v>15</v>
      </c>
      <c r="G1080" t="s">
        <v>179</v>
      </c>
      <c r="H1080" t="s">
        <v>23</v>
      </c>
      <c r="I1080" t="s">
        <v>1286</v>
      </c>
      <c r="J1080" t="s">
        <v>465</v>
      </c>
      <c r="K1080">
        <v>1</v>
      </c>
      <c r="L1080">
        <v>886000</v>
      </c>
      <c r="M1080">
        <v>0</v>
      </c>
      <c r="N1080">
        <v>685000</v>
      </c>
      <c r="O1080">
        <v>886000</v>
      </c>
    </row>
    <row r="1081" spans="1:15" x14ac:dyDescent="0.35">
      <c r="A1081" t="s">
        <v>1287</v>
      </c>
      <c r="B1081">
        <v>1220060.606060606</v>
      </c>
      <c r="C1081" t="s">
        <v>1295</v>
      </c>
      <c r="D1081" s="1">
        <v>45056</v>
      </c>
      <c r="E1081" t="s">
        <v>14</v>
      </c>
      <c r="F1081" t="s">
        <v>15</v>
      </c>
      <c r="G1081" t="s">
        <v>498</v>
      </c>
      <c r="H1081" t="s">
        <v>23</v>
      </c>
      <c r="I1081" t="s">
        <v>1286</v>
      </c>
      <c r="J1081" t="s">
        <v>465</v>
      </c>
      <c r="K1081">
        <v>1</v>
      </c>
      <c r="L1081">
        <v>1062000</v>
      </c>
      <c r="M1081">
        <v>0</v>
      </c>
      <c r="N1081">
        <v>817000</v>
      </c>
      <c r="O1081">
        <v>1062000</v>
      </c>
    </row>
    <row r="1082" spans="1:15" x14ac:dyDescent="0.35">
      <c r="A1082" t="s">
        <v>1287</v>
      </c>
      <c r="B1082">
        <v>1220060.606060606</v>
      </c>
      <c r="C1082" t="s">
        <v>1296</v>
      </c>
      <c r="D1082" s="1">
        <v>45073</v>
      </c>
      <c r="E1082" t="s">
        <v>14</v>
      </c>
      <c r="F1082" t="s">
        <v>15</v>
      </c>
      <c r="G1082" t="s">
        <v>260</v>
      </c>
      <c r="H1082" t="s">
        <v>23</v>
      </c>
      <c r="I1082" t="s">
        <v>1286</v>
      </c>
      <c r="J1082" t="s">
        <v>465</v>
      </c>
      <c r="K1082">
        <v>1</v>
      </c>
      <c r="L1082">
        <v>1379000</v>
      </c>
      <c r="M1082">
        <v>0.1</v>
      </c>
      <c r="N1082">
        <v>1072000</v>
      </c>
      <c r="O1082">
        <v>1379000</v>
      </c>
    </row>
    <row r="1083" spans="1:15" x14ac:dyDescent="0.35">
      <c r="A1083" t="s">
        <v>1287</v>
      </c>
      <c r="B1083">
        <v>1220060.606060606</v>
      </c>
      <c r="C1083" t="s">
        <v>1297</v>
      </c>
      <c r="D1083" s="1">
        <v>45075</v>
      </c>
      <c r="E1083" t="s">
        <v>36</v>
      </c>
      <c r="F1083" t="s">
        <v>37</v>
      </c>
      <c r="G1083" t="s">
        <v>270</v>
      </c>
      <c r="H1083" t="s">
        <v>23</v>
      </c>
      <c r="I1083" t="s">
        <v>1286</v>
      </c>
      <c r="J1083" t="s">
        <v>465</v>
      </c>
      <c r="K1083">
        <v>1</v>
      </c>
      <c r="L1083">
        <v>1280000</v>
      </c>
      <c r="M1083">
        <v>0</v>
      </c>
      <c r="N1083">
        <v>952000</v>
      </c>
      <c r="O1083">
        <v>1280000</v>
      </c>
    </row>
    <row r="1084" spans="1:15" x14ac:dyDescent="0.35">
      <c r="A1084" t="s">
        <v>1287</v>
      </c>
      <c r="B1084">
        <v>1220060.606060606</v>
      </c>
      <c r="C1084" t="s">
        <v>1298</v>
      </c>
      <c r="D1084" s="1">
        <v>45103</v>
      </c>
      <c r="E1084" t="s">
        <v>41</v>
      </c>
      <c r="F1084" t="s">
        <v>42</v>
      </c>
      <c r="G1084" t="s">
        <v>76</v>
      </c>
      <c r="H1084" t="s">
        <v>23</v>
      </c>
      <c r="I1084" t="s">
        <v>1286</v>
      </c>
      <c r="J1084" t="s">
        <v>465</v>
      </c>
      <c r="K1084">
        <v>1</v>
      </c>
      <c r="L1084">
        <v>1458000</v>
      </c>
      <c r="M1084">
        <v>0.05</v>
      </c>
      <c r="N1084">
        <v>1097000</v>
      </c>
      <c r="O1084">
        <v>1458000</v>
      </c>
    </row>
    <row r="1085" spans="1:15" x14ac:dyDescent="0.35">
      <c r="A1085" t="s">
        <v>1287</v>
      </c>
      <c r="B1085">
        <v>1220060.606060606</v>
      </c>
      <c r="C1085" t="s">
        <v>1299</v>
      </c>
      <c r="D1085" s="1">
        <v>45105</v>
      </c>
      <c r="E1085" t="s">
        <v>36</v>
      </c>
      <c r="F1085" t="s">
        <v>37</v>
      </c>
      <c r="G1085" t="s">
        <v>221</v>
      </c>
      <c r="H1085" t="s">
        <v>17</v>
      </c>
      <c r="I1085" t="s">
        <v>1286</v>
      </c>
      <c r="J1085" t="s">
        <v>465</v>
      </c>
      <c r="K1085">
        <v>1</v>
      </c>
      <c r="L1085">
        <v>1373000</v>
      </c>
      <c r="M1085">
        <v>0</v>
      </c>
      <c r="N1085">
        <v>1043000</v>
      </c>
      <c r="O1085">
        <v>1373000</v>
      </c>
    </row>
    <row r="1086" spans="1:15" x14ac:dyDescent="0.35">
      <c r="A1086" t="s">
        <v>1287</v>
      </c>
      <c r="B1086">
        <v>1220060.606060606</v>
      </c>
      <c r="C1086" t="s">
        <v>1300</v>
      </c>
      <c r="D1086" s="1">
        <v>45174</v>
      </c>
      <c r="E1086" t="s">
        <v>14</v>
      </c>
      <c r="F1086" t="s">
        <v>15</v>
      </c>
      <c r="G1086" t="s">
        <v>228</v>
      </c>
      <c r="H1086" t="s">
        <v>17</v>
      </c>
      <c r="I1086" t="s">
        <v>1286</v>
      </c>
      <c r="J1086" t="s">
        <v>465</v>
      </c>
      <c r="K1086">
        <v>1</v>
      </c>
      <c r="L1086">
        <v>959000</v>
      </c>
      <c r="M1086">
        <v>0</v>
      </c>
      <c r="N1086">
        <v>733000</v>
      </c>
      <c r="O1086">
        <v>959000</v>
      </c>
    </row>
    <row r="1087" spans="1:15" x14ac:dyDescent="0.35">
      <c r="A1087" t="s">
        <v>1287</v>
      </c>
      <c r="B1087">
        <v>1220060.606060606</v>
      </c>
      <c r="C1087" t="s">
        <v>1301</v>
      </c>
      <c r="D1087" s="1">
        <v>45191</v>
      </c>
      <c r="E1087" t="s">
        <v>14</v>
      </c>
      <c r="F1087" t="s">
        <v>15</v>
      </c>
      <c r="G1087" t="s">
        <v>132</v>
      </c>
      <c r="H1087" t="s">
        <v>28</v>
      </c>
      <c r="I1087" t="s">
        <v>1286</v>
      </c>
      <c r="J1087" t="s">
        <v>465</v>
      </c>
      <c r="K1087">
        <v>1</v>
      </c>
      <c r="L1087">
        <v>1033000</v>
      </c>
      <c r="M1087">
        <v>0</v>
      </c>
      <c r="N1087">
        <v>801000</v>
      </c>
      <c r="O1087">
        <v>1033000</v>
      </c>
    </row>
    <row r="1088" spans="1:15" x14ac:dyDescent="0.35">
      <c r="A1088" t="s">
        <v>1287</v>
      </c>
      <c r="B1088">
        <v>1220060.606060606</v>
      </c>
      <c r="C1088" t="s">
        <v>1302</v>
      </c>
      <c r="D1088" s="1">
        <v>45249</v>
      </c>
      <c r="E1088" t="s">
        <v>14</v>
      </c>
      <c r="F1088" t="s">
        <v>15</v>
      </c>
      <c r="G1088" t="s">
        <v>85</v>
      </c>
      <c r="H1088" t="s">
        <v>23</v>
      </c>
      <c r="I1088" t="s">
        <v>1286</v>
      </c>
      <c r="J1088" t="s">
        <v>465</v>
      </c>
      <c r="K1088">
        <v>1</v>
      </c>
      <c r="L1088">
        <v>1465000</v>
      </c>
      <c r="M1088">
        <v>0.05</v>
      </c>
      <c r="N1088">
        <v>1090000</v>
      </c>
      <c r="O1088">
        <v>1465000</v>
      </c>
    </row>
    <row r="1089" spans="1:15" x14ac:dyDescent="0.35">
      <c r="A1089" t="s">
        <v>1287</v>
      </c>
      <c r="B1089">
        <v>1220060.606060606</v>
      </c>
      <c r="C1089" t="s">
        <v>1303</v>
      </c>
      <c r="D1089" s="1">
        <v>45254</v>
      </c>
      <c r="E1089" t="s">
        <v>14</v>
      </c>
      <c r="F1089" t="s">
        <v>15</v>
      </c>
      <c r="G1089" t="s">
        <v>498</v>
      </c>
      <c r="H1089" t="s">
        <v>23</v>
      </c>
      <c r="I1089" t="s">
        <v>1286</v>
      </c>
      <c r="J1089" t="s">
        <v>465</v>
      </c>
      <c r="K1089">
        <v>2</v>
      </c>
      <c r="L1089">
        <v>1440000</v>
      </c>
      <c r="M1089">
        <v>0</v>
      </c>
      <c r="N1089">
        <v>1092000</v>
      </c>
      <c r="O1089">
        <v>1440000</v>
      </c>
    </row>
    <row r="1090" spans="1:15" x14ac:dyDescent="0.35">
      <c r="A1090" t="s">
        <v>1287</v>
      </c>
      <c r="B1090">
        <v>1220060.606060606</v>
      </c>
      <c r="C1090" t="s">
        <v>1304</v>
      </c>
      <c r="D1090" s="1">
        <v>45261</v>
      </c>
      <c r="E1090" t="s">
        <v>14</v>
      </c>
      <c r="F1090" t="s">
        <v>15</v>
      </c>
      <c r="G1090" t="s">
        <v>274</v>
      </c>
      <c r="H1090" t="s">
        <v>58</v>
      </c>
      <c r="I1090" t="s">
        <v>1286</v>
      </c>
      <c r="J1090" t="s">
        <v>465</v>
      </c>
      <c r="K1090">
        <v>3</v>
      </c>
      <c r="L1090">
        <v>1217000</v>
      </c>
      <c r="M1090">
        <v>0</v>
      </c>
      <c r="N1090">
        <v>926000</v>
      </c>
      <c r="O1090">
        <v>1217000</v>
      </c>
    </row>
    <row r="1091" spans="1:15" x14ac:dyDescent="0.35">
      <c r="A1091" t="s">
        <v>1287</v>
      </c>
      <c r="B1091">
        <v>1220060.606060606</v>
      </c>
      <c r="C1091" t="s">
        <v>1305</v>
      </c>
      <c r="D1091" s="1">
        <v>45267</v>
      </c>
      <c r="E1091" t="s">
        <v>25</v>
      </c>
      <c r="F1091" t="s">
        <v>26</v>
      </c>
      <c r="G1091" t="s">
        <v>216</v>
      </c>
      <c r="H1091" t="s">
        <v>17</v>
      </c>
      <c r="I1091" t="s">
        <v>1286</v>
      </c>
      <c r="J1091" t="s">
        <v>465</v>
      </c>
      <c r="K1091">
        <v>2</v>
      </c>
      <c r="L1091">
        <v>980000</v>
      </c>
      <c r="M1091">
        <v>0</v>
      </c>
      <c r="N1091">
        <v>748000</v>
      </c>
      <c r="O1091">
        <v>980000</v>
      </c>
    </row>
    <row r="1092" spans="1:15" x14ac:dyDescent="0.35">
      <c r="A1092" t="s">
        <v>1287</v>
      </c>
      <c r="B1092">
        <v>1220060.606060606</v>
      </c>
      <c r="C1092" t="s">
        <v>1306</v>
      </c>
      <c r="D1092" s="1">
        <v>45279</v>
      </c>
      <c r="E1092" t="s">
        <v>14</v>
      </c>
      <c r="F1092" t="s">
        <v>15</v>
      </c>
      <c r="G1092" t="s">
        <v>489</v>
      </c>
      <c r="H1092" t="s">
        <v>17</v>
      </c>
      <c r="I1092" t="s">
        <v>1286</v>
      </c>
      <c r="J1092" t="s">
        <v>465</v>
      </c>
      <c r="K1092">
        <v>1</v>
      </c>
      <c r="L1092">
        <v>1464000</v>
      </c>
      <c r="M1092">
        <v>0.05</v>
      </c>
      <c r="N1092">
        <v>1086000</v>
      </c>
      <c r="O1092">
        <v>1464000</v>
      </c>
    </row>
    <row r="1093" spans="1:15" x14ac:dyDescent="0.35">
      <c r="A1093" t="s">
        <v>1287</v>
      </c>
      <c r="B1093">
        <v>1220060.606060606</v>
      </c>
      <c r="C1093" t="s">
        <v>1307</v>
      </c>
      <c r="D1093" s="1">
        <v>45294</v>
      </c>
      <c r="E1093" t="s">
        <v>41</v>
      </c>
      <c r="F1093" t="s">
        <v>42</v>
      </c>
      <c r="G1093" t="s">
        <v>95</v>
      </c>
      <c r="H1093" t="s">
        <v>23</v>
      </c>
      <c r="I1093" t="s">
        <v>1286</v>
      </c>
      <c r="J1093" t="s">
        <v>465</v>
      </c>
      <c r="K1093">
        <v>1</v>
      </c>
      <c r="L1093">
        <v>1447000</v>
      </c>
      <c r="M1093">
        <v>0.05</v>
      </c>
      <c r="N1093">
        <v>1074000</v>
      </c>
      <c r="O1093">
        <v>1447000</v>
      </c>
    </row>
    <row r="1094" spans="1:15" x14ac:dyDescent="0.35">
      <c r="A1094" t="s">
        <v>1287</v>
      </c>
      <c r="B1094">
        <v>1220060.606060606</v>
      </c>
      <c r="C1094" t="s">
        <v>1308</v>
      </c>
      <c r="D1094" s="1">
        <v>45341</v>
      </c>
      <c r="E1094" t="s">
        <v>41</v>
      </c>
      <c r="F1094" t="s">
        <v>42</v>
      </c>
      <c r="G1094" t="s">
        <v>55</v>
      </c>
      <c r="H1094" t="s">
        <v>17</v>
      </c>
      <c r="I1094" t="s">
        <v>1286</v>
      </c>
      <c r="J1094" t="s">
        <v>465</v>
      </c>
      <c r="K1094">
        <v>1</v>
      </c>
      <c r="L1094">
        <v>877000</v>
      </c>
      <c r="M1094">
        <v>0</v>
      </c>
      <c r="N1094">
        <v>682000</v>
      </c>
      <c r="O1094">
        <v>877000</v>
      </c>
    </row>
    <row r="1095" spans="1:15" x14ac:dyDescent="0.35">
      <c r="A1095" t="s">
        <v>1287</v>
      </c>
      <c r="B1095">
        <v>1220060.606060606</v>
      </c>
      <c r="C1095" t="s">
        <v>1309</v>
      </c>
      <c r="D1095" s="1">
        <v>45342</v>
      </c>
      <c r="E1095" t="s">
        <v>25</v>
      </c>
      <c r="F1095" t="s">
        <v>26</v>
      </c>
      <c r="G1095" t="s">
        <v>152</v>
      </c>
      <c r="H1095" t="s">
        <v>23</v>
      </c>
      <c r="I1095" t="s">
        <v>1286</v>
      </c>
      <c r="J1095" t="s">
        <v>465</v>
      </c>
      <c r="K1095">
        <v>3</v>
      </c>
      <c r="L1095">
        <v>857000</v>
      </c>
      <c r="M1095">
        <v>0.1</v>
      </c>
      <c r="N1095">
        <v>656000</v>
      </c>
      <c r="O1095">
        <v>857000</v>
      </c>
    </row>
    <row r="1096" spans="1:15" x14ac:dyDescent="0.35">
      <c r="A1096" t="s">
        <v>1287</v>
      </c>
      <c r="B1096">
        <v>1220060.606060606</v>
      </c>
      <c r="C1096" t="s">
        <v>1310</v>
      </c>
      <c r="D1096" s="1">
        <v>45366</v>
      </c>
      <c r="E1096" t="s">
        <v>49</v>
      </c>
      <c r="F1096" t="s">
        <v>50</v>
      </c>
      <c r="G1096" t="s">
        <v>228</v>
      </c>
      <c r="H1096" t="s">
        <v>17</v>
      </c>
      <c r="I1096" t="s">
        <v>1286</v>
      </c>
      <c r="J1096" t="s">
        <v>465</v>
      </c>
      <c r="K1096">
        <v>3</v>
      </c>
      <c r="L1096">
        <v>1256000</v>
      </c>
      <c r="M1096">
        <v>0</v>
      </c>
      <c r="N1096">
        <v>954000</v>
      </c>
      <c r="O1096">
        <v>1256000</v>
      </c>
    </row>
    <row r="1097" spans="1:15" x14ac:dyDescent="0.35">
      <c r="A1097" t="s">
        <v>1287</v>
      </c>
      <c r="B1097">
        <v>1220060.606060606</v>
      </c>
      <c r="C1097" t="s">
        <v>1311</v>
      </c>
      <c r="D1097" s="1">
        <v>45367</v>
      </c>
      <c r="E1097" t="s">
        <v>14</v>
      </c>
      <c r="F1097" t="s">
        <v>15</v>
      </c>
      <c r="G1097" t="s">
        <v>123</v>
      </c>
      <c r="H1097" t="s">
        <v>28</v>
      </c>
      <c r="I1097" t="s">
        <v>1286</v>
      </c>
      <c r="J1097" t="s">
        <v>465</v>
      </c>
      <c r="K1097">
        <v>1</v>
      </c>
      <c r="L1097">
        <v>1485000</v>
      </c>
      <c r="M1097">
        <v>0</v>
      </c>
      <c r="N1097">
        <v>1144000</v>
      </c>
      <c r="O1097">
        <v>1485000</v>
      </c>
    </row>
    <row r="1098" spans="1:15" x14ac:dyDescent="0.35">
      <c r="A1098" t="s">
        <v>1287</v>
      </c>
      <c r="B1098">
        <v>1220060.606060606</v>
      </c>
      <c r="C1098" t="s">
        <v>1312</v>
      </c>
      <c r="D1098" s="1">
        <v>45379</v>
      </c>
      <c r="E1098" t="s">
        <v>14</v>
      </c>
      <c r="F1098" t="s">
        <v>15</v>
      </c>
      <c r="G1098" t="s">
        <v>216</v>
      </c>
      <c r="H1098" t="s">
        <v>17</v>
      </c>
      <c r="I1098" t="s">
        <v>1286</v>
      </c>
      <c r="J1098" t="s">
        <v>465</v>
      </c>
      <c r="K1098">
        <v>1</v>
      </c>
      <c r="L1098">
        <v>911000</v>
      </c>
      <c r="M1098">
        <v>0.15</v>
      </c>
      <c r="N1098">
        <v>688000</v>
      </c>
      <c r="O1098">
        <v>911000</v>
      </c>
    </row>
    <row r="1099" spans="1:15" x14ac:dyDescent="0.35">
      <c r="A1099" t="s">
        <v>1287</v>
      </c>
      <c r="B1099">
        <v>1220060.606060606</v>
      </c>
      <c r="C1099" t="s">
        <v>1313</v>
      </c>
      <c r="D1099" s="1">
        <v>45379</v>
      </c>
      <c r="E1099" t="s">
        <v>49</v>
      </c>
      <c r="F1099" t="s">
        <v>50</v>
      </c>
      <c r="G1099" t="s">
        <v>236</v>
      </c>
      <c r="H1099" t="s">
        <v>28</v>
      </c>
      <c r="I1099" t="s">
        <v>1286</v>
      </c>
      <c r="J1099" t="s">
        <v>465</v>
      </c>
      <c r="K1099">
        <v>1</v>
      </c>
      <c r="L1099">
        <v>1223000</v>
      </c>
      <c r="M1099">
        <v>0.1</v>
      </c>
      <c r="N1099">
        <v>935000</v>
      </c>
      <c r="O1099">
        <v>1223000</v>
      </c>
    </row>
    <row r="1100" spans="1:15" x14ac:dyDescent="0.35">
      <c r="A1100" t="s">
        <v>1287</v>
      </c>
      <c r="B1100">
        <v>1220060.606060606</v>
      </c>
      <c r="C1100" t="s">
        <v>1314</v>
      </c>
      <c r="D1100" s="1">
        <v>45390</v>
      </c>
      <c r="E1100" t="s">
        <v>25</v>
      </c>
      <c r="F1100" t="s">
        <v>26</v>
      </c>
      <c r="G1100" t="s">
        <v>43</v>
      </c>
      <c r="H1100" t="s">
        <v>17</v>
      </c>
      <c r="I1100" t="s">
        <v>1286</v>
      </c>
      <c r="J1100" t="s">
        <v>465</v>
      </c>
      <c r="K1100">
        <v>1</v>
      </c>
      <c r="L1100">
        <v>844000</v>
      </c>
      <c r="M1100">
        <v>0</v>
      </c>
      <c r="N1100">
        <v>631000</v>
      </c>
      <c r="O1100">
        <v>844000</v>
      </c>
    </row>
    <row r="1101" spans="1:15" x14ac:dyDescent="0.35">
      <c r="A1101" t="s">
        <v>1287</v>
      </c>
      <c r="B1101">
        <v>1220060.606060606</v>
      </c>
      <c r="C1101" t="s">
        <v>1315</v>
      </c>
      <c r="D1101" s="1">
        <v>45390</v>
      </c>
      <c r="E1101" t="s">
        <v>14</v>
      </c>
      <c r="F1101" t="s">
        <v>15</v>
      </c>
      <c r="G1101" t="s">
        <v>402</v>
      </c>
      <c r="H1101" t="s">
        <v>23</v>
      </c>
      <c r="I1101" t="s">
        <v>1286</v>
      </c>
      <c r="J1101" t="s">
        <v>465</v>
      </c>
      <c r="K1101">
        <v>1</v>
      </c>
      <c r="L1101">
        <v>997000</v>
      </c>
      <c r="M1101">
        <v>0</v>
      </c>
      <c r="N1101">
        <v>777000</v>
      </c>
      <c r="O1101">
        <v>997000</v>
      </c>
    </row>
    <row r="1102" spans="1:15" x14ac:dyDescent="0.35">
      <c r="A1102" t="s">
        <v>1287</v>
      </c>
      <c r="B1102">
        <v>1220060.606060606</v>
      </c>
      <c r="C1102" t="s">
        <v>1316</v>
      </c>
      <c r="D1102" s="1">
        <v>45402</v>
      </c>
      <c r="E1102" t="s">
        <v>49</v>
      </c>
      <c r="F1102" t="s">
        <v>50</v>
      </c>
      <c r="G1102" t="s">
        <v>333</v>
      </c>
      <c r="H1102" t="s">
        <v>17</v>
      </c>
      <c r="I1102" t="s">
        <v>1286</v>
      </c>
      <c r="J1102" t="s">
        <v>465</v>
      </c>
      <c r="K1102">
        <v>2</v>
      </c>
      <c r="L1102">
        <v>870000</v>
      </c>
      <c r="M1102">
        <v>0</v>
      </c>
      <c r="N1102">
        <v>665000</v>
      </c>
      <c r="O1102">
        <v>870000</v>
      </c>
    </row>
    <row r="1103" spans="1:15" x14ac:dyDescent="0.35">
      <c r="A1103" t="s">
        <v>1287</v>
      </c>
      <c r="B1103">
        <v>1220060.606060606</v>
      </c>
      <c r="C1103" t="s">
        <v>1317</v>
      </c>
      <c r="D1103" s="1">
        <v>45410</v>
      </c>
      <c r="E1103" t="s">
        <v>14</v>
      </c>
      <c r="F1103" t="s">
        <v>15</v>
      </c>
      <c r="G1103" t="s">
        <v>327</v>
      </c>
      <c r="H1103" t="s">
        <v>23</v>
      </c>
      <c r="I1103" t="s">
        <v>1286</v>
      </c>
      <c r="J1103" t="s">
        <v>465</v>
      </c>
      <c r="K1103">
        <v>1</v>
      </c>
      <c r="L1103">
        <v>1384000</v>
      </c>
      <c r="M1103">
        <v>0</v>
      </c>
      <c r="N1103">
        <v>1044000</v>
      </c>
      <c r="O1103">
        <v>1384000</v>
      </c>
    </row>
    <row r="1104" spans="1:15" x14ac:dyDescent="0.35">
      <c r="A1104" t="s">
        <v>1287</v>
      </c>
      <c r="B1104">
        <v>1220060.606060606</v>
      </c>
      <c r="C1104" t="s">
        <v>1318</v>
      </c>
      <c r="D1104" s="1">
        <v>45457</v>
      </c>
      <c r="E1104" t="s">
        <v>14</v>
      </c>
      <c r="F1104" t="s">
        <v>15</v>
      </c>
      <c r="G1104" t="s">
        <v>236</v>
      </c>
      <c r="H1104" t="s">
        <v>28</v>
      </c>
      <c r="I1104" t="s">
        <v>1286</v>
      </c>
      <c r="J1104" t="s">
        <v>465</v>
      </c>
      <c r="K1104">
        <v>1</v>
      </c>
      <c r="L1104">
        <v>1540000</v>
      </c>
      <c r="M1104">
        <v>0</v>
      </c>
      <c r="N1104">
        <v>1164000</v>
      </c>
      <c r="O1104">
        <v>1540000</v>
      </c>
    </row>
    <row r="1105" spans="1:15" x14ac:dyDescent="0.35">
      <c r="A1105" t="s">
        <v>1287</v>
      </c>
      <c r="B1105">
        <v>1220060.606060606</v>
      </c>
      <c r="C1105" t="s">
        <v>1319</v>
      </c>
      <c r="D1105" s="1">
        <v>45467</v>
      </c>
      <c r="E1105" t="s">
        <v>14</v>
      </c>
      <c r="F1105" t="s">
        <v>15</v>
      </c>
      <c r="G1105" t="s">
        <v>613</v>
      </c>
      <c r="H1105" t="s">
        <v>28</v>
      </c>
      <c r="I1105" t="s">
        <v>1286</v>
      </c>
      <c r="J1105" t="s">
        <v>465</v>
      </c>
      <c r="K1105">
        <v>1</v>
      </c>
      <c r="L1105">
        <v>1125000</v>
      </c>
      <c r="M1105">
        <v>0</v>
      </c>
      <c r="N1105">
        <v>874000</v>
      </c>
      <c r="O1105">
        <v>1125000</v>
      </c>
    </row>
    <row r="1106" spans="1:15" x14ac:dyDescent="0.35">
      <c r="A1106" t="s">
        <v>1287</v>
      </c>
      <c r="B1106">
        <v>1220060.606060606</v>
      </c>
      <c r="C1106" t="s">
        <v>1320</v>
      </c>
      <c r="D1106" s="1">
        <v>45477</v>
      </c>
      <c r="E1106" t="s">
        <v>14</v>
      </c>
      <c r="F1106" t="s">
        <v>15</v>
      </c>
      <c r="G1106" t="s">
        <v>270</v>
      </c>
      <c r="H1106" t="s">
        <v>23</v>
      </c>
      <c r="I1106" t="s">
        <v>1286</v>
      </c>
      <c r="J1106" t="s">
        <v>465</v>
      </c>
      <c r="K1106">
        <v>1</v>
      </c>
      <c r="L1106">
        <v>1135000</v>
      </c>
      <c r="M1106">
        <v>0</v>
      </c>
      <c r="N1106">
        <v>879000</v>
      </c>
      <c r="O1106">
        <v>1135000</v>
      </c>
    </row>
    <row r="1107" spans="1:15" x14ac:dyDescent="0.35">
      <c r="A1107" t="s">
        <v>1287</v>
      </c>
      <c r="B1107">
        <v>1220060.606060606</v>
      </c>
      <c r="C1107" t="s">
        <v>1321</v>
      </c>
      <c r="D1107" s="1">
        <v>45506</v>
      </c>
      <c r="E1107" t="s">
        <v>14</v>
      </c>
      <c r="F1107" t="s">
        <v>15</v>
      </c>
      <c r="G1107" t="s">
        <v>569</v>
      </c>
      <c r="H1107" t="s">
        <v>23</v>
      </c>
      <c r="I1107" t="s">
        <v>1286</v>
      </c>
      <c r="J1107" t="s">
        <v>465</v>
      </c>
      <c r="K1107">
        <v>1</v>
      </c>
      <c r="L1107">
        <v>1221000</v>
      </c>
      <c r="M1107">
        <v>0</v>
      </c>
      <c r="N1107">
        <v>952000</v>
      </c>
      <c r="O1107">
        <v>1221000</v>
      </c>
    </row>
    <row r="1108" spans="1:15" x14ac:dyDescent="0.35">
      <c r="A1108" t="s">
        <v>1287</v>
      </c>
      <c r="B1108">
        <v>1220060.606060606</v>
      </c>
      <c r="C1108" t="s">
        <v>1322</v>
      </c>
      <c r="D1108" s="1">
        <v>45548</v>
      </c>
      <c r="E1108" t="s">
        <v>14</v>
      </c>
      <c r="F1108" t="s">
        <v>15</v>
      </c>
      <c r="G1108" t="s">
        <v>301</v>
      </c>
      <c r="H1108" t="s">
        <v>28</v>
      </c>
      <c r="I1108" t="s">
        <v>1286</v>
      </c>
      <c r="J1108" t="s">
        <v>465</v>
      </c>
      <c r="K1108">
        <v>1</v>
      </c>
      <c r="L1108">
        <v>1191000</v>
      </c>
      <c r="M1108">
        <v>0</v>
      </c>
      <c r="N1108">
        <v>917000</v>
      </c>
      <c r="O1108">
        <v>1191000</v>
      </c>
    </row>
    <row r="1109" spans="1:15" x14ac:dyDescent="0.35">
      <c r="A1109" t="s">
        <v>1287</v>
      </c>
      <c r="B1109">
        <v>1220060.606060606</v>
      </c>
      <c r="C1109" t="s">
        <v>1323</v>
      </c>
      <c r="D1109" s="1">
        <v>45609</v>
      </c>
      <c r="E1109" t="s">
        <v>14</v>
      </c>
      <c r="F1109" t="s">
        <v>15</v>
      </c>
      <c r="G1109" t="s">
        <v>136</v>
      </c>
      <c r="H1109" t="s">
        <v>23</v>
      </c>
      <c r="I1109" t="s">
        <v>1286</v>
      </c>
      <c r="J1109" t="s">
        <v>465</v>
      </c>
      <c r="K1109">
        <v>1</v>
      </c>
      <c r="L1109">
        <v>1398000</v>
      </c>
      <c r="M1109">
        <v>0</v>
      </c>
      <c r="N1109">
        <v>1053000</v>
      </c>
      <c r="O1109">
        <v>1398000</v>
      </c>
    </row>
    <row r="1110" spans="1:15" x14ac:dyDescent="0.35">
      <c r="A1110" t="s">
        <v>1287</v>
      </c>
      <c r="B1110">
        <v>1220060.606060606</v>
      </c>
      <c r="C1110" t="s">
        <v>1324</v>
      </c>
      <c r="D1110" s="1">
        <v>45617</v>
      </c>
      <c r="E1110" t="s">
        <v>14</v>
      </c>
      <c r="F1110" t="s">
        <v>15</v>
      </c>
      <c r="G1110" t="s">
        <v>91</v>
      </c>
      <c r="H1110" t="s">
        <v>23</v>
      </c>
      <c r="I1110" t="s">
        <v>1286</v>
      </c>
      <c r="J1110" t="s">
        <v>465</v>
      </c>
      <c r="K1110">
        <v>5</v>
      </c>
      <c r="L1110">
        <v>986000</v>
      </c>
      <c r="M1110">
        <v>0</v>
      </c>
      <c r="N1110">
        <v>764000</v>
      </c>
      <c r="O1110">
        <v>986000</v>
      </c>
    </row>
    <row r="1111" spans="1:15" x14ac:dyDescent="0.35">
      <c r="A1111" t="s">
        <v>1287</v>
      </c>
      <c r="B1111">
        <v>1220060.606060606</v>
      </c>
      <c r="C1111" t="s">
        <v>1325</v>
      </c>
      <c r="D1111" s="1">
        <v>45620</v>
      </c>
      <c r="E1111" t="s">
        <v>36</v>
      </c>
      <c r="F1111" t="s">
        <v>37</v>
      </c>
      <c r="G1111" t="s">
        <v>79</v>
      </c>
      <c r="H1111" t="s">
        <v>17</v>
      </c>
      <c r="I1111" t="s">
        <v>1286</v>
      </c>
      <c r="J1111" t="s">
        <v>465</v>
      </c>
      <c r="K1111">
        <v>1</v>
      </c>
      <c r="L1111">
        <v>1040000</v>
      </c>
      <c r="M1111">
        <v>0</v>
      </c>
      <c r="N1111">
        <v>802000</v>
      </c>
      <c r="O1111">
        <v>1040000</v>
      </c>
    </row>
    <row r="1112" spans="1:15" x14ac:dyDescent="0.35">
      <c r="A1112" t="s">
        <v>1287</v>
      </c>
      <c r="B1112">
        <v>1220060.606060606</v>
      </c>
      <c r="C1112" t="s">
        <v>1326</v>
      </c>
      <c r="D1112" s="1">
        <v>45646</v>
      </c>
      <c r="E1112" t="s">
        <v>49</v>
      </c>
      <c r="F1112" t="s">
        <v>50</v>
      </c>
      <c r="G1112" t="s">
        <v>179</v>
      </c>
      <c r="H1112" t="s">
        <v>23</v>
      </c>
      <c r="I1112" t="s">
        <v>1286</v>
      </c>
      <c r="J1112" t="s">
        <v>465</v>
      </c>
      <c r="K1112">
        <v>2</v>
      </c>
      <c r="L1112">
        <v>1111000</v>
      </c>
      <c r="M1112">
        <v>0</v>
      </c>
      <c r="N1112">
        <v>837000</v>
      </c>
      <c r="O1112">
        <v>1111000</v>
      </c>
    </row>
    <row r="1113" spans="1:15" x14ac:dyDescent="0.35">
      <c r="A1113" t="s">
        <v>1287</v>
      </c>
      <c r="B1113">
        <v>1220060.606060606</v>
      </c>
      <c r="C1113" t="s">
        <v>1327</v>
      </c>
      <c r="D1113" s="1">
        <v>45649</v>
      </c>
      <c r="E1113" t="s">
        <v>36</v>
      </c>
      <c r="F1113" t="s">
        <v>37</v>
      </c>
      <c r="G1113" t="s">
        <v>136</v>
      </c>
      <c r="H1113" t="s">
        <v>23</v>
      </c>
      <c r="I1113" t="s">
        <v>1286</v>
      </c>
      <c r="J1113" t="s">
        <v>465</v>
      </c>
      <c r="K1113">
        <v>1</v>
      </c>
      <c r="L1113">
        <v>871000</v>
      </c>
      <c r="M1113">
        <v>0.1</v>
      </c>
      <c r="N1113">
        <v>677000</v>
      </c>
      <c r="O1113">
        <v>871000</v>
      </c>
    </row>
    <row r="1114" spans="1:15" x14ac:dyDescent="0.35">
      <c r="A1114" t="s">
        <v>1287</v>
      </c>
      <c r="B1114">
        <v>1220060.606060606</v>
      </c>
      <c r="C1114" t="s">
        <v>1328</v>
      </c>
      <c r="D1114" s="1">
        <v>45653</v>
      </c>
      <c r="E1114" t="s">
        <v>41</v>
      </c>
      <c r="F1114" t="s">
        <v>42</v>
      </c>
      <c r="G1114" t="s">
        <v>83</v>
      </c>
      <c r="H1114" t="s">
        <v>23</v>
      </c>
      <c r="I1114" t="s">
        <v>1286</v>
      </c>
      <c r="J1114" t="s">
        <v>465</v>
      </c>
      <c r="K1114">
        <v>3</v>
      </c>
      <c r="L1114">
        <v>1351000</v>
      </c>
      <c r="M1114">
        <v>0</v>
      </c>
      <c r="N1114">
        <v>1036000</v>
      </c>
      <c r="O1114">
        <v>1351000</v>
      </c>
    </row>
    <row r="1115" spans="1:15" x14ac:dyDescent="0.35">
      <c r="A1115" t="s">
        <v>1287</v>
      </c>
      <c r="B1115">
        <v>1220060.606060606</v>
      </c>
      <c r="C1115" t="s">
        <v>1329</v>
      </c>
      <c r="D1115" s="1">
        <v>45659</v>
      </c>
      <c r="E1115" t="s">
        <v>41</v>
      </c>
      <c r="F1115" t="s">
        <v>42</v>
      </c>
      <c r="G1115" t="s">
        <v>522</v>
      </c>
      <c r="H1115" t="s">
        <v>23</v>
      </c>
      <c r="I1115" t="s">
        <v>1286</v>
      </c>
      <c r="J1115" t="s">
        <v>465</v>
      </c>
      <c r="K1115">
        <v>1</v>
      </c>
      <c r="L1115">
        <v>1334000</v>
      </c>
      <c r="M1115">
        <v>0</v>
      </c>
      <c r="N1115">
        <v>1017000</v>
      </c>
      <c r="O1115">
        <v>1334000</v>
      </c>
    </row>
    <row r="1116" spans="1:15" x14ac:dyDescent="0.35">
      <c r="A1116" t="s">
        <v>1287</v>
      </c>
      <c r="B1116">
        <v>1220060.606060606</v>
      </c>
      <c r="C1116" t="s">
        <v>1330</v>
      </c>
      <c r="D1116" s="1">
        <v>45677</v>
      </c>
      <c r="E1116" t="s">
        <v>14</v>
      </c>
      <c r="F1116" t="s">
        <v>15</v>
      </c>
      <c r="G1116" t="s">
        <v>366</v>
      </c>
      <c r="H1116" t="s">
        <v>58</v>
      </c>
      <c r="I1116" t="s">
        <v>1286</v>
      </c>
      <c r="J1116" t="s">
        <v>465</v>
      </c>
      <c r="K1116">
        <v>3</v>
      </c>
      <c r="L1116">
        <v>913000</v>
      </c>
      <c r="M1116">
        <v>0</v>
      </c>
      <c r="N1116">
        <v>702000</v>
      </c>
      <c r="O1116">
        <v>913000</v>
      </c>
    </row>
    <row r="1117" spans="1:15" x14ac:dyDescent="0.35">
      <c r="A1117" t="s">
        <v>1287</v>
      </c>
      <c r="B1117">
        <v>1220060.606060606</v>
      </c>
      <c r="C1117" t="s">
        <v>1331</v>
      </c>
      <c r="D1117" s="1">
        <v>45685</v>
      </c>
      <c r="E1117" t="s">
        <v>41</v>
      </c>
      <c r="F1117" t="s">
        <v>42</v>
      </c>
      <c r="G1117" t="s">
        <v>87</v>
      </c>
      <c r="H1117" t="s">
        <v>17</v>
      </c>
      <c r="I1117" t="s">
        <v>1286</v>
      </c>
      <c r="J1117" t="s">
        <v>465</v>
      </c>
      <c r="K1117">
        <v>1</v>
      </c>
      <c r="L1117">
        <v>1404000</v>
      </c>
      <c r="M1117">
        <v>0</v>
      </c>
      <c r="N1117">
        <v>1065000</v>
      </c>
      <c r="O1117">
        <v>1404000</v>
      </c>
    </row>
    <row r="1118" spans="1:15" x14ac:dyDescent="0.35">
      <c r="A1118" t="s">
        <v>1287</v>
      </c>
      <c r="B1118">
        <v>1220060.606060606</v>
      </c>
      <c r="C1118" t="s">
        <v>1332</v>
      </c>
      <c r="D1118" s="1">
        <v>45692</v>
      </c>
      <c r="E1118" t="s">
        <v>41</v>
      </c>
      <c r="F1118" t="s">
        <v>42</v>
      </c>
      <c r="G1118" t="s">
        <v>432</v>
      </c>
      <c r="H1118" t="s">
        <v>23</v>
      </c>
      <c r="I1118" t="s">
        <v>1286</v>
      </c>
      <c r="J1118" t="s">
        <v>465</v>
      </c>
      <c r="K1118">
        <v>2</v>
      </c>
      <c r="L1118">
        <v>1101000</v>
      </c>
      <c r="M1118">
        <v>0</v>
      </c>
      <c r="N1118">
        <v>819000</v>
      </c>
      <c r="O1118">
        <v>1101000</v>
      </c>
    </row>
    <row r="1119" spans="1:15" x14ac:dyDescent="0.35">
      <c r="A1119" t="s">
        <v>1287</v>
      </c>
      <c r="B1119">
        <v>1220060.606060606</v>
      </c>
      <c r="C1119" t="s">
        <v>1333</v>
      </c>
      <c r="D1119" s="1">
        <v>45716</v>
      </c>
      <c r="E1119" t="s">
        <v>14</v>
      </c>
      <c r="F1119" t="s">
        <v>15</v>
      </c>
      <c r="G1119" t="s">
        <v>47</v>
      </c>
      <c r="H1119" t="s">
        <v>23</v>
      </c>
      <c r="I1119" t="s">
        <v>1286</v>
      </c>
      <c r="J1119" t="s">
        <v>465</v>
      </c>
      <c r="K1119">
        <v>1</v>
      </c>
      <c r="L1119">
        <v>951000</v>
      </c>
      <c r="M1119">
        <v>0</v>
      </c>
      <c r="N1119">
        <v>705000</v>
      </c>
      <c r="O1119">
        <v>951000</v>
      </c>
    </row>
    <row r="1120" spans="1:15" x14ac:dyDescent="0.35">
      <c r="A1120" t="s">
        <v>1287</v>
      </c>
      <c r="B1120">
        <v>1220060.606060606</v>
      </c>
      <c r="C1120" t="s">
        <v>1334</v>
      </c>
      <c r="D1120" s="1">
        <v>45748</v>
      </c>
      <c r="E1120" t="s">
        <v>36</v>
      </c>
      <c r="F1120" t="s">
        <v>37</v>
      </c>
      <c r="G1120" t="s">
        <v>493</v>
      </c>
      <c r="H1120" t="s">
        <v>23</v>
      </c>
      <c r="I1120" t="s">
        <v>1286</v>
      </c>
      <c r="J1120" t="s">
        <v>465</v>
      </c>
      <c r="K1120">
        <v>3</v>
      </c>
      <c r="L1120">
        <v>1220060.606060606</v>
      </c>
      <c r="M1120">
        <v>0</v>
      </c>
      <c r="N1120">
        <v>0</v>
      </c>
      <c r="O1120">
        <v>1220060.606060606</v>
      </c>
    </row>
    <row r="1121" spans="1:15" x14ac:dyDescent="0.35">
      <c r="A1121" t="s">
        <v>1287</v>
      </c>
      <c r="B1121">
        <v>1220060.606060606</v>
      </c>
      <c r="C1121" t="s">
        <v>1335</v>
      </c>
      <c r="D1121" s="1">
        <v>45755</v>
      </c>
      <c r="E1121" t="s">
        <v>36</v>
      </c>
      <c r="F1121" t="s">
        <v>37</v>
      </c>
      <c r="G1121" t="s">
        <v>825</v>
      </c>
      <c r="H1121" t="s">
        <v>23</v>
      </c>
      <c r="I1121" t="s">
        <v>1286</v>
      </c>
      <c r="J1121" t="s">
        <v>465</v>
      </c>
      <c r="K1121">
        <v>1</v>
      </c>
      <c r="L1121">
        <v>1280000</v>
      </c>
      <c r="M1121">
        <v>0.15</v>
      </c>
      <c r="N1121">
        <v>980000</v>
      </c>
      <c r="O1121">
        <v>1280000</v>
      </c>
    </row>
    <row r="1122" spans="1:15" x14ac:dyDescent="0.35">
      <c r="A1122" t="s">
        <v>1287</v>
      </c>
      <c r="B1122">
        <v>1220060.606060606</v>
      </c>
      <c r="C1122" t="s">
        <v>1336</v>
      </c>
      <c r="D1122" s="1">
        <v>45820</v>
      </c>
      <c r="E1122" t="s">
        <v>14</v>
      </c>
      <c r="F1122" t="s">
        <v>15</v>
      </c>
      <c r="G1122" t="s">
        <v>197</v>
      </c>
      <c r="H1122" t="s">
        <v>28</v>
      </c>
      <c r="I1122" t="s">
        <v>1286</v>
      </c>
      <c r="J1122" t="s">
        <v>465</v>
      </c>
      <c r="K1122">
        <v>2</v>
      </c>
      <c r="L1122">
        <v>1406000</v>
      </c>
      <c r="M1122">
        <v>0.1</v>
      </c>
      <c r="N1122">
        <v>1069000</v>
      </c>
      <c r="O1122">
        <v>1406000</v>
      </c>
    </row>
    <row r="1123" spans="1:15" x14ac:dyDescent="0.35">
      <c r="A1123" t="s">
        <v>1287</v>
      </c>
      <c r="B1123">
        <v>1220060.606060606</v>
      </c>
      <c r="C1123" t="s">
        <v>1337</v>
      </c>
      <c r="D1123" s="1">
        <v>45857</v>
      </c>
      <c r="E1123" t="s">
        <v>14</v>
      </c>
      <c r="F1123" t="s">
        <v>15</v>
      </c>
      <c r="G1123" t="s">
        <v>634</v>
      </c>
      <c r="H1123" t="s">
        <v>17</v>
      </c>
      <c r="I1123" t="s">
        <v>1286</v>
      </c>
      <c r="J1123" t="s">
        <v>465</v>
      </c>
      <c r="K1123">
        <v>1</v>
      </c>
      <c r="L1123">
        <v>1061000</v>
      </c>
      <c r="M1123">
        <v>0.1</v>
      </c>
      <c r="N1123">
        <v>819000</v>
      </c>
      <c r="O1123">
        <v>1061000</v>
      </c>
    </row>
    <row r="1124" spans="1:15" x14ac:dyDescent="0.35">
      <c r="A1124" t="s">
        <v>1287</v>
      </c>
      <c r="B1124">
        <v>1220060.606060606</v>
      </c>
      <c r="C1124" t="s">
        <v>1338</v>
      </c>
      <c r="D1124" s="1">
        <v>45864</v>
      </c>
      <c r="E1124" t="s">
        <v>41</v>
      </c>
      <c r="F1124" t="s">
        <v>42</v>
      </c>
      <c r="G1124" t="s">
        <v>157</v>
      </c>
      <c r="H1124" t="s">
        <v>23</v>
      </c>
      <c r="I1124" t="s">
        <v>1286</v>
      </c>
      <c r="J1124" t="s">
        <v>465</v>
      </c>
      <c r="K1124">
        <v>2</v>
      </c>
      <c r="L1124">
        <v>1460000</v>
      </c>
      <c r="M1124">
        <v>0</v>
      </c>
      <c r="N1124">
        <v>1098000</v>
      </c>
      <c r="O1124">
        <v>1460000</v>
      </c>
    </row>
    <row r="1125" spans="1:15" x14ac:dyDescent="0.35">
      <c r="A1125" t="s">
        <v>1287</v>
      </c>
      <c r="B1125">
        <v>1220060.606060606</v>
      </c>
      <c r="C1125" t="s">
        <v>1339</v>
      </c>
      <c r="D1125" s="1">
        <v>45944</v>
      </c>
      <c r="E1125" t="s">
        <v>14</v>
      </c>
      <c r="F1125" t="s">
        <v>15</v>
      </c>
      <c r="G1125" t="s">
        <v>34</v>
      </c>
      <c r="H1125" t="s">
        <v>17</v>
      </c>
      <c r="I1125" t="s">
        <v>1286</v>
      </c>
      <c r="J1125" t="s">
        <v>465</v>
      </c>
      <c r="K1125">
        <v>1</v>
      </c>
      <c r="L1125">
        <v>1561000</v>
      </c>
      <c r="M1125">
        <v>0</v>
      </c>
      <c r="N1125">
        <v>1196000</v>
      </c>
      <c r="O1125">
        <v>1561000</v>
      </c>
    </row>
    <row r="1126" spans="1:15" x14ac:dyDescent="0.35">
      <c r="A1126" t="s">
        <v>1287</v>
      </c>
      <c r="B1126">
        <v>1220060.606060606</v>
      </c>
      <c r="C1126" t="s">
        <v>1340</v>
      </c>
      <c r="D1126" s="1">
        <v>45955</v>
      </c>
      <c r="E1126" t="s">
        <v>49</v>
      </c>
      <c r="F1126" t="s">
        <v>50</v>
      </c>
      <c r="G1126" t="s">
        <v>559</v>
      </c>
      <c r="H1126" t="s">
        <v>23</v>
      </c>
      <c r="I1126" t="s">
        <v>1286</v>
      </c>
      <c r="J1126" t="s">
        <v>465</v>
      </c>
      <c r="K1126">
        <v>5</v>
      </c>
      <c r="L1126">
        <v>1066000</v>
      </c>
      <c r="M1126">
        <v>0</v>
      </c>
      <c r="N1126">
        <v>801000</v>
      </c>
      <c r="O1126">
        <v>1066000</v>
      </c>
    </row>
    <row r="1127" spans="1:15" x14ac:dyDescent="0.35">
      <c r="A1127" t="s">
        <v>1287</v>
      </c>
      <c r="B1127">
        <v>1220060.606060606</v>
      </c>
      <c r="C1127" t="s">
        <v>1341</v>
      </c>
      <c r="D1127" s="1">
        <v>45955</v>
      </c>
      <c r="E1127" t="s">
        <v>14</v>
      </c>
      <c r="F1127" t="s">
        <v>15</v>
      </c>
      <c r="G1127" t="s">
        <v>522</v>
      </c>
      <c r="H1127" t="s">
        <v>23</v>
      </c>
      <c r="I1127" t="s">
        <v>1286</v>
      </c>
      <c r="J1127" t="s">
        <v>465</v>
      </c>
      <c r="K1127">
        <v>1</v>
      </c>
      <c r="L1127">
        <v>1414000</v>
      </c>
      <c r="M1127">
        <v>0</v>
      </c>
      <c r="N1127">
        <v>1092000</v>
      </c>
      <c r="O1127">
        <v>1414000</v>
      </c>
    </row>
    <row r="1128" spans="1:15" x14ac:dyDescent="0.35">
      <c r="A1128" t="s">
        <v>1287</v>
      </c>
      <c r="B1128">
        <v>1220060.606060606</v>
      </c>
      <c r="C1128" t="s">
        <v>1342</v>
      </c>
      <c r="D1128" s="1">
        <v>45956</v>
      </c>
      <c r="E1128" t="s">
        <v>41</v>
      </c>
      <c r="F1128" t="s">
        <v>42</v>
      </c>
      <c r="G1128" t="s">
        <v>262</v>
      </c>
      <c r="H1128" t="s">
        <v>23</v>
      </c>
      <c r="I1128" t="s">
        <v>1286</v>
      </c>
      <c r="J1128" t="s">
        <v>465</v>
      </c>
      <c r="K1128">
        <v>1</v>
      </c>
      <c r="L1128">
        <v>1420000</v>
      </c>
      <c r="M1128">
        <v>0.05</v>
      </c>
      <c r="N1128">
        <v>1106000</v>
      </c>
      <c r="O1128">
        <v>1420000</v>
      </c>
    </row>
    <row r="1129" spans="1:15" x14ac:dyDescent="0.35">
      <c r="A1129" t="s">
        <v>1287</v>
      </c>
      <c r="B1129">
        <v>1220060.606060606</v>
      </c>
      <c r="C1129" t="s">
        <v>1343</v>
      </c>
      <c r="D1129" s="1">
        <v>45988</v>
      </c>
      <c r="E1129" t="s">
        <v>49</v>
      </c>
      <c r="F1129" t="s">
        <v>50</v>
      </c>
      <c r="G1129" t="s">
        <v>121</v>
      </c>
      <c r="H1129" t="s">
        <v>23</v>
      </c>
      <c r="I1129" t="s">
        <v>1286</v>
      </c>
      <c r="J1129" t="s">
        <v>465</v>
      </c>
      <c r="K1129">
        <v>2</v>
      </c>
      <c r="L1129">
        <v>1339000</v>
      </c>
      <c r="M1129">
        <v>0</v>
      </c>
      <c r="N1129">
        <v>1026000</v>
      </c>
      <c r="O1129">
        <v>1339000</v>
      </c>
    </row>
    <row r="1130" spans="1:15" x14ac:dyDescent="0.35">
      <c r="A1130" t="s">
        <v>1287</v>
      </c>
      <c r="B1130">
        <v>1220060.606060606</v>
      </c>
      <c r="C1130" t="s">
        <v>1344</v>
      </c>
      <c r="D1130" s="1">
        <v>45992</v>
      </c>
      <c r="E1130" t="s">
        <v>41</v>
      </c>
      <c r="F1130" t="s">
        <v>42</v>
      </c>
      <c r="G1130" t="s">
        <v>582</v>
      </c>
      <c r="H1130" t="s">
        <v>17</v>
      </c>
      <c r="I1130" t="s">
        <v>1286</v>
      </c>
      <c r="J1130" t="s">
        <v>465</v>
      </c>
      <c r="K1130">
        <v>1</v>
      </c>
      <c r="L1130">
        <v>1004000</v>
      </c>
      <c r="M1130">
        <v>0</v>
      </c>
      <c r="N1130">
        <v>773000</v>
      </c>
      <c r="O1130">
        <v>1004000</v>
      </c>
    </row>
    <row r="1131" spans="1:15" x14ac:dyDescent="0.35">
      <c r="A1131" t="s">
        <v>1287</v>
      </c>
      <c r="B1131">
        <v>1220060.606060606</v>
      </c>
      <c r="C1131" t="s">
        <v>1345</v>
      </c>
      <c r="D1131" s="1">
        <v>45998</v>
      </c>
      <c r="E1131" t="s">
        <v>49</v>
      </c>
      <c r="F1131" t="s">
        <v>50</v>
      </c>
      <c r="G1131" t="s">
        <v>97</v>
      </c>
      <c r="H1131" t="s">
        <v>23</v>
      </c>
      <c r="I1131" t="s">
        <v>1286</v>
      </c>
      <c r="J1131" t="s">
        <v>465</v>
      </c>
      <c r="K1131">
        <v>1</v>
      </c>
      <c r="L1131">
        <v>1513000</v>
      </c>
      <c r="M1131">
        <v>0</v>
      </c>
      <c r="N1131">
        <v>1155000</v>
      </c>
      <c r="O1131">
        <v>1513000</v>
      </c>
    </row>
    <row r="1132" spans="1:15" x14ac:dyDescent="0.35">
      <c r="A1132" t="s">
        <v>1287</v>
      </c>
      <c r="B1132">
        <v>1220060.606060606</v>
      </c>
      <c r="C1132" t="s">
        <v>1346</v>
      </c>
      <c r="D1132" s="1">
        <v>46056</v>
      </c>
      <c r="E1132" t="s">
        <v>49</v>
      </c>
      <c r="F1132" t="s">
        <v>50</v>
      </c>
      <c r="G1132" t="s">
        <v>218</v>
      </c>
      <c r="H1132" t="s">
        <v>23</v>
      </c>
      <c r="I1132" t="s">
        <v>1286</v>
      </c>
      <c r="J1132" t="s">
        <v>465</v>
      </c>
      <c r="K1132">
        <v>2</v>
      </c>
      <c r="L1132">
        <v>1213000</v>
      </c>
      <c r="M1132">
        <v>0</v>
      </c>
      <c r="N1132">
        <v>943000</v>
      </c>
      <c r="O1132">
        <v>1213000</v>
      </c>
    </row>
    <row r="1133" spans="1:15" x14ac:dyDescent="0.35">
      <c r="A1133" t="s">
        <v>1287</v>
      </c>
      <c r="B1133">
        <v>1220060.606060606</v>
      </c>
      <c r="C1133" t="s">
        <v>1347</v>
      </c>
      <c r="D1133" s="1">
        <v>46107</v>
      </c>
      <c r="E1133" t="s">
        <v>41</v>
      </c>
      <c r="F1133" t="s">
        <v>42</v>
      </c>
      <c r="G1133" t="s">
        <v>498</v>
      </c>
      <c r="H1133" t="s">
        <v>23</v>
      </c>
      <c r="I1133" t="s">
        <v>1286</v>
      </c>
      <c r="J1133" t="s">
        <v>465</v>
      </c>
      <c r="K1133">
        <v>1</v>
      </c>
      <c r="L1133">
        <v>1350000</v>
      </c>
      <c r="M1133">
        <v>0</v>
      </c>
      <c r="N1133">
        <v>1015000</v>
      </c>
      <c r="O1133">
        <v>1350000</v>
      </c>
    </row>
    <row r="1134" spans="1:15" x14ac:dyDescent="0.35">
      <c r="A1134" t="s">
        <v>1287</v>
      </c>
      <c r="B1134">
        <v>1220060.606060606</v>
      </c>
      <c r="C1134" t="s">
        <v>1348</v>
      </c>
      <c r="D1134" s="1">
        <v>46126</v>
      </c>
      <c r="E1134" t="s">
        <v>14</v>
      </c>
      <c r="F1134" t="s">
        <v>15</v>
      </c>
      <c r="G1134" t="s">
        <v>553</v>
      </c>
      <c r="H1134" t="s">
        <v>17</v>
      </c>
      <c r="I1134" t="s">
        <v>1286</v>
      </c>
      <c r="J1134" t="s">
        <v>465</v>
      </c>
      <c r="K1134">
        <v>1</v>
      </c>
      <c r="L1134">
        <v>1328000</v>
      </c>
      <c r="M1134">
        <v>0</v>
      </c>
      <c r="N1134">
        <v>999000</v>
      </c>
      <c r="O1134">
        <v>1328000</v>
      </c>
    </row>
    <row r="1135" spans="1:15" x14ac:dyDescent="0.35">
      <c r="A1135" t="s">
        <v>1287</v>
      </c>
      <c r="B1135">
        <v>1220060.606060606</v>
      </c>
      <c r="C1135" t="s">
        <v>1349</v>
      </c>
      <c r="D1135" s="1">
        <v>46126</v>
      </c>
      <c r="E1135" t="s">
        <v>14</v>
      </c>
      <c r="F1135" t="s">
        <v>15</v>
      </c>
      <c r="G1135" t="s">
        <v>598</v>
      </c>
      <c r="H1135" t="s">
        <v>23</v>
      </c>
      <c r="I1135" t="s">
        <v>1286</v>
      </c>
      <c r="J1135" t="s">
        <v>465</v>
      </c>
      <c r="K1135">
        <v>1</v>
      </c>
      <c r="L1135">
        <v>1628000</v>
      </c>
      <c r="M1135">
        <v>0.05</v>
      </c>
      <c r="N1135">
        <v>1260000</v>
      </c>
      <c r="O1135">
        <v>1628000</v>
      </c>
    </row>
    <row r="1136" spans="1:15" x14ac:dyDescent="0.35">
      <c r="A1136" t="s">
        <v>1287</v>
      </c>
      <c r="B1136">
        <v>1220060.606060606</v>
      </c>
      <c r="C1136" t="s">
        <v>1350</v>
      </c>
      <c r="D1136" s="1">
        <v>46128</v>
      </c>
      <c r="E1136" t="s">
        <v>14</v>
      </c>
      <c r="F1136" t="s">
        <v>15</v>
      </c>
      <c r="G1136" t="s">
        <v>95</v>
      </c>
      <c r="H1136" t="s">
        <v>23</v>
      </c>
      <c r="I1136" t="s">
        <v>1286</v>
      </c>
      <c r="J1136" t="s">
        <v>465</v>
      </c>
      <c r="K1136">
        <v>1</v>
      </c>
      <c r="L1136">
        <v>1183000</v>
      </c>
      <c r="M1136">
        <v>0</v>
      </c>
      <c r="N1136">
        <v>880000</v>
      </c>
      <c r="O1136">
        <v>1183000</v>
      </c>
    </row>
    <row r="1137" spans="1:15" x14ac:dyDescent="0.35">
      <c r="A1137" t="s">
        <v>1287</v>
      </c>
      <c r="B1137">
        <v>1220060.606060606</v>
      </c>
      <c r="C1137" t="s">
        <v>1351</v>
      </c>
      <c r="D1137" s="1">
        <v>46151</v>
      </c>
      <c r="E1137" t="s">
        <v>41</v>
      </c>
      <c r="F1137" t="s">
        <v>42</v>
      </c>
      <c r="G1137" t="s">
        <v>798</v>
      </c>
      <c r="H1137" t="s">
        <v>28</v>
      </c>
      <c r="I1137" t="s">
        <v>1286</v>
      </c>
      <c r="J1137" t="s">
        <v>465</v>
      </c>
      <c r="K1137">
        <v>1</v>
      </c>
      <c r="L1137">
        <v>1181000</v>
      </c>
      <c r="M1137">
        <v>0</v>
      </c>
      <c r="N1137">
        <v>912000</v>
      </c>
      <c r="O1137">
        <v>1181000</v>
      </c>
    </row>
    <row r="1138" spans="1:15" x14ac:dyDescent="0.35">
      <c r="A1138" t="s">
        <v>1287</v>
      </c>
      <c r="B1138">
        <v>1220060.606060606</v>
      </c>
      <c r="C1138" t="s">
        <v>1352</v>
      </c>
      <c r="D1138" s="1">
        <v>46152</v>
      </c>
      <c r="E1138" t="s">
        <v>49</v>
      </c>
      <c r="F1138" t="s">
        <v>50</v>
      </c>
      <c r="G1138" t="s">
        <v>307</v>
      </c>
      <c r="H1138" t="s">
        <v>28</v>
      </c>
      <c r="I1138" t="s">
        <v>1286</v>
      </c>
      <c r="J1138" t="s">
        <v>465</v>
      </c>
      <c r="K1138">
        <v>1</v>
      </c>
      <c r="L1138">
        <v>1212000</v>
      </c>
      <c r="M1138">
        <v>0.05</v>
      </c>
      <c r="N1138">
        <v>906000</v>
      </c>
      <c r="O1138">
        <v>1212000</v>
      </c>
    </row>
    <row r="1139" spans="1:15" x14ac:dyDescent="0.35">
      <c r="A1139" t="s">
        <v>1287</v>
      </c>
      <c r="B1139">
        <v>1220060.606060606</v>
      </c>
      <c r="C1139" t="s">
        <v>1353</v>
      </c>
      <c r="D1139" s="1">
        <v>46197</v>
      </c>
      <c r="E1139" t="s">
        <v>36</v>
      </c>
      <c r="F1139" t="s">
        <v>37</v>
      </c>
      <c r="G1139" t="s">
        <v>432</v>
      </c>
      <c r="H1139" t="s">
        <v>23</v>
      </c>
      <c r="I1139" t="s">
        <v>1286</v>
      </c>
      <c r="J1139" t="s">
        <v>465</v>
      </c>
      <c r="K1139">
        <v>1</v>
      </c>
      <c r="L1139">
        <v>1504000</v>
      </c>
      <c r="M1139">
        <v>0</v>
      </c>
      <c r="N1139">
        <v>1123000</v>
      </c>
      <c r="O1139">
        <v>1504000</v>
      </c>
    </row>
    <row r="1140" spans="1:15" x14ac:dyDescent="0.35">
      <c r="A1140" t="s">
        <v>1356</v>
      </c>
      <c r="B1140">
        <v>72384.61538461539</v>
      </c>
      <c r="C1140" t="s">
        <v>1354</v>
      </c>
      <c r="D1140" s="1">
        <v>44950</v>
      </c>
      <c r="E1140" t="s">
        <v>49</v>
      </c>
      <c r="F1140" t="s">
        <v>50</v>
      </c>
      <c r="G1140" t="s">
        <v>634</v>
      </c>
      <c r="H1140" t="s">
        <v>17</v>
      </c>
      <c r="I1140" t="s">
        <v>1355</v>
      </c>
      <c r="J1140" t="s">
        <v>754</v>
      </c>
      <c r="K1140">
        <v>2</v>
      </c>
      <c r="L1140">
        <v>66000</v>
      </c>
      <c r="M1140">
        <v>0</v>
      </c>
      <c r="N1140">
        <v>40000</v>
      </c>
      <c r="O1140">
        <v>66000</v>
      </c>
    </row>
    <row r="1141" spans="1:15" x14ac:dyDescent="0.35">
      <c r="A1141" t="s">
        <v>1356</v>
      </c>
      <c r="B1141">
        <v>72384.61538461539</v>
      </c>
      <c r="C1141" t="s">
        <v>1357</v>
      </c>
      <c r="D1141" s="1">
        <v>44976</v>
      </c>
      <c r="E1141" t="s">
        <v>14</v>
      </c>
      <c r="F1141" t="s">
        <v>15</v>
      </c>
      <c r="G1141" t="s">
        <v>110</v>
      </c>
      <c r="H1141" t="s">
        <v>23</v>
      </c>
      <c r="I1141" t="s">
        <v>1355</v>
      </c>
      <c r="J1141" t="s">
        <v>754</v>
      </c>
      <c r="K1141">
        <v>1</v>
      </c>
      <c r="L1141">
        <v>63000</v>
      </c>
      <c r="M1141">
        <v>0</v>
      </c>
      <c r="N1141">
        <v>37000</v>
      </c>
      <c r="O1141">
        <v>63000</v>
      </c>
    </row>
    <row r="1142" spans="1:15" x14ac:dyDescent="0.35">
      <c r="A1142" t="s">
        <v>1356</v>
      </c>
      <c r="B1142">
        <v>72384.61538461539</v>
      </c>
      <c r="C1142" t="s">
        <v>1358</v>
      </c>
      <c r="D1142" s="1">
        <v>44995</v>
      </c>
      <c r="E1142" t="s">
        <v>14</v>
      </c>
      <c r="F1142" t="s">
        <v>15</v>
      </c>
      <c r="G1142" t="s">
        <v>553</v>
      </c>
      <c r="H1142" t="s">
        <v>17</v>
      </c>
      <c r="I1142" t="s">
        <v>1355</v>
      </c>
      <c r="J1142" t="s">
        <v>754</v>
      </c>
      <c r="K1142">
        <v>1</v>
      </c>
      <c r="L1142">
        <v>83000</v>
      </c>
      <c r="M1142">
        <v>0.05</v>
      </c>
      <c r="N1142">
        <v>49000</v>
      </c>
      <c r="O1142">
        <v>83000</v>
      </c>
    </row>
    <row r="1143" spans="1:15" x14ac:dyDescent="0.35">
      <c r="A1143" t="s">
        <v>1356</v>
      </c>
      <c r="B1143">
        <v>72384.61538461539</v>
      </c>
      <c r="C1143" t="s">
        <v>1359</v>
      </c>
      <c r="D1143" s="1">
        <v>45039</v>
      </c>
      <c r="E1143" t="s">
        <v>14</v>
      </c>
      <c r="F1143" t="s">
        <v>15</v>
      </c>
      <c r="G1143" t="s">
        <v>95</v>
      </c>
      <c r="H1143" t="s">
        <v>23</v>
      </c>
      <c r="I1143" t="s">
        <v>1355</v>
      </c>
      <c r="J1143" t="s">
        <v>754</v>
      </c>
      <c r="K1143">
        <v>1</v>
      </c>
      <c r="L1143">
        <v>60000</v>
      </c>
      <c r="M1143">
        <v>0</v>
      </c>
      <c r="N1143">
        <v>36000</v>
      </c>
      <c r="O1143">
        <v>60000</v>
      </c>
    </row>
    <row r="1144" spans="1:15" x14ac:dyDescent="0.35">
      <c r="A1144" t="s">
        <v>1356</v>
      </c>
      <c r="B1144">
        <v>72384.61538461539</v>
      </c>
      <c r="C1144" t="s">
        <v>1360</v>
      </c>
      <c r="D1144" s="1">
        <v>45060</v>
      </c>
      <c r="E1144" t="s">
        <v>36</v>
      </c>
      <c r="F1144" t="s">
        <v>37</v>
      </c>
      <c r="G1144" t="s">
        <v>327</v>
      </c>
      <c r="H1144" t="s">
        <v>23</v>
      </c>
      <c r="I1144" t="s">
        <v>1355</v>
      </c>
      <c r="J1144" t="s">
        <v>754</v>
      </c>
      <c r="K1144">
        <v>1</v>
      </c>
      <c r="L1144">
        <v>89000</v>
      </c>
      <c r="M1144">
        <v>0</v>
      </c>
      <c r="N1144">
        <v>54000</v>
      </c>
      <c r="O1144">
        <v>89000</v>
      </c>
    </row>
    <row r="1145" spans="1:15" x14ac:dyDescent="0.35">
      <c r="A1145" t="s">
        <v>1356</v>
      </c>
      <c r="B1145">
        <v>72384.61538461539</v>
      </c>
      <c r="C1145" t="s">
        <v>1361</v>
      </c>
      <c r="D1145" s="1">
        <v>45067</v>
      </c>
      <c r="E1145" t="s">
        <v>14</v>
      </c>
      <c r="F1145" t="s">
        <v>15</v>
      </c>
      <c r="G1145" t="s">
        <v>825</v>
      </c>
      <c r="H1145" t="s">
        <v>23</v>
      </c>
      <c r="I1145" t="s">
        <v>1355</v>
      </c>
      <c r="J1145" t="s">
        <v>754</v>
      </c>
      <c r="K1145">
        <v>1</v>
      </c>
      <c r="L1145">
        <v>61000</v>
      </c>
      <c r="M1145">
        <v>0.05</v>
      </c>
      <c r="N1145">
        <v>36000</v>
      </c>
      <c r="O1145">
        <v>61000</v>
      </c>
    </row>
    <row r="1146" spans="1:15" x14ac:dyDescent="0.35">
      <c r="A1146" t="s">
        <v>1356</v>
      </c>
      <c r="B1146">
        <v>72384.61538461539</v>
      </c>
      <c r="C1146" t="s">
        <v>1362</v>
      </c>
      <c r="D1146" s="1">
        <v>45069</v>
      </c>
      <c r="E1146" t="s">
        <v>49</v>
      </c>
      <c r="F1146" t="s">
        <v>50</v>
      </c>
      <c r="G1146" t="s">
        <v>104</v>
      </c>
      <c r="H1146" t="s">
        <v>28</v>
      </c>
      <c r="I1146" t="s">
        <v>1355</v>
      </c>
      <c r="J1146" t="s">
        <v>754</v>
      </c>
      <c r="K1146">
        <v>1</v>
      </c>
      <c r="L1146">
        <v>95000</v>
      </c>
      <c r="M1146">
        <v>0</v>
      </c>
      <c r="N1146">
        <v>57000</v>
      </c>
      <c r="O1146">
        <v>95000</v>
      </c>
    </row>
    <row r="1147" spans="1:15" x14ac:dyDescent="0.35">
      <c r="A1147" t="s">
        <v>1356</v>
      </c>
      <c r="B1147">
        <v>72384.61538461539</v>
      </c>
      <c r="C1147" t="s">
        <v>1363</v>
      </c>
      <c r="D1147" s="1">
        <v>45098</v>
      </c>
      <c r="E1147" t="s">
        <v>14</v>
      </c>
      <c r="F1147" t="s">
        <v>15</v>
      </c>
      <c r="G1147" t="s">
        <v>16</v>
      </c>
      <c r="H1147" t="s">
        <v>17</v>
      </c>
      <c r="I1147" t="s">
        <v>1355</v>
      </c>
      <c r="J1147" t="s">
        <v>754</v>
      </c>
      <c r="K1147">
        <v>1</v>
      </c>
      <c r="L1147">
        <v>61000</v>
      </c>
      <c r="M1147">
        <v>0</v>
      </c>
      <c r="N1147">
        <v>37000</v>
      </c>
      <c r="O1147">
        <v>61000</v>
      </c>
    </row>
    <row r="1148" spans="1:15" x14ac:dyDescent="0.35">
      <c r="A1148" t="s">
        <v>1356</v>
      </c>
      <c r="B1148">
        <v>72384.61538461539</v>
      </c>
      <c r="C1148" t="s">
        <v>1364</v>
      </c>
      <c r="D1148" s="1">
        <v>45102</v>
      </c>
      <c r="E1148" t="s">
        <v>36</v>
      </c>
      <c r="F1148" t="s">
        <v>37</v>
      </c>
      <c r="G1148" t="s">
        <v>126</v>
      </c>
      <c r="H1148" t="s">
        <v>17</v>
      </c>
      <c r="I1148" t="s">
        <v>1355</v>
      </c>
      <c r="J1148" t="s">
        <v>754</v>
      </c>
      <c r="K1148">
        <v>1</v>
      </c>
      <c r="L1148">
        <v>65000</v>
      </c>
      <c r="M1148">
        <v>0</v>
      </c>
      <c r="N1148">
        <v>39000</v>
      </c>
      <c r="O1148">
        <v>65000</v>
      </c>
    </row>
    <row r="1149" spans="1:15" x14ac:dyDescent="0.35">
      <c r="A1149" t="s">
        <v>1356</v>
      </c>
      <c r="B1149">
        <v>72384.61538461539</v>
      </c>
      <c r="C1149" t="s">
        <v>1365</v>
      </c>
      <c r="D1149" s="1">
        <v>45103</v>
      </c>
      <c r="E1149" t="s">
        <v>25</v>
      </c>
      <c r="F1149" t="s">
        <v>26</v>
      </c>
      <c r="G1149" t="s">
        <v>413</v>
      </c>
      <c r="H1149" t="s">
        <v>23</v>
      </c>
      <c r="I1149" t="s">
        <v>1355</v>
      </c>
      <c r="J1149" t="s">
        <v>754</v>
      </c>
      <c r="K1149">
        <v>1</v>
      </c>
      <c r="L1149">
        <v>72384.61538461539</v>
      </c>
      <c r="M1149">
        <v>0</v>
      </c>
      <c r="N1149">
        <v>0</v>
      </c>
      <c r="O1149">
        <v>72384.61538461539</v>
      </c>
    </row>
    <row r="1150" spans="1:15" x14ac:dyDescent="0.35">
      <c r="A1150" t="s">
        <v>1356</v>
      </c>
      <c r="B1150">
        <v>72384.61538461539</v>
      </c>
      <c r="C1150" t="s">
        <v>1366</v>
      </c>
      <c r="D1150" s="1">
        <v>45107</v>
      </c>
      <c r="E1150" t="s">
        <v>25</v>
      </c>
      <c r="F1150" t="s">
        <v>26</v>
      </c>
      <c r="G1150" t="s">
        <v>498</v>
      </c>
      <c r="H1150" t="s">
        <v>23</v>
      </c>
      <c r="I1150" t="s">
        <v>1355</v>
      </c>
      <c r="J1150" t="s">
        <v>754</v>
      </c>
      <c r="K1150">
        <v>1</v>
      </c>
      <c r="L1150">
        <v>78000</v>
      </c>
      <c r="M1150">
        <v>0</v>
      </c>
      <c r="N1150">
        <v>47000</v>
      </c>
      <c r="O1150">
        <v>78000</v>
      </c>
    </row>
    <row r="1151" spans="1:15" x14ac:dyDescent="0.35">
      <c r="A1151" t="s">
        <v>1356</v>
      </c>
      <c r="B1151">
        <v>72384.61538461539</v>
      </c>
      <c r="C1151" t="s">
        <v>1367</v>
      </c>
      <c r="D1151" s="1">
        <v>45121</v>
      </c>
      <c r="E1151" t="s">
        <v>49</v>
      </c>
      <c r="F1151" t="s">
        <v>50</v>
      </c>
      <c r="G1151" t="s">
        <v>255</v>
      </c>
      <c r="H1151" t="s">
        <v>17</v>
      </c>
      <c r="I1151" t="s">
        <v>1355</v>
      </c>
      <c r="J1151" t="s">
        <v>754</v>
      </c>
      <c r="K1151">
        <v>2</v>
      </c>
      <c r="L1151">
        <v>92000</v>
      </c>
      <c r="M1151">
        <v>0</v>
      </c>
      <c r="N1151">
        <v>56000</v>
      </c>
      <c r="O1151">
        <v>92000</v>
      </c>
    </row>
    <row r="1152" spans="1:15" x14ac:dyDescent="0.35">
      <c r="A1152" t="s">
        <v>1356</v>
      </c>
      <c r="B1152">
        <v>72384.61538461539</v>
      </c>
      <c r="C1152" t="s">
        <v>1368</v>
      </c>
      <c r="D1152" s="1">
        <v>45134</v>
      </c>
      <c r="E1152" t="s">
        <v>14</v>
      </c>
      <c r="F1152" t="s">
        <v>15</v>
      </c>
      <c r="G1152" t="s">
        <v>186</v>
      </c>
      <c r="H1152" t="s">
        <v>23</v>
      </c>
      <c r="I1152" t="s">
        <v>1355</v>
      </c>
      <c r="J1152" t="s">
        <v>754</v>
      </c>
      <c r="K1152">
        <v>1</v>
      </c>
      <c r="L1152">
        <v>81000</v>
      </c>
      <c r="M1152">
        <v>0</v>
      </c>
      <c r="N1152">
        <v>49000</v>
      </c>
      <c r="O1152">
        <v>81000</v>
      </c>
    </row>
    <row r="1153" spans="1:15" x14ac:dyDescent="0.35">
      <c r="A1153" t="s">
        <v>1356</v>
      </c>
      <c r="B1153">
        <v>72384.61538461539</v>
      </c>
      <c r="C1153" t="s">
        <v>1369</v>
      </c>
      <c r="D1153" s="1">
        <v>45151</v>
      </c>
      <c r="E1153" t="s">
        <v>14</v>
      </c>
      <c r="F1153" t="s">
        <v>15</v>
      </c>
      <c r="G1153" t="s">
        <v>134</v>
      </c>
      <c r="H1153" t="s">
        <v>28</v>
      </c>
      <c r="I1153" t="s">
        <v>1355</v>
      </c>
      <c r="J1153" t="s">
        <v>754</v>
      </c>
      <c r="K1153">
        <v>1</v>
      </c>
      <c r="L1153">
        <v>86000</v>
      </c>
      <c r="M1153">
        <v>0.05</v>
      </c>
      <c r="N1153">
        <v>53000</v>
      </c>
      <c r="O1153">
        <v>86000</v>
      </c>
    </row>
    <row r="1154" spans="1:15" x14ac:dyDescent="0.35">
      <c r="A1154" t="s">
        <v>1356</v>
      </c>
      <c r="B1154">
        <v>72384.61538461539</v>
      </c>
      <c r="C1154" t="s">
        <v>1370</v>
      </c>
      <c r="D1154" s="1">
        <v>45177</v>
      </c>
      <c r="E1154" t="s">
        <v>14</v>
      </c>
      <c r="F1154" t="s">
        <v>15</v>
      </c>
      <c r="G1154" t="s">
        <v>224</v>
      </c>
      <c r="H1154" t="s">
        <v>23</v>
      </c>
      <c r="I1154" t="s">
        <v>1355</v>
      </c>
      <c r="J1154" t="s">
        <v>754</v>
      </c>
      <c r="K1154">
        <v>1</v>
      </c>
      <c r="L1154">
        <v>70000</v>
      </c>
      <c r="M1154">
        <v>0.15</v>
      </c>
      <c r="N1154">
        <v>43000</v>
      </c>
      <c r="O1154">
        <v>70000</v>
      </c>
    </row>
    <row r="1155" spans="1:15" x14ac:dyDescent="0.35">
      <c r="A1155" t="s">
        <v>1356</v>
      </c>
      <c r="B1155">
        <v>72384.61538461539</v>
      </c>
      <c r="C1155" t="s">
        <v>1371</v>
      </c>
      <c r="D1155" s="1">
        <v>45198</v>
      </c>
      <c r="E1155" t="s">
        <v>41</v>
      </c>
      <c r="F1155" t="s">
        <v>42</v>
      </c>
      <c r="G1155" t="s">
        <v>456</v>
      </c>
      <c r="H1155" t="s">
        <v>23</v>
      </c>
      <c r="I1155" t="s">
        <v>1355</v>
      </c>
      <c r="J1155" t="s">
        <v>754</v>
      </c>
      <c r="K1155">
        <v>1</v>
      </c>
      <c r="L1155">
        <v>92000</v>
      </c>
      <c r="M1155">
        <v>0.1</v>
      </c>
      <c r="N1155">
        <v>53000</v>
      </c>
      <c r="O1155">
        <v>92000</v>
      </c>
    </row>
    <row r="1156" spans="1:15" x14ac:dyDescent="0.35">
      <c r="A1156" t="s">
        <v>1356</v>
      </c>
      <c r="B1156">
        <v>72384.61538461539</v>
      </c>
      <c r="C1156" t="s">
        <v>1372</v>
      </c>
      <c r="D1156" s="1">
        <v>45236</v>
      </c>
      <c r="E1156" t="s">
        <v>14</v>
      </c>
      <c r="F1156" t="s">
        <v>15</v>
      </c>
      <c r="G1156" t="s">
        <v>195</v>
      </c>
      <c r="H1156" t="s">
        <v>23</v>
      </c>
      <c r="I1156" t="s">
        <v>1355</v>
      </c>
      <c r="J1156" t="s">
        <v>754</v>
      </c>
      <c r="K1156">
        <v>1</v>
      </c>
      <c r="L1156">
        <v>49000</v>
      </c>
      <c r="M1156">
        <v>0</v>
      </c>
      <c r="N1156">
        <v>29000</v>
      </c>
      <c r="O1156">
        <v>49000</v>
      </c>
    </row>
    <row r="1157" spans="1:15" x14ac:dyDescent="0.35">
      <c r="A1157" t="s">
        <v>1356</v>
      </c>
      <c r="B1157">
        <v>72384.61538461539</v>
      </c>
      <c r="C1157" t="s">
        <v>1373</v>
      </c>
      <c r="D1157" s="1">
        <v>45240</v>
      </c>
      <c r="E1157" t="s">
        <v>25</v>
      </c>
      <c r="F1157" t="s">
        <v>26</v>
      </c>
      <c r="G1157" t="s">
        <v>130</v>
      </c>
      <c r="H1157" t="s">
        <v>28</v>
      </c>
      <c r="I1157" t="s">
        <v>1355</v>
      </c>
      <c r="J1157" t="s">
        <v>754</v>
      </c>
      <c r="K1157">
        <v>3</v>
      </c>
      <c r="L1157">
        <v>94000</v>
      </c>
      <c r="M1157">
        <v>0</v>
      </c>
      <c r="N1157">
        <v>58000</v>
      </c>
      <c r="O1157">
        <v>94000</v>
      </c>
    </row>
    <row r="1158" spans="1:15" x14ac:dyDescent="0.35">
      <c r="A1158" t="s">
        <v>1356</v>
      </c>
      <c r="B1158">
        <v>72384.61538461539</v>
      </c>
      <c r="C1158" t="s">
        <v>1374</v>
      </c>
      <c r="D1158" s="1">
        <v>45245</v>
      </c>
      <c r="E1158" t="s">
        <v>14</v>
      </c>
      <c r="F1158" t="s">
        <v>15</v>
      </c>
      <c r="G1158" t="s">
        <v>164</v>
      </c>
      <c r="H1158" t="s">
        <v>23</v>
      </c>
      <c r="I1158" t="s">
        <v>1355</v>
      </c>
      <c r="J1158" t="s">
        <v>754</v>
      </c>
      <c r="K1158">
        <v>3</v>
      </c>
      <c r="L1158">
        <v>66000</v>
      </c>
      <c r="M1158">
        <v>0</v>
      </c>
      <c r="N1158">
        <v>39000</v>
      </c>
      <c r="O1158">
        <v>66000</v>
      </c>
    </row>
    <row r="1159" spans="1:15" x14ac:dyDescent="0.35">
      <c r="A1159" t="s">
        <v>1356</v>
      </c>
      <c r="B1159">
        <v>72384.61538461539</v>
      </c>
      <c r="C1159" t="s">
        <v>1375</v>
      </c>
      <c r="D1159" s="1">
        <v>45271</v>
      </c>
      <c r="E1159" t="s">
        <v>14</v>
      </c>
      <c r="F1159" t="s">
        <v>15</v>
      </c>
      <c r="G1159" t="s">
        <v>172</v>
      </c>
      <c r="H1159" t="s">
        <v>23</v>
      </c>
      <c r="I1159" t="s">
        <v>1355</v>
      </c>
      <c r="J1159" t="s">
        <v>754</v>
      </c>
      <c r="K1159">
        <v>1</v>
      </c>
      <c r="L1159">
        <v>48000</v>
      </c>
      <c r="M1159">
        <v>0</v>
      </c>
      <c r="N1159">
        <v>29000</v>
      </c>
      <c r="O1159">
        <v>48000</v>
      </c>
    </row>
    <row r="1160" spans="1:15" x14ac:dyDescent="0.35">
      <c r="A1160" t="s">
        <v>1356</v>
      </c>
      <c r="B1160">
        <v>72384.61538461539</v>
      </c>
      <c r="C1160" t="s">
        <v>1376</v>
      </c>
      <c r="D1160" s="1">
        <v>45280</v>
      </c>
      <c r="E1160" t="s">
        <v>14</v>
      </c>
      <c r="F1160" t="s">
        <v>15</v>
      </c>
      <c r="G1160" t="s">
        <v>168</v>
      </c>
      <c r="H1160" t="s">
        <v>23</v>
      </c>
      <c r="I1160" t="s">
        <v>1355</v>
      </c>
      <c r="J1160" t="s">
        <v>754</v>
      </c>
      <c r="K1160">
        <v>1</v>
      </c>
      <c r="L1160">
        <v>49000</v>
      </c>
      <c r="M1160">
        <v>0</v>
      </c>
      <c r="N1160">
        <v>29000</v>
      </c>
      <c r="O1160">
        <v>49000</v>
      </c>
    </row>
    <row r="1161" spans="1:15" x14ac:dyDescent="0.35">
      <c r="A1161" t="s">
        <v>1356</v>
      </c>
      <c r="B1161">
        <v>72384.61538461539</v>
      </c>
      <c r="C1161" t="s">
        <v>1377</v>
      </c>
      <c r="D1161" s="1">
        <v>45284</v>
      </c>
      <c r="E1161" t="s">
        <v>25</v>
      </c>
      <c r="F1161" t="s">
        <v>26</v>
      </c>
      <c r="G1161" t="s">
        <v>117</v>
      </c>
      <c r="H1161" t="s">
        <v>23</v>
      </c>
      <c r="I1161" t="s">
        <v>1355</v>
      </c>
      <c r="J1161" t="s">
        <v>754</v>
      </c>
      <c r="K1161">
        <v>1</v>
      </c>
      <c r="L1161">
        <v>50000</v>
      </c>
      <c r="M1161">
        <v>0</v>
      </c>
      <c r="N1161">
        <v>31000</v>
      </c>
      <c r="O1161">
        <v>50000</v>
      </c>
    </row>
    <row r="1162" spans="1:15" x14ac:dyDescent="0.35">
      <c r="A1162" t="s">
        <v>1356</v>
      </c>
      <c r="B1162">
        <v>72384.61538461539</v>
      </c>
      <c r="C1162" t="s">
        <v>1378</v>
      </c>
      <c r="D1162" s="1">
        <v>45286</v>
      </c>
      <c r="E1162" t="s">
        <v>41</v>
      </c>
      <c r="F1162" t="s">
        <v>42</v>
      </c>
      <c r="G1162" t="s">
        <v>582</v>
      </c>
      <c r="H1162" t="s">
        <v>17</v>
      </c>
      <c r="I1162" t="s">
        <v>1355</v>
      </c>
      <c r="J1162" t="s">
        <v>754</v>
      </c>
      <c r="K1162">
        <v>1</v>
      </c>
      <c r="L1162">
        <v>72384.61538461539</v>
      </c>
      <c r="M1162">
        <v>0</v>
      </c>
      <c r="N1162">
        <v>42000</v>
      </c>
      <c r="O1162">
        <v>72384.61538461539</v>
      </c>
    </row>
    <row r="1163" spans="1:15" x14ac:dyDescent="0.35">
      <c r="A1163" t="s">
        <v>1356</v>
      </c>
      <c r="B1163">
        <v>72384.61538461539</v>
      </c>
      <c r="C1163" t="s">
        <v>1379</v>
      </c>
      <c r="D1163" s="1">
        <v>45290</v>
      </c>
      <c r="E1163" t="s">
        <v>49</v>
      </c>
      <c r="F1163" t="s">
        <v>50</v>
      </c>
      <c r="G1163" t="s">
        <v>333</v>
      </c>
      <c r="H1163" t="s">
        <v>17</v>
      </c>
      <c r="I1163" t="s">
        <v>1355</v>
      </c>
      <c r="J1163" t="s">
        <v>754</v>
      </c>
      <c r="K1163">
        <v>1</v>
      </c>
      <c r="L1163">
        <v>89000</v>
      </c>
      <c r="M1163">
        <v>0</v>
      </c>
      <c r="N1163">
        <v>52000</v>
      </c>
      <c r="O1163">
        <v>89000</v>
      </c>
    </row>
    <row r="1164" spans="1:15" x14ac:dyDescent="0.35">
      <c r="A1164" t="s">
        <v>1356</v>
      </c>
      <c r="B1164">
        <v>72384.61538461539</v>
      </c>
      <c r="C1164" t="s">
        <v>1380</v>
      </c>
      <c r="D1164" s="1">
        <v>45327</v>
      </c>
      <c r="E1164" t="s">
        <v>41</v>
      </c>
      <c r="F1164" t="s">
        <v>42</v>
      </c>
      <c r="G1164" t="s">
        <v>228</v>
      </c>
      <c r="H1164" t="s">
        <v>17</v>
      </c>
      <c r="I1164" t="s">
        <v>1355</v>
      </c>
      <c r="J1164" t="s">
        <v>754</v>
      </c>
      <c r="K1164">
        <v>1</v>
      </c>
      <c r="L1164">
        <v>54000</v>
      </c>
      <c r="M1164">
        <v>0</v>
      </c>
      <c r="N1164">
        <v>33000</v>
      </c>
      <c r="O1164">
        <v>54000</v>
      </c>
    </row>
    <row r="1165" spans="1:15" x14ac:dyDescent="0.35">
      <c r="A1165" t="s">
        <v>1356</v>
      </c>
      <c r="B1165">
        <v>72384.61538461539</v>
      </c>
      <c r="C1165" t="s">
        <v>1381</v>
      </c>
      <c r="D1165" s="1">
        <v>45352</v>
      </c>
      <c r="E1165" t="s">
        <v>14</v>
      </c>
      <c r="F1165" t="s">
        <v>15</v>
      </c>
      <c r="G1165" t="s">
        <v>553</v>
      </c>
      <c r="H1165" t="s">
        <v>17</v>
      </c>
      <c r="I1165" t="s">
        <v>1355</v>
      </c>
      <c r="J1165" t="s">
        <v>754</v>
      </c>
      <c r="K1165">
        <v>1</v>
      </c>
      <c r="L1165">
        <v>87000</v>
      </c>
      <c r="M1165">
        <v>0</v>
      </c>
      <c r="N1165">
        <v>51000</v>
      </c>
      <c r="O1165">
        <v>87000</v>
      </c>
    </row>
    <row r="1166" spans="1:15" x14ac:dyDescent="0.35">
      <c r="A1166" t="s">
        <v>1356</v>
      </c>
      <c r="B1166">
        <v>72384.61538461539</v>
      </c>
      <c r="C1166" t="s">
        <v>1382</v>
      </c>
      <c r="D1166" s="1">
        <v>45373</v>
      </c>
      <c r="E1166" t="s">
        <v>36</v>
      </c>
      <c r="F1166" t="s">
        <v>37</v>
      </c>
      <c r="G1166" t="s">
        <v>553</v>
      </c>
      <c r="H1166" t="s">
        <v>17</v>
      </c>
      <c r="I1166" t="s">
        <v>1355</v>
      </c>
      <c r="J1166" t="s">
        <v>754</v>
      </c>
      <c r="K1166">
        <v>1</v>
      </c>
      <c r="L1166">
        <v>51000</v>
      </c>
      <c r="M1166">
        <v>0</v>
      </c>
      <c r="N1166">
        <v>31000</v>
      </c>
      <c r="O1166">
        <v>51000</v>
      </c>
    </row>
    <row r="1167" spans="1:15" x14ac:dyDescent="0.35">
      <c r="A1167" t="s">
        <v>1356</v>
      </c>
      <c r="B1167">
        <v>72384.61538461539</v>
      </c>
      <c r="C1167" t="s">
        <v>1383</v>
      </c>
      <c r="D1167" s="1">
        <v>45392</v>
      </c>
      <c r="E1167" t="s">
        <v>41</v>
      </c>
      <c r="F1167" t="s">
        <v>42</v>
      </c>
      <c r="G1167" t="s">
        <v>43</v>
      </c>
      <c r="H1167" t="s">
        <v>17</v>
      </c>
      <c r="I1167" t="s">
        <v>1355</v>
      </c>
      <c r="J1167" t="s">
        <v>754</v>
      </c>
      <c r="K1167">
        <v>1</v>
      </c>
      <c r="L1167">
        <v>52000</v>
      </c>
      <c r="M1167">
        <v>0</v>
      </c>
      <c r="N1167">
        <v>32000</v>
      </c>
      <c r="O1167">
        <v>52000</v>
      </c>
    </row>
    <row r="1168" spans="1:15" x14ac:dyDescent="0.35">
      <c r="A1168" t="s">
        <v>1356</v>
      </c>
      <c r="B1168">
        <v>72384.61538461539</v>
      </c>
      <c r="C1168" t="s">
        <v>1384</v>
      </c>
      <c r="D1168" s="1">
        <v>45415</v>
      </c>
      <c r="E1168" t="s">
        <v>49</v>
      </c>
      <c r="F1168" t="s">
        <v>50</v>
      </c>
      <c r="G1168" t="s">
        <v>150</v>
      </c>
      <c r="H1168" t="s">
        <v>28</v>
      </c>
      <c r="I1168" t="s">
        <v>1355</v>
      </c>
      <c r="J1168" t="s">
        <v>754</v>
      </c>
      <c r="K1168">
        <v>5</v>
      </c>
      <c r="L1168">
        <v>91000</v>
      </c>
      <c r="M1168">
        <v>0</v>
      </c>
      <c r="N1168">
        <v>56000</v>
      </c>
      <c r="O1168">
        <v>91000</v>
      </c>
    </row>
    <row r="1169" spans="1:15" x14ac:dyDescent="0.35">
      <c r="A1169" t="s">
        <v>1356</v>
      </c>
      <c r="B1169">
        <v>72384.61538461539</v>
      </c>
      <c r="C1169" t="s">
        <v>1385</v>
      </c>
      <c r="D1169" s="1">
        <v>45464</v>
      </c>
      <c r="E1169" t="s">
        <v>14</v>
      </c>
      <c r="F1169" t="s">
        <v>15</v>
      </c>
      <c r="G1169" t="s">
        <v>182</v>
      </c>
      <c r="H1169" t="s">
        <v>23</v>
      </c>
      <c r="I1169" t="s">
        <v>1355</v>
      </c>
      <c r="J1169" t="s">
        <v>754</v>
      </c>
      <c r="K1169">
        <v>1</v>
      </c>
      <c r="L1169">
        <v>92000</v>
      </c>
      <c r="M1169">
        <v>0</v>
      </c>
      <c r="N1169">
        <v>55000</v>
      </c>
      <c r="O1169">
        <v>92000</v>
      </c>
    </row>
    <row r="1170" spans="1:15" x14ac:dyDescent="0.35">
      <c r="A1170" t="s">
        <v>1356</v>
      </c>
      <c r="B1170">
        <v>72384.61538461539</v>
      </c>
      <c r="C1170" t="s">
        <v>1386</v>
      </c>
      <c r="D1170" s="1">
        <v>45528</v>
      </c>
      <c r="E1170" t="s">
        <v>41</v>
      </c>
      <c r="F1170" t="s">
        <v>42</v>
      </c>
      <c r="G1170" t="s">
        <v>61</v>
      </c>
      <c r="H1170" t="s">
        <v>23</v>
      </c>
      <c r="I1170" t="s">
        <v>1355</v>
      </c>
      <c r="J1170" t="s">
        <v>754</v>
      </c>
      <c r="K1170">
        <v>2</v>
      </c>
      <c r="L1170">
        <v>50000</v>
      </c>
      <c r="M1170">
        <v>0</v>
      </c>
      <c r="N1170">
        <v>29000</v>
      </c>
      <c r="O1170">
        <v>50000</v>
      </c>
    </row>
    <row r="1171" spans="1:15" x14ac:dyDescent="0.35">
      <c r="A1171" t="s">
        <v>1356</v>
      </c>
      <c r="B1171">
        <v>72384.61538461539</v>
      </c>
      <c r="C1171" t="s">
        <v>1387</v>
      </c>
      <c r="D1171" s="1">
        <v>45528</v>
      </c>
      <c r="E1171" t="s">
        <v>41</v>
      </c>
      <c r="F1171" t="s">
        <v>42</v>
      </c>
      <c r="G1171" t="s">
        <v>83</v>
      </c>
      <c r="H1171" t="s">
        <v>23</v>
      </c>
      <c r="I1171" t="s">
        <v>1355</v>
      </c>
      <c r="J1171" t="s">
        <v>754</v>
      </c>
      <c r="K1171">
        <v>1</v>
      </c>
      <c r="L1171">
        <v>55000</v>
      </c>
      <c r="M1171">
        <v>0.15</v>
      </c>
      <c r="N1171">
        <v>33000</v>
      </c>
      <c r="O1171">
        <v>55000</v>
      </c>
    </row>
    <row r="1172" spans="1:15" x14ac:dyDescent="0.35">
      <c r="A1172" t="s">
        <v>1356</v>
      </c>
      <c r="B1172">
        <v>72384.61538461539</v>
      </c>
      <c r="C1172" t="s">
        <v>1388</v>
      </c>
      <c r="D1172" s="1">
        <v>45538</v>
      </c>
      <c r="E1172" t="s">
        <v>14</v>
      </c>
      <c r="F1172" t="s">
        <v>15</v>
      </c>
      <c r="G1172" t="s">
        <v>110</v>
      </c>
      <c r="H1172" t="s">
        <v>23</v>
      </c>
      <c r="I1172" t="s">
        <v>1355</v>
      </c>
      <c r="J1172" t="s">
        <v>754</v>
      </c>
      <c r="K1172">
        <v>1</v>
      </c>
      <c r="L1172">
        <v>52000</v>
      </c>
      <c r="M1172">
        <v>0</v>
      </c>
      <c r="N1172">
        <v>31000</v>
      </c>
      <c r="O1172">
        <v>52000</v>
      </c>
    </row>
    <row r="1173" spans="1:15" x14ac:dyDescent="0.35">
      <c r="A1173" t="s">
        <v>1356</v>
      </c>
      <c r="B1173">
        <v>72384.61538461539</v>
      </c>
      <c r="C1173" t="s">
        <v>1389</v>
      </c>
      <c r="D1173" s="1">
        <v>45539</v>
      </c>
      <c r="E1173" t="s">
        <v>25</v>
      </c>
      <c r="F1173" t="s">
        <v>26</v>
      </c>
      <c r="G1173" t="s">
        <v>172</v>
      </c>
      <c r="H1173" t="s">
        <v>23</v>
      </c>
      <c r="I1173" t="s">
        <v>1355</v>
      </c>
      <c r="J1173" t="s">
        <v>754</v>
      </c>
      <c r="K1173">
        <v>1</v>
      </c>
      <c r="L1173">
        <v>95000</v>
      </c>
      <c r="M1173">
        <v>0</v>
      </c>
      <c r="N1173">
        <v>57000</v>
      </c>
      <c r="O1173">
        <v>95000</v>
      </c>
    </row>
    <row r="1174" spans="1:15" x14ac:dyDescent="0.35">
      <c r="A1174" t="s">
        <v>1356</v>
      </c>
      <c r="B1174">
        <v>72384.61538461539</v>
      </c>
      <c r="C1174" t="s">
        <v>1390</v>
      </c>
      <c r="D1174" s="1">
        <v>45540</v>
      </c>
      <c r="E1174" t="s">
        <v>14</v>
      </c>
      <c r="F1174" t="s">
        <v>15</v>
      </c>
      <c r="G1174" t="s">
        <v>95</v>
      </c>
      <c r="H1174" t="s">
        <v>23</v>
      </c>
      <c r="I1174" t="s">
        <v>1355</v>
      </c>
      <c r="J1174" t="s">
        <v>754</v>
      </c>
      <c r="K1174">
        <v>1</v>
      </c>
      <c r="L1174">
        <v>92000</v>
      </c>
      <c r="M1174">
        <v>0.15</v>
      </c>
      <c r="N1174">
        <v>55000</v>
      </c>
      <c r="O1174">
        <v>92000</v>
      </c>
    </row>
    <row r="1175" spans="1:15" x14ac:dyDescent="0.35">
      <c r="A1175" t="s">
        <v>1356</v>
      </c>
      <c r="B1175">
        <v>72384.61538461539</v>
      </c>
      <c r="C1175" t="s">
        <v>1391</v>
      </c>
      <c r="D1175" s="1">
        <v>45542</v>
      </c>
      <c r="E1175" t="s">
        <v>36</v>
      </c>
      <c r="F1175" t="s">
        <v>37</v>
      </c>
      <c r="G1175" t="s">
        <v>258</v>
      </c>
      <c r="H1175" t="s">
        <v>23</v>
      </c>
      <c r="I1175" t="s">
        <v>1355</v>
      </c>
      <c r="J1175" t="s">
        <v>754</v>
      </c>
      <c r="K1175">
        <v>1</v>
      </c>
      <c r="L1175">
        <v>56000</v>
      </c>
      <c r="M1175">
        <v>0.05</v>
      </c>
      <c r="N1175">
        <v>33000</v>
      </c>
      <c r="O1175">
        <v>56000</v>
      </c>
    </row>
    <row r="1176" spans="1:15" x14ac:dyDescent="0.35">
      <c r="A1176" t="s">
        <v>1356</v>
      </c>
      <c r="B1176">
        <v>72384.61538461539</v>
      </c>
      <c r="C1176" t="s">
        <v>1392</v>
      </c>
      <c r="D1176" s="1">
        <v>45581</v>
      </c>
      <c r="E1176" t="s">
        <v>49</v>
      </c>
      <c r="F1176" t="s">
        <v>50</v>
      </c>
      <c r="G1176" t="s">
        <v>274</v>
      </c>
      <c r="H1176" t="s">
        <v>58</v>
      </c>
      <c r="I1176" t="s">
        <v>1355</v>
      </c>
      <c r="J1176" t="s">
        <v>754</v>
      </c>
      <c r="K1176">
        <v>1</v>
      </c>
      <c r="L1176">
        <v>78000</v>
      </c>
      <c r="M1176">
        <v>0</v>
      </c>
      <c r="N1176">
        <v>48000</v>
      </c>
      <c r="O1176">
        <v>78000</v>
      </c>
    </row>
    <row r="1177" spans="1:15" x14ac:dyDescent="0.35">
      <c r="A1177" t="s">
        <v>1356</v>
      </c>
      <c r="B1177">
        <v>72384.61538461539</v>
      </c>
      <c r="C1177" t="s">
        <v>1393</v>
      </c>
      <c r="D1177" s="1">
        <v>45631</v>
      </c>
      <c r="E1177" t="s">
        <v>14</v>
      </c>
      <c r="F1177" t="s">
        <v>15</v>
      </c>
      <c r="G1177" t="s">
        <v>230</v>
      </c>
      <c r="H1177" t="s">
        <v>23</v>
      </c>
      <c r="I1177" t="s">
        <v>1355</v>
      </c>
      <c r="J1177" t="s">
        <v>754</v>
      </c>
      <c r="K1177">
        <v>3</v>
      </c>
      <c r="L1177">
        <v>77000</v>
      </c>
      <c r="M1177">
        <v>0.15</v>
      </c>
      <c r="N1177">
        <v>45000</v>
      </c>
      <c r="O1177">
        <v>77000</v>
      </c>
    </row>
    <row r="1178" spans="1:15" x14ac:dyDescent="0.35">
      <c r="A1178" t="s">
        <v>1356</v>
      </c>
      <c r="B1178">
        <v>72384.61538461539</v>
      </c>
      <c r="C1178" t="s">
        <v>1394</v>
      </c>
      <c r="D1178" s="1">
        <v>45674</v>
      </c>
      <c r="E1178" t="s">
        <v>14</v>
      </c>
      <c r="F1178" t="s">
        <v>15</v>
      </c>
      <c r="G1178" t="s">
        <v>1041</v>
      </c>
      <c r="H1178" t="s">
        <v>23</v>
      </c>
      <c r="I1178" t="s">
        <v>1355</v>
      </c>
      <c r="J1178" t="s">
        <v>754</v>
      </c>
      <c r="K1178">
        <v>1</v>
      </c>
      <c r="L1178">
        <v>68000</v>
      </c>
      <c r="M1178">
        <v>0</v>
      </c>
      <c r="N1178">
        <v>41000</v>
      </c>
      <c r="O1178">
        <v>68000</v>
      </c>
    </row>
    <row r="1179" spans="1:15" x14ac:dyDescent="0.35">
      <c r="A1179" t="s">
        <v>1356</v>
      </c>
      <c r="B1179">
        <v>72384.61538461539</v>
      </c>
      <c r="C1179" t="s">
        <v>1395</v>
      </c>
      <c r="D1179" s="1">
        <v>45702</v>
      </c>
      <c r="E1179" t="s">
        <v>25</v>
      </c>
      <c r="F1179" t="s">
        <v>26</v>
      </c>
      <c r="G1179" t="s">
        <v>218</v>
      </c>
      <c r="H1179" t="s">
        <v>23</v>
      </c>
      <c r="I1179" t="s">
        <v>1355</v>
      </c>
      <c r="J1179" t="s">
        <v>754</v>
      </c>
      <c r="K1179">
        <v>1</v>
      </c>
      <c r="L1179">
        <v>50000</v>
      </c>
      <c r="M1179">
        <v>0</v>
      </c>
      <c r="N1179">
        <v>31000</v>
      </c>
      <c r="O1179">
        <v>50000</v>
      </c>
    </row>
    <row r="1180" spans="1:15" x14ac:dyDescent="0.35">
      <c r="A1180" t="s">
        <v>1356</v>
      </c>
      <c r="B1180">
        <v>72384.61538461539</v>
      </c>
      <c r="C1180" t="s">
        <v>1396</v>
      </c>
      <c r="D1180" s="1">
        <v>45753</v>
      </c>
      <c r="E1180" t="s">
        <v>49</v>
      </c>
      <c r="F1180" t="s">
        <v>50</v>
      </c>
      <c r="G1180" t="s">
        <v>126</v>
      </c>
      <c r="H1180" t="s">
        <v>17</v>
      </c>
      <c r="I1180" t="s">
        <v>1355</v>
      </c>
      <c r="J1180" t="s">
        <v>754</v>
      </c>
      <c r="K1180">
        <v>1</v>
      </c>
      <c r="L1180">
        <v>100000</v>
      </c>
      <c r="M1180">
        <v>0</v>
      </c>
      <c r="N1180">
        <v>59000</v>
      </c>
      <c r="O1180">
        <v>100000</v>
      </c>
    </row>
    <row r="1181" spans="1:15" x14ac:dyDescent="0.35">
      <c r="A1181" t="s">
        <v>1356</v>
      </c>
      <c r="B1181">
        <v>72384.61538461539</v>
      </c>
      <c r="C1181" t="s">
        <v>1397</v>
      </c>
      <c r="D1181" s="1">
        <v>45758</v>
      </c>
      <c r="E1181" t="s">
        <v>49</v>
      </c>
      <c r="F1181" t="s">
        <v>50</v>
      </c>
      <c r="G1181" t="s">
        <v>493</v>
      </c>
      <c r="H1181" t="s">
        <v>23</v>
      </c>
      <c r="I1181" t="s">
        <v>1355</v>
      </c>
      <c r="J1181" t="s">
        <v>754</v>
      </c>
      <c r="K1181">
        <v>2</v>
      </c>
      <c r="L1181">
        <v>67000</v>
      </c>
      <c r="M1181">
        <v>0</v>
      </c>
      <c r="N1181">
        <v>41000</v>
      </c>
      <c r="O1181">
        <v>67000</v>
      </c>
    </row>
    <row r="1182" spans="1:15" x14ac:dyDescent="0.35">
      <c r="A1182" t="s">
        <v>1356</v>
      </c>
      <c r="B1182">
        <v>72384.61538461539</v>
      </c>
      <c r="C1182" t="s">
        <v>1398</v>
      </c>
      <c r="D1182" s="1">
        <v>45763</v>
      </c>
      <c r="E1182" t="s">
        <v>41</v>
      </c>
      <c r="F1182" t="s">
        <v>42</v>
      </c>
      <c r="G1182" t="s">
        <v>265</v>
      </c>
      <c r="H1182" t="s">
        <v>23</v>
      </c>
      <c r="I1182" t="s">
        <v>1355</v>
      </c>
      <c r="J1182" t="s">
        <v>754</v>
      </c>
      <c r="K1182">
        <v>1</v>
      </c>
      <c r="L1182">
        <v>55000</v>
      </c>
      <c r="M1182">
        <v>0</v>
      </c>
      <c r="N1182">
        <v>33000</v>
      </c>
      <c r="O1182">
        <v>55000</v>
      </c>
    </row>
    <row r="1183" spans="1:15" x14ac:dyDescent="0.35">
      <c r="A1183" t="s">
        <v>1356</v>
      </c>
      <c r="B1183">
        <v>72384.61538461539</v>
      </c>
      <c r="C1183" t="s">
        <v>1399</v>
      </c>
      <c r="D1183" s="1">
        <v>45771</v>
      </c>
      <c r="E1183" t="s">
        <v>14</v>
      </c>
      <c r="F1183" t="s">
        <v>15</v>
      </c>
      <c r="G1183" t="s">
        <v>155</v>
      </c>
      <c r="H1183" t="s">
        <v>58</v>
      </c>
      <c r="I1183" t="s">
        <v>1355</v>
      </c>
      <c r="J1183" t="s">
        <v>754</v>
      </c>
      <c r="K1183">
        <v>1</v>
      </c>
      <c r="L1183">
        <v>86000</v>
      </c>
      <c r="M1183">
        <v>0</v>
      </c>
      <c r="N1183">
        <v>50000</v>
      </c>
      <c r="O1183">
        <v>86000</v>
      </c>
    </row>
    <row r="1184" spans="1:15" x14ac:dyDescent="0.35">
      <c r="A1184" t="s">
        <v>1356</v>
      </c>
      <c r="B1184">
        <v>72384.61538461539</v>
      </c>
      <c r="C1184" t="s">
        <v>1400</v>
      </c>
      <c r="D1184" s="1">
        <v>45778</v>
      </c>
      <c r="E1184" t="s">
        <v>14</v>
      </c>
      <c r="F1184" t="s">
        <v>15</v>
      </c>
      <c r="G1184" t="s">
        <v>55</v>
      </c>
      <c r="H1184" t="s">
        <v>17</v>
      </c>
      <c r="I1184" t="s">
        <v>1355</v>
      </c>
      <c r="J1184" t="s">
        <v>754</v>
      </c>
      <c r="K1184">
        <v>1</v>
      </c>
      <c r="L1184">
        <v>68000</v>
      </c>
      <c r="M1184">
        <v>0.1</v>
      </c>
      <c r="N1184">
        <v>40000</v>
      </c>
      <c r="O1184">
        <v>68000</v>
      </c>
    </row>
    <row r="1185" spans="1:15" x14ac:dyDescent="0.35">
      <c r="A1185" t="s">
        <v>1356</v>
      </c>
      <c r="B1185">
        <v>72384.61538461539</v>
      </c>
      <c r="C1185" t="s">
        <v>1401</v>
      </c>
      <c r="D1185" s="1">
        <v>45793</v>
      </c>
      <c r="E1185" t="s">
        <v>49</v>
      </c>
      <c r="F1185" t="s">
        <v>50</v>
      </c>
      <c r="G1185" t="s">
        <v>89</v>
      </c>
      <c r="H1185" t="s">
        <v>23</v>
      </c>
      <c r="I1185" t="s">
        <v>1355</v>
      </c>
      <c r="J1185" t="s">
        <v>754</v>
      </c>
      <c r="K1185">
        <v>1</v>
      </c>
      <c r="L1185">
        <v>86000</v>
      </c>
      <c r="M1185">
        <v>0</v>
      </c>
      <c r="N1185">
        <v>53000</v>
      </c>
      <c r="O1185">
        <v>86000</v>
      </c>
    </row>
    <row r="1186" spans="1:15" x14ac:dyDescent="0.35">
      <c r="A1186" t="s">
        <v>1356</v>
      </c>
      <c r="B1186">
        <v>72384.61538461539</v>
      </c>
      <c r="C1186" t="s">
        <v>1402</v>
      </c>
      <c r="D1186" s="1">
        <v>45801</v>
      </c>
      <c r="E1186" t="s">
        <v>41</v>
      </c>
      <c r="F1186" t="s">
        <v>42</v>
      </c>
      <c r="G1186" t="s">
        <v>93</v>
      </c>
      <c r="H1186" t="s">
        <v>23</v>
      </c>
      <c r="I1186" t="s">
        <v>1355</v>
      </c>
      <c r="J1186" t="s">
        <v>754</v>
      </c>
      <c r="K1186">
        <v>3</v>
      </c>
      <c r="L1186">
        <v>54000</v>
      </c>
      <c r="M1186">
        <v>0</v>
      </c>
      <c r="N1186">
        <v>33000</v>
      </c>
      <c r="O1186">
        <v>54000</v>
      </c>
    </row>
    <row r="1187" spans="1:15" x14ac:dyDescent="0.35">
      <c r="A1187" t="s">
        <v>1356</v>
      </c>
      <c r="B1187">
        <v>72384.61538461539</v>
      </c>
      <c r="C1187" t="s">
        <v>1403</v>
      </c>
      <c r="D1187" s="1">
        <v>45804</v>
      </c>
      <c r="E1187" t="s">
        <v>14</v>
      </c>
      <c r="F1187" t="s">
        <v>15</v>
      </c>
      <c r="G1187" t="s">
        <v>203</v>
      </c>
      <c r="H1187" t="s">
        <v>17</v>
      </c>
      <c r="I1187" t="s">
        <v>1355</v>
      </c>
      <c r="J1187" t="s">
        <v>754</v>
      </c>
      <c r="K1187">
        <v>1</v>
      </c>
      <c r="L1187">
        <v>64000</v>
      </c>
      <c r="M1187">
        <v>0</v>
      </c>
      <c r="N1187">
        <v>40000</v>
      </c>
      <c r="O1187">
        <v>64000</v>
      </c>
    </row>
    <row r="1188" spans="1:15" x14ac:dyDescent="0.35">
      <c r="A1188" t="s">
        <v>1356</v>
      </c>
      <c r="B1188">
        <v>72384.61538461539</v>
      </c>
      <c r="C1188" t="s">
        <v>1404</v>
      </c>
      <c r="D1188" s="1">
        <v>45816</v>
      </c>
      <c r="E1188" t="s">
        <v>14</v>
      </c>
      <c r="F1188" t="s">
        <v>15</v>
      </c>
      <c r="G1188" t="s">
        <v>174</v>
      </c>
      <c r="H1188" t="s">
        <v>23</v>
      </c>
      <c r="I1188" t="s">
        <v>1355</v>
      </c>
      <c r="J1188" t="s">
        <v>754</v>
      </c>
      <c r="K1188">
        <v>1</v>
      </c>
      <c r="L1188">
        <v>100000</v>
      </c>
      <c r="M1188">
        <v>0.05</v>
      </c>
      <c r="N1188">
        <v>59000</v>
      </c>
      <c r="O1188">
        <v>100000</v>
      </c>
    </row>
    <row r="1189" spans="1:15" x14ac:dyDescent="0.35">
      <c r="A1189" t="s">
        <v>1356</v>
      </c>
      <c r="B1189">
        <v>72384.61538461539</v>
      </c>
      <c r="C1189" t="s">
        <v>1405</v>
      </c>
      <c r="D1189" s="1">
        <v>45826</v>
      </c>
      <c r="E1189" t="s">
        <v>49</v>
      </c>
      <c r="F1189" t="s">
        <v>50</v>
      </c>
      <c r="G1189" t="s">
        <v>559</v>
      </c>
      <c r="H1189" t="s">
        <v>23</v>
      </c>
      <c r="I1189" t="s">
        <v>1355</v>
      </c>
      <c r="J1189" t="s">
        <v>754</v>
      </c>
      <c r="K1189">
        <v>1</v>
      </c>
      <c r="L1189">
        <v>83000</v>
      </c>
      <c r="M1189">
        <v>0</v>
      </c>
      <c r="N1189">
        <v>50000</v>
      </c>
      <c r="O1189">
        <v>83000</v>
      </c>
    </row>
    <row r="1190" spans="1:15" x14ac:dyDescent="0.35">
      <c r="A1190" t="s">
        <v>1356</v>
      </c>
      <c r="B1190">
        <v>72384.61538461539</v>
      </c>
      <c r="C1190" t="s">
        <v>1406</v>
      </c>
      <c r="D1190" s="1">
        <v>45844</v>
      </c>
      <c r="E1190" t="s">
        <v>14</v>
      </c>
      <c r="F1190" t="s">
        <v>15</v>
      </c>
      <c r="G1190" t="s">
        <v>27</v>
      </c>
      <c r="H1190" t="s">
        <v>28</v>
      </c>
      <c r="I1190" t="s">
        <v>1355</v>
      </c>
      <c r="J1190" t="s">
        <v>754</v>
      </c>
      <c r="K1190">
        <v>1</v>
      </c>
      <c r="L1190">
        <v>53000</v>
      </c>
      <c r="M1190">
        <v>0</v>
      </c>
      <c r="N1190">
        <v>32000</v>
      </c>
      <c r="O1190">
        <v>53000</v>
      </c>
    </row>
    <row r="1191" spans="1:15" x14ac:dyDescent="0.35">
      <c r="A1191" t="s">
        <v>1356</v>
      </c>
      <c r="B1191">
        <v>72384.61538461539</v>
      </c>
      <c r="C1191" t="s">
        <v>1407</v>
      </c>
      <c r="D1191" s="1">
        <v>45846</v>
      </c>
      <c r="E1191" t="s">
        <v>14</v>
      </c>
      <c r="F1191" t="s">
        <v>15</v>
      </c>
      <c r="G1191" t="s">
        <v>307</v>
      </c>
      <c r="H1191" t="s">
        <v>28</v>
      </c>
      <c r="I1191" t="s">
        <v>1355</v>
      </c>
      <c r="J1191" t="s">
        <v>754</v>
      </c>
      <c r="K1191">
        <v>1</v>
      </c>
      <c r="L1191">
        <v>101000</v>
      </c>
      <c r="M1191">
        <v>0</v>
      </c>
      <c r="N1191">
        <v>60000</v>
      </c>
      <c r="O1191">
        <v>101000</v>
      </c>
    </row>
    <row r="1192" spans="1:15" x14ac:dyDescent="0.35">
      <c r="A1192" t="s">
        <v>1356</v>
      </c>
      <c r="B1192">
        <v>72384.61538461539</v>
      </c>
      <c r="C1192" t="s">
        <v>1408</v>
      </c>
      <c r="D1192" s="1">
        <v>45856</v>
      </c>
      <c r="E1192" t="s">
        <v>41</v>
      </c>
      <c r="F1192" t="s">
        <v>42</v>
      </c>
      <c r="G1192" t="s">
        <v>825</v>
      </c>
      <c r="H1192" t="s">
        <v>23</v>
      </c>
      <c r="I1192" t="s">
        <v>1355</v>
      </c>
      <c r="J1192" t="s">
        <v>754</v>
      </c>
      <c r="K1192">
        <v>1</v>
      </c>
      <c r="L1192">
        <v>72000</v>
      </c>
      <c r="M1192">
        <v>0</v>
      </c>
      <c r="N1192">
        <v>42000</v>
      </c>
      <c r="O1192">
        <v>72000</v>
      </c>
    </row>
    <row r="1193" spans="1:15" x14ac:dyDescent="0.35">
      <c r="A1193" t="s">
        <v>1356</v>
      </c>
      <c r="B1193">
        <v>72384.61538461539</v>
      </c>
      <c r="C1193" t="s">
        <v>1409</v>
      </c>
      <c r="D1193" s="1">
        <v>45870</v>
      </c>
      <c r="E1193" t="s">
        <v>14</v>
      </c>
      <c r="F1193" t="s">
        <v>15</v>
      </c>
      <c r="G1193" t="s">
        <v>203</v>
      </c>
      <c r="H1193" t="s">
        <v>17</v>
      </c>
      <c r="I1193" t="s">
        <v>1355</v>
      </c>
      <c r="J1193" t="s">
        <v>754</v>
      </c>
      <c r="K1193">
        <v>1</v>
      </c>
      <c r="L1193">
        <v>93000</v>
      </c>
      <c r="M1193">
        <v>0.1</v>
      </c>
      <c r="N1193">
        <v>56000</v>
      </c>
      <c r="O1193">
        <v>93000</v>
      </c>
    </row>
    <row r="1194" spans="1:15" x14ac:dyDescent="0.35">
      <c r="A1194" t="s">
        <v>1356</v>
      </c>
      <c r="B1194">
        <v>72384.61538461539</v>
      </c>
      <c r="C1194" t="s">
        <v>1410</v>
      </c>
      <c r="D1194" s="1">
        <v>45884</v>
      </c>
      <c r="E1194" t="s">
        <v>36</v>
      </c>
      <c r="F1194" t="s">
        <v>37</v>
      </c>
      <c r="G1194" t="s">
        <v>311</v>
      </c>
      <c r="H1194" t="s">
        <v>17</v>
      </c>
      <c r="I1194" t="s">
        <v>1355</v>
      </c>
      <c r="J1194" t="s">
        <v>754</v>
      </c>
      <c r="K1194">
        <v>3</v>
      </c>
      <c r="L1194">
        <v>91000</v>
      </c>
      <c r="M1194">
        <v>0</v>
      </c>
      <c r="N1194">
        <v>56000</v>
      </c>
      <c r="O1194">
        <v>91000</v>
      </c>
    </row>
    <row r="1195" spans="1:15" x14ac:dyDescent="0.35">
      <c r="A1195" t="s">
        <v>1356</v>
      </c>
      <c r="B1195">
        <v>72384.61538461539</v>
      </c>
      <c r="C1195" t="s">
        <v>1411</v>
      </c>
      <c r="D1195" s="1">
        <v>45898</v>
      </c>
      <c r="E1195" t="s">
        <v>14</v>
      </c>
      <c r="F1195" t="s">
        <v>15</v>
      </c>
      <c r="G1195" t="s">
        <v>179</v>
      </c>
      <c r="H1195" t="s">
        <v>23</v>
      </c>
      <c r="I1195" t="s">
        <v>1355</v>
      </c>
      <c r="J1195" t="s">
        <v>754</v>
      </c>
      <c r="K1195">
        <v>3</v>
      </c>
      <c r="L1195">
        <v>55000</v>
      </c>
      <c r="M1195">
        <v>0</v>
      </c>
      <c r="N1195">
        <v>33000</v>
      </c>
      <c r="O1195">
        <v>55000</v>
      </c>
    </row>
    <row r="1196" spans="1:15" x14ac:dyDescent="0.35">
      <c r="A1196" t="s">
        <v>1356</v>
      </c>
      <c r="B1196">
        <v>72384.61538461539</v>
      </c>
      <c r="C1196" t="s">
        <v>1412</v>
      </c>
      <c r="D1196" s="1">
        <v>45898</v>
      </c>
      <c r="E1196" t="s">
        <v>14</v>
      </c>
      <c r="F1196" t="s">
        <v>15</v>
      </c>
      <c r="G1196" t="s">
        <v>423</v>
      </c>
      <c r="H1196" t="s">
        <v>17</v>
      </c>
      <c r="I1196" t="s">
        <v>1355</v>
      </c>
      <c r="J1196" t="s">
        <v>754</v>
      </c>
      <c r="K1196">
        <v>1</v>
      </c>
      <c r="L1196">
        <v>70000</v>
      </c>
      <c r="M1196">
        <v>0</v>
      </c>
      <c r="N1196">
        <v>42000</v>
      </c>
      <c r="O1196">
        <v>70000</v>
      </c>
    </row>
    <row r="1197" spans="1:15" x14ac:dyDescent="0.35">
      <c r="A1197" t="s">
        <v>1356</v>
      </c>
      <c r="B1197">
        <v>72384.61538461539</v>
      </c>
      <c r="C1197" t="s">
        <v>1413</v>
      </c>
      <c r="D1197" s="1">
        <v>45905</v>
      </c>
      <c r="E1197" t="s">
        <v>41</v>
      </c>
      <c r="F1197" t="s">
        <v>42</v>
      </c>
      <c r="G1197" t="s">
        <v>172</v>
      </c>
      <c r="H1197" t="s">
        <v>23</v>
      </c>
      <c r="I1197" t="s">
        <v>1355</v>
      </c>
      <c r="J1197" t="s">
        <v>754</v>
      </c>
      <c r="K1197">
        <v>2</v>
      </c>
      <c r="L1197">
        <v>96000</v>
      </c>
      <c r="M1197">
        <v>0</v>
      </c>
      <c r="N1197">
        <v>59000</v>
      </c>
      <c r="O1197">
        <v>96000</v>
      </c>
    </row>
    <row r="1198" spans="1:15" x14ac:dyDescent="0.35">
      <c r="A1198" t="s">
        <v>1356</v>
      </c>
      <c r="B1198">
        <v>72384.61538461539</v>
      </c>
      <c r="C1198" t="s">
        <v>1414</v>
      </c>
      <c r="D1198" s="1">
        <v>45921</v>
      </c>
      <c r="E1198" t="s">
        <v>14</v>
      </c>
      <c r="F1198" t="s">
        <v>15</v>
      </c>
      <c r="G1198" t="s">
        <v>164</v>
      </c>
      <c r="H1198" t="s">
        <v>23</v>
      </c>
      <c r="I1198" t="s">
        <v>1355</v>
      </c>
      <c r="J1198" t="s">
        <v>754</v>
      </c>
      <c r="K1198">
        <v>1</v>
      </c>
      <c r="L1198">
        <v>74000</v>
      </c>
      <c r="M1198">
        <v>0.05</v>
      </c>
      <c r="N1198">
        <v>45000</v>
      </c>
      <c r="O1198">
        <v>74000</v>
      </c>
    </row>
    <row r="1199" spans="1:15" x14ac:dyDescent="0.35">
      <c r="A1199" t="s">
        <v>1356</v>
      </c>
      <c r="B1199">
        <v>72384.61538461539</v>
      </c>
      <c r="C1199" t="s">
        <v>1415</v>
      </c>
      <c r="D1199" s="1">
        <v>45958</v>
      </c>
      <c r="E1199" t="s">
        <v>25</v>
      </c>
      <c r="F1199" t="s">
        <v>26</v>
      </c>
      <c r="G1199" t="s">
        <v>378</v>
      </c>
      <c r="H1199" t="s">
        <v>23</v>
      </c>
      <c r="I1199" t="s">
        <v>1355</v>
      </c>
      <c r="J1199" t="s">
        <v>754</v>
      </c>
      <c r="K1199">
        <v>1</v>
      </c>
      <c r="L1199">
        <v>76000</v>
      </c>
      <c r="M1199">
        <v>0</v>
      </c>
      <c r="N1199">
        <v>45000</v>
      </c>
      <c r="O1199">
        <v>76000</v>
      </c>
    </row>
    <row r="1200" spans="1:15" x14ac:dyDescent="0.35">
      <c r="A1200" t="s">
        <v>1356</v>
      </c>
      <c r="B1200">
        <v>72384.61538461539</v>
      </c>
      <c r="C1200" t="s">
        <v>1416</v>
      </c>
      <c r="D1200" s="1">
        <v>45958</v>
      </c>
      <c r="E1200" t="s">
        <v>14</v>
      </c>
      <c r="F1200" t="s">
        <v>15</v>
      </c>
      <c r="G1200" t="s">
        <v>65</v>
      </c>
      <c r="H1200" t="s">
        <v>17</v>
      </c>
      <c r="I1200" t="s">
        <v>1355</v>
      </c>
      <c r="J1200" t="s">
        <v>754</v>
      </c>
      <c r="K1200">
        <v>1</v>
      </c>
      <c r="L1200">
        <v>57000</v>
      </c>
      <c r="M1200">
        <v>0</v>
      </c>
      <c r="N1200">
        <v>34000</v>
      </c>
      <c r="O1200">
        <v>57000</v>
      </c>
    </row>
    <row r="1201" spans="1:15" x14ac:dyDescent="0.35">
      <c r="A1201" t="s">
        <v>1356</v>
      </c>
      <c r="B1201">
        <v>72384.61538461539</v>
      </c>
      <c r="C1201" t="s">
        <v>1417</v>
      </c>
      <c r="D1201" s="1">
        <v>46020</v>
      </c>
      <c r="E1201" t="s">
        <v>14</v>
      </c>
      <c r="F1201" t="s">
        <v>15</v>
      </c>
      <c r="G1201" t="s">
        <v>22</v>
      </c>
      <c r="H1201" t="s">
        <v>23</v>
      </c>
      <c r="I1201" t="s">
        <v>1355</v>
      </c>
      <c r="J1201" t="s">
        <v>754</v>
      </c>
      <c r="K1201">
        <v>1</v>
      </c>
      <c r="L1201">
        <v>72384.61538461539</v>
      </c>
      <c r="M1201">
        <v>0</v>
      </c>
      <c r="N1201">
        <v>42000</v>
      </c>
      <c r="O1201">
        <v>72384.61538461539</v>
      </c>
    </row>
    <row r="1202" spans="1:15" x14ac:dyDescent="0.35">
      <c r="A1202" t="s">
        <v>1356</v>
      </c>
      <c r="B1202">
        <v>72384.61538461539</v>
      </c>
      <c r="C1202" t="s">
        <v>1418</v>
      </c>
      <c r="D1202" s="1">
        <v>46055</v>
      </c>
      <c r="E1202" t="s">
        <v>49</v>
      </c>
      <c r="F1202" t="s">
        <v>50</v>
      </c>
      <c r="G1202" t="s">
        <v>462</v>
      </c>
      <c r="H1202" t="s">
        <v>58</v>
      </c>
      <c r="I1202" t="s">
        <v>1355</v>
      </c>
      <c r="J1202" t="s">
        <v>754</v>
      </c>
      <c r="K1202">
        <v>1</v>
      </c>
      <c r="L1202">
        <v>68000</v>
      </c>
      <c r="M1202">
        <v>0</v>
      </c>
      <c r="N1202">
        <v>41000</v>
      </c>
      <c r="O1202">
        <v>68000</v>
      </c>
    </row>
    <row r="1203" spans="1:15" x14ac:dyDescent="0.35">
      <c r="A1203" t="s">
        <v>1356</v>
      </c>
      <c r="B1203">
        <v>72384.61538461539</v>
      </c>
      <c r="C1203" t="s">
        <v>1419</v>
      </c>
      <c r="D1203" s="1">
        <v>46057</v>
      </c>
      <c r="E1203" t="s">
        <v>14</v>
      </c>
      <c r="F1203" t="s">
        <v>15</v>
      </c>
      <c r="G1203" t="s">
        <v>164</v>
      </c>
      <c r="H1203" t="s">
        <v>23</v>
      </c>
      <c r="I1203" t="s">
        <v>1355</v>
      </c>
      <c r="J1203" t="s">
        <v>754</v>
      </c>
      <c r="K1203">
        <v>1</v>
      </c>
      <c r="L1203">
        <v>54000</v>
      </c>
      <c r="M1203">
        <v>0</v>
      </c>
      <c r="N1203">
        <v>32000</v>
      </c>
      <c r="O1203">
        <v>54000</v>
      </c>
    </row>
    <row r="1204" spans="1:15" x14ac:dyDescent="0.35">
      <c r="A1204" t="s">
        <v>1356</v>
      </c>
      <c r="B1204">
        <v>72384.61538461539</v>
      </c>
      <c r="C1204" t="s">
        <v>1420</v>
      </c>
      <c r="D1204" s="1">
        <v>46057</v>
      </c>
      <c r="E1204" t="s">
        <v>14</v>
      </c>
      <c r="F1204" t="s">
        <v>15</v>
      </c>
      <c r="G1204" t="s">
        <v>117</v>
      </c>
      <c r="H1204" t="s">
        <v>23</v>
      </c>
      <c r="I1204" t="s">
        <v>1355</v>
      </c>
      <c r="J1204" t="s">
        <v>754</v>
      </c>
      <c r="K1204">
        <v>3</v>
      </c>
      <c r="L1204">
        <v>71000</v>
      </c>
      <c r="M1204">
        <v>0</v>
      </c>
      <c r="N1204">
        <v>43000</v>
      </c>
      <c r="O1204">
        <v>71000</v>
      </c>
    </row>
    <row r="1205" spans="1:15" x14ac:dyDescent="0.35">
      <c r="A1205" t="s">
        <v>1356</v>
      </c>
      <c r="B1205">
        <v>72384.61538461539</v>
      </c>
      <c r="C1205" t="s">
        <v>1421</v>
      </c>
      <c r="D1205" s="1">
        <v>46087</v>
      </c>
      <c r="E1205" t="s">
        <v>49</v>
      </c>
      <c r="F1205" t="s">
        <v>50</v>
      </c>
      <c r="G1205" t="s">
        <v>260</v>
      </c>
      <c r="H1205" t="s">
        <v>23</v>
      </c>
      <c r="I1205" t="s">
        <v>1355</v>
      </c>
      <c r="J1205" t="s">
        <v>754</v>
      </c>
      <c r="K1205">
        <v>1</v>
      </c>
      <c r="L1205">
        <v>90000</v>
      </c>
      <c r="M1205">
        <v>0</v>
      </c>
      <c r="N1205">
        <v>52000</v>
      </c>
      <c r="O1205">
        <v>90000</v>
      </c>
    </row>
    <row r="1206" spans="1:15" x14ac:dyDescent="0.35">
      <c r="A1206" t="s">
        <v>1356</v>
      </c>
      <c r="B1206">
        <v>72384.61538461539</v>
      </c>
      <c r="C1206" t="s">
        <v>1422</v>
      </c>
      <c r="D1206" s="1">
        <v>46106</v>
      </c>
      <c r="E1206" t="s">
        <v>14</v>
      </c>
      <c r="F1206" t="s">
        <v>15</v>
      </c>
      <c r="G1206" t="s">
        <v>43</v>
      </c>
      <c r="H1206" t="s">
        <v>17</v>
      </c>
      <c r="I1206" t="s">
        <v>1355</v>
      </c>
      <c r="J1206" t="s">
        <v>754</v>
      </c>
      <c r="K1206">
        <v>1</v>
      </c>
      <c r="L1206">
        <v>77000</v>
      </c>
      <c r="M1206">
        <v>0.15</v>
      </c>
      <c r="N1206">
        <v>46000</v>
      </c>
      <c r="O1206">
        <v>77000</v>
      </c>
    </row>
    <row r="1207" spans="1:15" x14ac:dyDescent="0.35">
      <c r="A1207" t="s">
        <v>1356</v>
      </c>
      <c r="B1207">
        <v>72384.61538461539</v>
      </c>
      <c r="C1207" t="s">
        <v>1423</v>
      </c>
      <c r="D1207" s="1">
        <v>46124</v>
      </c>
      <c r="E1207" t="s">
        <v>14</v>
      </c>
      <c r="F1207" t="s">
        <v>15</v>
      </c>
      <c r="G1207" t="s">
        <v>524</v>
      </c>
      <c r="H1207" t="s">
        <v>17</v>
      </c>
      <c r="I1207" t="s">
        <v>1355</v>
      </c>
      <c r="J1207" t="s">
        <v>754</v>
      </c>
      <c r="K1207">
        <v>1</v>
      </c>
      <c r="L1207">
        <v>72384.61538461539</v>
      </c>
      <c r="M1207">
        <v>0</v>
      </c>
      <c r="N1207">
        <v>0</v>
      </c>
      <c r="O1207">
        <v>72384.61538461539</v>
      </c>
    </row>
    <row r="1208" spans="1:15" x14ac:dyDescent="0.35">
      <c r="A1208" t="s">
        <v>1356</v>
      </c>
      <c r="B1208">
        <v>72384.61538461539</v>
      </c>
      <c r="C1208" t="s">
        <v>1424</v>
      </c>
      <c r="D1208" s="1">
        <v>46152</v>
      </c>
      <c r="E1208" t="s">
        <v>14</v>
      </c>
      <c r="F1208" t="s">
        <v>15</v>
      </c>
      <c r="G1208" t="s">
        <v>236</v>
      </c>
      <c r="H1208" t="s">
        <v>28</v>
      </c>
      <c r="I1208" t="s">
        <v>1355</v>
      </c>
      <c r="J1208" t="s">
        <v>754</v>
      </c>
      <c r="K1208">
        <v>1</v>
      </c>
      <c r="L1208">
        <v>57000</v>
      </c>
      <c r="M1208">
        <v>0</v>
      </c>
      <c r="N1208">
        <v>35000</v>
      </c>
      <c r="O1208">
        <v>57000</v>
      </c>
    </row>
    <row r="1209" spans="1:15" x14ac:dyDescent="0.35">
      <c r="A1209" t="s">
        <v>1427</v>
      </c>
      <c r="B1209">
        <v>102788.73239436619</v>
      </c>
      <c r="C1209" t="s">
        <v>1425</v>
      </c>
      <c r="D1209" s="1">
        <v>44951</v>
      </c>
      <c r="E1209" t="s">
        <v>41</v>
      </c>
      <c r="F1209" t="s">
        <v>42</v>
      </c>
      <c r="G1209" t="s">
        <v>16</v>
      </c>
      <c r="H1209" t="s">
        <v>17</v>
      </c>
      <c r="I1209" t="s">
        <v>1426</v>
      </c>
      <c r="J1209" t="s">
        <v>754</v>
      </c>
      <c r="K1209">
        <v>1</v>
      </c>
      <c r="L1209">
        <v>95000</v>
      </c>
      <c r="M1209">
        <v>0</v>
      </c>
      <c r="N1209">
        <v>62000</v>
      </c>
      <c r="O1209">
        <v>95000</v>
      </c>
    </row>
    <row r="1210" spans="1:15" x14ac:dyDescent="0.35">
      <c r="A1210" t="s">
        <v>1427</v>
      </c>
      <c r="B1210">
        <v>102788.73239436619</v>
      </c>
      <c r="C1210" t="s">
        <v>1428</v>
      </c>
      <c r="D1210" s="1">
        <v>44968</v>
      </c>
      <c r="E1210" t="s">
        <v>41</v>
      </c>
      <c r="F1210" t="s">
        <v>42</v>
      </c>
      <c r="G1210" t="s">
        <v>456</v>
      </c>
      <c r="H1210" t="s">
        <v>23</v>
      </c>
      <c r="I1210" t="s">
        <v>1426</v>
      </c>
      <c r="J1210" t="s">
        <v>754</v>
      </c>
      <c r="K1210">
        <v>1</v>
      </c>
      <c r="L1210">
        <v>112000</v>
      </c>
      <c r="M1210">
        <v>0</v>
      </c>
      <c r="N1210">
        <v>73000</v>
      </c>
      <c r="O1210">
        <v>112000</v>
      </c>
    </row>
    <row r="1211" spans="1:15" x14ac:dyDescent="0.35">
      <c r="A1211" t="s">
        <v>1427</v>
      </c>
      <c r="B1211">
        <v>102788.73239436619</v>
      </c>
      <c r="C1211" t="s">
        <v>1429</v>
      </c>
      <c r="D1211" s="1">
        <v>44980</v>
      </c>
      <c r="E1211" t="s">
        <v>41</v>
      </c>
      <c r="F1211" t="s">
        <v>42</v>
      </c>
      <c r="G1211" t="s">
        <v>146</v>
      </c>
      <c r="H1211" t="s">
        <v>17</v>
      </c>
      <c r="I1211" t="s">
        <v>1426</v>
      </c>
      <c r="J1211" t="s">
        <v>754</v>
      </c>
      <c r="K1211">
        <v>2</v>
      </c>
      <c r="L1211">
        <v>73000</v>
      </c>
      <c r="M1211">
        <v>0</v>
      </c>
      <c r="N1211">
        <v>46000</v>
      </c>
      <c r="O1211">
        <v>73000</v>
      </c>
    </row>
    <row r="1212" spans="1:15" x14ac:dyDescent="0.35">
      <c r="A1212" t="s">
        <v>1427</v>
      </c>
      <c r="B1212">
        <v>102788.73239436619</v>
      </c>
      <c r="C1212" t="s">
        <v>1430</v>
      </c>
      <c r="D1212" s="1">
        <v>45020</v>
      </c>
      <c r="E1212" t="s">
        <v>25</v>
      </c>
      <c r="F1212" t="s">
        <v>26</v>
      </c>
      <c r="G1212" t="s">
        <v>83</v>
      </c>
      <c r="H1212" t="s">
        <v>23</v>
      </c>
      <c r="I1212" t="s">
        <v>1426</v>
      </c>
      <c r="J1212" t="s">
        <v>754</v>
      </c>
      <c r="K1212">
        <v>1</v>
      </c>
      <c r="L1212">
        <v>118000</v>
      </c>
      <c r="M1212">
        <v>0</v>
      </c>
      <c r="N1212">
        <v>79000</v>
      </c>
      <c r="O1212">
        <v>118000</v>
      </c>
    </row>
    <row r="1213" spans="1:15" x14ac:dyDescent="0.35">
      <c r="A1213" t="s">
        <v>1427</v>
      </c>
      <c r="B1213">
        <v>102788.73239436619</v>
      </c>
      <c r="C1213" t="s">
        <v>1431</v>
      </c>
      <c r="D1213" s="1">
        <v>45029</v>
      </c>
      <c r="E1213" t="s">
        <v>36</v>
      </c>
      <c r="F1213" t="s">
        <v>37</v>
      </c>
      <c r="G1213" t="s">
        <v>168</v>
      </c>
      <c r="H1213" t="s">
        <v>23</v>
      </c>
      <c r="I1213" t="s">
        <v>1426</v>
      </c>
      <c r="J1213" t="s">
        <v>754</v>
      </c>
      <c r="K1213">
        <v>2</v>
      </c>
      <c r="L1213">
        <v>67000</v>
      </c>
      <c r="M1213">
        <v>0</v>
      </c>
      <c r="N1213">
        <v>43000</v>
      </c>
      <c r="O1213">
        <v>67000</v>
      </c>
    </row>
    <row r="1214" spans="1:15" x14ac:dyDescent="0.35">
      <c r="A1214" t="s">
        <v>1427</v>
      </c>
      <c r="B1214">
        <v>102788.73239436619</v>
      </c>
      <c r="C1214" t="s">
        <v>1432</v>
      </c>
      <c r="D1214" s="1">
        <v>45033</v>
      </c>
      <c r="E1214" t="s">
        <v>14</v>
      </c>
      <c r="F1214" t="s">
        <v>15</v>
      </c>
      <c r="G1214" t="s">
        <v>61</v>
      </c>
      <c r="H1214" t="s">
        <v>23</v>
      </c>
      <c r="I1214" t="s">
        <v>1426</v>
      </c>
      <c r="J1214" t="s">
        <v>754</v>
      </c>
      <c r="K1214">
        <v>1</v>
      </c>
      <c r="L1214">
        <v>104000</v>
      </c>
      <c r="M1214">
        <v>0</v>
      </c>
      <c r="N1214">
        <v>66000</v>
      </c>
      <c r="O1214">
        <v>104000</v>
      </c>
    </row>
    <row r="1215" spans="1:15" x14ac:dyDescent="0.35">
      <c r="A1215" t="s">
        <v>1427</v>
      </c>
      <c r="B1215">
        <v>102788.73239436619</v>
      </c>
      <c r="C1215" t="s">
        <v>1433</v>
      </c>
      <c r="D1215" s="1">
        <v>45034</v>
      </c>
      <c r="E1215" t="s">
        <v>14</v>
      </c>
      <c r="F1215" t="s">
        <v>15</v>
      </c>
      <c r="G1215" t="s">
        <v>242</v>
      </c>
      <c r="H1215" t="s">
        <v>17</v>
      </c>
      <c r="I1215" t="s">
        <v>1426</v>
      </c>
      <c r="J1215" t="s">
        <v>754</v>
      </c>
      <c r="K1215">
        <v>1</v>
      </c>
      <c r="L1215">
        <v>66000</v>
      </c>
      <c r="M1215">
        <v>0</v>
      </c>
      <c r="N1215">
        <v>42000</v>
      </c>
      <c r="O1215">
        <v>66000</v>
      </c>
    </row>
    <row r="1216" spans="1:15" x14ac:dyDescent="0.35">
      <c r="A1216" t="s">
        <v>1427</v>
      </c>
      <c r="B1216">
        <v>102788.73239436619</v>
      </c>
      <c r="C1216" t="s">
        <v>1434</v>
      </c>
      <c r="D1216" s="1">
        <v>45039</v>
      </c>
      <c r="E1216" t="s">
        <v>36</v>
      </c>
      <c r="F1216" t="s">
        <v>37</v>
      </c>
      <c r="G1216" t="s">
        <v>333</v>
      </c>
      <c r="H1216" t="s">
        <v>17</v>
      </c>
      <c r="I1216" t="s">
        <v>1426</v>
      </c>
      <c r="J1216" t="s">
        <v>754</v>
      </c>
      <c r="K1216">
        <v>2</v>
      </c>
      <c r="L1216">
        <v>51000</v>
      </c>
      <c r="M1216">
        <v>0</v>
      </c>
      <c r="N1216">
        <v>34000</v>
      </c>
      <c r="O1216">
        <v>51000</v>
      </c>
    </row>
    <row r="1217" spans="1:15" x14ac:dyDescent="0.35">
      <c r="A1217" t="s">
        <v>1427</v>
      </c>
      <c r="B1217">
        <v>102788.73239436619</v>
      </c>
      <c r="C1217" t="s">
        <v>1435</v>
      </c>
      <c r="D1217" s="1">
        <v>45042</v>
      </c>
      <c r="E1217" t="s">
        <v>36</v>
      </c>
      <c r="F1217" t="s">
        <v>37</v>
      </c>
      <c r="G1217" t="s">
        <v>517</v>
      </c>
      <c r="H1217" t="s">
        <v>23</v>
      </c>
      <c r="I1217" t="s">
        <v>1426</v>
      </c>
      <c r="J1217" t="s">
        <v>754</v>
      </c>
      <c r="K1217">
        <v>2</v>
      </c>
      <c r="L1217">
        <v>102000</v>
      </c>
      <c r="M1217">
        <v>0</v>
      </c>
      <c r="N1217">
        <v>68000</v>
      </c>
      <c r="O1217">
        <v>102000</v>
      </c>
    </row>
    <row r="1218" spans="1:15" x14ac:dyDescent="0.35">
      <c r="A1218" t="s">
        <v>1427</v>
      </c>
      <c r="B1218">
        <v>102788.73239436619</v>
      </c>
      <c r="C1218" t="s">
        <v>1436</v>
      </c>
      <c r="D1218" s="1">
        <v>45100</v>
      </c>
      <c r="E1218" t="s">
        <v>49</v>
      </c>
      <c r="F1218" t="s">
        <v>50</v>
      </c>
      <c r="G1218" t="s">
        <v>366</v>
      </c>
      <c r="H1218" t="s">
        <v>58</v>
      </c>
      <c r="I1218" t="s">
        <v>1426</v>
      </c>
      <c r="J1218" t="s">
        <v>754</v>
      </c>
      <c r="K1218">
        <v>3</v>
      </c>
      <c r="L1218">
        <v>107000</v>
      </c>
      <c r="M1218">
        <v>0</v>
      </c>
      <c r="N1218">
        <v>70000</v>
      </c>
      <c r="O1218">
        <v>107000</v>
      </c>
    </row>
    <row r="1219" spans="1:15" x14ac:dyDescent="0.35">
      <c r="A1219" t="s">
        <v>1427</v>
      </c>
      <c r="B1219">
        <v>102788.73239436619</v>
      </c>
      <c r="C1219" t="s">
        <v>1437</v>
      </c>
      <c r="D1219" s="1">
        <v>45109</v>
      </c>
      <c r="E1219" t="s">
        <v>49</v>
      </c>
      <c r="F1219" t="s">
        <v>50</v>
      </c>
      <c r="G1219" t="s">
        <v>186</v>
      </c>
      <c r="H1219" t="s">
        <v>23</v>
      </c>
      <c r="I1219" t="s">
        <v>1426</v>
      </c>
      <c r="J1219" t="s">
        <v>754</v>
      </c>
      <c r="K1219">
        <v>1</v>
      </c>
      <c r="L1219">
        <v>147000</v>
      </c>
      <c r="M1219">
        <v>0.05</v>
      </c>
      <c r="N1219">
        <v>93000</v>
      </c>
      <c r="O1219">
        <v>147000</v>
      </c>
    </row>
    <row r="1220" spans="1:15" x14ac:dyDescent="0.35">
      <c r="A1220" t="s">
        <v>1427</v>
      </c>
      <c r="B1220">
        <v>102788.73239436619</v>
      </c>
      <c r="C1220" t="s">
        <v>1438</v>
      </c>
      <c r="D1220" s="1">
        <v>45109</v>
      </c>
      <c r="E1220" t="s">
        <v>49</v>
      </c>
      <c r="F1220" t="s">
        <v>50</v>
      </c>
      <c r="G1220" t="s">
        <v>214</v>
      </c>
      <c r="H1220" t="s">
        <v>23</v>
      </c>
      <c r="I1220" t="s">
        <v>1426</v>
      </c>
      <c r="J1220" t="s">
        <v>754</v>
      </c>
      <c r="K1220">
        <v>1</v>
      </c>
      <c r="L1220">
        <v>146000</v>
      </c>
      <c r="M1220">
        <v>0</v>
      </c>
      <c r="N1220">
        <v>93000</v>
      </c>
      <c r="O1220">
        <v>146000</v>
      </c>
    </row>
    <row r="1221" spans="1:15" x14ac:dyDescent="0.35">
      <c r="A1221" t="s">
        <v>1427</v>
      </c>
      <c r="B1221">
        <v>102788.73239436619</v>
      </c>
      <c r="C1221" t="s">
        <v>1439</v>
      </c>
      <c r="D1221" s="1">
        <v>45126</v>
      </c>
      <c r="E1221" t="s">
        <v>25</v>
      </c>
      <c r="F1221" t="s">
        <v>26</v>
      </c>
      <c r="G1221" t="s">
        <v>113</v>
      </c>
      <c r="H1221" t="s">
        <v>23</v>
      </c>
      <c r="I1221" t="s">
        <v>1426</v>
      </c>
      <c r="J1221" t="s">
        <v>754</v>
      </c>
      <c r="K1221">
        <v>3</v>
      </c>
      <c r="L1221">
        <v>134000</v>
      </c>
      <c r="M1221">
        <v>0.05</v>
      </c>
      <c r="N1221">
        <v>87000</v>
      </c>
      <c r="O1221">
        <v>134000</v>
      </c>
    </row>
    <row r="1222" spans="1:15" x14ac:dyDescent="0.35">
      <c r="A1222" t="s">
        <v>1427</v>
      </c>
      <c r="B1222">
        <v>102788.73239436619</v>
      </c>
      <c r="C1222" t="s">
        <v>1440</v>
      </c>
      <c r="D1222" s="1">
        <v>45128</v>
      </c>
      <c r="E1222" t="s">
        <v>14</v>
      </c>
      <c r="F1222" t="s">
        <v>15</v>
      </c>
      <c r="G1222" t="s">
        <v>352</v>
      </c>
      <c r="H1222" t="s">
        <v>23</v>
      </c>
      <c r="I1222" t="s">
        <v>1426</v>
      </c>
      <c r="J1222" t="s">
        <v>754</v>
      </c>
      <c r="K1222">
        <v>1</v>
      </c>
      <c r="L1222">
        <v>126000</v>
      </c>
      <c r="M1222">
        <v>0</v>
      </c>
      <c r="N1222">
        <v>82000</v>
      </c>
      <c r="O1222">
        <v>126000</v>
      </c>
    </row>
    <row r="1223" spans="1:15" x14ac:dyDescent="0.35">
      <c r="A1223" t="s">
        <v>1427</v>
      </c>
      <c r="B1223">
        <v>102788.73239436619</v>
      </c>
      <c r="C1223" t="s">
        <v>1441</v>
      </c>
      <c r="D1223" s="1">
        <v>45150</v>
      </c>
      <c r="E1223" t="s">
        <v>36</v>
      </c>
      <c r="F1223" t="s">
        <v>37</v>
      </c>
      <c r="G1223" t="s">
        <v>270</v>
      </c>
      <c r="H1223" t="s">
        <v>23</v>
      </c>
      <c r="I1223" t="s">
        <v>1426</v>
      </c>
      <c r="J1223" t="s">
        <v>754</v>
      </c>
      <c r="K1223">
        <v>1</v>
      </c>
      <c r="L1223">
        <v>80000</v>
      </c>
      <c r="M1223">
        <v>0</v>
      </c>
      <c r="N1223">
        <v>51000</v>
      </c>
      <c r="O1223">
        <v>80000</v>
      </c>
    </row>
    <row r="1224" spans="1:15" x14ac:dyDescent="0.35">
      <c r="A1224" t="s">
        <v>1427</v>
      </c>
      <c r="B1224">
        <v>102788.73239436619</v>
      </c>
      <c r="C1224" t="s">
        <v>1442</v>
      </c>
      <c r="D1224" s="1">
        <v>45166</v>
      </c>
      <c r="E1224" t="s">
        <v>14</v>
      </c>
      <c r="F1224" t="s">
        <v>15</v>
      </c>
      <c r="G1224" t="s">
        <v>394</v>
      </c>
      <c r="H1224" t="s">
        <v>23</v>
      </c>
      <c r="I1224" t="s">
        <v>1426</v>
      </c>
      <c r="J1224" t="s">
        <v>754</v>
      </c>
      <c r="K1224">
        <v>1</v>
      </c>
      <c r="L1224">
        <v>57000</v>
      </c>
      <c r="M1224">
        <v>0.05</v>
      </c>
      <c r="N1224">
        <v>36000</v>
      </c>
      <c r="O1224">
        <v>57000</v>
      </c>
    </row>
    <row r="1225" spans="1:15" x14ac:dyDescent="0.35">
      <c r="A1225" t="s">
        <v>1427</v>
      </c>
      <c r="B1225">
        <v>102788.73239436619</v>
      </c>
      <c r="C1225" t="s">
        <v>1443</v>
      </c>
      <c r="D1225" s="1">
        <v>45179</v>
      </c>
      <c r="E1225" t="s">
        <v>14</v>
      </c>
      <c r="F1225" t="s">
        <v>15</v>
      </c>
      <c r="G1225" t="s">
        <v>741</v>
      </c>
      <c r="H1225" t="s">
        <v>23</v>
      </c>
      <c r="I1225" t="s">
        <v>1426</v>
      </c>
      <c r="J1225" t="s">
        <v>754</v>
      </c>
      <c r="K1225">
        <v>2</v>
      </c>
      <c r="L1225">
        <v>102788.73239436619</v>
      </c>
      <c r="M1225">
        <v>0</v>
      </c>
      <c r="N1225">
        <v>65000</v>
      </c>
      <c r="O1225">
        <v>102788.73239436619</v>
      </c>
    </row>
    <row r="1226" spans="1:15" x14ac:dyDescent="0.35">
      <c r="A1226" t="s">
        <v>1427</v>
      </c>
      <c r="B1226">
        <v>102788.73239436619</v>
      </c>
      <c r="C1226" t="s">
        <v>1444</v>
      </c>
      <c r="D1226" s="1">
        <v>45190</v>
      </c>
      <c r="E1226" t="s">
        <v>41</v>
      </c>
      <c r="F1226" t="s">
        <v>42</v>
      </c>
      <c r="G1226" t="s">
        <v>258</v>
      </c>
      <c r="H1226" t="s">
        <v>23</v>
      </c>
      <c r="I1226" t="s">
        <v>1426</v>
      </c>
      <c r="J1226" t="s">
        <v>754</v>
      </c>
      <c r="K1226">
        <v>1</v>
      </c>
      <c r="L1226">
        <v>91000</v>
      </c>
      <c r="M1226">
        <v>0</v>
      </c>
      <c r="N1226">
        <v>59000</v>
      </c>
      <c r="O1226">
        <v>91000</v>
      </c>
    </row>
    <row r="1227" spans="1:15" x14ac:dyDescent="0.35">
      <c r="A1227" t="s">
        <v>1427</v>
      </c>
      <c r="B1227">
        <v>102788.73239436619</v>
      </c>
      <c r="C1227" t="s">
        <v>1445</v>
      </c>
      <c r="D1227" s="1">
        <v>45199</v>
      </c>
      <c r="E1227" t="s">
        <v>41</v>
      </c>
      <c r="F1227" t="s">
        <v>42</v>
      </c>
      <c r="G1227" t="s">
        <v>34</v>
      </c>
      <c r="H1227" t="s">
        <v>17</v>
      </c>
      <c r="I1227" t="s">
        <v>1426</v>
      </c>
      <c r="J1227" t="s">
        <v>754</v>
      </c>
      <c r="K1227">
        <v>1</v>
      </c>
      <c r="L1227">
        <v>51000</v>
      </c>
      <c r="M1227">
        <v>0</v>
      </c>
      <c r="N1227">
        <v>32000</v>
      </c>
      <c r="O1227">
        <v>51000</v>
      </c>
    </row>
    <row r="1228" spans="1:15" x14ac:dyDescent="0.35">
      <c r="A1228" t="s">
        <v>1427</v>
      </c>
      <c r="B1228">
        <v>102788.73239436619</v>
      </c>
      <c r="C1228" t="s">
        <v>1446</v>
      </c>
      <c r="D1228" s="1">
        <v>45211</v>
      </c>
      <c r="E1228" t="s">
        <v>41</v>
      </c>
      <c r="F1228" t="s">
        <v>42</v>
      </c>
      <c r="G1228" t="s">
        <v>335</v>
      </c>
      <c r="H1228" t="s">
        <v>23</v>
      </c>
      <c r="I1228" t="s">
        <v>1426</v>
      </c>
      <c r="J1228" t="s">
        <v>754</v>
      </c>
      <c r="K1228">
        <v>1</v>
      </c>
      <c r="L1228">
        <v>85000</v>
      </c>
      <c r="M1228">
        <v>0</v>
      </c>
      <c r="N1228">
        <v>55000</v>
      </c>
      <c r="O1228">
        <v>85000</v>
      </c>
    </row>
    <row r="1229" spans="1:15" x14ac:dyDescent="0.35">
      <c r="A1229" t="s">
        <v>1427</v>
      </c>
      <c r="B1229">
        <v>102788.73239436619</v>
      </c>
      <c r="C1229" t="s">
        <v>1447</v>
      </c>
      <c r="D1229" s="1">
        <v>45231</v>
      </c>
      <c r="E1229" t="s">
        <v>14</v>
      </c>
      <c r="F1229" t="s">
        <v>15</v>
      </c>
      <c r="G1229" t="s">
        <v>402</v>
      </c>
      <c r="H1229" t="s">
        <v>23</v>
      </c>
      <c r="I1229" t="s">
        <v>1426</v>
      </c>
      <c r="J1229" t="s">
        <v>754</v>
      </c>
      <c r="K1229">
        <v>1</v>
      </c>
      <c r="L1229">
        <v>67000</v>
      </c>
      <c r="M1229">
        <v>0</v>
      </c>
      <c r="N1229">
        <v>45000</v>
      </c>
      <c r="O1229">
        <v>67000</v>
      </c>
    </row>
    <row r="1230" spans="1:15" x14ac:dyDescent="0.35">
      <c r="A1230" t="s">
        <v>1427</v>
      </c>
      <c r="B1230">
        <v>102788.73239436619</v>
      </c>
      <c r="C1230" t="s">
        <v>1448</v>
      </c>
      <c r="D1230" s="1">
        <v>45335</v>
      </c>
      <c r="E1230" t="s">
        <v>14</v>
      </c>
      <c r="F1230" t="s">
        <v>15</v>
      </c>
      <c r="G1230" t="s">
        <v>287</v>
      </c>
      <c r="H1230" t="s">
        <v>28</v>
      </c>
      <c r="I1230" t="s">
        <v>1426</v>
      </c>
      <c r="J1230" t="s">
        <v>754</v>
      </c>
      <c r="K1230">
        <v>2</v>
      </c>
      <c r="L1230">
        <v>120000</v>
      </c>
      <c r="M1230">
        <v>0.05</v>
      </c>
      <c r="N1230">
        <v>76000</v>
      </c>
      <c r="O1230">
        <v>120000</v>
      </c>
    </row>
    <row r="1231" spans="1:15" x14ac:dyDescent="0.35">
      <c r="A1231" t="s">
        <v>1427</v>
      </c>
      <c r="B1231">
        <v>102788.73239436619</v>
      </c>
      <c r="C1231" t="s">
        <v>1449</v>
      </c>
      <c r="D1231" s="1">
        <v>45343</v>
      </c>
      <c r="E1231" t="s">
        <v>36</v>
      </c>
      <c r="F1231" t="s">
        <v>37</v>
      </c>
      <c r="G1231" t="s">
        <v>16</v>
      </c>
      <c r="H1231" t="s">
        <v>17</v>
      </c>
      <c r="I1231" t="s">
        <v>1426</v>
      </c>
      <c r="J1231" t="s">
        <v>754</v>
      </c>
      <c r="K1231">
        <v>1</v>
      </c>
      <c r="L1231">
        <v>116000</v>
      </c>
      <c r="M1231">
        <v>0</v>
      </c>
      <c r="N1231">
        <v>78000</v>
      </c>
      <c r="O1231">
        <v>116000</v>
      </c>
    </row>
    <row r="1232" spans="1:15" x14ac:dyDescent="0.35">
      <c r="A1232" t="s">
        <v>1427</v>
      </c>
      <c r="B1232">
        <v>102788.73239436619</v>
      </c>
      <c r="C1232" t="s">
        <v>1450</v>
      </c>
      <c r="D1232" s="1">
        <v>45376</v>
      </c>
      <c r="E1232" t="s">
        <v>25</v>
      </c>
      <c r="F1232" t="s">
        <v>26</v>
      </c>
      <c r="G1232" t="s">
        <v>359</v>
      </c>
      <c r="H1232" t="s">
        <v>23</v>
      </c>
      <c r="I1232" t="s">
        <v>1426</v>
      </c>
      <c r="J1232" t="s">
        <v>754</v>
      </c>
      <c r="K1232">
        <v>1</v>
      </c>
      <c r="L1232">
        <v>58000</v>
      </c>
      <c r="M1232">
        <v>0</v>
      </c>
      <c r="N1232">
        <v>37000</v>
      </c>
      <c r="O1232">
        <v>58000</v>
      </c>
    </row>
    <row r="1233" spans="1:15" x14ac:dyDescent="0.35">
      <c r="A1233" t="s">
        <v>1427</v>
      </c>
      <c r="B1233">
        <v>102788.73239436619</v>
      </c>
      <c r="C1233" t="s">
        <v>1451</v>
      </c>
      <c r="D1233" s="1">
        <v>45384</v>
      </c>
      <c r="E1233" t="s">
        <v>14</v>
      </c>
      <c r="F1233" t="s">
        <v>15</v>
      </c>
      <c r="G1233" t="s">
        <v>30</v>
      </c>
      <c r="H1233" t="s">
        <v>23</v>
      </c>
      <c r="I1233" t="s">
        <v>1426</v>
      </c>
      <c r="J1233" t="s">
        <v>754</v>
      </c>
      <c r="K1233">
        <v>1</v>
      </c>
      <c r="L1233">
        <v>79000</v>
      </c>
      <c r="M1233">
        <v>0.05</v>
      </c>
      <c r="N1233">
        <v>53000</v>
      </c>
      <c r="O1233">
        <v>79000</v>
      </c>
    </row>
    <row r="1234" spans="1:15" x14ac:dyDescent="0.35">
      <c r="A1234" t="s">
        <v>1427</v>
      </c>
      <c r="B1234">
        <v>102788.73239436619</v>
      </c>
      <c r="C1234" t="s">
        <v>1452</v>
      </c>
      <c r="D1234" s="1">
        <v>45386</v>
      </c>
      <c r="E1234" t="s">
        <v>14</v>
      </c>
      <c r="F1234" t="s">
        <v>15</v>
      </c>
      <c r="G1234" t="s">
        <v>319</v>
      </c>
      <c r="H1234" t="s">
        <v>23</v>
      </c>
      <c r="I1234" t="s">
        <v>1426</v>
      </c>
      <c r="J1234" t="s">
        <v>754</v>
      </c>
      <c r="K1234">
        <v>1</v>
      </c>
      <c r="L1234">
        <v>102788.73239436619</v>
      </c>
      <c r="M1234">
        <v>0</v>
      </c>
      <c r="N1234">
        <v>65000</v>
      </c>
      <c r="O1234">
        <v>102788.73239436619</v>
      </c>
    </row>
    <row r="1235" spans="1:15" x14ac:dyDescent="0.35">
      <c r="A1235" t="s">
        <v>1427</v>
      </c>
      <c r="B1235">
        <v>102788.73239436619</v>
      </c>
      <c r="C1235" t="s">
        <v>1453</v>
      </c>
      <c r="D1235" s="1">
        <v>45417</v>
      </c>
      <c r="E1235" t="s">
        <v>25</v>
      </c>
      <c r="F1235" t="s">
        <v>26</v>
      </c>
      <c r="G1235" t="s">
        <v>323</v>
      </c>
      <c r="H1235" t="s">
        <v>28</v>
      </c>
      <c r="I1235" t="s">
        <v>1426</v>
      </c>
      <c r="J1235" t="s">
        <v>754</v>
      </c>
      <c r="K1235">
        <v>1</v>
      </c>
      <c r="L1235">
        <v>132000</v>
      </c>
      <c r="M1235">
        <v>0</v>
      </c>
      <c r="N1235">
        <v>87000</v>
      </c>
      <c r="O1235">
        <v>132000</v>
      </c>
    </row>
    <row r="1236" spans="1:15" x14ac:dyDescent="0.35">
      <c r="A1236" t="s">
        <v>1427</v>
      </c>
      <c r="B1236">
        <v>102788.73239436619</v>
      </c>
      <c r="C1236" t="s">
        <v>1454</v>
      </c>
      <c r="D1236" s="1">
        <v>45419</v>
      </c>
      <c r="E1236" t="s">
        <v>41</v>
      </c>
      <c r="F1236" t="s">
        <v>42</v>
      </c>
      <c r="G1236" t="s">
        <v>413</v>
      </c>
      <c r="H1236" t="s">
        <v>23</v>
      </c>
      <c r="I1236" t="s">
        <v>1426</v>
      </c>
      <c r="J1236" t="s">
        <v>754</v>
      </c>
      <c r="K1236">
        <v>3</v>
      </c>
      <c r="L1236">
        <v>81000</v>
      </c>
      <c r="M1236">
        <v>0</v>
      </c>
      <c r="N1236">
        <v>52000</v>
      </c>
      <c r="O1236">
        <v>81000</v>
      </c>
    </row>
    <row r="1237" spans="1:15" x14ac:dyDescent="0.35">
      <c r="A1237" t="s">
        <v>1427</v>
      </c>
      <c r="B1237">
        <v>102788.73239436619</v>
      </c>
      <c r="C1237" t="s">
        <v>1455</v>
      </c>
      <c r="D1237" s="1">
        <v>45482</v>
      </c>
      <c r="E1237" t="s">
        <v>41</v>
      </c>
      <c r="F1237" t="s">
        <v>42</v>
      </c>
      <c r="G1237" t="s">
        <v>239</v>
      </c>
      <c r="H1237" t="s">
        <v>23</v>
      </c>
      <c r="I1237" t="s">
        <v>1426</v>
      </c>
      <c r="J1237" t="s">
        <v>754</v>
      </c>
      <c r="K1237">
        <v>2</v>
      </c>
      <c r="L1237">
        <v>144000</v>
      </c>
      <c r="M1237">
        <v>0</v>
      </c>
      <c r="N1237">
        <v>93000</v>
      </c>
      <c r="O1237">
        <v>144000</v>
      </c>
    </row>
    <row r="1238" spans="1:15" x14ac:dyDescent="0.35">
      <c r="A1238" t="s">
        <v>1427</v>
      </c>
      <c r="B1238">
        <v>102788.73239436619</v>
      </c>
      <c r="C1238" t="s">
        <v>1456</v>
      </c>
      <c r="D1238" s="1">
        <v>45501</v>
      </c>
      <c r="E1238" t="s">
        <v>25</v>
      </c>
      <c r="F1238" t="s">
        <v>26</v>
      </c>
      <c r="G1238" t="s">
        <v>193</v>
      </c>
      <c r="H1238" t="s">
        <v>23</v>
      </c>
      <c r="I1238" t="s">
        <v>1426</v>
      </c>
      <c r="J1238" t="s">
        <v>754</v>
      </c>
      <c r="K1238">
        <v>1</v>
      </c>
      <c r="L1238">
        <v>98000</v>
      </c>
      <c r="M1238">
        <v>0</v>
      </c>
      <c r="N1238">
        <v>63000</v>
      </c>
      <c r="O1238">
        <v>98000</v>
      </c>
    </row>
    <row r="1239" spans="1:15" x14ac:dyDescent="0.35">
      <c r="A1239" t="s">
        <v>1427</v>
      </c>
      <c r="B1239">
        <v>102788.73239436619</v>
      </c>
      <c r="C1239" t="s">
        <v>1457</v>
      </c>
      <c r="D1239" s="1">
        <v>45523</v>
      </c>
      <c r="E1239" t="s">
        <v>41</v>
      </c>
      <c r="F1239" t="s">
        <v>42</v>
      </c>
      <c r="G1239" t="s">
        <v>27</v>
      </c>
      <c r="H1239" t="s">
        <v>28</v>
      </c>
      <c r="I1239" t="s">
        <v>1426</v>
      </c>
      <c r="J1239" t="s">
        <v>754</v>
      </c>
      <c r="K1239">
        <v>2</v>
      </c>
      <c r="L1239">
        <v>156000</v>
      </c>
      <c r="M1239">
        <v>0</v>
      </c>
      <c r="N1239">
        <v>104000</v>
      </c>
      <c r="O1239">
        <v>156000</v>
      </c>
    </row>
    <row r="1240" spans="1:15" x14ac:dyDescent="0.35">
      <c r="A1240" t="s">
        <v>1427</v>
      </c>
      <c r="B1240">
        <v>102788.73239436619</v>
      </c>
      <c r="C1240" t="s">
        <v>1458</v>
      </c>
      <c r="D1240" s="1">
        <v>45527</v>
      </c>
      <c r="E1240" t="s">
        <v>36</v>
      </c>
      <c r="F1240" t="s">
        <v>37</v>
      </c>
      <c r="G1240" t="s">
        <v>212</v>
      </c>
      <c r="H1240" t="s">
        <v>28</v>
      </c>
      <c r="I1240" t="s">
        <v>1426</v>
      </c>
      <c r="J1240" t="s">
        <v>754</v>
      </c>
      <c r="K1240">
        <v>1</v>
      </c>
      <c r="L1240">
        <v>115000</v>
      </c>
      <c r="M1240">
        <v>0</v>
      </c>
      <c r="N1240">
        <v>75000</v>
      </c>
      <c r="O1240">
        <v>115000</v>
      </c>
    </row>
    <row r="1241" spans="1:15" x14ac:dyDescent="0.35">
      <c r="A1241" t="s">
        <v>1427</v>
      </c>
      <c r="B1241">
        <v>102788.73239436619</v>
      </c>
      <c r="C1241" t="s">
        <v>1459</v>
      </c>
      <c r="D1241" s="1">
        <v>45538</v>
      </c>
      <c r="E1241" t="s">
        <v>36</v>
      </c>
      <c r="F1241" t="s">
        <v>37</v>
      </c>
      <c r="G1241" t="s">
        <v>337</v>
      </c>
      <c r="H1241" t="s">
        <v>23</v>
      </c>
      <c r="I1241" t="s">
        <v>1426</v>
      </c>
      <c r="J1241" t="s">
        <v>754</v>
      </c>
      <c r="K1241">
        <v>2</v>
      </c>
      <c r="L1241">
        <v>66000</v>
      </c>
      <c r="M1241">
        <v>0</v>
      </c>
      <c r="N1241">
        <v>42000</v>
      </c>
      <c r="O1241">
        <v>66000</v>
      </c>
    </row>
    <row r="1242" spans="1:15" x14ac:dyDescent="0.35">
      <c r="A1242" t="s">
        <v>1427</v>
      </c>
      <c r="B1242">
        <v>102788.73239436619</v>
      </c>
      <c r="C1242" t="s">
        <v>1460</v>
      </c>
      <c r="D1242" s="1">
        <v>45544</v>
      </c>
      <c r="E1242" t="s">
        <v>36</v>
      </c>
      <c r="F1242" t="s">
        <v>37</v>
      </c>
      <c r="G1242" t="s">
        <v>39</v>
      </c>
      <c r="H1242" t="s">
        <v>23</v>
      </c>
      <c r="I1242" t="s">
        <v>1426</v>
      </c>
      <c r="J1242" t="s">
        <v>754</v>
      </c>
      <c r="K1242">
        <v>1</v>
      </c>
      <c r="L1242">
        <v>60000</v>
      </c>
      <c r="M1242">
        <v>0.1</v>
      </c>
      <c r="N1242">
        <v>38000</v>
      </c>
      <c r="O1242">
        <v>60000</v>
      </c>
    </row>
    <row r="1243" spans="1:15" x14ac:dyDescent="0.35">
      <c r="A1243" t="s">
        <v>1427</v>
      </c>
      <c r="B1243">
        <v>102788.73239436619</v>
      </c>
      <c r="C1243" t="s">
        <v>1461</v>
      </c>
      <c r="D1243" s="1">
        <v>45546</v>
      </c>
      <c r="E1243" t="s">
        <v>14</v>
      </c>
      <c r="F1243" t="s">
        <v>15</v>
      </c>
      <c r="G1243" t="s">
        <v>65</v>
      </c>
      <c r="H1243" t="s">
        <v>17</v>
      </c>
      <c r="I1243" t="s">
        <v>1426</v>
      </c>
      <c r="J1243" t="s">
        <v>754</v>
      </c>
      <c r="K1243">
        <v>2</v>
      </c>
      <c r="L1243">
        <v>89000</v>
      </c>
      <c r="M1243">
        <v>0.05</v>
      </c>
      <c r="N1243">
        <v>59000</v>
      </c>
      <c r="O1243">
        <v>89000</v>
      </c>
    </row>
    <row r="1244" spans="1:15" x14ac:dyDescent="0.35">
      <c r="A1244" t="s">
        <v>1427</v>
      </c>
      <c r="B1244">
        <v>102788.73239436619</v>
      </c>
      <c r="C1244" t="s">
        <v>1462</v>
      </c>
      <c r="D1244" s="1">
        <v>45582</v>
      </c>
      <c r="E1244" t="s">
        <v>14</v>
      </c>
      <c r="F1244" t="s">
        <v>15</v>
      </c>
      <c r="G1244" t="s">
        <v>258</v>
      </c>
      <c r="H1244" t="s">
        <v>23</v>
      </c>
      <c r="I1244" t="s">
        <v>1426</v>
      </c>
      <c r="J1244" t="s">
        <v>754</v>
      </c>
      <c r="K1244">
        <v>2</v>
      </c>
      <c r="L1244">
        <v>133000</v>
      </c>
      <c r="M1244">
        <v>0</v>
      </c>
      <c r="N1244">
        <v>89000</v>
      </c>
      <c r="O1244">
        <v>133000</v>
      </c>
    </row>
    <row r="1245" spans="1:15" x14ac:dyDescent="0.35">
      <c r="A1245" t="s">
        <v>1427</v>
      </c>
      <c r="B1245">
        <v>102788.73239436619</v>
      </c>
      <c r="C1245" t="s">
        <v>1463</v>
      </c>
      <c r="D1245" s="1">
        <v>45634</v>
      </c>
      <c r="E1245" t="s">
        <v>14</v>
      </c>
      <c r="F1245" t="s">
        <v>15</v>
      </c>
      <c r="G1245" t="s">
        <v>378</v>
      </c>
      <c r="H1245" t="s">
        <v>23</v>
      </c>
      <c r="I1245" t="s">
        <v>1426</v>
      </c>
      <c r="J1245" t="s">
        <v>754</v>
      </c>
      <c r="K1245">
        <v>1</v>
      </c>
      <c r="L1245">
        <v>109000</v>
      </c>
      <c r="M1245">
        <v>0.1</v>
      </c>
      <c r="N1245">
        <v>70000</v>
      </c>
      <c r="O1245">
        <v>109000</v>
      </c>
    </row>
    <row r="1246" spans="1:15" x14ac:dyDescent="0.35">
      <c r="A1246" t="s">
        <v>1427</v>
      </c>
      <c r="B1246">
        <v>102788.73239436619</v>
      </c>
      <c r="C1246" t="s">
        <v>1464</v>
      </c>
      <c r="D1246" s="1">
        <v>45642</v>
      </c>
      <c r="E1246" t="s">
        <v>49</v>
      </c>
      <c r="F1246" t="s">
        <v>50</v>
      </c>
      <c r="G1246" t="s">
        <v>456</v>
      </c>
      <c r="H1246" t="s">
        <v>23</v>
      </c>
      <c r="I1246" t="s">
        <v>1426</v>
      </c>
      <c r="J1246" t="s">
        <v>754</v>
      </c>
      <c r="K1246">
        <v>3</v>
      </c>
      <c r="L1246">
        <v>94000</v>
      </c>
      <c r="M1246">
        <v>0</v>
      </c>
      <c r="N1246">
        <v>61000</v>
      </c>
      <c r="O1246">
        <v>94000</v>
      </c>
    </row>
    <row r="1247" spans="1:15" x14ac:dyDescent="0.35">
      <c r="A1247" t="s">
        <v>1427</v>
      </c>
      <c r="B1247">
        <v>102788.73239436619</v>
      </c>
      <c r="C1247" t="s">
        <v>1465</v>
      </c>
      <c r="D1247" s="1">
        <v>45644</v>
      </c>
      <c r="E1247" t="s">
        <v>41</v>
      </c>
      <c r="F1247" t="s">
        <v>42</v>
      </c>
      <c r="G1247" t="s">
        <v>47</v>
      </c>
      <c r="H1247" t="s">
        <v>23</v>
      </c>
      <c r="I1247" t="s">
        <v>1426</v>
      </c>
      <c r="J1247" t="s">
        <v>754</v>
      </c>
      <c r="K1247">
        <v>1</v>
      </c>
      <c r="L1247">
        <v>152000</v>
      </c>
      <c r="M1247">
        <v>0</v>
      </c>
      <c r="N1247">
        <v>98000</v>
      </c>
      <c r="O1247">
        <v>152000</v>
      </c>
    </row>
    <row r="1248" spans="1:15" x14ac:dyDescent="0.35">
      <c r="A1248" t="s">
        <v>1427</v>
      </c>
      <c r="B1248">
        <v>102788.73239436619</v>
      </c>
      <c r="C1248" t="s">
        <v>1466</v>
      </c>
      <c r="D1248" s="1">
        <v>45688</v>
      </c>
      <c r="E1248" t="s">
        <v>14</v>
      </c>
      <c r="F1248" t="s">
        <v>15</v>
      </c>
      <c r="G1248" t="s">
        <v>79</v>
      </c>
      <c r="H1248" t="s">
        <v>17</v>
      </c>
      <c r="I1248" t="s">
        <v>1426</v>
      </c>
      <c r="J1248" t="s">
        <v>754</v>
      </c>
      <c r="K1248">
        <v>2</v>
      </c>
      <c r="L1248">
        <v>58000</v>
      </c>
      <c r="M1248">
        <v>0</v>
      </c>
      <c r="N1248">
        <v>37000</v>
      </c>
      <c r="O1248">
        <v>58000</v>
      </c>
    </row>
    <row r="1249" spans="1:15" x14ac:dyDescent="0.35">
      <c r="A1249" t="s">
        <v>1427</v>
      </c>
      <c r="B1249">
        <v>102788.73239436619</v>
      </c>
      <c r="C1249" t="s">
        <v>1467</v>
      </c>
      <c r="D1249" s="1">
        <v>45697</v>
      </c>
      <c r="E1249" t="s">
        <v>14</v>
      </c>
      <c r="F1249" t="s">
        <v>15</v>
      </c>
      <c r="G1249" t="s">
        <v>569</v>
      </c>
      <c r="H1249" t="s">
        <v>23</v>
      </c>
      <c r="I1249" t="s">
        <v>1426</v>
      </c>
      <c r="J1249" t="s">
        <v>754</v>
      </c>
      <c r="K1249">
        <v>1</v>
      </c>
      <c r="L1249">
        <v>113000</v>
      </c>
      <c r="M1249">
        <v>0</v>
      </c>
      <c r="N1249">
        <v>74000</v>
      </c>
      <c r="O1249">
        <v>113000</v>
      </c>
    </row>
    <row r="1250" spans="1:15" x14ac:dyDescent="0.35">
      <c r="A1250" t="s">
        <v>1427</v>
      </c>
      <c r="B1250">
        <v>102788.73239436619</v>
      </c>
      <c r="C1250" t="s">
        <v>1468</v>
      </c>
      <c r="D1250" s="1">
        <v>45740</v>
      </c>
      <c r="E1250" t="s">
        <v>25</v>
      </c>
      <c r="F1250" t="s">
        <v>26</v>
      </c>
      <c r="G1250" t="s">
        <v>1041</v>
      </c>
      <c r="H1250" t="s">
        <v>23</v>
      </c>
      <c r="I1250" t="s">
        <v>1426</v>
      </c>
      <c r="J1250" t="s">
        <v>754</v>
      </c>
      <c r="K1250">
        <v>1</v>
      </c>
      <c r="L1250">
        <v>120000</v>
      </c>
      <c r="M1250">
        <v>0</v>
      </c>
      <c r="N1250">
        <v>77000</v>
      </c>
      <c r="O1250">
        <v>120000</v>
      </c>
    </row>
    <row r="1251" spans="1:15" x14ac:dyDescent="0.35">
      <c r="A1251" t="s">
        <v>1427</v>
      </c>
      <c r="B1251">
        <v>102788.73239436619</v>
      </c>
      <c r="C1251" t="s">
        <v>1469</v>
      </c>
      <c r="D1251" s="1">
        <v>45788</v>
      </c>
      <c r="E1251" t="s">
        <v>14</v>
      </c>
      <c r="F1251" t="s">
        <v>15</v>
      </c>
      <c r="G1251" t="s">
        <v>287</v>
      </c>
      <c r="H1251" t="s">
        <v>28</v>
      </c>
      <c r="I1251" t="s">
        <v>1426</v>
      </c>
      <c r="J1251" t="s">
        <v>754</v>
      </c>
      <c r="K1251">
        <v>3</v>
      </c>
      <c r="L1251">
        <v>75000</v>
      </c>
      <c r="M1251">
        <v>0</v>
      </c>
      <c r="N1251">
        <v>48000</v>
      </c>
      <c r="O1251">
        <v>75000</v>
      </c>
    </row>
    <row r="1252" spans="1:15" x14ac:dyDescent="0.35">
      <c r="A1252" t="s">
        <v>1427</v>
      </c>
      <c r="B1252">
        <v>102788.73239436619</v>
      </c>
      <c r="C1252" t="s">
        <v>1470</v>
      </c>
      <c r="D1252" s="1">
        <v>45796</v>
      </c>
      <c r="E1252" t="s">
        <v>49</v>
      </c>
      <c r="F1252" t="s">
        <v>50</v>
      </c>
      <c r="G1252" t="s">
        <v>55</v>
      </c>
      <c r="H1252" t="s">
        <v>17</v>
      </c>
      <c r="I1252" t="s">
        <v>1426</v>
      </c>
      <c r="J1252" t="s">
        <v>754</v>
      </c>
      <c r="K1252">
        <v>2</v>
      </c>
      <c r="L1252">
        <v>67000</v>
      </c>
      <c r="M1252">
        <v>0</v>
      </c>
      <c r="N1252">
        <v>44000</v>
      </c>
      <c r="O1252">
        <v>67000</v>
      </c>
    </row>
    <row r="1253" spans="1:15" x14ac:dyDescent="0.35">
      <c r="A1253" t="s">
        <v>1427</v>
      </c>
      <c r="B1253">
        <v>102788.73239436619</v>
      </c>
      <c r="C1253" t="s">
        <v>1471</v>
      </c>
      <c r="D1253" s="1">
        <v>45800</v>
      </c>
      <c r="E1253" t="s">
        <v>14</v>
      </c>
      <c r="F1253" t="s">
        <v>15</v>
      </c>
      <c r="G1253" t="s">
        <v>242</v>
      </c>
      <c r="H1253" t="s">
        <v>17</v>
      </c>
      <c r="I1253" t="s">
        <v>1426</v>
      </c>
      <c r="J1253" t="s">
        <v>754</v>
      </c>
      <c r="K1253">
        <v>3</v>
      </c>
      <c r="L1253">
        <v>61000</v>
      </c>
      <c r="M1253">
        <v>0</v>
      </c>
      <c r="N1253">
        <v>41000</v>
      </c>
      <c r="O1253">
        <v>61000</v>
      </c>
    </row>
    <row r="1254" spans="1:15" x14ac:dyDescent="0.35">
      <c r="A1254" t="s">
        <v>1427</v>
      </c>
      <c r="B1254">
        <v>102788.73239436619</v>
      </c>
      <c r="C1254" t="s">
        <v>1472</v>
      </c>
      <c r="D1254" s="1">
        <v>45826</v>
      </c>
      <c r="E1254" t="s">
        <v>14</v>
      </c>
      <c r="F1254" t="s">
        <v>15</v>
      </c>
      <c r="G1254" t="s">
        <v>136</v>
      </c>
      <c r="H1254" t="s">
        <v>23</v>
      </c>
      <c r="I1254" t="s">
        <v>1426</v>
      </c>
      <c r="J1254" t="s">
        <v>754</v>
      </c>
      <c r="K1254">
        <v>1</v>
      </c>
      <c r="L1254">
        <v>105000</v>
      </c>
      <c r="M1254">
        <v>0</v>
      </c>
      <c r="N1254">
        <v>66000</v>
      </c>
      <c r="O1254">
        <v>105000</v>
      </c>
    </row>
    <row r="1255" spans="1:15" x14ac:dyDescent="0.35">
      <c r="A1255" t="s">
        <v>1427</v>
      </c>
      <c r="B1255">
        <v>102788.73239436619</v>
      </c>
      <c r="C1255" t="s">
        <v>1473</v>
      </c>
      <c r="D1255" s="1">
        <v>45839</v>
      </c>
      <c r="E1255" t="s">
        <v>14</v>
      </c>
      <c r="F1255" t="s">
        <v>15</v>
      </c>
      <c r="G1255" t="s">
        <v>191</v>
      </c>
      <c r="H1255" t="s">
        <v>23</v>
      </c>
      <c r="I1255" t="s">
        <v>1426</v>
      </c>
      <c r="J1255" t="s">
        <v>754</v>
      </c>
      <c r="K1255">
        <v>1</v>
      </c>
      <c r="L1255">
        <v>86000</v>
      </c>
      <c r="M1255">
        <v>0</v>
      </c>
      <c r="N1255">
        <v>56000</v>
      </c>
      <c r="O1255">
        <v>86000</v>
      </c>
    </row>
    <row r="1256" spans="1:15" x14ac:dyDescent="0.35">
      <c r="A1256" t="s">
        <v>1427</v>
      </c>
      <c r="B1256">
        <v>102788.73239436619</v>
      </c>
      <c r="C1256" t="s">
        <v>1474</v>
      </c>
      <c r="D1256" s="1">
        <v>45850</v>
      </c>
      <c r="E1256" t="s">
        <v>36</v>
      </c>
      <c r="F1256" t="s">
        <v>37</v>
      </c>
      <c r="G1256" t="s">
        <v>366</v>
      </c>
      <c r="H1256" t="s">
        <v>58</v>
      </c>
      <c r="I1256" t="s">
        <v>1426</v>
      </c>
      <c r="J1256" t="s">
        <v>754</v>
      </c>
      <c r="K1256">
        <v>1</v>
      </c>
      <c r="L1256">
        <v>107000</v>
      </c>
      <c r="M1256">
        <v>0</v>
      </c>
      <c r="N1256">
        <v>69000</v>
      </c>
      <c r="O1256">
        <v>107000</v>
      </c>
    </row>
    <row r="1257" spans="1:15" x14ac:dyDescent="0.35">
      <c r="A1257" t="s">
        <v>1427</v>
      </c>
      <c r="B1257">
        <v>102788.73239436619</v>
      </c>
      <c r="C1257" t="s">
        <v>1475</v>
      </c>
      <c r="D1257" s="1">
        <v>45851</v>
      </c>
      <c r="E1257" t="s">
        <v>14</v>
      </c>
      <c r="F1257" t="s">
        <v>15</v>
      </c>
      <c r="G1257" t="s">
        <v>191</v>
      </c>
      <c r="H1257" t="s">
        <v>23</v>
      </c>
      <c r="I1257" t="s">
        <v>1426</v>
      </c>
      <c r="J1257" t="s">
        <v>754</v>
      </c>
      <c r="K1257">
        <v>1</v>
      </c>
      <c r="L1257">
        <v>88000</v>
      </c>
      <c r="M1257">
        <v>0</v>
      </c>
      <c r="N1257">
        <v>56000</v>
      </c>
      <c r="O1257">
        <v>88000</v>
      </c>
    </row>
    <row r="1258" spans="1:15" x14ac:dyDescent="0.35">
      <c r="A1258" t="s">
        <v>1427</v>
      </c>
      <c r="B1258">
        <v>102788.73239436619</v>
      </c>
      <c r="C1258" t="s">
        <v>1476</v>
      </c>
      <c r="D1258" s="1">
        <v>45858</v>
      </c>
      <c r="E1258" t="s">
        <v>41</v>
      </c>
      <c r="F1258" t="s">
        <v>42</v>
      </c>
      <c r="G1258" t="s">
        <v>99</v>
      </c>
      <c r="H1258" t="s">
        <v>23</v>
      </c>
      <c r="I1258" t="s">
        <v>1426</v>
      </c>
      <c r="J1258" t="s">
        <v>754</v>
      </c>
      <c r="K1258">
        <v>1</v>
      </c>
      <c r="L1258">
        <v>126000</v>
      </c>
      <c r="M1258">
        <v>0</v>
      </c>
      <c r="N1258">
        <v>82000</v>
      </c>
      <c r="O1258">
        <v>126000</v>
      </c>
    </row>
    <row r="1259" spans="1:15" x14ac:dyDescent="0.35">
      <c r="A1259" t="s">
        <v>1427</v>
      </c>
      <c r="B1259">
        <v>102788.73239436619</v>
      </c>
      <c r="C1259" t="s">
        <v>1477</v>
      </c>
      <c r="D1259" s="1">
        <v>45870</v>
      </c>
      <c r="E1259" t="s">
        <v>36</v>
      </c>
      <c r="F1259" t="s">
        <v>37</v>
      </c>
      <c r="G1259" t="s">
        <v>168</v>
      </c>
      <c r="H1259" t="s">
        <v>23</v>
      </c>
      <c r="I1259" t="s">
        <v>1426</v>
      </c>
      <c r="J1259" t="s">
        <v>754</v>
      </c>
      <c r="K1259">
        <v>1</v>
      </c>
      <c r="L1259">
        <v>114000</v>
      </c>
      <c r="M1259">
        <v>0</v>
      </c>
      <c r="N1259">
        <v>73000</v>
      </c>
      <c r="O1259">
        <v>114000</v>
      </c>
    </row>
    <row r="1260" spans="1:15" x14ac:dyDescent="0.35">
      <c r="A1260" t="s">
        <v>1427</v>
      </c>
      <c r="B1260">
        <v>102788.73239436619</v>
      </c>
      <c r="C1260" t="s">
        <v>1478</v>
      </c>
      <c r="D1260" s="1">
        <v>45914</v>
      </c>
      <c r="E1260" t="s">
        <v>14</v>
      </c>
      <c r="F1260" t="s">
        <v>15</v>
      </c>
      <c r="G1260" t="s">
        <v>45</v>
      </c>
      <c r="H1260" t="s">
        <v>17</v>
      </c>
      <c r="I1260" t="s">
        <v>1426</v>
      </c>
      <c r="J1260" t="s">
        <v>754</v>
      </c>
      <c r="K1260">
        <v>1</v>
      </c>
      <c r="L1260">
        <v>153000</v>
      </c>
      <c r="M1260">
        <v>0</v>
      </c>
      <c r="N1260">
        <v>102000</v>
      </c>
      <c r="O1260">
        <v>153000</v>
      </c>
    </row>
    <row r="1261" spans="1:15" x14ac:dyDescent="0.35">
      <c r="A1261" t="s">
        <v>1427</v>
      </c>
      <c r="B1261">
        <v>102788.73239436619</v>
      </c>
      <c r="C1261" t="s">
        <v>1479</v>
      </c>
      <c r="D1261" s="1">
        <v>45914</v>
      </c>
      <c r="E1261" t="s">
        <v>41</v>
      </c>
      <c r="F1261" t="s">
        <v>42</v>
      </c>
      <c r="G1261" t="s">
        <v>182</v>
      </c>
      <c r="H1261" t="s">
        <v>23</v>
      </c>
      <c r="I1261" t="s">
        <v>1426</v>
      </c>
      <c r="J1261" t="s">
        <v>754</v>
      </c>
      <c r="K1261">
        <v>2</v>
      </c>
      <c r="L1261">
        <v>140000</v>
      </c>
      <c r="M1261">
        <v>0.05</v>
      </c>
      <c r="N1261">
        <v>90000</v>
      </c>
      <c r="O1261">
        <v>140000</v>
      </c>
    </row>
    <row r="1262" spans="1:15" x14ac:dyDescent="0.35">
      <c r="A1262" t="s">
        <v>1427</v>
      </c>
      <c r="B1262">
        <v>102788.73239436619</v>
      </c>
      <c r="C1262" t="s">
        <v>1480</v>
      </c>
      <c r="D1262" s="1">
        <v>45939</v>
      </c>
      <c r="E1262" t="s">
        <v>49</v>
      </c>
      <c r="F1262" t="s">
        <v>50</v>
      </c>
      <c r="G1262" t="s">
        <v>99</v>
      </c>
      <c r="H1262" t="s">
        <v>23</v>
      </c>
      <c r="I1262" t="s">
        <v>1426</v>
      </c>
      <c r="J1262" t="s">
        <v>754</v>
      </c>
      <c r="K1262">
        <v>1</v>
      </c>
      <c r="L1262">
        <v>143000</v>
      </c>
      <c r="M1262">
        <v>0</v>
      </c>
      <c r="N1262">
        <v>91000</v>
      </c>
      <c r="O1262">
        <v>143000</v>
      </c>
    </row>
    <row r="1263" spans="1:15" x14ac:dyDescent="0.35">
      <c r="A1263" t="s">
        <v>1427</v>
      </c>
      <c r="B1263">
        <v>102788.73239436619</v>
      </c>
      <c r="C1263" t="s">
        <v>1481</v>
      </c>
      <c r="D1263" s="1">
        <v>45974</v>
      </c>
      <c r="E1263" t="s">
        <v>14</v>
      </c>
      <c r="F1263" t="s">
        <v>15</v>
      </c>
      <c r="G1263" t="s">
        <v>522</v>
      </c>
      <c r="H1263" t="s">
        <v>23</v>
      </c>
      <c r="I1263" t="s">
        <v>1426</v>
      </c>
      <c r="J1263" t="s">
        <v>754</v>
      </c>
      <c r="K1263">
        <v>1</v>
      </c>
      <c r="L1263">
        <v>97000</v>
      </c>
      <c r="M1263">
        <v>0.1</v>
      </c>
      <c r="N1263">
        <v>64000</v>
      </c>
      <c r="O1263">
        <v>97000</v>
      </c>
    </row>
    <row r="1264" spans="1:15" x14ac:dyDescent="0.35">
      <c r="A1264" t="s">
        <v>1427</v>
      </c>
      <c r="B1264">
        <v>102788.73239436619</v>
      </c>
      <c r="C1264" t="s">
        <v>1482</v>
      </c>
      <c r="D1264" s="1">
        <v>45990</v>
      </c>
      <c r="E1264" t="s">
        <v>14</v>
      </c>
      <c r="F1264" t="s">
        <v>15</v>
      </c>
      <c r="G1264" t="s">
        <v>177</v>
      </c>
      <c r="H1264" t="s">
        <v>23</v>
      </c>
      <c r="I1264" t="s">
        <v>1426</v>
      </c>
      <c r="J1264" t="s">
        <v>754</v>
      </c>
      <c r="K1264">
        <v>1</v>
      </c>
      <c r="L1264">
        <v>81000</v>
      </c>
      <c r="M1264">
        <v>0</v>
      </c>
      <c r="N1264">
        <v>52000</v>
      </c>
      <c r="O1264">
        <v>81000</v>
      </c>
    </row>
    <row r="1265" spans="1:15" x14ac:dyDescent="0.35">
      <c r="A1265" t="s">
        <v>1427</v>
      </c>
      <c r="B1265">
        <v>102788.73239436619</v>
      </c>
      <c r="C1265" t="s">
        <v>1483</v>
      </c>
      <c r="D1265" s="1">
        <v>46007</v>
      </c>
      <c r="E1265" t="s">
        <v>49</v>
      </c>
      <c r="F1265" t="s">
        <v>50</v>
      </c>
      <c r="G1265" t="s">
        <v>119</v>
      </c>
      <c r="H1265" t="s">
        <v>23</v>
      </c>
      <c r="I1265" t="s">
        <v>1426</v>
      </c>
      <c r="J1265" t="s">
        <v>754</v>
      </c>
      <c r="K1265">
        <v>5</v>
      </c>
      <c r="L1265">
        <v>62000</v>
      </c>
      <c r="M1265">
        <v>0</v>
      </c>
      <c r="N1265">
        <v>40000</v>
      </c>
      <c r="O1265">
        <v>62000</v>
      </c>
    </row>
    <row r="1266" spans="1:15" x14ac:dyDescent="0.35">
      <c r="A1266" t="s">
        <v>1427</v>
      </c>
      <c r="B1266">
        <v>102788.73239436619</v>
      </c>
      <c r="C1266" t="s">
        <v>1484</v>
      </c>
      <c r="D1266" s="1">
        <v>46031</v>
      </c>
      <c r="E1266" t="s">
        <v>49</v>
      </c>
      <c r="F1266" t="s">
        <v>50</v>
      </c>
      <c r="G1266" t="s">
        <v>102</v>
      </c>
      <c r="H1266" t="s">
        <v>58</v>
      </c>
      <c r="I1266" t="s">
        <v>1426</v>
      </c>
      <c r="J1266" t="s">
        <v>754</v>
      </c>
      <c r="K1266">
        <v>1</v>
      </c>
      <c r="L1266">
        <v>164000</v>
      </c>
      <c r="M1266">
        <v>0</v>
      </c>
      <c r="N1266">
        <v>104000</v>
      </c>
      <c r="O1266">
        <v>164000</v>
      </c>
    </row>
    <row r="1267" spans="1:15" x14ac:dyDescent="0.35">
      <c r="A1267" t="s">
        <v>1427</v>
      </c>
      <c r="B1267">
        <v>102788.73239436619</v>
      </c>
      <c r="C1267" t="s">
        <v>1485</v>
      </c>
      <c r="D1267" s="1">
        <v>46041</v>
      </c>
      <c r="E1267" t="s">
        <v>49</v>
      </c>
      <c r="F1267" t="s">
        <v>50</v>
      </c>
      <c r="G1267" t="s">
        <v>230</v>
      </c>
      <c r="H1267" t="s">
        <v>23</v>
      </c>
      <c r="I1267" t="s">
        <v>1426</v>
      </c>
      <c r="J1267" t="s">
        <v>754</v>
      </c>
      <c r="K1267">
        <v>2</v>
      </c>
      <c r="L1267">
        <v>105000</v>
      </c>
      <c r="M1267">
        <v>0</v>
      </c>
      <c r="N1267">
        <v>67000</v>
      </c>
      <c r="O1267">
        <v>105000</v>
      </c>
    </row>
    <row r="1268" spans="1:15" x14ac:dyDescent="0.35">
      <c r="A1268" t="s">
        <v>1427</v>
      </c>
      <c r="B1268">
        <v>102788.73239436619</v>
      </c>
      <c r="C1268" t="s">
        <v>1486</v>
      </c>
      <c r="D1268" s="1">
        <v>46042</v>
      </c>
      <c r="E1268" t="s">
        <v>14</v>
      </c>
      <c r="F1268" t="s">
        <v>15</v>
      </c>
      <c r="G1268" t="s">
        <v>218</v>
      </c>
      <c r="H1268" t="s">
        <v>23</v>
      </c>
      <c r="I1268" t="s">
        <v>1426</v>
      </c>
      <c r="J1268" t="s">
        <v>754</v>
      </c>
      <c r="K1268">
        <v>1</v>
      </c>
      <c r="L1268">
        <v>142000</v>
      </c>
      <c r="M1268">
        <v>0</v>
      </c>
      <c r="N1268">
        <v>94000</v>
      </c>
      <c r="O1268">
        <v>142000</v>
      </c>
    </row>
    <row r="1269" spans="1:15" x14ac:dyDescent="0.35">
      <c r="A1269" t="s">
        <v>1427</v>
      </c>
      <c r="B1269">
        <v>102788.73239436619</v>
      </c>
      <c r="C1269" t="s">
        <v>1487</v>
      </c>
      <c r="D1269" s="1">
        <v>46048</v>
      </c>
      <c r="E1269" t="s">
        <v>49</v>
      </c>
      <c r="F1269" t="s">
        <v>50</v>
      </c>
      <c r="G1269" t="s">
        <v>260</v>
      </c>
      <c r="H1269" t="s">
        <v>23</v>
      </c>
      <c r="I1269" t="s">
        <v>1426</v>
      </c>
      <c r="J1269" t="s">
        <v>754</v>
      </c>
      <c r="K1269">
        <v>5</v>
      </c>
      <c r="L1269">
        <v>92000</v>
      </c>
      <c r="M1269">
        <v>0</v>
      </c>
      <c r="N1269">
        <v>59000</v>
      </c>
      <c r="O1269">
        <v>92000</v>
      </c>
    </row>
    <row r="1270" spans="1:15" x14ac:dyDescent="0.35">
      <c r="A1270" t="s">
        <v>1427</v>
      </c>
      <c r="B1270">
        <v>102788.73239436619</v>
      </c>
      <c r="C1270" t="s">
        <v>1488</v>
      </c>
      <c r="D1270" s="1">
        <v>46068</v>
      </c>
      <c r="E1270" t="s">
        <v>41</v>
      </c>
      <c r="F1270" t="s">
        <v>42</v>
      </c>
      <c r="G1270" t="s">
        <v>340</v>
      </c>
      <c r="H1270" t="s">
        <v>23</v>
      </c>
      <c r="I1270" t="s">
        <v>1426</v>
      </c>
      <c r="J1270" t="s">
        <v>754</v>
      </c>
      <c r="K1270">
        <v>2</v>
      </c>
      <c r="L1270">
        <v>71000</v>
      </c>
      <c r="M1270">
        <v>0</v>
      </c>
      <c r="N1270">
        <v>46000</v>
      </c>
      <c r="O1270">
        <v>71000</v>
      </c>
    </row>
    <row r="1271" spans="1:15" x14ac:dyDescent="0.35">
      <c r="A1271" t="s">
        <v>1427</v>
      </c>
      <c r="B1271">
        <v>102788.73239436619</v>
      </c>
      <c r="C1271" t="s">
        <v>1489</v>
      </c>
      <c r="D1271" s="1">
        <v>46079</v>
      </c>
      <c r="E1271" t="s">
        <v>14</v>
      </c>
      <c r="F1271" t="s">
        <v>15</v>
      </c>
      <c r="G1271" t="s">
        <v>85</v>
      </c>
      <c r="H1271" t="s">
        <v>23</v>
      </c>
      <c r="I1271" t="s">
        <v>1426</v>
      </c>
      <c r="J1271" t="s">
        <v>754</v>
      </c>
      <c r="K1271">
        <v>1</v>
      </c>
      <c r="L1271">
        <v>132000</v>
      </c>
      <c r="M1271">
        <v>0</v>
      </c>
      <c r="N1271">
        <v>88000</v>
      </c>
      <c r="O1271">
        <v>132000</v>
      </c>
    </row>
    <row r="1272" spans="1:15" x14ac:dyDescent="0.35">
      <c r="A1272" t="s">
        <v>1427</v>
      </c>
      <c r="B1272">
        <v>102788.73239436619</v>
      </c>
      <c r="C1272" t="s">
        <v>1490</v>
      </c>
      <c r="D1272" s="1">
        <v>46096</v>
      </c>
      <c r="E1272" t="s">
        <v>49</v>
      </c>
      <c r="F1272" t="s">
        <v>50</v>
      </c>
      <c r="G1272" t="s">
        <v>113</v>
      </c>
      <c r="H1272" t="s">
        <v>23</v>
      </c>
      <c r="I1272" t="s">
        <v>1426</v>
      </c>
      <c r="J1272" t="s">
        <v>754</v>
      </c>
      <c r="K1272">
        <v>1</v>
      </c>
      <c r="L1272">
        <v>105000</v>
      </c>
      <c r="M1272">
        <v>0</v>
      </c>
      <c r="N1272">
        <v>68000</v>
      </c>
      <c r="O1272">
        <v>105000</v>
      </c>
    </row>
    <row r="1273" spans="1:15" x14ac:dyDescent="0.35">
      <c r="A1273" t="s">
        <v>1427</v>
      </c>
      <c r="B1273">
        <v>102788.73239436619</v>
      </c>
      <c r="C1273" t="s">
        <v>1491</v>
      </c>
      <c r="D1273" s="1">
        <v>46118</v>
      </c>
      <c r="E1273" t="s">
        <v>41</v>
      </c>
      <c r="F1273" t="s">
        <v>42</v>
      </c>
      <c r="G1273" t="s">
        <v>741</v>
      </c>
      <c r="H1273" t="s">
        <v>23</v>
      </c>
      <c r="I1273" t="s">
        <v>1426</v>
      </c>
      <c r="J1273" t="s">
        <v>754</v>
      </c>
      <c r="K1273">
        <v>1</v>
      </c>
      <c r="L1273">
        <v>152000</v>
      </c>
      <c r="M1273">
        <v>0</v>
      </c>
      <c r="N1273">
        <v>100000</v>
      </c>
      <c r="O1273">
        <v>152000</v>
      </c>
    </row>
    <row r="1274" spans="1:15" x14ac:dyDescent="0.35">
      <c r="A1274" t="s">
        <v>1427</v>
      </c>
      <c r="B1274">
        <v>102788.73239436619</v>
      </c>
      <c r="C1274" t="s">
        <v>1492</v>
      </c>
      <c r="D1274" s="1">
        <v>46131</v>
      </c>
      <c r="E1274" t="s">
        <v>41</v>
      </c>
      <c r="F1274" t="s">
        <v>42</v>
      </c>
      <c r="G1274" t="s">
        <v>126</v>
      </c>
      <c r="H1274" t="s">
        <v>17</v>
      </c>
      <c r="I1274" t="s">
        <v>1426</v>
      </c>
      <c r="J1274" t="s">
        <v>754</v>
      </c>
      <c r="K1274">
        <v>5</v>
      </c>
      <c r="L1274">
        <v>100000</v>
      </c>
      <c r="M1274">
        <v>0</v>
      </c>
      <c r="N1274">
        <v>63000</v>
      </c>
      <c r="O1274">
        <v>100000</v>
      </c>
    </row>
    <row r="1275" spans="1:15" x14ac:dyDescent="0.35">
      <c r="A1275" t="s">
        <v>1427</v>
      </c>
      <c r="B1275">
        <v>102788.73239436619</v>
      </c>
      <c r="C1275" t="s">
        <v>1493</v>
      </c>
      <c r="D1275" s="1">
        <v>46145</v>
      </c>
      <c r="E1275" t="s">
        <v>41</v>
      </c>
      <c r="F1275" t="s">
        <v>42</v>
      </c>
      <c r="G1275" t="s">
        <v>309</v>
      </c>
      <c r="H1275" t="s">
        <v>23</v>
      </c>
      <c r="I1275" t="s">
        <v>1426</v>
      </c>
      <c r="J1275" t="s">
        <v>754</v>
      </c>
      <c r="K1275">
        <v>1</v>
      </c>
      <c r="L1275">
        <v>100000</v>
      </c>
      <c r="M1275">
        <v>0</v>
      </c>
      <c r="N1275">
        <v>66000</v>
      </c>
      <c r="O1275">
        <v>100000</v>
      </c>
    </row>
    <row r="1276" spans="1:15" x14ac:dyDescent="0.35">
      <c r="A1276" t="s">
        <v>1427</v>
      </c>
      <c r="B1276">
        <v>102788.73239436619</v>
      </c>
      <c r="C1276" t="s">
        <v>1494</v>
      </c>
      <c r="D1276" s="1">
        <v>46153</v>
      </c>
      <c r="E1276" t="s">
        <v>14</v>
      </c>
      <c r="F1276" t="s">
        <v>15</v>
      </c>
      <c r="G1276" t="s">
        <v>168</v>
      </c>
      <c r="H1276" t="s">
        <v>23</v>
      </c>
      <c r="I1276" t="s">
        <v>1426</v>
      </c>
      <c r="J1276" t="s">
        <v>754</v>
      </c>
      <c r="K1276">
        <v>1</v>
      </c>
      <c r="L1276">
        <v>97000</v>
      </c>
      <c r="M1276">
        <v>0</v>
      </c>
      <c r="N1276">
        <v>62000</v>
      </c>
      <c r="O1276">
        <v>97000</v>
      </c>
    </row>
    <row r="1277" spans="1:15" x14ac:dyDescent="0.35">
      <c r="A1277" t="s">
        <v>1427</v>
      </c>
      <c r="B1277">
        <v>102788.73239436619</v>
      </c>
      <c r="C1277" t="s">
        <v>1495</v>
      </c>
      <c r="D1277" s="1">
        <v>46167</v>
      </c>
      <c r="E1277" t="s">
        <v>36</v>
      </c>
      <c r="F1277" t="s">
        <v>37</v>
      </c>
      <c r="G1277" t="s">
        <v>146</v>
      </c>
      <c r="H1277" t="s">
        <v>17</v>
      </c>
      <c r="I1277" t="s">
        <v>1426</v>
      </c>
      <c r="J1277" t="s">
        <v>754</v>
      </c>
      <c r="K1277">
        <v>1</v>
      </c>
      <c r="L1277">
        <v>127000</v>
      </c>
      <c r="M1277">
        <v>0</v>
      </c>
      <c r="N1277">
        <v>84000</v>
      </c>
      <c r="O1277">
        <v>127000</v>
      </c>
    </row>
    <row r="1278" spans="1:15" x14ac:dyDescent="0.35">
      <c r="A1278" t="s">
        <v>1427</v>
      </c>
      <c r="B1278">
        <v>102788.73239436619</v>
      </c>
      <c r="C1278" t="s">
        <v>1496</v>
      </c>
      <c r="D1278" s="1">
        <v>46172</v>
      </c>
      <c r="E1278" t="s">
        <v>14</v>
      </c>
      <c r="F1278" t="s">
        <v>15</v>
      </c>
      <c r="G1278" t="s">
        <v>524</v>
      </c>
      <c r="H1278" t="s">
        <v>17</v>
      </c>
      <c r="I1278" t="s">
        <v>1426</v>
      </c>
      <c r="J1278" t="s">
        <v>754</v>
      </c>
      <c r="K1278">
        <v>1</v>
      </c>
      <c r="L1278">
        <v>137000</v>
      </c>
      <c r="M1278">
        <v>0</v>
      </c>
      <c r="N1278">
        <v>91000</v>
      </c>
      <c r="O1278">
        <v>137000</v>
      </c>
    </row>
    <row r="1279" spans="1:15" x14ac:dyDescent="0.35">
      <c r="A1279" t="s">
        <v>1427</v>
      </c>
      <c r="B1279">
        <v>102788.73239436619</v>
      </c>
      <c r="C1279" t="s">
        <v>1497</v>
      </c>
      <c r="D1279" s="1">
        <v>46175</v>
      </c>
      <c r="E1279" t="s">
        <v>41</v>
      </c>
      <c r="F1279" t="s">
        <v>42</v>
      </c>
      <c r="G1279" t="s">
        <v>141</v>
      </c>
      <c r="H1279" t="s">
        <v>17</v>
      </c>
      <c r="I1279" t="s">
        <v>1426</v>
      </c>
      <c r="J1279" t="s">
        <v>754</v>
      </c>
      <c r="K1279">
        <v>1</v>
      </c>
      <c r="L1279">
        <v>69000</v>
      </c>
      <c r="M1279">
        <v>0</v>
      </c>
      <c r="N1279">
        <v>44000</v>
      </c>
      <c r="O1279">
        <v>69000</v>
      </c>
    </row>
    <row r="1280" spans="1:15" x14ac:dyDescent="0.35">
      <c r="A1280" t="s">
        <v>1427</v>
      </c>
      <c r="B1280">
        <v>102788.73239436619</v>
      </c>
      <c r="C1280" t="s">
        <v>1498</v>
      </c>
      <c r="D1280" s="1">
        <v>46184</v>
      </c>
      <c r="E1280" t="s">
        <v>14</v>
      </c>
      <c r="F1280" t="s">
        <v>15</v>
      </c>
      <c r="G1280" t="s">
        <v>359</v>
      </c>
      <c r="H1280" t="s">
        <v>23</v>
      </c>
      <c r="I1280" t="s">
        <v>1426</v>
      </c>
      <c r="J1280" t="s">
        <v>754</v>
      </c>
      <c r="K1280">
        <v>1</v>
      </c>
      <c r="L1280">
        <v>102788.73239436619</v>
      </c>
      <c r="M1280">
        <v>0</v>
      </c>
      <c r="N1280">
        <v>0</v>
      </c>
      <c r="O1280">
        <v>102788.73239436619</v>
      </c>
    </row>
    <row r="1281" spans="1:15" x14ac:dyDescent="0.35">
      <c r="A1281" t="s">
        <v>1427</v>
      </c>
      <c r="B1281">
        <v>102788.73239436619</v>
      </c>
      <c r="C1281" t="s">
        <v>1499</v>
      </c>
      <c r="D1281" s="1">
        <v>46187</v>
      </c>
      <c r="E1281" t="s">
        <v>36</v>
      </c>
      <c r="F1281" t="s">
        <v>37</v>
      </c>
      <c r="G1281" t="s">
        <v>126</v>
      </c>
      <c r="H1281" t="s">
        <v>17</v>
      </c>
      <c r="I1281" t="s">
        <v>1426</v>
      </c>
      <c r="J1281" t="s">
        <v>754</v>
      </c>
      <c r="K1281">
        <v>1</v>
      </c>
      <c r="L1281">
        <v>74000</v>
      </c>
      <c r="M1281">
        <v>0</v>
      </c>
      <c r="N1281">
        <v>48000</v>
      </c>
      <c r="O1281">
        <v>74000</v>
      </c>
    </row>
    <row r="1282" spans="1:15" x14ac:dyDescent="0.35">
      <c r="A1282" t="s">
        <v>1427</v>
      </c>
      <c r="B1282">
        <v>102788.73239436619</v>
      </c>
      <c r="C1282" t="s">
        <v>1500</v>
      </c>
      <c r="D1282" s="1">
        <v>46201</v>
      </c>
      <c r="E1282" t="s">
        <v>14</v>
      </c>
      <c r="F1282" t="s">
        <v>15</v>
      </c>
      <c r="G1282" t="s">
        <v>174</v>
      </c>
      <c r="H1282" t="s">
        <v>23</v>
      </c>
      <c r="I1282" t="s">
        <v>1426</v>
      </c>
      <c r="J1282" t="s">
        <v>754</v>
      </c>
      <c r="K1282">
        <v>1</v>
      </c>
      <c r="L1282">
        <v>154000</v>
      </c>
      <c r="M1282">
        <v>0</v>
      </c>
      <c r="N1282">
        <v>97000</v>
      </c>
      <c r="O1282">
        <v>154000</v>
      </c>
    </row>
    <row r="1283" spans="1:15" x14ac:dyDescent="0.35">
      <c r="A1283" t="s">
        <v>1503</v>
      </c>
      <c r="B1283">
        <v>983081.96721311472</v>
      </c>
      <c r="C1283" t="s">
        <v>1501</v>
      </c>
      <c r="D1283" s="1">
        <v>44953</v>
      </c>
      <c r="E1283" t="s">
        <v>41</v>
      </c>
      <c r="F1283" t="s">
        <v>42</v>
      </c>
      <c r="G1283" t="s">
        <v>265</v>
      </c>
      <c r="H1283" t="s">
        <v>23</v>
      </c>
      <c r="I1283" t="s">
        <v>1502</v>
      </c>
      <c r="J1283" t="s">
        <v>465</v>
      </c>
      <c r="K1283">
        <v>1</v>
      </c>
      <c r="L1283">
        <v>1159000</v>
      </c>
      <c r="M1283">
        <v>0.05</v>
      </c>
      <c r="N1283">
        <v>882000</v>
      </c>
      <c r="O1283">
        <v>1159000</v>
      </c>
    </row>
    <row r="1284" spans="1:15" x14ac:dyDescent="0.35">
      <c r="A1284" t="s">
        <v>1503</v>
      </c>
      <c r="B1284">
        <v>983081.96721311472</v>
      </c>
      <c r="C1284" t="s">
        <v>1504</v>
      </c>
      <c r="D1284" s="1">
        <v>44961</v>
      </c>
      <c r="E1284" t="s">
        <v>25</v>
      </c>
      <c r="F1284" t="s">
        <v>26</v>
      </c>
      <c r="G1284" t="s">
        <v>186</v>
      </c>
      <c r="H1284" t="s">
        <v>23</v>
      </c>
      <c r="I1284" t="s">
        <v>1502</v>
      </c>
      <c r="J1284" t="s">
        <v>465</v>
      </c>
      <c r="K1284">
        <v>1</v>
      </c>
      <c r="L1284">
        <v>1098000</v>
      </c>
      <c r="M1284">
        <v>0.05</v>
      </c>
      <c r="N1284">
        <v>867000</v>
      </c>
      <c r="O1284">
        <v>1098000</v>
      </c>
    </row>
    <row r="1285" spans="1:15" x14ac:dyDescent="0.35">
      <c r="A1285" t="s">
        <v>1503</v>
      </c>
      <c r="B1285">
        <v>983081.96721311472</v>
      </c>
      <c r="C1285" t="s">
        <v>1505</v>
      </c>
      <c r="D1285" s="1">
        <v>44986</v>
      </c>
      <c r="E1285" t="s">
        <v>41</v>
      </c>
      <c r="F1285" t="s">
        <v>42</v>
      </c>
      <c r="G1285" t="s">
        <v>134</v>
      </c>
      <c r="H1285" t="s">
        <v>28</v>
      </c>
      <c r="I1285" t="s">
        <v>1502</v>
      </c>
      <c r="J1285" t="s">
        <v>465</v>
      </c>
      <c r="K1285">
        <v>1</v>
      </c>
      <c r="L1285">
        <v>516000</v>
      </c>
      <c r="M1285">
        <v>0</v>
      </c>
      <c r="N1285">
        <v>397000</v>
      </c>
      <c r="O1285">
        <v>516000</v>
      </c>
    </row>
    <row r="1286" spans="1:15" x14ac:dyDescent="0.35">
      <c r="A1286" t="s">
        <v>1503</v>
      </c>
      <c r="B1286">
        <v>983081.96721311472</v>
      </c>
      <c r="C1286" t="s">
        <v>1506</v>
      </c>
      <c r="D1286" s="1">
        <v>44993</v>
      </c>
      <c r="E1286" t="s">
        <v>25</v>
      </c>
      <c r="F1286" t="s">
        <v>26</v>
      </c>
      <c r="G1286" t="s">
        <v>270</v>
      </c>
      <c r="H1286" t="s">
        <v>23</v>
      </c>
      <c r="I1286" t="s">
        <v>1502</v>
      </c>
      <c r="J1286" t="s">
        <v>465</v>
      </c>
      <c r="K1286">
        <v>3</v>
      </c>
      <c r="L1286">
        <v>808000</v>
      </c>
      <c r="M1286">
        <v>0.05</v>
      </c>
      <c r="N1286">
        <v>612000</v>
      </c>
      <c r="O1286">
        <v>808000</v>
      </c>
    </row>
    <row r="1287" spans="1:15" x14ac:dyDescent="0.35">
      <c r="A1287" t="s">
        <v>1503</v>
      </c>
      <c r="B1287">
        <v>983081.96721311472</v>
      </c>
      <c r="C1287" t="s">
        <v>1507</v>
      </c>
      <c r="D1287" s="1">
        <v>44997</v>
      </c>
      <c r="E1287" t="s">
        <v>14</v>
      </c>
      <c r="F1287" t="s">
        <v>15</v>
      </c>
      <c r="G1287" t="s">
        <v>150</v>
      </c>
      <c r="H1287" t="s">
        <v>28</v>
      </c>
      <c r="I1287" t="s">
        <v>1502</v>
      </c>
      <c r="J1287" t="s">
        <v>465</v>
      </c>
      <c r="K1287">
        <v>3</v>
      </c>
      <c r="L1287">
        <v>978000</v>
      </c>
      <c r="M1287">
        <v>0.05</v>
      </c>
      <c r="N1287">
        <v>739000</v>
      </c>
      <c r="O1287">
        <v>978000</v>
      </c>
    </row>
    <row r="1288" spans="1:15" x14ac:dyDescent="0.35">
      <c r="A1288" t="s">
        <v>1503</v>
      </c>
      <c r="B1288">
        <v>983081.96721311472</v>
      </c>
      <c r="C1288" t="s">
        <v>1508</v>
      </c>
      <c r="D1288" s="1">
        <v>45002</v>
      </c>
      <c r="E1288" t="s">
        <v>25</v>
      </c>
      <c r="F1288" t="s">
        <v>26</v>
      </c>
      <c r="G1288" t="s">
        <v>553</v>
      </c>
      <c r="H1288" t="s">
        <v>17</v>
      </c>
      <c r="I1288" t="s">
        <v>1502</v>
      </c>
      <c r="J1288" t="s">
        <v>465</v>
      </c>
      <c r="K1288">
        <v>1</v>
      </c>
      <c r="L1288">
        <v>543000</v>
      </c>
      <c r="M1288">
        <v>0</v>
      </c>
      <c r="N1288">
        <v>426000</v>
      </c>
      <c r="O1288">
        <v>543000</v>
      </c>
    </row>
    <row r="1289" spans="1:15" x14ac:dyDescent="0.35">
      <c r="A1289" t="s">
        <v>1503</v>
      </c>
      <c r="B1289">
        <v>983081.96721311472</v>
      </c>
      <c r="C1289" t="s">
        <v>1509</v>
      </c>
      <c r="D1289" s="1">
        <v>45022</v>
      </c>
      <c r="E1289" t="s">
        <v>14</v>
      </c>
      <c r="F1289" t="s">
        <v>15</v>
      </c>
      <c r="G1289" t="s">
        <v>741</v>
      </c>
      <c r="H1289" t="s">
        <v>23</v>
      </c>
      <c r="I1289" t="s">
        <v>1502</v>
      </c>
      <c r="J1289" t="s">
        <v>465</v>
      </c>
      <c r="K1289">
        <v>2</v>
      </c>
      <c r="L1289">
        <v>1054000</v>
      </c>
      <c r="M1289">
        <v>0</v>
      </c>
      <c r="N1289">
        <v>799000</v>
      </c>
      <c r="O1289">
        <v>1054000</v>
      </c>
    </row>
    <row r="1290" spans="1:15" x14ac:dyDescent="0.35">
      <c r="A1290" t="s">
        <v>1503</v>
      </c>
      <c r="B1290">
        <v>983081.96721311472</v>
      </c>
      <c r="C1290" t="s">
        <v>1510</v>
      </c>
      <c r="D1290" s="1">
        <v>45023</v>
      </c>
      <c r="E1290" t="s">
        <v>41</v>
      </c>
      <c r="F1290" t="s">
        <v>42</v>
      </c>
      <c r="G1290" t="s">
        <v>30</v>
      </c>
      <c r="H1290" t="s">
        <v>23</v>
      </c>
      <c r="I1290" t="s">
        <v>1502</v>
      </c>
      <c r="J1290" t="s">
        <v>465</v>
      </c>
      <c r="K1290">
        <v>1</v>
      </c>
      <c r="L1290">
        <v>1035000</v>
      </c>
      <c r="M1290">
        <v>0</v>
      </c>
      <c r="N1290">
        <v>810000</v>
      </c>
      <c r="O1290">
        <v>1035000</v>
      </c>
    </row>
    <row r="1291" spans="1:15" x14ac:dyDescent="0.35">
      <c r="A1291" t="s">
        <v>1503</v>
      </c>
      <c r="B1291">
        <v>983081.96721311472</v>
      </c>
      <c r="C1291" t="s">
        <v>1511</v>
      </c>
      <c r="D1291" s="1">
        <v>45048</v>
      </c>
      <c r="E1291" t="s">
        <v>14</v>
      </c>
      <c r="F1291" t="s">
        <v>15</v>
      </c>
      <c r="G1291" t="s">
        <v>456</v>
      </c>
      <c r="H1291" t="s">
        <v>23</v>
      </c>
      <c r="I1291" t="s">
        <v>1502</v>
      </c>
      <c r="J1291" t="s">
        <v>465</v>
      </c>
      <c r="K1291">
        <v>1</v>
      </c>
      <c r="L1291">
        <v>855000</v>
      </c>
      <c r="M1291">
        <v>0</v>
      </c>
      <c r="N1291">
        <v>652000</v>
      </c>
      <c r="O1291">
        <v>855000</v>
      </c>
    </row>
    <row r="1292" spans="1:15" x14ac:dyDescent="0.35">
      <c r="A1292" t="s">
        <v>1503</v>
      </c>
      <c r="B1292">
        <v>983081.96721311472</v>
      </c>
      <c r="C1292" t="s">
        <v>1512</v>
      </c>
      <c r="D1292" s="1">
        <v>45109</v>
      </c>
      <c r="E1292" t="s">
        <v>41</v>
      </c>
      <c r="F1292" t="s">
        <v>42</v>
      </c>
      <c r="G1292" t="s">
        <v>265</v>
      </c>
      <c r="H1292" t="s">
        <v>23</v>
      </c>
      <c r="I1292" t="s">
        <v>1502</v>
      </c>
      <c r="J1292" t="s">
        <v>465</v>
      </c>
      <c r="K1292">
        <v>1</v>
      </c>
      <c r="L1292">
        <v>983081.96721311472</v>
      </c>
      <c r="M1292">
        <v>0</v>
      </c>
      <c r="N1292">
        <v>0</v>
      </c>
      <c r="O1292">
        <v>983081.96721311472</v>
      </c>
    </row>
    <row r="1293" spans="1:15" x14ac:dyDescent="0.35">
      <c r="A1293" t="s">
        <v>1503</v>
      </c>
      <c r="B1293">
        <v>983081.96721311472</v>
      </c>
      <c r="C1293" t="s">
        <v>1513</v>
      </c>
      <c r="D1293" s="1">
        <v>45128</v>
      </c>
      <c r="E1293" t="s">
        <v>36</v>
      </c>
      <c r="F1293" t="s">
        <v>37</v>
      </c>
      <c r="G1293" t="s">
        <v>366</v>
      </c>
      <c r="H1293" t="s">
        <v>58</v>
      </c>
      <c r="I1293" t="s">
        <v>1502</v>
      </c>
      <c r="J1293" t="s">
        <v>465</v>
      </c>
      <c r="K1293">
        <v>1</v>
      </c>
      <c r="L1293">
        <v>1049000</v>
      </c>
      <c r="M1293">
        <v>0</v>
      </c>
      <c r="N1293">
        <v>811000</v>
      </c>
      <c r="O1293">
        <v>1049000</v>
      </c>
    </row>
    <row r="1294" spans="1:15" x14ac:dyDescent="0.35">
      <c r="A1294" t="s">
        <v>1503</v>
      </c>
      <c r="B1294">
        <v>983081.96721311472</v>
      </c>
      <c r="C1294" t="s">
        <v>1514</v>
      </c>
      <c r="D1294" s="1">
        <v>45143</v>
      </c>
      <c r="E1294" t="s">
        <v>49</v>
      </c>
      <c r="F1294" t="s">
        <v>50</v>
      </c>
      <c r="G1294" t="s">
        <v>91</v>
      </c>
      <c r="H1294" t="s">
        <v>23</v>
      </c>
      <c r="I1294" t="s">
        <v>1502</v>
      </c>
      <c r="J1294" t="s">
        <v>465</v>
      </c>
      <c r="K1294">
        <v>1</v>
      </c>
      <c r="L1294">
        <v>711000</v>
      </c>
      <c r="M1294">
        <v>0</v>
      </c>
      <c r="N1294">
        <v>545000</v>
      </c>
      <c r="O1294">
        <v>711000</v>
      </c>
    </row>
    <row r="1295" spans="1:15" x14ac:dyDescent="0.35">
      <c r="A1295" t="s">
        <v>1503</v>
      </c>
      <c r="B1295">
        <v>983081.96721311472</v>
      </c>
      <c r="C1295" t="s">
        <v>1515</v>
      </c>
      <c r="D1295" s="1">
        <v>45188</v>
      </c>
      <c r="E1295" t="s">
        <v>41</v>
      </c>
      <c r="F1295" t="s">
        <v>42</v>
      </c>
      <c r="G1295" t="s">
        <v>667</v>
      </c>
      <c r="H1295" t="s">
        <v>23</v>
      </c>
      <c r="I1295" t="s">
        <v>1502</v>
      </c>
      <c r="J1295" t="s">
        <v>465</v>
      </c>
      <c r="K1295">
        <v>1</v>
      </c>
      <c r="L1295">
        <v>1150000</v>
      </c>
      <c r="M1295">
        <v>0</v>
      </c>
      <c r="N1295">
        <v>868000</v>
      </c>
      <c r="O1295">
        <v>1150000</v>
      </c>
    </row>
    <row r="1296" spans="1:15" x14ac:dyDescent="0.35">
      <c r="A1296" t="s">
        <v>1503</v>
      </c>
      <c r="B1296">
        <v>983081.96721311472</v>
      </c>
      <c r="C1296" t="s">
        <v>1516</v>
      </c>
      <c r="D1296" s="1">
        <v>45195</v>
      </c>
      <c r="E1296" t="s">
        <v>14</v>
      </c>
      <c r="F1296" t="s">
        <v>15</v>
      </c>
      <c r="G1296" t="s">
        <v>53</v>
      </c>
      <c r="H1296" t="s">
        <v>17</v>
      </c>
      <c r="I1296" t="s">
        <v>1502</v>
      </c>
      <c r="J1296" t="s">
        <v>465</v>
      </c>
      <c r="K1296">
        <v>1</v>
      </c>
      <c r="L1296">
        <v>985000</v>
      </c>
      <c r="M1296">
        <v>0</v>
      </c>
      <c r="N1296">
        <v>770000</v>
      </c>
      <c r="O1296">
        <v>985000</v>
      </c>
    </row>
    <row r="1297" spans="1:15" x14ac:dyDescent="0.35">
      <c r="A1297" t="s">
        <v>1503</v>
      </c>
      <c r="B1297">
        <v>983081.96721311472</v>
      </c>
      <c r="C1297" t="s">
        <v>1517</v>
      </c>
      <c r="D1297" s="1">
        <v>45197</v>
      </c>
      <c r="E1297" t="s">
        <v>14</v>
      </c>
      <c r="F1297" t="s">
        <v>15</v>
      </c>
      <c r="G1297" t="s">
        <v>53</v>
      </c>
      <c r="H1297" t="s">
        <v>17</v>
      </c>
      <c r="I1297" t="s">
        <v>1502</v>
      </c>
      <c r="J1297" t="s">
        <v>465</v>
      </c>
      <c r="K1297">
        <v>3</v>
      </c>
      <c r="L1297">
        <v>1185000</v>
      </c>
      <c r="M1297">
        <v>0</v>
      </c>
      <c r="N1297">
        <v>936000</v>
      </c>
      <c r="O1297">
        <v>1185000</v>
      </c>
    </row>
    <row r="1298" spans="1:15" x14ac:dyDescent="0.35">
      <c r="A1298" t="s">
        <v>1503</v>
      </c>
      <c r="B1298">
        <v>983081.96721311472</v>
      </c>
      <c r="C1298" t="s">
        <v>1518</v>
      </c>
      <c r="D1298" s="1">
        <v>45229</v>
      </c>
      <c r="E1298" t="s">
        <v>14</v>
      </c>
      <c r="F1298" t="s">
        <v>15</v>
      </c>
      <c r="G1298" t="s">
        <v>55</v>
      </c>
      <c r="H1298" t="s">
        <v>17</v>
      </c>
      <c r="I1298" t="s">
        <v>1502</v>
      </c>
      <c r="J1298" t="s">
        <v>465</v>
      </c>
      <c r="K1298">
        <v>2</v>
      </c>
      <c r="L1298">
        <v>818000</v>
      </c>
      <c r="M1298">
        <v>0</v>
      </c>
      <c r="N1298">
        <v>624000</v>
      </c>
      <c r="O1298">
        <v>818000</v>
      </c>
    </row>
    <row r="1299" spans="1:15" x14ac:dyDescent="0.35">
      <c r="A1299" t="s">
        <v>1503</v>
      </c>
      <c r="B1299">
        <v>983081.96721311472</v>
      </c>
      <c r="C1299" t="s">
        <v>1519</v>
      </c>
      <c r="D1299" s="1">
        <v>45250</v>
      </c>
      <c r="E1299" t="s">
        <v>14</v>
      </c>
      <c r="F1299" t="s">
        <v>15</v>
      </c>
      <c r="G1299" t="s">
        <v>218</v>
      </c>
      <c r="H1299" t="s">
        <v>23</v>
      </c>
      <c r="I1299" t="s">
        <v>1502</v>
      </c>
      <c r="J1299" t="s">
        <v>465</v>
      </c>
      <c r="K1299">
        <v>3</v>
      </c>
      <c r="L1299">
        <v>903000</v>
      </c>
      <c r="M1299">
        <v>0</v>
      </c>
      <c r="N1299">
        <v>708000</v>
      </c>
      <c r="O1299">
        <v>903000</v>
      </c>
    </row>
    <row r="1300" spans="1:15" x14ac:dyDescent="0.35">
      <c r="A1300" t="s">
        <v>1503</v>
      </c>
      <c r="B1300">
        <v>983081.96721311472</v>
      </c>
      <c r="C1300" t="s">
        <v>1520</v>
      </c>
      <c r="D1300" s="1">
        <v>45336</v>
      </c>
      <c r="E1300" t="s">
        <v>14</v>
      </c>
      <c r="F1300" t="s">
        <v>15</v>
      </c>
      <c r="G1300" t="s">
        <v>262</v>
      </c>
      <c r="H1300" t="s">
        <v>23</v>
      </c>
      <c r="I1300" t="s">
        <v>1502</v>
      </c>
      <c r="J1300" t="s">
        <v>465</v>
      </c>
      <c r="K1300">
        <v>1</v>
      </c>
      <c r="L1300">
        <v>1208000</v>
      </c>
      <c r="M1300">
        <v>0</v>
      </c>
      <c r="N1300">
        <v>938000</v>
      </c>
      <c r="O1300">
        <v>1208000</v>
      </c>
    </row>
    <row r="1301" spans="1:15" x14ac:dyDescent="0.35">
      <c r="A1301" t="s">
        <v>1503</v>
      </c>
      <c r="B1301">
        <v>983081.96721311472</v>
      </c>
      <c r="C1301" t="s">
        <v>1521</v>
      </c>
      <c r="D1301" s="1">
        <v>45338</v>
      </c>
      <c r="E1301" t="s">
        <v>41</v>
      </c>
      <c r="F1301" t="s">
        <v>42</v>
      </c>
      <c r="G1301" t="s">
        <v>274</v>
      </c>
      <c r="H1301" t="s">
        <v>58</v>
      </c>
      <c r="I1301" t="s">
        <v>1502</v>
      </c>
      <c r="J1301" t="s">
        <v>465</v>
      </c>
      <c r="K1301">
        <v>2</v>
      </c>
      <c r="L1301">
        <v>640000</v>
      </c>
      <c r="M1301">
        <v>0</v>
      </c>
      <c r="N1301">
        <v>483000</v>
      </c>
      <c r="O1301">
        <v>640000</v>
      </c>
    </row>
    <row r="1302" spans="1:15" x14ac:dyDescent="0.35">
      <c r="A1302" t="s">
        <v>1503</v>
      </c>
      <c r="B1302">
        <v>983081.96721311472</v>
      </c>
      <c r="C1302" t="s">
        <v>1522</v>
      </c>
      <c r="D1302" s="1">
        <v>45349</v>
      </c>
      <c r="E1302" t="s">
        <v>49</v>
      </c>
      <c r="F1302" t="s">
        <v>50</v>
      </c>
      <c r="G1302" t="s">
        <v>121</v>
      </c>
      <c r="H1302" t="s">
        <v>23</v>
      </c>
      <c r="I1302" t="s">
        <v>1502</v>
      </c>
      <c r="J1302" t="s">
        <v>465</v>
      </c>
      <c r="K1302">
        <v>1</v>
      </c>
      <c r="L1302">
        <v>717000</v>
      </c>
      <c r="M1302">
        <v>0.15</v>
      </c>
      <c r="N1302">
        <v>556000</v>
      </c>
      <c r="O1302">
        <v>717000</v>
      </c>
    </row>
    <row r="1303" spans="1:15" x14ac:dyDescent="0.35">
      <c r="A1303" t="s">
        <v>1503</v>
      </c>
      <c r="B1303">
        <v>983081.96721311472</v>
      </c>
      <c r="C1303" t="s">
        <v>1523</v>
      </c>
      <c r="D1303" s="1">
        <v>45374</v>
      </c>
      <c r="E1303" t="s">
        <v>14</v>
      </c>
      <c r="F1303" t="s">
        <v>15</v>
      </c>
      <c r="G1303" t="s">
        <v>798</v>
      </c>
      <c r="H1303" t="s">
        <v>28</v>
      </c>
      <c r="I1303" t="s">
        <v>1502</v>
      </c>
      <c r="J1303" t="s">
        <v>465</v>
      </c>
      <c r="K1303">
        <v>3</v>
      </c>
      <c r="L1303">
        <v>1115000</v>
      </c>
      <c r="M1303">
        <v>0</v>
      </c>
      <c r="N1303">
        <v>853000</v>
      </c>
      <c r="O1303">
        <v>1115000</v>
      </c>
    </row>
    <row r="1304" spans="1:15" x14ac:dyDescent="0.35">
      <c r="A1304" t="s">
        <v>1503</v>
      </c>
      <c r="B1304">
        <v>983081.96721311472</v>
      </c>
      <c r="C1304" t="s">
        <v>1524</v>
      </c>
      <c r="D1304" s="1">
        <v>45385</v>
      </c>
      <c r="E1304" t="s">
        <v>49</v>
      </c>
      <c r="F1304" t="s">
        <v>50</v>
      </c>
      <c r="G1304" t="s">
        <v>115</v>
      </c>
      <c r="H1304" t="s">
        <v>23</v>
      </c>
      <c r="I1304" t="s">
        <v>1502</v>
      </c>
      <c r="J1304" t="s">
        <v>465</v>
      </c>
      <c r="K1304">
        <v>1</v>
      </c>
      <c r="L1304">
        <v>1192000</v>
      </c>
      <c r="M1304">
        <v>0</v>
      </c>
      <c r="N1304">
        <v>920000</v>
      </c>
      <c r="O1304">
        <v>1192000</v>
      </c>
    </row>
    <row r="1305" spans="1:15" x14ac:dyDescent="0.35">
      <c r="A1305" t="s">
        <v>1503</v>
      </c>
      <c r="B1305">
        <v>983081.96721311472</v>
      </c>
      <c r="C1305" t="s">
        <v>1525</v>
      </c>
      <c r="D1305" s="1">
        <v>45402</v>
      </c>
      <c r="E1305" t="s">
        <v>14</v>
      </c>
      <c r="F1305" t="s">
        <v>15</v>
      </c>
      <c r="G1305" t="s">
        <v>22</v>
      </c>
      <c r="H1305" t="s">
        <v>23</v>
      </c>
      <c r="I1305" t="s">
        <v>1502</v>
      </c>
      <c r="J1305" t="s">
        <v>465</v>
      </c>
      <c r="K1305">
        <v>1</v>
      </c>
      <c r="L1305">
        <v>793000</v>
      </c>
      <c r="M1305">
        <v>0</v>
      </c>
      <c r="N1305">
        <v>605000</v>
      </c>
      <c r="O1305">
        <v>793000</v>
      </c>
    </row>
    <row r="1306" spans="1:15" x14ac:dyDescent="0.35">
      <c r="A1306" t="s">
        <v>1503</v>
      </c>
      <c r="B1306">
        <v>983081.96721311472</v>
      </c>
      <c r="C1306" t="s">
        <v>1526</v>
      </c>
      <c r="D1306" s="1">
        <v>45415</v>
      </c>
      <c r="E1306" t="s">
        <v>14</v>
      </c>
      <c r="F1306" t="s">
        <v>15</v>
      </c>
      <c r="G1306" t="s">
        <v>559</v>
      </c>
      <c r="H1306" t="s">
        <v>23</v>
      </c>
      <c r="I1306" t="s">
        <v>1502</v>
      </c>
      <c r="J1306" t="s">
        <v>465</v>
      </c>
      <c r="K1306">
        <v>3</v>
      </c>
      <c r="L1306">
        <v>1061000</v>
      </c>
      <c r="M1306">
        <v>0</v>
      </c>
      <c r="N1306">
        <v>820000</v>
      </c>
      <c r="O1306">
        <v>1061000</v>
      </c>
    </row>
    <row r="1307" spans="1:15" x14ac:dyDescent="0.35">
      <c r="A1307" t="s">
        <v>1503</v>
      </c>
      <c r="B1307">
        <v>983081.96721311472</v>
      </c>
      <c r="C1307" t="s">
        <v>1527</v>
      </c>
      <c r="D1307" s="1">
        <v>45426</v>
      </c>
      <c r="E1307" t="s">
        <v>14</v>
      </c>
      <c r="F1307" t="s">
        <v>15</v>
      </c>
      <c r="G1307" t="s">
        <v>162</v>
      </c>
      <c r="H1307" t="s">
        <v>28</v>
      </c>
      <c r="I1307" t="s">
        <v>1502</v>
      </c>
      <c r="J1307" t="s">
        <v>465</v>
      </c>
      <c r="K1307">
        <v>1</v>
      </c>
      <c r="L1307">
        <v>1036000</v>
      </c>
      <c r="M1307">
        <v>0</v>
      </c>
      <c r="N1307">
        <v>800000</v>
      </c>
      <c r="O1307">
        <v>1036000</v>
      </c>
    </row>
    <row r="1308" spans="1:15" x14ac:dyDescent="0.35">
      <c r="A1308" t="s">
        <v>1503</v>
      </c>
      <c r="B1308">
        <v>983081.96721311472</v>
      </c>
      <c r="C1308" t="s">
        <v>1528</v>
      </c>
      <c r="D1308" s="1">
        <v>45448</v>
      </c>
      <c r="E1308" t="s">
        <v>49</v>
      </c>
      <c r="F1308" t="s">
        <v>50</v>
      </c>
      <c r="G1308" t="s">
        <v>210</v>
      </c>
      <c r="H1308" t="s">
        <v>23</v>
      </c>
      <c r="I1308" t="s">
        <v>1502</v>
      </c>
      <c r="J1308" t="s">
        <v>465</v>
      </c>
      <c r="K1308">
        <v>1</v>
      </c>
      <c r="L1308">
        <v>846000</v>
      </c>
      <c r="M1308">
        <v>0</v>
      </c>
      <c r="N1308">
        <v>646000</v>
      </c>
      <c r="O1308">
        <v>846000</v>
      </c>
    </row>
    <row r="1309" spans="1:15" x14ac:dyDescent="0.35">
      <c r="A1309" t="s">
        <v>1503</v>
      </c>
      <c r="B1309">
        <v>983081.96721311472</v>
      </c>
      <c r="C1309" t="s">
        <v>1529</v>
      </c>
      <c r="D1309" s="1">
        <v>45456</v>
      </c>
      <c r="E1309" t="s">
        <v>14</v>
      </c>
      <c r="F1309" t="s">
        <v>15</v>
      </c>
      <c r="G1309" t="s">
        <v>582</v>
      </c>
      <c r="H1309" t="s">
        <v>17</v>
      </c>
      <c r="I1309" t="s">
        <v>1502</v>
      </c>
      <c r="J1309" t="s">
        <v>465</v>
      </c>
      <c r="K1309">
        <v>1</v>
      </c>
      <c r="L1309">
        <v>738000</v>
      </c>
      <c r="M1309">
        <v>0.05</v>
      </c>
      <c r="N1309">
        <v>566000</v>
      </c>
      <c r="O1309">
        <v>738000</v>
      </c>
    </row>
    <row r="1310" spans="1:15" x14ac:dyDescent="0.35">
      <c r="A1310" t="s">
        <v>1503</v>
      </c>
      <c r="B1310">
        <v>983081.96721311472</v>
      </c>
      <c r="C1310" t="s">
        <v>1530</v>
      </c>
      <c r="D1310" s="1">
        <v>45460</v>
      </c>
      <c r="E1310" t="s">
        <v>41</v>
      </c>
      <c r="F1310" t="s">
        <v>42</v>
      </c>
      <c r="G1310" t="s">
        <v>234</v>
      </c>
      <c r="H1310" t="s">
        <v>23</v>
      </c>
      <c r="I1310" t="s">
        <v>1502</v>
      </c>
      <c r="J1310" t="s">
        <v>465</v>
      </c>
      <c r="K1310">
        <v>1</v>
      </c>
      <c r="L1310">
        <v>1179000</v>
      </c>
      <c r="M1310">
        <v>0</v>
      </c>
      <c r="N1310">
        <v>891000</v>
      </c>
      <c r="O1310">
        <v>1179000</v>
      </c>
    </row>
    <row r="1311" spans="1:15" x14ac:dyDescent="0.35">
      <c r="A1311" t="s">
        <v>1503</v>
      </c>
      <c r="B1311">
        <v>983081.96721311472</v>
      </c>
      <c r="C1311" t="s">
        <v>1531</v>
      </c>
      <c r="D1311" s="1">
        <v>45473</v>
      </c>
      <c r="E1311" t="s">
        <v>14</v>
      </c>
      <c r="F1311" t="s">
        <v>15</v>
      </c>
      <c r="G1311" t="s">
        <v>327</v>
      </c>
      <c r="H1311" t="s">
        <v>23</v>
      </c>
      <c r="I1311" t="s">
        <v>1502</v>
      </c>
      <c r="J1311" t="s">
        <v>465</v>
      </c>
      <c r="K1311">
        <v>2</v>
      </c>
      <c r="L1311">
        <v>1070000</v>
      </c>
      <c r="M1311">
        <v>0</v>
      </c>
      <c r="N1311">
        <v>844000</v>
      </c>
      <c r="O1311">
        <v>1070000</v>
      </c>
    </row>
    <row r="1312" spans="1:15" x14ac:dyDescent="0.35">
      <c r="A1312" t="s">
        <v>1503</v>
      </c>
      <c r="B1312">
        <v>983081.96721311472</v>
      </c>
      <c r="C1312" t="s">
        <v>1532</v>
      </c>
      <c r="D1312" s="1">
        <v>45489</v>
      </c>
      <c r="E1312" t="s">
        <v>14</v>
      </c>
      <c r="F1312" t="s">
        <v>15</v>
      </c>
      <c r="G1312" t="s">
        <v>197</v>
      </c>
      <c r="H1312" t="s">
        <v>28</v>
      </c>
      <c r="I1312" t="s">
        <v>1502</v>
      </c>
      <c r="J1312" t="s">
        <v>465</v>
      </c>
      <c r="K1312">
        <v>2</v>
      </c>
      <c r="L1312">
        <v>973000</v>
      </c>
      <c r="M1312">
        <v>0.15</v>
      </c>
      <c r="N1312">
        <v>740000</v>
      </c>
      <c r="O1312">
        <v>973000</v>
      </c>
    </row>
    <row r="1313" spans="1:15" x14ac:dyDescent="0.35">
      <c r="A1313" t="s">
        <v>1503</v>
      </c>
      <c r="B1313">
        <v>983081.96721311472</v>
      </c>
      <c r="C1313" t="s">
        <v>1533</v>
      </c>
      <c r="D1313" s="1">
        <v>45494</v>
      </c>
      <c r="E1313" t="s">
        <v>14</v>
      </c>
      <c r="F1313" t="s">
        <v>15</v>
      </c>
      <c r="G1313" t="s">
        <v>234</v>
      </c>
      <c r="H1313" t="s">
        <v>23</v>
      </c>
      <c r="I1313" t="s">
        <v>1502</v>
      </c>
      <c r="J1313" t="s">
        <v>465</v>
      </c>
      <c r="K1313">
        <v>1</v>
      </c>
      <c r="L1313">
        <v>916000</v>
      </c>
      <c r="M1313">
        <v>0</v>
      </c>
      <c r="N1313">
        <v>688000</v>
      </c>
      <c r="O1313">
        <v>916000</v>
      </c>
    </row>
    <row r="1314" spans="1:15" x14ac:dyDescent="0.35">
      <c r="A1314" t="s">
        <v>1503</v>
      </c>
      <c r="B1314">
        <v>983081.96721311472</v>
      </c>
      <c r="C1314" t="s">
        <v>1534</v>
      </c>
      <c r="D1314" s="1">
        <v>45510</v>
      </c>
      <c r="E1314" t="s">
        <v>49</v>
      </c>
      <c r="F1314" t="s">
        <v>50</v>
      </c>
      <c r="G1314" t="s">
        <v>91</v>
      </c>
      <c r="H1314" t="s">
        <v>23</v>
      </c>
      <c r="I1314" t="s">
        <v>1502</v>
      </c>
      <c r="J1314" t="s">
        <v>465</v>
      </c>
      <c r="K1314">
        <v>5</v>
      </c>
      <c r="L1314">
        <v>1214000</v>
      </c>
      <c r="M1314">
        <v>0</v>
      </c>
      <c r="N1314">
        <v>938000</v>
      </c>
      <c r="O1314">
        <v>1214000</v>
      </c>
    </row>
    <row r="1315" spans="1:15" x14ac:dyDescent="0.35">
      <c r="A1315" t="s">
        <v>1503</v>
      </c>
      <c r="B1315">
        <v>983081.96721311472</v>
      </c>
      <c r="C1315" t="s">
        <v>1535</v>
      </c>
      <c r="D1315" s="1">
        <v>45529</v>
      </c>
      <c r="E1315" t="s">
        <v>25</v>
      </c>
      <c r="F1315" t="s">
        <v>26</v>
      </c>
      <c r="G1315" t="s">
        <v>255</v>
      </c>
      <c r="H1315" t="s">
        <v>17</v>
      </c>
      <c r="I1315" t="s">
        <v>1502</v>
      </c>
      <c r="J1315" t="s">
        <v>465</v>
      </c>
      <c r="K1315">
        <v>3</v>
      </c>
      <c r="L1315">
        <v>1198000</v>
      </c>
      <c r="M1315">
        <v>0</v>
      </c>
      <c r="N1315">
        <v>922000</v>
      </c>
      <c r="O1315">
        <v>1198000</v>
      </c>
    </row>
    <row r="1316" spans="1:15" x14ac:dyDescent="0.35">
      <c r="A1316" t="s">
        <v>1503</v>
      </c>
      <c r="B1316">
        <v>983081.96721311472</v>
      </c>
      <c r="C1316" t="s">
        <v>1536</v>
      </c>
      <c r="D1316" s="1">
        <v>45593</v>
      </c>
      <c r="E1316" t="s">
        <v>49</v>
      </c>
      <c r="F1316" t="s">
        <v>50</v>
      </c>
      <c r="G1316" t="s">
        <v>295</v>
      </c>
      <c r="H1316" t="s">
        <v>23</v>
      </c>
      <c r="I1316" t="s">
        <v>1502</v>
      </c>
      <c r="J1316" t="s">
        <v>465</v>
      </c>
      <c r="K1316">
        <v>1</v>
      </c>
      <c r="L1316">
        <v>649000</v>
      </c>
      <c r="M1316">
        <v>0</v>
      </c>
      <c r="N1316">
        <v>492000</v>
      </c>
      <c r="O1316">
        <v>649000</v>
      </c>
    </row>
    <row r="1317" spans="1:15" x14ac:dyDescent="0.35">
      <c r="A1317" t="s">
        <v>1503</v>
      </c>
      <c r="B1317">
        <v>983081.96721311472</v>
      </c>
      <c r="C1317" t="s">
        <v>1537</v>
      </c>
      <c r="D1317" s="1">
        <v>45616</v>
      </c>
      <c r="E1317" t="s">
        <v>49</v>
      </c>
      <c r="F1317" t="s">
        <v>50</v>
      </c>
      <c r="G1317" t="s">
        <v>329</v>
      </c>
      <c r="H1317" t="s">
        <v>28</v>
      </c>
      <c r="I1317" t="s">
        <v>1502</v>
      </c>
      <c r="J1317" t="s">
        <v>465</v>
      </c>
      <c r="K1317">
        <v>5</v>
      </c>
      <c r="L1317">
        <v>1015000</v>
      </c>
      <c r="M1317">
        <v>0</v>
      </c>
      <c r="N1317">
        <v>792000</v>
      </c>
      <c r="O1317">
        <v>1015000</v>
      </c>
    </row>
    <row r="1318" spans="1:15" x14ac:dyDescent="0.35">
      <c r="A1318" t="s">
        <v>1503</v>
      </c>
      <c r="B1318">
        <v>983081.96721311472</v>
      </c>
      <c r="C1318" t="s">
        <v>1538</v>
      </c>
      <c r="D1318" s="1">
        <v>45616</v>
      </c>
      <c r="E1318" t="s">
        <v>25</v>
      </c>
      <c r="F1318" t="s">
        <v>26</v>
      </c>
      <c r="G1318" t="s">
        <v>337</v>
      </c>
      <c r="H1318" t="s">
        <v>23</v>
      </c>
      <c r="I1318" t="s">
        <v>1502</v>
      </c>
      <c r="J1318" t="s">
        <v>465</v>
      </c>
      <c r="K1318">
        <v>2</v>
      </c>
      <c r="L1318">
        <v>1009000</v>
      </c>
      <c r="M1318">
        <v>0</v>
      </c>
      <c r="N1318">
        <v>764000</v>
      </c>
      <c r="O1318">
        <v>1009000</v>
      </c>
    </row>
    <row r="1319" spans="1:15" x14ac:dyDescent="0.35">
      <c r="A1319" t="s">
        <v>1503</v>
      </c>
      <c r="B1319">
        <v>983081.96721311472</v>
      </c>
      <c r="C1319" t="s">
        <v>1539</v>
      </c>
      <c r="D1319" s="1">
        <v>45626</v>
      </c>
      <c r="E1319" t="s">
        <v>49</v>
      </c>
      <c r="F1319" t="s">
        <v>50</v>
      </c>
      <c r="G1319" t="s">
        <v>104</v>
      </c>
      <c r="H1319" t="s">
        <v>28</v>
      </c>
      <c r="I1319" t="s">
        <v>1502</v>
      </c>
      <c r="J1319" t="s">
        <v>465</v>
      </c>
      <c r="K1319">
        <v>2</v>
      </c>
      <c r="L1319">
        <v>830000</v>
      </c>
      <c r="M1319">
        <v>0</v>
      </c>
      <c r="N1319">
        <v>632000</v>
      </c>
      <c r="O1319">
        <v>830000</v>
      </c>
    </row>
    <row r="1320" spans="1:15" x14ac:dyDescent="0.35">
      <c r="A1320" t="s">
        <v>1503</v>
      </c>
      <c r="B1320">
        <v>983081.96721311472</v>
      </c>
      <c r="C1320" t="s">
        <v>1540</v>
      </c>
      <c r="D1320" s="1">
        <v>45644</v>
      </c>
      <c r="E1320" t="s">
        <v>36</v>
      </c>
      <c r="F1320" t="s">
        <v>37</v>
      </c>
      <c r="G1320" t="s">
        <v>91</v>
      </c>
      <c r="H1320" t="s">
        <v>23</v>
      </c>
      <c r="I1320" t="s">
        <v>1502</v>
      </c>
      <c r="J1320" t="s">
        <v>465</v>
      </c>
      <c r="K1320">
        <v>1</v>
      </c>
      <c r="L1320">
        <v>1012000</v>
      </c>
      <c r="M1320">
        <v>0</v>
      </c>
      <c r="N1320">
        <v>779000</v>
      </c>
      <c r="O1320">
        <v>1012000</v>
      </c>
    </row>
    <row r="1321" spans="1:15" x14ac:dyDescent="0.35">
      <c r="A1321" t="s">
        <v>1503</v>
      </c>
      <c r="B1321">
        <v>983081.96721311472</v>
      </c>
      <c r="C1321" t="s">
        <v>1541</v>
      </c>
      <c r="D1321" s="1">
        <v>45655</v>
      </c>
      <c r="E1321" t="s">
        <v>14</v>
      </c>
      <c r="F1321" t="s">
        <v>15</v>
      </c>
      <c r="G1321" t="s">
        <v>498</v>
      </c>
      <c r="H1321" t="s">
        <v>23</v>
      </c>
      <c r="I1321" t="s">
        <v>1502</v>
      </c>
      <c r="J1321" t="s">
        <v>465</v>
      </c>
      <c r="K1321">
        <v>1</v>
      </c>
      <c r="L1321">
        <v>788000</v>
      </c>
      <c r="M1321">
        <v>0</v>
      </c>
      <c r="N1321">
        <v>618000</v>
      </c>
      <c r="O1321">
        <v>788000</v>
      </c>
    </row>
    <row r="1322" spans="1:15" x14ac:dyDescent="0.35">
      <c r="A1322" t="s">
        <v>1503</v>
      </c>
      <c r="B1322">
        <v>983081.96721311472</v>
      </c>
      <c r="C1322" t="s">
        <v>1542</v>
      </c>
      <c r="D1322" s="1">
        <v>45671</v>
      </c>
      <c r="E1322" t="s">
        <v>41</v>
      </c>
      <c r="F1322" t="s">
        <v>42</v>
      </c>
      <c r="G1322" t="s">
        <v>337</v>
      </c>
      <c r="H1322" t="s">
        <v>23</v>
      </c>
      <c r="I1322" t="s">
        <v>1502</v>
      </c>
      <c r="J1322" t="s">
        <v>465</v>
      </c>
      <c r="K1322">
        <v>3</v>
      </c>
      <c r="L1322">
        <v>1026000</v>
      </c>
      <c r="M1322">
        <v>0</v>
      </c>
      <c r="N1322">
        <v>797000</v>
      </c>
      <c r="O1322">
        <v>1026000</v>
      </c>
    </row>
    <row r="1323" spans="1:15" x14ac:dyDescent="0.35">
      <c r="A1323" t="s">
        <v>1503</v>
      </c>
      <c r="B1323">
        <v>983081.96721311472</v>
      </c>
      <c r="C1323" t="s">
        <v>1543</v>
      </c>
      <c r="D1323" s="1">
        <v>45680</v>
      </c>
      <c r="E1323" t="s">
        <v>14</v>
      </c>
      <c r="F1323" t="s">
        <v>15</v>
      </c>
      <c r="G1323" t="s">
        <v>411</v>
      </c>
      <c r="H1323" t="s">
        <v>28</v>
      </c>
      <c r="I1323" t="s">
        <v>1502</v>
      </c>
      <c r="J1323" t="s">
        <v>465</v>
      </c>
      <c r="K1323">
        <v>3</v>
      </c>
      <c r="L1323">
        <v>770000</v>
      </c>
      <c r="M1323">
        <v>0</v>
      </c>
      <c r="N1323">
        <v>594000</v>
      </c>
      <c r="O1323">
        <v>770000</v>
      </c>
    </row>
    <row r="1324" spans="1:15" x14ac:dyDescent="0.35">
      <c r="A1324" t="s">
        <v>1503</v>
      </c>
      <c r="B1324">
        <v>983081.96721311472</v>
      </c>
      <c r="C1324" t="s">
        <v>1544</v>
      </c>
      <c r="D1324" s="1">
        <v>45711</v>
      </c>
      <c r="E1324" t="s">
        <v>41</v>
      </c>
      <c r="F1324" t="s">
        <v>42</v>
      </c>
      <c r="G1324" t="s">
        <v>65</v>
      </c>
      <c r="H1324" t="s">
        <v>17</v>
      </c>
      <c r="I1324" t="s">
        <v>1502</v>
      </c>
      <c r="J1324" t="s">
        <v>465</v>
      </c>
      <c r="K1324">
        <v>1</v>
      </c>
      <c r="L1324">
        <v>1282000</v>
      </c>
      <c r="M1324">
        <v>0.15</v>
      </c>
      <c r="N1324">
        <v>963000</v>
      </c>
      <c r="O1324">
        <v>1282000</v>
      </c>
    </row>
    <row r="1325" spans="1:15" x14ac:dyDescent="0.35">
      <c r="A1325" t="s">
        <v>1503</v>
      </c>
      <c r="B1325">
        <v>983081.96721311472</v>
      </c>
      <c r="C1325" t="s">
        <v>1545</v>
      </c>
      <c r="D1325" s="1">
        <v>45720</v>
      </c>
      <c r="E1325" t="s">
        <v>49</v>
      </c>
      <c r="F1325" t="s">
        <v>50</v>
      </c>
      <c r="G1325" t="s">
        <v>99</v>
      </c>
      <c r="H1325" t="s">
        <v>23</v>
      </c>
      <c r="I1325" t="s">
        <v>1502</v>
      </c>
      <c r="J1325" t="s">
        <v>465</v>
      </c>
      <c r="K1325">
        <v>1</v>
      </c>
      <c r="L1325">
        <v>1214000</v>
      </c>
      <c r="M1325">
        <v>0</v>
      </c>
      <c r="N1325">
        <v>916000</v>
      </c>
      <c r="O1325">
        <v>1214000</v>
      </c>
    </row>
    <row r="1326" spans="1:15" x14ac:dyDescent="0.35">
      <c r="A1326" t="s">
        <v>1503</v>
      </c>
      <c r="B1326">
        <v>983081.96721311472</v>
      </c>
      <c r="C1326" t="s">
        <v>1546</v>
      </c>
      <c r="D1326" s="1">
        <v>45728</v>
      </c>
      <c r="E1326" t="s">
        <v>41</v>
      </c>
      <c r="F1326" t="s">
        <v>42</v>
      </c>
      <c r="G1326" t="s">
        <v>262</v>
      </c>
      <c r="H1326" t="s">
        <v>23</v>
      </c>
      <c r="I1326" t="s">
        <v>1502</v>
      </c>
      <c r="J1326" t="s">
        <v>465</v>
      </c>
      <c r="K1326">
        <v>1</v>
      </c>
      <c r="L1326">
        <v>1208000</v>
      </c>
      <c r="M1326">
        <v>0</v>
      </c>
      <c r="N1326">
        <v>921000</v>
      </c>
      <c r="O1326">
        <v>1208000</v>
      </c>
    </row>
    <row r="1327" spans="1:15" x14ac:dyDescent="0.35">
      <c r="A1327" t="s">
        <v>1503</v>
      </c>
      <c r="B1327">
        <v>983081.96721311472</v>
      </c>
      <c r="C1327" t="s">
        <v>1547</v>
      </c>
      <c r="D1327" s="1">
        <v>45858</v>
      </c>
      <c r="E1327" t="s">
        <v>14</v>
      </c>
      <c r="F1327" t="s">
        <v>15</v>
      </c>
      <c r="G1327" t="s">
        <v>265</v>
      </c>
      <c r="H1327" t="s">
        <v>23</v>
      </c>
      <c r="I1327" t="s">
        <v>1502</v>
      </c>
      <c r="J1327" t="s">
        <v>465</v>
      </c>
      <c r="K1327">
        <v>5</v>
      </c>
      <c r="L1327">
        <v>1242000</v>
      </c>
      <c r="M1327">
        <v>0</v>
      </c>
      <c r="N1327">
        <v>943000</v>
      </c>
      <c r="O1327">
        <v>1242000</v>
      </c>
    </row>
    <row r="1328" spans="1:15" x14ac:dyDescent="0.35">
      <c r="A1328" t="s">
        <v>1503</v>
      </c>
      <c r="B1328">
        <v>983081.96721311472</v>
      </c>
      <c r="C1328" t="s">
        <v>1548</v>
      </c>
      <c r="D1328" s="1">
        <v>45934</v>
      </c>
      <c r="E1328" t="s">
        <v>49</v>
      </c>
      <c r="F1328" t="s">
        <v>50</v>
      </c>
      <c r="G1328" t="s">
        <v>247</v>
      </c>
      <c r="H1328" t="s">
        <v>17</v>
      </c>
      <c r="I1328" t="s">
        <v>1502</v>
      </c>
      <c r="J1328" t="s">
        <v>465</v>
      </c>
      <c r="K1328">
        <v>1</v>
      </c>
      <c r="L1328">
        <v>570000</v>
      </c>
      <c r="M1328">
        <v>0</v>
      </c>
      <c r="N1328">
        <v>448000</v>
      </c>
      <c r="O1328">
        <v>570000</v>
      </c>
    </row>
    <row r="1329" spans="1:15" x14ac:dyDescent="0.35">
      <c r="A1329" t="s">
        <v>1503</v>
      </c>
      <c r="B1329">
        <v>983081.96721311472</v>
      </c>
      <c r="C1329" t="s">
        <v>1549</v>
      </c>
      <c r="D1329" s="1">
        <v>45981</v>
      </c>
      <c r="E1329" t="s">
        <v>49</v>
      </c>
      <c r="F1329" t="s">
        <v>50</v>
      </c>
      <c r="G1329" t="s">
        <v>110</v>
      </c>
      <c r="H1329" t="s">
        <v>23</v>
      </c>
      <c r="I1329" t="s">
        <v>1502</v>
      </c>
      <c r="J1329" t="s">
        <v>465</v>
      </c>
      <c r="K1329">
        <v>1</v>
      </c>
      <c r="L1329">
        <v>835000</v>
      </c>
      <c r="M1329">
        <v>0</v>
      </c>
      <c r="N1329">
        <v>659000</v>
      </c>
      <c r="O1329">
        <v>835000</v>
      </c>
    </row>
    <row r="1330" spans="1:15" x14ac:dyDescent="0.35">
      <c r="A1330" t="s">
        <v>1503</v>
      </c>
      <c r="B1330">
        <v>983081.96721311472</v>
      </c>
      <c r="C1330" t="s">
        <v>1550</v>
      </c>
      <c r="D1330" s="1">
        <v>45986</v>
      </c>
      <c r="E1330" t="s">
        <v>14</v>
      </c>
      <c r="F1330" t="s">
        <v>15</v>
      </c>
      <c r="G1330" t="s">
        <v>411</v>
      </c>
      <c r="H1330" t="s">
        <v>28</v>
      </c>
      <c r="I1330" t="s">
        <v>1502</v>
      </c>
      <c r="J1330" t="s">
        <v>465</v>
      </c>
      <c r="K1330">
        <v>5</v>
      </c>
      <c r="L1330">
        <v>1219000</v>
      </c>
      <c r="M1330">
        <v>0</v>
      </c>
      <c r="N1330">
        <v>918000</v>
      </c>
      <c r="O1330">
        <v>1219000</v>
      </c>
    </row>
    <row r="1331" spans="1:15" x14ac:dyDescent="0.35">
      <c r="A1331" t="s">
        <v>1503</v>
      </c>
      <c r="B1331">
        <v>983081.96721311472</v>
      </c>
      <c r="C1331" t="s">
        <v>1551</v>
      </c>
      <c r="D1331" s="1">
        <v>46000</v>
      </c>
      <c r="E1331" t="s">
        <v>14</v>
      </c>
      <c r="F1331" t="s">
        <v>15</v>
      </c>
      <c r="G1331" t="s">
        <v>47</v>
      </c>
      <c r="H1331" t="s">
        <v>23</v>
      </c>
      <c r="I1331" t="s">
        <v>1502</v>
      </c>
      <c r="J1331" t="s">
        <v>465</v>
      </c>
      <c r="K1331">
        <v>2</v>
      </c>
      <c r="L1331">
        <v>959000</v>
      </c>
      <c r="M1331">
        <v>0</v>
      </c>
      <c r="N1331">
        <v>732000</v>
      </c>
      <c r="O1331">
        <v>959000</v>
      </c>
    </row>
    <row r="1332" spans="1:15" x14ac:dyDescent="0.35">
      <c r="A1332" t="s">
        <v>1503</v>
      </c>
      <c r="B1332">
        <v>983081.96721311472</v>
      </c>
      <c r="C1332" t="s">
        <v>1552</v>
      </c>
      <c r="D1332" s="1">
        <v>46001</v>
      </c>
      <c r="E1332" t="s">
        <v>14</v>
      </c>
      <c r="F1332" t="s">
        <v>15</v>
      </c>
      <c r="G1332" t="s">
        <v>177</v>
      </c>
      <c r="H1332" t="s">
        <v>23</v>
      </c>
      <c r="I1332" t="s">
        <v>1502</v>
      </c>
      <c r="J1332" t="s">
        <v>465</v>
      </c>
      <c r="K1332">
        <v>1</v>
      </c>
      <c r="L1332">
        <v>1069000</v>
      </c>
      <c r="M1332">
        <v>0</v>
      </c>
      <c r="N1332">
        <v>805000</v>
      </c>
      <c r="O1332">
        <v>1069000</v>
      </c>
    </row>
    <row r="1333" spans="1:15" x14ac:dyDescent="0.35">
      <c r="A1333" t="s">
        <v>1503</v>
      </c>
      <c r="B1333">
        <v>983081.96721311472</v>
      </c>
      <c r="C1333" t="s">
        <v>1553</v>
      </c>
      <c r="D1333" s="1">
        <v>46011</v>
      </c>
      <c r="E1333" t="s">
        <v>49</v>
      </c>
      <c r="F1333" t="s">
        <v>50</v>
      </c>
      <c r="G1333" t="s">
        <v>113</v>
      </c>
      <c r="H1333" t="s">
        <v>23</v>
      </c>
      <c r="I1333" t="s">
        <v>1502</v>
      </c>
      <c r="J1333" t="s">
        <v>465</v>
      </c>
      <c r="K1333">
        <v>1</v>
      </c>
      <c r="L1333">
        <v>813000</v>
      </c>
      <c r="M1333">
        <v>0</v>
      </c>
      <c r="N1333">
        <v>611000</v>
      </c>
      <c r="O1333">
        <v>813000</v>
      </c>
    </row>
    <row r="1334" spans="1:15" x14ac:dyDescent="0.35">
      <c r="A1334" t="s">
        <v>1503</v>
      </c>
      <c r="B1334">
        <v>983081.96721311472</v>
      </c>
      <c r="C1334" t="s">
        <v>1554</v>
      </c>
      <c r="D1334" s="1">
        <v>46022</v>
      </c>
      <c r="E1334" t="s">
        <v>14</v>
      </c>
      <c r="F1334" t="s">
        <v>15</v>
      </c>
      <c r="G1334" t="s">
        <v>71</v>
      </c>
      <c r="H1334" t="s">
        <v>23</v>
      </c>
      <c r="I1334" t="s">
        <v>1502</v>
      </c>
      <c r="J1334" t="s">
        <v>465</v>
      </c>
      <c r="K1334">
        <v>1</v>
      </c>
      <c r="L1334">
        <v>1040000</v>
      </c>
      <c r="M1334">
        <v>0</v>
      </c>
      <c r="N1334">
        <v>791000</v>
      </c>
      <c r="O1334">
        <v>1040000</v>
      </c>
    </row>
    <row r="1335" spans="1:15" x14ac:dyDescent="0.35">
      <c r="A1335" t="s">
        <v>1503</v>
      </c>
      <c r="B1335">
        <v>983081.96721311472</v>
      </c>
      <c r="C1335" t="s">
        <v>1555</v>
      </c>
      <c r="D1335" s="1">
        <v>46077</v>
      </c>
      <c r="E1335" t="s">
        <v>36</v>
      </c>
      <c r="F1335" t="s">
        <v>37</v>
      </c>
      <c r="G1335" t="s">
        <v>113</v>
      </c>
      <c r="H1335" t="s">
        <v>23</v>
      </c>
      <c r="I1335" t="s">
        <v>1502</v>
      </c>
      <c r="J1335" t="s">
        <v>465</v>
      </c>
      <c r="K1335">
        <v>3</v>
      </c>
      <c r="L1335">
        <v>1269000</v>
      </c>
      <c r="M1335">
        <v>0</v>
      </c>
      <c r="N1335">
        <v>995000</v>
      </c>
      <c r="O1335">
        <v>1269000</v>
      </c>
    </row>
    <row r="1336" spans="1:15" x14ac:dyDescent="0.35">
      <c r="A1336" t="s">
        <v>1503</v>
      </c>
      <c r="B1336">
        <v>983081.96721311472</v>
      </c>
      <c r="C1336" t="s">
        <v>1556</v>
      </c>
      <c r="D1336" s="1">
        <v>46095</v>
      </c>
      <c r="E1336" t="s">
        <v>49</v>
      </c>
      <c r="F1336" t="s">
        <v>50</v>
      </c>
      <c r="G1336" t="s">
        <v>85</v>
      </c>
      <c r="H1336" t="s">
        <v>23</v>
      </c>
      <c r="I1336" t="s">
        <v>1502</v>
      </c>
      <c r="J1336" t="s">
        <v>465</v>
      </c>
      <c r="K1336">
        <v>1</v>
      </c>
      <c r="L1336">
        <v>1099000</v>
      </c>
      <c r="M1336">
        <v>0.1</v>
      </c>
      <c r="N1336">
        <v>835000</v>
      </c>
      <c r="O1336">
        <v>1099000</v>
      </c>
    </row>
    <row r="1337" spans="1:15" x14ac:dyDescent="0.35">
      <c r="A1337" t="s">
        <v>1503</v>
      </c>
      <c r="B1337">
        <v>983081.96721311472</v>
      </c>
      <c r="C1337" t="s">
        <v>1557</v>
      </c>
      <c r="D1337" s="1">
        <v>46096</v>
      </c>
      <c r="E1337" t="s">
        <v>36</v>
      </c>
      <c r="F1337" t="s">
        <v>37</v>
      </c>
      <c r="G1337" t="s">
        <v>274</v>
      </c>
      <c r="H1337" t="s">
        <v>58</v>
      </c>
      <c r="I1337" t="s">
        <v>1502</v>
      </c>
      <c r="J1337" t="s">
        <v>465</v>
      </c>
      <c r="K1337">
        <v>1</v>
      </c>
      <c r="L1337">
        <v>1153000</v>
      </c>
      <c r="M1337">
        <v>0</v>
      </c>
      <c r="N1337">
        <v>879000</v>
      </c>
      <c r="O1337">
        <v>1153000</v>
      </c>
    </row>
    <row r="1338" spans="1:15" x14ac:dyDescent="0.35">
      <c r="A1338" t="s">
        <v>1503</v>
      </c>
      <c r="B1338">
        <v>983081.96721311472</v>
      </c>
      <c r="C1338" t="s">
        <v>1558</v>
      </c>
      <c r="D1338" s="1">
        <v>46100</v>
      </c>
      <c r="E1338" t="s">
        <v>14</v>
      </c>
      <c r="F1338" t="s">
        <v>15</v>
      </c>
      <c r="G1338" t="s">
        <v>244</v>
      </c>
      <c r="H1338" t="s">
        <v>17</v>
      </c>
      <c r="I1338" t="s">
        <v>1502</v>
      </c>
      <c r="J1338" t="s">
        <v>465</v>
      </c>
      <c r="K1338">
        <v>1</v>
      </c>
      <c r="L1338">
        <v>1353000</v>
      </c>
      <c r="M1338">
        <v>0</v>
      </c>
      <c r="N1338">
        <v>1042000</v>
      </c>
      <c r="O1338">
        <v>1353000</v>
      </c>
    </row>
    <row r="1339" spans="1:15" x14ac:dyDescent="0.35">
      <c r="A1339" t="s">
        <v>1503</v>
      </c>
      <c r="B1339">
        <v>983081.96721311472</v>
      </c>
      <c r="C1339" t="s">
        <v>1559</v>
      </c>
      <c r="D1339" s="1">
        <v>46102</v>
      </c>
      <c r="E1339" t="s">
        <v>41</v>
      </c>
      <c r="F1339" t="s">
        <v>42</v>
      </c>
      <c r="G1339" t="s">
        <v>97</v>
      </c>
      <c r="H1339" t="s">
        <v>23</v>
      </c>
      <c r="I1339" t="s">
        <v>1502</v>
      </c>
      <c r="J1339" t="s">
        <v>465</v>
      </c>
      <c r="K1339">
        <v>1</v>
      </c>
      <c r="L1339">
        <v>930000</v>
      </c>
      <c r="M1339">
        <v>0</v>
      </c>
      <c r="N1339">
        <v>723000</v>
      </c>
      <c r="O1339">
        <v>930000</v>
      </c>
    </row>
    <row r="1340" spans="1:15" x14ac:dyDescent="0.35">
      <c r="A1340" t="s">
        <v>1503</v>
      </c>
      <c r="B1340">
        <v>983081.96721311472</v>
      </c>
      <c r="C1340" t="s">
        <v>1560</v>
      </c>
      <c r="D1340" s="1">
        <v>46122</v>
      </c>
      <c r="E1340" t="s">
        <v>36</v>
      </c>
      <c r="F1340" t="s">
        <v>37</v>
      </c>
      <c r="G1340" t="s">
        <v>598</v>
      </c>
      <c r="H1340" t="s">
        <v>23</v>
      </c>
      <c r="I1340" t="s">
        <v>1502</v>
      </c>
      <c r="J1340" t="s">
        <v>465</v>
      </c>
      <c r="K1340">
        <v>1</v>
      </c>
      <c r="L1340">
        <v>804000</v>
      </c>
      <c r="M1340">
        <v>0.1</v>
      </c>
      <c r="N1340">
        <v>631000</v>
      </c>
      <c r="O1340">
        <v>804000</v>
      </c>
    </row>
    <row r="1341" spans="1:15" x14ac:dyDescent="0.35">
      <c r="A1341" t="s">
        <v>1503</v>
      </c>
      <c r="B1341">
        <v>983081.96721311472</v>
      </c>
      <c r="C1341" t="s">
        <v>1561</v>
      </c>
      <c r="D1341" s="1">
        <v>46136</v>
      </c>
      <c r="E1341" t="s">
        <v>14</v>
      </c>
      <c r="F1341" t="s">
        <v>15</v>
      </c>
      <c r="G1341" t="s">
        <v>260</v>
      </c>
      <c r="H1341" t="s">
        <v>23</v>
      </c>
      <c r="I1341" t="s">
        <v>1502</v>
      </c>
      <c r="J1341" t="s">
        <v>465</v>
      </c>
      <c r="K1341">
        <v>3</v>
      </c>
      <c r="L1341">
        <v>1269000</v>
      </c>
      <c r="M1341">
        <v>0</v>
      </c>
      <c r="N1341">
        <v>977000</v>
      </c>
      <c r="O1341">
        <v>1269000</v>
      </c>
    </row>
    <row r="1342" spans="1:15" x14ac:dyDescent="0.35">
      <c r="A1342" t="s">
        <v>1503</v>
      </c>
      <c r="B1342">
        <v>983081.96721311472</v>
      </c>
      <c r="C1342" t="s">
        <v>1562</v>
      </c>
      <c r="D1342" s="1">
        <v>46162</v>
      </c>
      <c r="E1342" t="s">
        <v>41</v>
      </c>
      <c r="F1342" t="s">
        <v>42</v>
      </c>
      <c r="G1342" t="s">
        <v>155</v>
      </c>
      <c r="H1342" t="s">
        <v>58</v>
      </c>
      <c r="I1342" t="s">
        <v>1502</v>
      </c>
      <c r="J1342" t="s">
        <v>465</v>
      </c>
      <c r="K1342">
        <v>1</v>
      </c>
      <c r="L1342">
        <v>943000</v>
      </c>
      <c r="M1342">
        <v>0</v>
      </c>
      <c r="N1342">
        <v>728000</v>
      </c>
      <c r="O1342">
        <v>943000</v>
      </c>
    </row>
    <row r="1343" spans="1:15" x14ac:dyDescent="0.35">
      <c r="A1343" t="s">
        <v>1503</v>
      </c>
      <c r="B1343">
        <v>983081.96721311472</v>
      </c>
      <c r="C1343" t="s">
        <v>1563</v>
      </c>
      <c r="D1343" s="1">
        <v>46164</v>
      </c>
      <c r="E1343" t="s">
        <v>14</v>
      </c>
      <c r="F1343" t="s">
        <v>15</v>
      </c>
      <c r="G1343" t="s">
        <v>236</v>
      </c>
      <c r="H1343" t="s">
        <v>28</v>
      </c>
      <c r="I1343" t="s">
        <v>1502</v>
      </c>
      <c r="J1343" t="s">
        <v>465</v>
      </c>
      <c r="K1343">
        <v>1</v>
      </c>
      <c r="L1343">
        <v>809000</v>
      </c>
      <c r="M1343">
        <v>0</v>
      </c>
      <c r="N1343">
        <v>628000</v>
      </c>
      <c r="O1343">
        <v>809000</v>
      </c>
    </row>
    <row r="1344" spans="1:15" x14ac:dyDescent="0.35">
      <c r="A1344" t="s">
        <v>1503</v>
      </c>
      <c r="B1344">
        <v>983081.96721311472</v>
      </c>
      <c r="C1344" t="s">
        <v>1564</v>
      </c>
      <c r="D1344" s="1">
        <v>46182</v>
      </c>
      <c r="E1344" t="s">
        <v>25</v>
      </c>
      <c r="F1344" t="s">
        <v>26</v>
      </c>
      <c r="G1344" t="s">
        <v>16</v>
      </c>
      <c r="H1344" t="s">
        <v>17</v>
      </c>
      <c r="I1344" t="s">
        <v>1502</v>
      </c>
      <c r="J1344" t="s">
        <v>465</v>
      </c>
      <c r="K1344">
        <v>3</v>
      </c>
      <c r="L1344">
        <v>1046000</v>
      </c>
      <c r="M1344">
        <v>0.05</v>
      </c>
      <c r="N1344">
        <v>817000</v>
      </c>
      <c r="O1344">
        <v>1046000</v>
      </c>
    </row>
    <row r="1345" spans="1:15" x14ac:dyDescent="0.35">
      <c r="A1345" t="s">
        <v>1567</v>
      </c>
      <c r="B1345">
        <v>3492303.0303030303</v>
      </c>
      <c r="C1345" t="s">
        <v>1565</v>
      </c>
      <c r="D1345" s="1">
        <v>44954</v>
      </c>
      <c r="E1345" t="s">
        <v>41</v>
      </c>
      <c r="F1345" t="s">
        <v>42</v>
      </c>
      <c r="G1345" t="s">
        <v>301</v>
      </c>
      <c r="H1345" t="s">
        <v>28</v>
      </c>
      <c r="I1345" t="s">
        <v>1566</v>
      </c>
      <c r="J1345" t="s">
        <v>160</v>
      </c>
      <c r="K1345">
        <v>1</v>
      </c>
      <c r="L1345">
        <v>3724000</v>
      </c>
      <c r="M1345">
        <v>0.1</v>
      </c>
      <c r="N1345">
        <v>2748000</v>
      </c>
      <c r="O1345">
        <v>3724000</v>
      </c>
    </row>
    <row r="1346" spans="1:15" x14ac:dyDescent="0.35">
      <c r="A1346" t="s">
        <v>1567</v>
      </c>
      <c r="B1346">
        <v>3492303.0303030303</v>
      </c>
      <c r="C1346" t="s">
        <v>1568</v>
      </c>
      <c r="D1346" s="1">
        <v>44966</v>
      </c>
      <c r="E1346" t="s">
        <v>14</v>
      </c>
      <c r="F1346" t="s">
        <v>15</v>
      </c>
      <c r="G1346" t="s">
        <v>352</v>
      </c>
      <c r="H1346" t="s">
        <v>23</v>
      </c>
      <c r="I1346" t="s">
        <v>1566</v>
      </c>
      <c r="J1346" t="s">
        <v>160</v>
      </c>
      <c r="K1346">
        <v>1</v>
      </c>
      <c r="L1346">
        <v>3492303.0303030303</v>
      </c>
      <c r="M1346">
        <v>0</v>
      </c>
      <c r="N1346">
        <v>0</v>
      </c>
      <c r="O1346">
        <v>3492303.0303030303</v>
      </c>
    </row>
    <row r="1347" spans="1:15" x14ac:dyDescent="0.35">
      <c r="A1347" t="s">
        <v>1567</v>
      </c>
      <c r="B1347">
        <v>3492303.0303030303</v>
      </c>
      <c r="C1347" t="s">
        <v>1569</v>
      </c>
      <c r="D1347" s="1">
        <v>44970</v>
      </c>
      <c r="E1347" t="s">
        <v>14</v>
      </c>
      <c r="F1347" t="s">
        <v>15</v>
      </c>
      <c r="G1347" t="s">
        <v>301</v>
      </c>
      <c r="H1347" t="s">
        <v>28</v>
      </c>
      <c r="I1347" t="s">
        <v>1566</v>
      </c>
      <c r="J1347" t="s">
        <v>160</v>
      </c>
      <c r="K1347">
        <v>1</v>
      </c>
      <c r="L1347">
        <v>2086000</v>
      </c>
      <c r="M1347">
        <v>0</v>
      </c>
      <c r="N1347">
        <v>1571000</v>
      </c>
      <c r="O1347">
        <v>2086000</v>
      </c>
    </row>
    <row r="1348" spans="1:15" x14ac:dyDescent="0.35">
      <c r="A1348" t="s">
        <v>1567</v>
      </c>
      <c r="B1348">
        <v>3492303.0303030303</v>
      </c>
      <c r="C1348" t="s">
        <v>1570</v>
      </c>
      <c r="D1348" s="1">
        <v>44985</v>
      </c>
      <c r="E1348" t="s">
        <v>49</v>
      </c>
      <c r="F1348" t="s">
        <v>50</v>
      </c>
      <c r="G1348" t="s">
        <v>126</v>
      </c>
      <c r="H1348" t="s">
        <v>17</v>
      </c>
      <c r="I1348" t="s">
        <v>1566</v>
      </c>
      <c r="J1348" t="s">
        <v>160</v>
      </c>
      <c r="K1348">
        <v>1</v>
      </c>
      <c r="L1348">
        <v>4042000</v>
      </c>
      <c r="M1348">
        <v>0.1</v>
      </c>
      <c r="N1348">
        <v>2990000</v>
      </c>
      <c r="O1348">
        <v>4042000</v>
      </c>
    </row>
    <row r="1349" spans="1:15" x14ac:dyDescent="0.35">
      <c r="A1349" t="s">
        <v>1567</v>
      </c>
      <c r="B1349">
        <v>3492303.0303030303</v>
      </c>
      <c r="C1349" t="s">
        <v>1571</v>
      </c>
      <c r="D1349" s="1">
        <v>44990</v>
      </c>
      <c r="E1349" t="s">
        <v>14</v>
      </c>
      <c r="F1349" t="s">
        <v>15</v>
      </c>
      <c r="G1349" t="s">
        <v>191</v>
      </c>
      <c r="H1349" t="s">
        <v>23</v>
      </c>
      <c r="I1349" t="s">
        <v>1566</v>
      </c>
      <c r="J1349" t="s">
        <v>160</v>
      </c>
      <c r="K1349">
        <v>5</v>
      </c>
      <c r="L1349">
        <v>3078000</v>
      </c>
      <c r="M1349">
        <v>0</v>
      </c>
      <c r="N1349">
        <v>2264000</v>
      </c>
      <c r="O1349">
        <v>3078000</v>
      </c>
    </row>
    <row r="1350" spans="1:15" x14ac:dyDescent="0.35">
      <c r="A1350" t="s">
        <v>1567</v>
      </c>
      <c r="B1350">
        <v>3492303.0303030303</v>
      </c>
      <c r="C1350" t="s">
        <v>1572</v>
      </c>
      <c r="D1350" s="1">
        <v>45024</v>
      </c>
      <c r="E1350" t="s">
        <v>41</v>
      </c>
      <c r="F1350" t="s">
        <v>42</v>
      </c>
      <c r="G1350" t="s">
        <v>57</v>
      </c>
      <c r="H1350" t="s">
        <v>58</v>
      </c>
      <c r="I1350" t="s">
        <v>1566</v>
      </c>
      <c r="J1350" t="s">
        <v>160</v>
      </c>
      <c r="K1350">
        <v>2</v>
      </c>
      <c r="L1350">
        <v>3492303.0303030303</v>
      </c>
      <c r="M1350">
        <v>0.1</v>
      </c>
      <c r="N1350">
        <v>2405000</v>
      </c>
      <c r="O1350">
        <v>3492303.0303030303</v>
      </c>
    </row>
    <row r="1351" spans="1:15" x14ac:dyDescent="0.35">
      <c r="A1351" t="s">
        <v>1567</v>
      </c>
      <c r="B1351">
        <v>3492303.0303030303</v>
      </c>
      <c r="C1351" t="s">
        <v>1573</v>
      </c>
      <c r="D1351" s="1">
        <v>45041</v>
      </c>
      <c r="E1351" t="s">
        <v>41</v>
      </c>
      <c r="F1351" t="s">
        <v>42</v>
      </c>
      <c r="G1351" t="s">
        <v>108</v>
      </c>
      <c r="H1351" t="s">
        <v>23</v>
      </c>
      <c r="I1351" t="s">
        <v>1566</v>
      </c>
      <c r="J1351" t="s">
        <v>160</v>
      </c>
      <c r="K1351">
        <v>1</v>
      </c>
      <c r="L1351">
        <v>2755000</v>
      </c>
      <c r="M1351">
        <v>0.1</v>
      </c>
      <c r="N1351">
        <v>2025000</v>
      </c>
      <c r="O1351">
        <v>2755000</v>
      </c>
    </row>
    <row r="1352" spans="1:15" x14ac:dyDescent="0.35">
      <c r="A1352" t="s">
        <v>1567</v>
      </c>
      <c r="B1352">
        <v>3492303.0303030303</v>
      </c>
      <c r="C1352" t="s">
        <v>1574</v>
      </c>
      <c r="D1352" s="1">
        <v>45086</v>
      </c>
      <c r="E1352" t="s">
        <v>41</v>
      </c>
      <c r="F1352" t="s">
        <v>42</v>
      </c>
      <c r="G1352" t="s">
        <v>244</v>
      </c>
      <c r="H1352" t="s">
        <v>17</v>
      </c>
      <c r="I1352" t="s">
        <v>1566</v>
      </c>
      <c r="J1352" t="s">
        <v>160</v>
      </c>
      <c r="K1352">
        <v>3</v>
      </c>
      <c r="L1352">
        <v>3680000</v>
      </c>
      <c r="M1352">
        <v>0</v>
      </c>
      <c r="N1352">
        <v>2774000</v>
      </c>
      <c r="O1352">
        <v>3680000</v>
      </c>
    </row>
    <row r="1353" spans="1:15" x14ac:dyDescent="0.35">
      <c r="A1353" t="s">
        <v>1567</v>
      </c>
      <c r="B1353">
        <v>3492303.0303030303</v>
      </c>
      <c r="C1353" t="s">
        <v>1575</v>
      </c>
      <c r="D1353" s="1">
        <v>45088</v>
      </c>
      <c r="E1353" t="s">
        <v>25</v>
      </c>
      <c r="F1353" t="s">
        <v>26</v>
      </c>
      <c r="G1353" t="s">
        <v>419</v>
      </c>
      <c r="H1353" t="s">
        <v>17</v>
      </c>
      <c r="I1353" t="s">
        <v>1566</v>
      </c>
      <c r="J1353" t="s">
        <v>160</v>
      </c>
      <c r="K1353">
        <v>1</v>
      </c>
      <c r="L1353">
        <v>3633000</v>
      </c>
      <c r="M1353">
        <v>0.1</v>
      </c>
      <c r="N1353">
        <v>2637000</v>
      </c>
      <c r="O1353">
        <v>3633000</v>
      </c>
    </row>
    <row r="1354" spans="1:15" x14ac:dyDescent="0.35">
      <c r="A1354" t="s">
        <v>1567</v>
      </c>
      <c r="B1354">
        <v>3492303.0303030303</v>
      </c>
      <c r="C1354" t="s">
        <v>1576</v>
      </c>
      <c r="D1354" s="1">
        <v>45093</v>
      </c>
      <c r="E1354" t="s">
        <v>49</v>
      </c>
      <c r="F1354" t="s">
        <v>50</v>
      </c>
      <c r="G1354" t="s">
        <v>47</v>
      </c>
      <c r="H1354" t="s">
        <v>23</v>
      </c>
      <c r="I1354" t="s">
        <v>1566</v>
      </c>
      <c r="J1354" t="s">
        <v>160</v>
      </c>
      <c r="K1354">
        <v>1</v>
      </c>
      <c r="L1354">
        <v>3117000</v>
      </c>
      <c r="M1354">
        <v>0</v>
      </c>
      <c r="N1354">
        <v>2274000</v>
      </c>
      <c r="O1354">
        <v>3117000</v>
      </c>
    </row>
    <row r="1355" spans="1:15" x14ac:dyDescent="0.35">
      <c r="A1355" t="s">
        <v>1567</v>
      </c>
      <c r="B1355">
        <v>3492303.0303030303</v>
      </c>
      <c r="C1355" t="s">
        <v>1577</v>
      </c>
      <c r="D1355" s="1">
        <v>45094</v>
      </c>
      <c r="E1355" t="s">
        <v>49</v>
      </c>
      <c r="F1355" t="s">
        <v>50</v>
      </c>
      <c r="G1355" t="s">
        <v>634</v>
      </c>
      <c r="H1355" t="s">
        <v>17</v>
      </c>
      <c r="I1355" t="s">
        <v>1566</v>
      </c>
      <c r="J1355" t="s">
        <v>160</v>
      </c>
      <c r="K1355">
        <v>1</v>
      </c>
      <c r="L1355">
        <v>4484000</v>
      </c>
      <c r="M1355">
        <v>0</v>
      </c>
      <c r="N1355">
        <v>3265000</v>
      </c>
      <c r="O1355">
        <v>4484000</v>
      </c>
    </row>
    <row r="1356" spans="1:15" x14ac:dyDescent="0.35">
      <c r="A1356" t="s">
        <v>1567</v>
      </c>
      <c r="B1356">
        <v>3492303.0303030303</v>
      </c>
      <c r="C1356" t="s">
        <v>1578</v>
      </c>
      <c r="D1356" s="1">
        <v>45098</v>
      </c>
      <c r="E1356" t="s">
        <v>41</v>
      </c>
      <c r="F1356" t="s">
        <v>42</v>
      </c>
      <c r="G1356" t="s">
        <v>329</v>
      </c>
      <c r="H1356" t="s">
        <v>28</v>
      </c>
      <c r="I1356" t="s">
        <v>1566</v>
      </c>
      <c r="J1356" t="s">
        <v>160</v>
      </c>
      <c r="K1356">
        <v>1</v>
      </c>
      <c r="L1356">
        <v>3580000</v>
      </c>
      <c r="M1356">
        <v>0</v>
      </c>
      <c r="N1356">
        <v>2616000</v>
      </c>
      <c r="O1356">
        <v>3580000</v>
      </c>
    </row>
    <row r="1357" spans="1:15" x14ac:dyDescent="0.35">
      <c r="A1357" t="s">
        <v>1567</v>
      </c>
      <c r="B1357">
        <v>3492303.0303030303</v>
      </c>
      <c r="C1357" t="s">
        <v>1579</v>
      </c>
      <c r="D1357" s="1">
        <v>45100</v>
      </c>
      <c r="E1357" t="s">
        <v>14</v>
      </c>
      <c r="F1357" t="s">
        <v>15</v>
      </c>
      <c r="G1357" t="s">
        <v>182</v>
      </c>
      <c r="H1357" t="s">
        <v>23</v>
      </c>
      <c r="I1357" t="s">
        <v>1566</v>
      </c>
      <c r="J1357" t="s">
        <v>160</v>
      </c>
      <c r="K1357">
        <v>2</v>
      </c>
      <c r="L1357">
        <v>2924000</v>
      </c>
      <c r="M1357">
        <v>0</v>
      </c>
      <c r="N1357">
        <v>2159000</v>
      </c>
      <c r="O1357">
        <v>2924000</v>
      </c>
    </row>
    <row r="1358" spans="1:15" x14ac:dyDescent="0.35">
      <c r="A1358" t="s">
        <v>1567</v>
      </c>
      <c r="B1358">
        <v>3492303.0303030303</v>
      </c>
      <c r="C1358" t="s">
        <v>1580</v>
      </c>
      <c r="D1358" s="1">
        <v>45126</v>
      </c>
      <c r="E1358" t="s">
        <v>36</v>
      </c>
      <c r="F1358" t="s">
        <v>37</v>
      </c>
      <c r="G1358" t="s">
        <v>155</v>
      </c>
      <c r="H1358" t="s">
        <v>58</v>
      </c>
      <c r="I1358" t="s">
        <v>1566</v>
      </c>
      <c r="J1358" t="s">
        <v>160</v>
      </c>
      <c r="K1358">
        <v>1</v>
      </c>
      <c r="L1358">
        <v>3221000</v>
      </c>
      <c r="M1358">
        <v>0.05</v>
      </c>
      <c r="N1358">
        <v>2374000</v>
      </c>
      <c r="O1358">
        <v>3221000</v>
      </c>
    </row>
    <row r="1359" spans="1:15" x14ac:dyDescent="0.35">
      <c r="A1359" t="s">
        <v>1567</v>
      </c>
      <c r="B1359">
        <v>3492303.0303030303</v>
      </c>
      <c r="C1359" t="s">
        <v>1581</v>
      </c>
      <c r="D1359" s="1">
        <v>45133</v>
      </c>
      <c r="E1359" t="s">
        <v>41</v>
      </c>
      <c r="F1359" t="s">
        <v>42</v>
      </c>
      <c r="G1359" t="s">
        <v>117</v>
      </c>
      <c r="H1359" t="s">
        <v>23</v>
      </c>
      <c r="I1359" t="s">
        <v>1566</v>
      </c>
      <c r="J1359" t="s">
        <v>160</v>
      </c>
      <c r="K1359">
        <v>2</v>
      </c>
      <c r="L1359">
        <v>2275000</v>
      </c>
      <c r="M1359">
        <v>0</v>
      </c>
      <c r="N1359">
        <v>1645000</v>
      </c>
      <c r="O1359">
        <v>2275000</v>
      </c>
    </row>
    <row r="1360" spans="1:15" x14ac:dyDescent="0.35">
      <c r="A1360" t="s">
        <v>1567</v>
      </c>
      <c r="B1360">
        <v>3492303.0303030303</v>
      </c>
      <c r="C1360" t="s">
        <v>1582</v>
      </c>
      <c r="D1360" s="1">
        <v>45159</v>
      </c>
      <c r="E1360" t="s">
        <v>14</v>
      </c>
      <c r="F1360" t="s">
        <v>15</v>
      </c>
      <c r="G1360" t="s">
        <v>456</v>
      </c>
      <c r="H1360" t="s">
        <v>23</v>
      </c>
      <c r="I1360" t="s">
        <v>1566</v>
      </c>
      <c r="J1360" t="s">
        <v>160</v>
      </c>
      <c r="K1360">
        <v>1</v>
      </c>
      <c r="L1360">
        <v>3966000</v>
      </c>
      <c r="M1360">
        <v>0</v>
      </c>
      <c r="N1360">
        <v>2931000</v>
      </c>
      <c r="O1360">
        <v>3966000</v>
      </c>
    </row>
    <row r="1361" spans="1:15" x14ac:dyDescent="0.35">
      <c r="A1361" t="s">
        <v>1567</v>
      </c>
      <c r="B1361">
        <v>3492303.0303030303</v>
      </c>
      <c r="C1361" t="s">
        <v>1583</v>
      </c>
      <c r="D1361" s="1">
        <v>45163</v>
      </c>
      <c r="E1361" t="s">
        <v>25</v>
      </c>
      <c r="F1361" t="s">
        <v>26</v>
      </c>
      <c r="G1361" t="s">
        <v>203</v>
      </c>
      <c r="H1361" t="s">
        <v>17</v>
      </c>
      <c r="I1361" t="s">
        <v>1566</v>
      </c>
      <c r="J1361" t="s">
        <v>160</v>
      </c>
      <c r="K1361">
        <v>2</v>
      </c>
      <c r="L1361">
        <v>4159000</v>
      </c>
      <c r="M1361">
        <v>0</v>
      </c>
      <c r="N1361">
        <v>3148000</v>
      </c>
      <c r="O1361">
        <v>4159000</v>
      </c>
    </row>
    <row r="1362" spans="1:15" x14ac:dyDescent="0.35">
      <c r="A1362" t="s">
        <v>1567</v>
      </c>
      <c r="B1362">
        <v>3492303.0303030303</v>
      </c>
      <c r="C1362" t="s">
        <v>1584</v>
      </c>
      <c r="D1362" s="1">
        <v>45165</v>
      </c>
      <c r="E1362" t="s">
        <v>14</v>
      </c>
      <c r="F1362" t="s">
        <v>15</v>
      </c>
      <c r="G1362" t="s">
        <v>201</v>
      </c>
      <c r="H1362" t="s">
        <v>58</v>
      </c>
      <c r="I1362" t="s">
        <v>1566</v>
      </c>
      <c r="J1362" t="s">
        <v>160</v>
      </c>
      <c r="K1362">
        <v>1</v>
      </c>
      <c r="L1362">
        <v>2743000</v>
      </c>
      <c r="M1362">
        <v>0.05</v>
      </c>
      <c r="N1362">
        <v>2049000</v>
      </c>
      <c r="O1362">
        <v>2743000</v>
      </c>
    </row>
    <row r="1363" spans="1:15" x14ac:dyDescent="0.35">
      <c r="A1363" t="s">
        <v>1567</v>
      </c>
      <c r="B1363">
        <v>3492303.0303030303</v>
      </c>
      <c r="C1363" t="s">
        <v>1585</v>
      </c>
      <c r="D1363" s="1">
        <v>45165</v>
      </c>
      <c r="E1363" t="s">
        <v>14</v>
      </c>
      <c r="F1363" t="s">
        <v>15</v>
      </c>
      <c r="G1363" t="s">
        <v>419</v>
      </c>
      <c r="H1363" t="s">
        <v>17</v>
      </c>
      <c r="I1363" t="s">
        <v>1566</v>
      </c>
      <c r="J1363" t="s">
        <v>160</v>
      </c>
      <c r="K1363">
        <v>1</v>
      </c>
      <c r="L1363">
        <v>2474000</v>
      </c>
      <c r="M1363">
        <v>0</v>
      </c>
      <c r="N1363">
        <v>1869000</v>
      </c>
      <c r="O1363">
        <v>2474000</v>
      </c>
    </row>
    <row r="1364" spans="1:15" x14ac:dyDescent="0.35">
      <c r="A1364" t="s">
        <v>1567</v>
      </c>
      <c r="B1364">
        <v>3492303.0303030303</v>
      </c>
      <c r="C1364" t="s">
        <v>1586</v>
      </c>
      <c r="D1364" s="1">
        <v>45200</v>
      </c>
      <c r="E1364" t="s">
        <v>49</v>
      </c>
      <c r="F1364" t="s">
        <v>50</v>
      </c>
      <c r="G1364" t="s">
        <v>53</v>
      </c>
      <c r="H1364" t="s">
        <v>17</v>
      </c>
      <c r="I1364" t="s">
        <v>1566</v>
      </c>
      <c r="J1364" t="s">
        <v>160</v>
      </c>
      <c r="K1364">
        <v>1</v>
      </c>
      <c r="L1364">
        <v>3328000</v>
      </c>
      <c r="M1364">
        <v>0</v>
      </c>
      <c r="N1364">
        <v>2511000</v>
      </c>
      <c r="O1364">
        <v>3328000</v>
      </c>
    </row>
    <row r="1365" spans="1:15" x14ac:dyDescent="0.35">
      <c r="A1365" t="s">
        <v>1567</v>
      </c>
      <c r="B1365">
        <v>3492303.0303030303</v>
      </c>
      <c r="C1365" t="s">
        <v>1587</v>
      </c>
      <c r="D1365" s="1">
        <v>45320</v>
      </c>
      <c r="E1365" t="s">
        <v>14</v>
      </c>
      <c r="F1365" t="s">
        <v>15</v>
      </c>
      <c r="G1365" t="s">
        <v>197</v>
      </c>
      <c r="H1365" t="s">
        <v>28</v>
      </c>
      <c r="I1365" t="s">
        <v>1566</v>
      </c>
      <c r="J1365" t="s">
        <v>160</v>
      </c>
      <c r="K1365">
        <v>3</v>
      </c>
      <c r="L1365">
        <v>2717000</v>
      </c>
      <c r="M1365">
        <v>0</v>
      </c>
      <c r="N1365">
        <v>2015000</v>
      </c>
      <c r="O1365">
        <v>2717000</v>
      </c>
    </row>
    <row r="1366" spans="1:15" x14ac:dyDescent="0.35">
      <c r="A1366" t="s">
        <v>1567</v>
      </c>
      <c r="B1366">
        <v>3492303.0303030303</v>
      </c>
      <c r="C1366" t="s">
        <v>1588</v>
      </c>
      <c r="D1366" s="1">
        <v>45323</v>
      </c>
      <c r="E1366" t="s">
        <v>14</v>
      </c>
      <c r="F1366" t="s">
        <v>15</v>
      </c>
      <c r="G1366" t="s">
        <v>22</v>
      </c>
      <c r="H1366" t="s">
        <v>23</v>
      </c>
      <c r="I1366" t="s">
        <v>1566</v>
      </c>
      <c r="J1366" t="s">
        <v>160</v>
      </c>
      <c r="K1366">
        <v>1</v>
      </c>
      <c r="L1366">
        <v>4101000</v>
      </c>
      <c r="M1366">
        <v>0</v>
      </c>
      <c r="N1366">
        <v>3093000</v>
      </c>
      <c r="O1366">
        <v>4101000</v>
      </c>
    </row>
    <row r="1367" spans="1:15" x14ac:dyDescent="0.35">
      <c r="A1367" t="s">
        <v>1567</v>
      </c>
      <c r="B1367">
        <v>3492303.0303030303</v>
      </c>
      <c r="C1367" t="s">
        <v>1589</v>
      </c>
      <c r="D1367" s="1">
        <v>45367</v>
      </c>
      <c r="E1367" t="s">
        <v>36</v>
      </c>
      <c r="F1367" t="s">
        <v>37</v>
      </c>
      <c r="G1367" t="s">
        <v>55</v>
      </c>
      <c r="H1367" t="s">
        <v>17</v>
      </c>
      <c r="I1367" t="s">
        <v>1566</v>
      </c>
      <c r="J1367" t="s">
        <v>160</v>
      </c>
      <c r="K1367">
        <v>1</v>
      </c>
      <c r="L1367">
        <v>2680000</v>
      </c>
      <c r="M1367">
        <v>0</v>
      </c>
      <c r="N1367">
        <v>1977000</v>
      </c>
      <c r="O1367">
        <v>2680000</v>
      </c>
    </row>
    <row r="1368" spans="1:15" x14ac:dyDescent="0.35">
      <c r="A1368" t="s">
        <v>1567</v>
      </c>
      <c r="B1368">
        <v>3492303.0303030303</v>
      </c>
      <c r="C1368" t="s">
        <v>1590</v>
      </c>
      <c r="D1368" s="1">
        <v>45368</v>
      </c>
      <c r="E1368" t="s">
        <v>41</v>
      </c>
      <c r="F1368" t="s">
        <v>42</v>
      </c>
      <c r="G1368" t="s">
        <v>301</v>
      </c>
      <c r="H1368" t="s">
        <v>28</v>
      </c>
      <c r="I1368" t="s">
        <v>1566</v>
      </c>
      <c r="J1368" t="s">
        <v>160</v>
      </c>
      <c r="K1368">
        <v>1</v>
      </c>
      <c r="L1368">
        <v>2177000</v>
      </c>
      <c r="M1368">
        <v>0.15</v>
      </c>
      <c r="N1368">
        <v>1639000</v>
      </c>
      <c r="O1368">
        <v>2177000</v>
      </c>
    </row>
    <row r="1369" spans="1:15" x14ac:dyDescent="0.35">
      <c r="A1369" t="s">
        <v>1567</v>
      </c>
      <c r="B1369">
        <v>3492303.0303030303</v>
      </c>
      <c r="C1369" t="s">
        <v>1591</v>
      </c>
      <c r="D1369" s="1">
        <v>45397</v>
      </c>
      <c r="E1369" t="s">
        <v>14</v>
      </c>
      <c r="F1369" t="s">
        <v>15</v>
      </c>
      <c r="G1369" t="s">
        <v>255</v>
      </c>
      <c r="H1369" t="s">
        <v>17</v>
      </c>
      <c r="I1369" t="s">
        <v>1566</v>
      </c>
      <c r="J1369" t="s">
        <v>160</v>
      </c>
      <c r="K1369">
        <v>2</v>
      </c>
      <c r="L1369">
        <v>4018000</v>
      </c>
      <c r="M1369">
        <v>0</v>
      </c>
      <c r="N1369">
        <v>3003000</v>
      </c>
      <c r="O1369">
        <v>4018000</v>
      </c>
    </row>
    <row r="1370" spans="1:15" x14ac:dyDescent="0.35">
      <c r="A1370" t="s">
        <v>1567</v>
      </c>
      <c r="B1370">
        <v>3492303.0303030303</v>
      </c>
      <c r="C1370" t="s">
        <v>1592</v>
      </c>
      <c r="D1370" s="1">
        <v>45404</v>
      </c>
      <c r="E1370" t="s">
        <v>14</v>
      </c>
      <c r="F1370" t="s">
        <v>15</v>
      </c>
      <c r="G1370" t="s">
        <v>177</v>
      </c>
      <c r="H1370" t="s">
        <v>23</v>
      </c>
      <c r="I1370" t="s">
        <v>1566</v>
      </c>
      <c r="J1370" t="s">
        <v>160</v>
      </c>
      <c r="K1370">
        <v>2</v>
      </c>
      <c r="L1370">
        <v>4286000</v>
      </c>
      <c r="M1370">
        <v>0</v>
      </c>
      <c r="N1370">
        <v>3223000</v>
      </c>
      <c r="O1370">
        <v>4286000</v>
      </c>
    </row>
    <row r="1371" spans="1:15" x14ac:dyDescent="0.35">
      <c r="A1371" t="s">
        <v>1567</v>
      </c>
      <c r="B1371">
        <v>3492303.0303030303</v>
      </c>
      <c r="C1371" t="s">
        <v>1593</v>
      </c>
      <c r="D1371" s="1">
        <v>45407</v>
      </c>
      <c r="E1371" t="s">
        <v>49</v>
      </c>
      <c r="F1371" t="s">
        <v>50</v>
      </c>
      <c r="G1371" t="s">
        <v>329</v>
      </c>
      <c r="H1371" t="s">
        <v>28</v>
      </c>
      <c r="I1371" t="s">
        <v>1566</v>
      </c>
      <c r="J1371" t="s">
        <v>160</v>
      </c>
      <c r="K1371">
        <v>1</v>
      </c>
      <c r="L1371">
        <v>3721000</v>
      </c>
      <c r="M1371">
        <v>0</v>
      </c>
      <c r="N1371">
        <v>2742000</v>
      </c>
      <c r="O1371">
        <v>3721000</v>
      </c>
    </row>
    <row r="1372" spans="1:15" x14ac:dyDescent="0.35">
      <c r="A1372" t="s">
        <v>1567</v>
      </c>
      <c r="B1372">
        <v>3492303.0303030303</v>
      </c>
      <c r="C1372" t="s">
        <v>1594</v>
      </c>
      <c r="D1372" s="1">
        <v>45419</v>
      </c>
      <c r="E1372" t="s">
        <v>49</v>
      </c>
      <c r="F1372" t="s">
        <v>50</v>
      </c>
      <c r="G1372" t="s">
        <v>419</v>
      </c>
      <c r="H1372" t="s">
        <v>17</v>
      </c>
      <c r="I1372" t="s">
        <v>1566</v>
      </c>
      <c r="J1372" t="s">
        <v>160</v>
      </c>
      <c r="K1372">
        <v>1</v>
      </c>
      <c r="L1372">
        <v>3699000</v>
      </c>
      <c r="M1372">
        <v>0</v>
      </c>
      <c r="N1372">
        <v>2721000</v>
      </c>
      <c r="O1372">
        <v>3699000</v>
      </c>
    </row>
    <row r="1373" spans="1:15" x14ac:dyDescent="0.35">
      <c r="A1373" t="s">
        <v>1567</v>
      </c>
      <c r="B1373">
        <v>3492303.0303030303</v>
      </c>
      <c r="C1373" t="s">
        <v>1595</v>
      </c>
      <c r="D1373" s="1">
        <v>45531</v>
      </c>
      <c r="E1373" t="s">
        <v>14</v>
      </c>
      <c r="F1373" t="s">
        <v>15</v>
      </c>
      <c r="G1373" t="s">
        <v>327</v>
      </c>
      <c r="H1373" t="s">
        <v>23</v>
      </c>
      <c r="I1373" t="s">
        <v>1566</v>
      </c>
      <c r="J1373" t="s">
        <v>160</v>
      </c>
      <c r="K1373">
        <v>1</v>
      </c>
      <c r="L1373">
        <v>4419000</v>
      </c>
      <c r="M1373">
        <v>0</v>
      </c>
      <c r="N1373">
        <v>3316000</v>
      </c>
      <c r="O1373">
        <v>4419000</v>
      </c>
    </row>
    <row r="1374" spans="1:15" x14ac:dyDescent="0.35">
      <c r="A1374" t="s">
        <v>1567</v>
      </c>
      <c r="B1374">
        <v>3492303.0303030303</v>
      </c>
      <c r="C1374" t="s">
        <v>1596</v>
      </c>
      <c r="D1374" s="1">
        <v>45544</v>
      </c>
      <c r="E1374" t="s">
        <v>41</v>
      </c>
      <c r="F1374" t="s">
        <v>42</v>
      </c>
      <c r="G1374" t="s">
        <v>65</v>
      </c>
      <c r="H1374" t="s">
        <v>17</v>
      </c>
      <c r="I1374" t="s">
        <v>1566</v>
      </c>
      <c r="J1374" t="s">
        <v>160</v>
      </c>
      <c r="K1374">
        <v>1</v>
      </c>
      <c r="L1374">
        <v>3798000</v>
      </c>
      <c r="M1374">
        <v>0</v>
      </c>
      <c r="N1374">
        <v>2831000</v>
      </c>
      <c r="O1374">
        <v>3798000</v>
      </c>
    </row>
    <row r="1375" spans="1:15" x14ac:dyDescent="0.35">
      <c r="A1375" t="s">
        <v>1567</v>
      </c>
      <c r="B1375">
        <v>3492303.0303030303</v>
      </c>
      <c r="C1375" t="s">
        <v>1597</v>
      </c>
      <c r="D1375" s="1">
        <v>45565</v>
      </c>
      <c r="E1375" t="s">
        <v>36</v>
      </c>
      <c r="F1375" t="s">
        <v>37</v>
      </c>
      <c r="G1375" t="s">
        <v>47</v>
      </c>
      <c r="H1375" t="s">
        <v>23</v>
      </c>
      <c r="I1375" t="s">
        <v>1566</v>
      </c>
      <c r="J1375" t="s">
        <v>160</v>
      </c>
      <c r="K1375">
        <v>1</v>
      </c>
      <c r="L1375">
        <v>3600000</v>
      </c>
      <c r="M1375">
        <v>0.05</v>
      </c>
      <c r="N1375">
        <v>2699000</v>
      </c>
      <c r="O1375">
        <v>3600000</v>
      </c>
    </row>
    <row r="1376" spans="1:15" x14ac:dyDescent="0.35">
      <c r="A1376" t="s">
        <v>1567</v>
      </c>
      <c r="B1376">
        <v>3492303.0303030303</v>
      </c>
      <c r="C1376" t="s">
        <v>1598</v>
      </c>
      <c r="D1376" s="1">
        <v>45570</v>
      </c>
      <c r="E1376" t="s">
        <v>14</v>
      </c>
      <c r="F1376" t="s">
        <v>15</v>
      </c>
      <c r="G1376" t="s">
        <v>69</v>
      </c>
      <c r="H1376" t="s">
        <v>23</v>
      </c>
      <c r="I1376" t="s">
        <v>1566</v>
      </c>
      <c r="J1376" t="s">
        <v>160</v>
      </c>
      <c r="K1376">
        <v>1</v>
      </c>
      <c r="L1376">
        <v>4299000</v>
      </c>
      <c r="M1376">
        <v>0</v>
      </c>
      <c r="N1376">
        <v>3258000</v>
      </c>
      <c r="O1376">
        <v>4299000</v>
      </c>
    </row>
    <row r="1377" spans="1:15" x14ac:dyDescent="0.35">
      <c r="A1377" t="s">
        <v>1567</v>
      </c>
      <c r="B1377">
        <v>3492303.0303030303</v>
      </c>
      <c r="C1377" t="s">
        <v>1599</v>
      </c>
      <c r="D1377" s="1">
        <v>45611</v>
      </c>
      <c r="E1377" t="s">
        <v>14</v>
      </c>
      <c r="F1377" t="s">
        <v>15</v>
      </c>
      <c r="G1377" t="s">
        <v>141</v>
      </c>
      <c r="H1377" t="s">
        <v>17</v>
      </c>
      <c r="I1377" t="s">
        <v>1566</v>
      </c>
      <c r="J1377" t="s">
        <v>160</v>
      </c>
      <c r="K1377">
        <v>1</v>
      </c>
      <c r="L1377">
        <v>2529000</v>
      </c>
      <c r="M1377">
        <v>0</v>
      </c>
      <c r="N1377">
        <v>1900000</v>
      </c>
      <c r="O1377">
        <v>2529000</v>
      </c>
    </row>
    <row r="1378" spans="1:15" x14ac:dyDescent="0.35">
      <c r="A1378" t="s">
        <v>1567</v>
      </c>
      <c r="B1378">
        <v>3492303.0303030303</v>
      </c>
      <c r="C1378" t="s">
        <v>1600</v>
      </c>
      <c r="D1378" s="1">
        <v>45616</v>
      </c>
      <c r="E1378" t="s">
        <v>14</v>
      </c>
      <c r="F1378" t="s">
        <v>15</v>
      </c>
      <c r="G1378" t="s">
        <v>164</v>
      </c>
      <c r="H1378" t="s">
        <v>23</v>
      </c>
      <c r="I1378" t="s">
        <v>1566</v>
      </c>
      <c r="J1378" t="s">
        <v>160</v>
      </c>
      <c r="K1378">
        <v>1</v>
      </c>
      <c r="L1378">
        <v>3753000</v>
      </c>
      <c r="M1378">
        <v>0</v>
      </c>
      <c r="N1378">
        <v>2723000</v>
      </c>
      <c r="O1378">
        <v>3753000</v>
      </c>
    </row>
    <row r="1379" spans="1:15" x14ac:dyDescent="0.35">
      <c r="A1379" t="s">
        <v>1567</v>
      </c>
      <c r="B1379">
        <v>3492303.0303030303</v>
      </c>
      <c r="C1379" t="s">
        <v>1601</v>
      </c>
      <c r="D1379" s="1">
        <v>45639</v>
      </c>
      <c r="E1379" t="s">
        <v>49</v>
      </c>
      <c r="F1379" t="s">
        <v>50</v>
      </c>
      <c r="G1379" t="s">
        <v>174</v>
      </c>
      <c r="H1379" t="s">
        <v>23</v>
      </c>
      <c r="I1379" t="s">
        <v>1566</v>
      </c>
      <c r="J1379" t="s">
        <v>160</v>
      </c>
      <c r="K1379">
        <v>1</v>
      </c>
      <c r="L1379">
        <v>4075000</v>
      </c>
      <c r="M1379">
        <v>0.15</v>
      </c>
      <c r="N1379">
        <v>2955000</v>
      </c>
      <c r="O1379">
        <v>4075000</v>
      </c>
    </row>
    <row r="1380" spans="1:15" x14ac:dyDescent="0.35">
      <c r="A1380" t="s">
        <v>1567</v>
      </c>
      <c r="B1380">
        <v>3492303.0303030303</v>
      </c>
      <c r="C1380" t="s">
        <v>1602</v>
      </c>
      <c r="D1380" s="1">
        <v>45692</v>
      </c>
      <c r="E1380" t="s">
        <v>14</v>
      </c>
      <c r="F1380" t="s">
        <v>15</v>
      </c>
      <c r="G1380" t="s">
        <v>247</v>
      </c>
      <c r="H1380" t="s">
        <v>17</v>
      </c>
      <c r="I1380" t="s">
        <v>1566</v>
      </c>
      <c r="J1380" t="s">
        <v>160</v>
      </c>
      <c r="K1380">
        <v>1</v>
      </c>
      <c r="L1380">
        <v>3558000</v>
      </c>
      <c r="M1380">
        <v>0</v>
      </c>
      <c r="N1380">
        <v>2621000</v>
      </c>
      <c r="O1380">
        <v>3558000</v>
      </c>
    </row>
    <row r="1381" spans="1:15" x14ac:dyDescent="0.35">
      <c r="A1381" t="s">
        <v>1567</v>
      </c>
      <c r="B1381">
        <v>3492303.0303030303</v>
      </c>
      <c r="C1381" t="s">
        <v>1603</v>
      </c>
      <c r="D1381" s="1">
        <v>45711</v>
      </c>
      <c r="E1381" t="s">
        <v>41</v>
      </c>
      <c r="F1381" t="s">
        <v>42</v>
      </c>
      <c r="G1381" t="s">
        <v>193</v>
      </c>
      <c r="H1381" t="s">
        <v>23</v>
      </c>
      <c r="I1381" t="s">
        <v>1566</v>
      </c>
      <c r="J1381" t="s">
        <v>160</v>
      </c>
      <c r="K1381">
        <v>1</v>
      </c>
      <c r="L1381">
        <v>3657000</v>
      </c>
      <c r="M1381">
        <v>0</v>
      </c>
      <c r="N1381">
        <v>2722000</v>
      </c>
      <c r="O1381">
        <v>3657000</v>
      </c>
    </row>
    <row r="1382" spans="1:15" x14ac:dyDescent="0.35">
      <c r="A1382" t="s">
        <v>1567</v>
      </c>
      <c r="B1382">
        <v>3492303.0303030303</v>
      </c>
      <c r="C1382" t="s">
        <v>1604</v>
      </c>
      <c r="D1382" s="1">
        <v>45712</v>
      </c>
      <c r="E1382" t="s">
        <v>36</v>
      </c>
      <c r="F1382" t="s">
        <v>37</v>
      </c>
      <c r="G1382" t="s">
        <v>498</v>
      </c>
      <c r="H1382" t="s">
        <v>23</v>
      </c>
      <c r="I1382" t="s">
        <v>1566</v>
      </c>
      <c r="J1382" t="s">
        <v>160</v>
      </c>
      <c r="K1382">
        <v>2</v>
      </c>
      <c r="L1382">
        <v>2695000</v>
      </c>
      <c r="M1382">
        <v>0</v>
      </c>
      <c r="N1382">
        <v>1998000</v>
      </c>
      <c r="O1382">
        <v>2695000</v>
      </c>
    </row>
    <row r="1383" spans="1:15" x14ac:dyDescent="0.35">
      <c r="A1383" t="s">
        <v>1567</v>
      </c>
      <c r="B1383">
        <v>3492303.0303030303</v>
      </c>
      <c r="C1383" t="s">
        <v>1605</v>
      </c>
      <c r="D1383" s="1">
        <v>45725</v>
      </c>
      <c r="E1383" t="s">
        <v>14</v>
      </c>
      <c r="F1383" t="s">
        <v>15</v>
      </c>
      <c r="G1383" t="s">
        <v>634</v>
      </c>
      <c r="H1383" t="s">
        <v>17</v>
      </c>
      <c r="I1383" t="s">
        <v>1566</v>
      </c>
      <c r="J1383" t="s">
        <v>160</v>
      </c>
      <c r="K1383">
        <v>1</v>
      </c>
      <c r="L1383">
        <v>4645000</v>
      </c>
      <c r="M1383">
        <v>0</v>
      </c>
      <c r="N1383">
        <v>3419000</v>
      </c>
      <c r="O1383">
        <v>4645000</v>
      </c>
    </row>
    <row r="1384" spans="1:15" x14ac:dyDescent="0.35">
      <c r="A1384" t="s">
        <v>1567</v>
      </c>
      <c r="B1384">
        <v>3492303.0303030303</v>
      </c>
      <c r="C1384" t="s">
        <v>1606</v>
      </c>
      <c r="D1384" s="1">
        <v>45768</v>
      </c>
      <c r="E1384" t="s">
        <v>14</v>
      </c>
      <c r="F1384" t="s">
        <v>15</v>
      </c>
      <c r="G1384" t="s">
        <v>247</v>
      </c>
      <c r="H1384" t="s">
        <v>17</v>
      </c>
      <c r="I1384" t="s">
        <v>1566</v>
      </c>
      <c r="J1384" t="s">
        <v>160</v>
      </c>
      <c r="K1384">
        <v>1</v>
      </c>
      <c r="L1384">
        <v>3529000</v>
      </c>
      <c r="M1384">
        <v>0</v>
      </c>
      <c r="N1384">
        <v>2633000</v>
      </c>
      <c r="O1384">
        <v>3529000</v>
      </c>
    </row>
    <row r="1385" spans="1:15" x14ac:dyDescent="0.35">
      <c r="A1385" t="s">
        <v>1567</v>
      </c>
      <c r="B1385">
        <v>3492303.0303030303</v>
      </c>
      <c r="C1385" t="s">
        <v>1607</v>
      </c>
      <c r="D1385" s="1">
        <v>45772</v>
      </c>
      <c r="E1385" t="s">
        <v>14</v>
      </c>
      <c r="F1385" t="s">
        <v>15</v>
      </c>
      <c r="G1385" t="s">
        <v>218</v>
      </c>
      <c r="H1385" t="s">
        <v>23</v>
      </c>
      <c r="I1385" t="s">
        <v>1566</v>
      </c>
      <c r="J1385" t="s">
        <v>160</v>
      </c>
      <c r="K1385">
        <v>1</v>
      </c>
      <c r="L1385">
        <v>4127000</v>
      </c>
      <c r="M1385">
        <v>0.15</v>
      </c>
      <c r="N1385">
        <v>3019000</v>
      </c>
      <c r="O1385">
        <v>4127000</v>
      </c>
    </row>
    <row r="1386" spans="1:15" x14ac:dyDescent="0.35">
      <c r="A1386" t="s">
        <v>1567</v>
      </c>
      <c r="B1386">
        <v>3492303.0303030303</v>
      </c>
      <c r="C1386" t="s">
        <v>1608</v>
      </c>
      <c r="D1386" s="1">
        <v>45795</v>
      </c>
      <c r="E1386" t="s">
        <v>41</v>
      </c>
      <c r="F1386" t="s">
        <v>42</v>
      </c>
      <c r="G1386" t="s">
        <v>121</v>
      </c>
      <c r="H1386" t="s">
        <v>23</v>
      </c>
      <c r="I1386" t="s">
        <v>1566</v>
      </c>
      <c r="J1386" t="s">
        <v>160</v>
      </c>
      <c r="K1386">
        <v>1</v>
      </c>
      <c r="L1386">
        <v>3898000</v>
      </c>
      <c r="M1386">
        <v>0</v>
      </c>
      <c r="N1386">
        <v>2814000</v>
      </c>
      <c r="O1386">
        <v>3898000</v>
      </c>
    </row>
    <row r="1387" spans="1:15" x14ac:dyDescent="0.35">
      <c r="A1387" t="s">
        <v>1567</v>
      </c>
      <c r="B1387">
        <v>3492303.0303030303</v>
      </c>
      <c r="C1387" t="s">
        <v>1609</v>
      </c>
      <c r="D1387" s="1">
        <v>45802</v>
      </c>
      <c r="E1387" t="s">
        <v>14</v>
      </c>
      <c r="F1387" t="s">
        <v>15</v>
      </c>
      <c r="G1387" t="s">
        <v>522</v>
      </c>
      <c r="H1387" t="s">
        <v>23</v>
      </c>
      <c r="I1387" t="s">
        <v>1566</v>
      </c>
      <c r="J1387" t="s">
        <v>160</v>
      </c>
      <c r="K1387">
        <v>1</v>
      </c>
      <c r="L1387">
        <v>4687000</v>
      </c>
      <c r="M1387">
        <v>0</v>
      </c>
      <c r="N1387">
        <v>3464000</v>
      </c>
      <c r="O1387">
        <v>4687000</v>
      </c>
    </row>
    <row r="1388" spans="1:15" x14ac:dyDescent="0.35">
      <c r="A1388" t="s">
        <v>1567</v>
      </c>
      <c r="B1388">
        <v>3492303.0303030303</v>
      </c>
      <c r="C1388" t="s">
        <v>1610</v>
      </c>
      <c r="D1388" s="1">
        <v>45825</v>
      </c>
      <c r="E1388" t="s">
        <v>41</v>
      </c>
      <c r="F1388" t="s">
        <v>42</v>
      </c>
      <c r="G1388" t="s">
        <v>244</v>
      </c>
      <c r="H1388" t="s">
        <v>17</v>
      </c>
      <c r="I1388" t="s">
        <v>1566</v>
      </c>
      <c r="J1388" t="s">
        <v>160</v>
      </c>
      <c r="K1388">
        <v>1</v>
      </c>
      <c r="L1388">
        <v>3366000</v>
      </c>
      <c r="M1388">
        <v>0</v>
      </c>
      <c r="N1388">
        <v>2527000</v>
      </c>
      <c r="O1388">
        <v>3366000</v>
      </c>
    </row>
    <row r="1389" spans="1:15" x14ac:dyDescent="0.35">
      <c r="A1389" t="s">
        <v>1567</v>
      </c>
      <c r="B1389">
        <v>3492303.0303030303</v>
      </c>
      <c r="C1389" t="s">
        <v>1611</v>
      </c>
      <c r="D1389" s="1">
        <v>45853</v>
      </c>
      <c r="E1389" t="s">
        <v>14</v>
      </c>
      <c r="F1389" t="s">
        <v>15</v>
      </c>
      <c r="G1389" t="s">
        <v>47</v>
      </c>
      <c r="H1389" t="s">
        <v>23</v>
      </c>
      <c r="I1389" t="s">
        <v>1566</v>
      </c>
      <c r="J1389" t="s">
        <v>160</v>
      </c>
      <c r="K1389">
        <v>1</v>
      </c>
      <c r="L1389">
        <v>2394000</v>
      </c>
      <c r="M1389">
        <v>0</v>
      </c>
      <c r="N1389">
        <v>1785000</v>
      </c>
      <c r="O1389">
        <v>2394000</v>
      </c>
    </row>
    <row r="1390" spans="1:15" x14ac:dyDescent="0.35">
      <c r="A1390" t="s">
        <v>1567</v>
      </c>
      <c r="B1390">
        <v>3492303.0303030303</v>
      </c>
      <c r="C1390" t="s">
        <v>1612</v>
      </c>
      <c r="D1390" s="1">
        <v>45879</v>
      </c>
      <c r="E1390" t="s">
        <v>14</v>
      </c>
      <c r="F1390" t="s">
        <v>15</v>
      </c>
      <c r="G1390" t="s">
        <v>239</v>
      </c>
      <c r="H1390" t="s">
        <v>23</v>
      </c>
      <c r="I1390" t="s">
        <v>1566</v>
      </c>
      <c r="J1390" t="s">
        <v>160</v>
      </c>
      <c r="K1390">
        <v>1</v>
      </c>
      <c r="L1390">
        <v>2737000</v>
      </c>
      <c r="M1390">
        <v>0</v>
      </c>
      <c r="N1390">
        <v>1982000</v>
      </c>
      <c r="O1390">
        <v>2737000</v>
      </c>
    </row>
    <row r="1391" spans="1:15" x14ac:dyDescent="0.35">
      <c r="A1391" t="s">
        <v>1567</v>
      </c>
      <c r="B1391">
        <v>3492303.0303030303</v>
      </c>
      <c r="C1391" t="s">
        <v>1613</v>
      </c>
      <c r="D1391" s="1">
        <v>45887</v>
      </c>
      <c r="E1391" t="s">
        <v>25</v>
      </c>
      <c r="F1391" t="s">
        <v>26</v>
      </c>
      <c r="G1391" t="s">
        <v>384</v>
      </c>
      <c r="H1391" t="s">
        <v>23</v>
      </c>
      <c r="I1391" t="s">
        <v>1566</v>
      </c>
      <c r="J1391" t="s">
        <v>160</v>
      </c>
      <c r="K1391">
        <v>1</v>
      </c>
      <c r="L1391">
        <v>3946000</v>
      </c>
      <c r="M1391">
        <v>0</v>
      </c>
      <c r="N1391">
        <v>2944000</v>
      </c>
      <c r="O1391">
        <v>3946000</v>
      </c>
    </row>
    <row r="1392" spans="1:15" x14ac:dyDescent="0.35">
      <c r="A1392" t="s">
        <v>1567</v>
      </c>
      <c r="B1392">
        <v>3492303.0303030303</v>
      </c>
      <c r="C1392" t="s">
        <v>1614</v>
      </c>
      <c r="D1392" s="1">
        <v>45915</v>
      </c>
      <c r="E1392" t="s">
        <v>41</v>
      </c>
      <c r="F1392" t="s">
        <v>42</v>
      </c>
      <c r="G1392" t="s">
        <v>121</v>
      </c>
      <c r="H1392" t="s">
        <v>23</v>
      </c>
      <c r="I1392" t="s">
        <v>1566</v>
      </c>
      <c r="J1392" t="s">
        <v>160</v>
      </c>
      <c r="K1392">
        <v>1</v>
      </c>
      <c r="L1392">
        <v>3133000</v>
      </c>
      <c r="M1392">
        <v>0</v>
      </c>
      <c r="N1392">
        <v>2322000</v>
      </c>
      <c r="O1392">
        <v>3133000</v>
      </c>
    </row>
    <row r="1393" spans="1:15" x14ac:dyDescent="0.35">
      <c r="A1393" t="s">
        <v>1567</v>
      </c>
      <c r="B1393">
        <v>3492303.0303030303</v>
      </c>
      <c r="C1393" t="s">
        <v>1615</v>
      </c>
      <c r="D1393" s="1">
        <v>45925</v>
      </c>
      <c r="E1393" t="s">
        <v>36</v>
      </c>
      <c r="F1393" t="s">
        <v>37</v>
      </c>
      <c r="G1393" t="s">
        <v>462</v>
      </c>
      <c r="H1393" t="s">
        <v>58</v>
      </c>
      <c r="I1393" t="s">
        <v>1566</v>
      </c>
      <c r="J1393" t="s">
        <v>160</v>
      </c>
      <c r="K1393">
        <v>1</v>
      </c>
      <c r="L1393">
        <v>2765000</v>
      </c>
      <c r="M1393">
        <v>0</v>
      </c>
      <c r="N1393">
        <v>2000000</v>
      </c>
      <c r="O1393">
        <v>2765000</v>
      </c>
    </row>
    <row r="1394" spans="1:15" x14ac:dyDescent="0.35">
      <c r="A1394" t="s">
        <v>1567</v>
      </c>
      <c r="B1394">
        <v>3492303.0303030303</v>
      </c>
      <c r="C1394" t="s">
        <v>1616</v>
      </c>
      <c r="D1394" s="1">
        <v>45933</v>
      </c>
      <c r="E1394" t="s">
        <v>41</v>
      </c>
      <c r="F1394" t="s">
        <v>42</v>
      </c>
      <c r="G1394" t="s">
        <v>613</v>
      </c>
      <c r="H1394" t="s">
        <v>28</v>
      </c>
      <c r="I1394" t="s">
        <v>1566</v>
      </c>
      <c r="J1394" t="s">
        <v>160</v>
      </c>
      <c r="K1394">
        <v>3</v>
      </c>
      <c r="L1394">
        <v>3488000</v>
      </c>
      <c r="M1394">
        <v>0</v>
      </c>
      <c r="N1394">
        <v>2526000</v>
      </c>
      <c r="O1394">
        <v>3488000</v>
      </c>
    </row>
    <row r="1395" spans="1:15" x14ac:dyDescent="0.35">
      <c r="A1395" t="s">
        <v>1567</v>
      </c>
      <c r="B1395">
        <v>3492303.0303030303</v>
      </c>
      <c r="C1395" t="s">
        <v>1617</v>
      </c>
      <c r="D1395" s="1">
        <v>45938</v>
      </c>
      <c r="E1395" t="s">
        <v>14</v>
      </c>
      <c r="F1395" t="s">
        <v>15</v>
      </c>
      <c r="G1395" t="s">
        <v>582</v>
      </c>
      <c r="H1395" t="s">
        <v>17</v>
      </c>
      <c r="I1395" t="s">
        <v>1566</v>
      </c>
      <c r="J1395" t="s">
        <v>160</v>
      </c>
      <c r="K1395">
        <v>2</v>
      </c>
      <c r="L1395">
        <v>3320000</v>
      </c>
      <c r="M1395">
        <v>0</v>
      </c>
      <c r="N1395">
        <v>2514000</v>
      </c>
      <c r="O1395">
        <v>3320000</v>
      </c>
    </row>
    <row r="1396" spans="1:15" x14ac:dyDescent="0.35">
      <c r="A1396" t="s">
        <v>1567</v>
      </c>
      <c r="B1396">
        <v>3492303.0303030303</v>
      </c>
      <c r="C1396" t="s">
        <v>1618</v>
      </c>
      <c r="D1396" s="1">
        <v>45939</v>
      </c>
      <c r="E1396" t="s">
        <v>41</v>
      </c>
      <c r="F1396" t="s">
        <v>42</v>
      </c>
      <c r="G1396" t="s">
        <v>45</v>
      </c>
      <c r="H1396" t="s">
        <v>17</v>
      </c>
      <c r="I1396" t="s">
        <v>1566</v>
      </c>
      <c r="J1396" t="s">
        <v>160</v>
      </c>
      <c r="K1396">
        <v>1</v>
      </c>
      <c r="L1396">
        <v>3636000</v>
      </c>
      <c r="M1396">
        <v>0</v>
      </c>
      <c r="N1396">
        <v>2630000</v>
      </c>
      <c r="O1396">
        <v>3636000</v>
      </c>
    </row>
    <row r="1397" spans="1:15" x14ac:dyDescent="0.35">
      <c r="A1397" t="s">
        <v>1567</v>
      </c>
      <c r="B1397">
        <v>3492303.0303030303</v>
      </c>
      <c r="C1397" t="s">
        <v>1619</v>
      </c>
      <c r="D1397" s="1">
        <v>45950</v>
      </c>
      <c r="E1397" t="s">
        <v>41</v>
      </c>
      <c r="F1397" t="s">
        <v>42</v>
      </c>
      <c r="G1397" t="s">
        <v>260</v>
      </c>
      <c r="H1397" t="s">
        <v>23</v>
      </c>
      <c r="I1397" t="s">
        <v>1566</v>
      </c>
      <c r="J1397" t="s">
        <v>160</v>
      </c>
      <c r="K1397">
        <v>1</v>
      </c>
      <c r="L1397">
        <v>2396000</v>
      </c>
      <c r="M1397">
        <v>0</v>
      </c>
      <c r="N1397">
        <v>1754000</v>
      </c>
      <c r="O1397">
        <v>2396000</v>
      </c>
    </row>
    <row r="1398" spans="1:15" x14ac:dyDescent="0.35">
      <c r="A1398" t="s">
        <v>1567</v>
      </c>
      <c r="B1398">
        <v>3492303.0303030303</v>
      </c>
      <c r="C1398" t="s">
        <v>1620</v>
      </c>
      <c r="D1398" s="1">
        <v>45953</v>
      </c>
      <c r="E1398" t="s">
        <v>14</v>
      </c>
      <c r="F1398" t="s">
        <v>15</v>
      </c>
      <c r="G1398" t="s">
        <v>201</v>
      </c>
      <c r="H1398" t="s">
        <v>58</v>
      </c>
      <c r="I1398" t="s">
        <v>1566</v>
      </c>
      <c r="J1398" t="s">
        <v>160</v>
      </c>
      <c r="K1398">
        <v>2</v>
      </c>
      <c r="L1398">
        <v>2540000</v>
      </c>
      <c r="M1398">
        <v>0.1</v>
      </c>
      <c r="N1398">
        <v>1865000</v>
      </c>
      <c r="O1398">
        <v>2540000</v>
      </c>
    </row>
    <row r="1399" spans="1:15" x14ac:dyDescent="0.35">
      <c r="A1399" t="s">
        <v>1567</v>
      </c>
      <c r="B1399">
        <v>3492303.0303030303</v>
      </c>
      <c r="C1399" t="s">
        <v>1621</v>
      </c>
      <c r="D1399" s="1">
        <v>45977</v>
      </c>
      <c r="E1399" t="s">
        <v>49</v>
      </c>
      <c r="F1399" t="s">
        <v>50</v>
      </c>
      <c r="G1399" t="s">
        <v>456</v>
      </c>
      <c r="H1399" t="s">
        <v>23</v>
      </c>
      <c r="I1399" t="s">
        <v>1566</v>
      </c>
      <c r="J1399" t="s">
        <v>160</v>
      </c>
      <c r="K1399">
        <v>1</v>
      </c>
      <c r="L1399">
        <v>3492303.0303030303</v>
      </c>
      <c r="M1399">
        <v>0</v>
      </c>
      <c r="N1399">
        <v>2405000</v>
      </c>
      <c r="O1399">
        <v>3492303.0303030303</v>
      </c>
    </row>
    <row r="1400" spans="1:15" x14ac:dyDescent="0.35">
      <c r="A1400" t="s">
        <v>1567</v>
      </c>
      <c r="B1400">
        <v>3492303.0303030303</v>
      </c>
      <c r="C1400" t="s">
        <v>1622</v>
      </c>
      <c r="D1400" s="1">
        <v>45994</v>
      </c>
      <c r="E1400" t="s">
        <v>41</v>
      </c>
      <c r="F1400" t="s">
        <v>42</v>
      </c>
      <c r="G1400" t="s">
        <v>172</v>
      </c>
      <c r="H1400" t="s">
        <v>23</v>
      </c>
      <c r="I1400" t="s">
        <v>1566</v>
      </c>
      <c r="J1400" t="s">
        <v>160</v>
      </c>
      <c r="K1400">
        <v>1</v>
      </c>
      <c r="L1400">
        <v>4292000</v>
      </c>
      <c r="M1400">
        <v>0</v>
      </c>
      <c r="N1400">
        <v>3171000</v>
      </c>
      <c r="O1400">
        <v>4292000</v>
      </c>
    </row>
    <row r="1401" spans="1:15" x14ac:dyDescent="0.35">
      <c r="A1401" t="s">
        <v>1567</v>
      </c>
      <c r="B1401">
        <v>3492303.0303030303</v>
      </c>
      <c r="C1401" t="s">
        <v>1623</v>
      </c>
      <c r="D1401" s="1">
        <v>45995</v>
      </c>
      <c r="E1401" t="s">
        <v>14</v>
      </c>
      <c r="F1401" t="s">
        <v>15</v>
      </c>
      <c r="G1401" t="s">
        <v>155</v>
      </c>
      <c r="H1401" t="s">
        <v>58</v>
      </c>
      <c r="I1401" t="s">
        <v>1566</v>
      </c>
      <c r="J1401" t="s">
        <v>160</v>
      </c>
      <c r="K1401">
        <v>1</v>
      </c>
      <c r="L1401">
        <v>2744000</v>
      </c>
      <c r="M1401">
        <v>0</v>
      </c>
      <c r="N1401">
        <v>2025000</v>
      </c>
      <c r="O1401">
        <v>2744000</v>
      </c>
    </row>
    <row r="1402" spans="1:15" x14ac:dyDescent="0.35">
      <c r="A1402" t="s">
        <v>1567</v>
      </c>
      <c r="B1402">
        <v>3492303.0303030303</v>
      </c>
      <c r="C1402" t="s">
        <v>1624</v>
      </c>
      <c r="D1402" s="1">
        <v>46017</v>
      </c>
      <c r="E1402" t="s">
        <v>14</v>
      </c>
      <c r="F1402" t="s">
        <v>15</v>
      </c>
      <c r="G1402" t="s">
        <v>359</v>
      </c>
      <c r="H1402" t="s">
        <v>23</v>
      </c>
      <c r="I1402" t="s">
        <v>1566</v>
      </c>
      <c r="J1402" t="s">
        <v>160</v>
      </c>
      <c r="K1402">
        <v>1</v>
      </c>
      <c r="L1402">
        <v>4178000</v>
      </c>
      <c r="M1402">
        <v>0</v>
      </c>
      <c r="N1402">
        <v>3152000</v>
      </c>
      <c r="O1402">
        <v>4178000</v>
      </c>
    </row>
    <row r="1403" spans="1:15" x14ac:dyDescent="0.35">
      <c r="A1403" t="s">
        <v>1567</v>
      </c>
      <c r="B1403">
        <v>3492303.0303030303</v>
      </c>
      <c r="C1403" t="s">
        <v>1625</v>
      </c>
      <c r="D1403" s="1">
        <v>46036</v>
      </c>
      <c r="E1403" t="s">
        <v>14</v>
      </c>
      <c r="F1403" t="s">
        <v>15</v>
      </c>
      <c r="G1403" t="s">
        <v>340</v>
      </c>
      <c r="H1403" t="s">
        <v>23</v>
      </c>
      <c r="I1403" t="s">
        <v>1566</v>
      </c>
      <c r="J1403" t="s">
        <v>160</v>
      </c>
      <c r="K1403">
        <v>2</v>
      </c>
      <c r="L1403">
        <v>4319000</v>
      </c>
      <c r="M1403">
        <v>0</v>
      </c>
      <c r="N1403">
        <v>3268000</v>
      </c>
      <c r="O1403">
        <v>4319000</v>
      </c>
    </row>
    <row r="1404" spans="1:15" x14ac:dyDescent="0.35">
      <c r="A1404" t="s">
        <v>1567</v>
      </c>
      <c r="B1404">
        <v>3492303.0303030303</v>
      </c>
      <c r="C1404" t="s">
        <v>1626</v>
      </c>
      <c r="D1404" s="1">
        <v>46052</v>
      </c>
      <c r="E1404" t="s">
        <v>14</v>
      </c>
      <c r="F1404" t="s">
        <v>15</v>
      </c>
      <c r="G1404" t="s">
        <v>366</v>
      </c>
      <c r="H1404" t="s">
        <v>58</v>
      </c>
      <c r="I1404" t="s">
        <v>1566</v>
      </c>
      <c r="J1404" t="s">
        <v>160</v>
      </c>
      <c r="K1404">
        <v>1</v>
      </c>
      <c r="L1404">
        <v>3185000</v>
      </c>
      <c r="M1404">
        <v>0.05</v>
      </c>
      <c r="N1404">
        <v>2342000</v>
      </c>
      <c r="O1404">
        <v>3185000</v>
      </c>
    </row>
    <row r="1405" spans="1:15" x14ac:dyDescent="0.35">
      <c r="A1405" t="s">
        <v>1567</v>
      </c>
      <c r="B1405">
        <v>3492303.0303030303</v>
      </c>
      <c r="C1405" t="s">
        <v>1627</v>
      </c>
      <c r="D1405" s="1">
        <v>46069</v>
      </c>
      <c r="E1405" t="s">
        <v>14</v>
      </c>
      <c r="F1405" t="s">
        <v>15</v>
      </c>
      <c r="G1405" t="s">
        <v>323</v>
      </c>
      <c r="H1405" t="s">
        <v>28</v>
      </c>
      <c r="I1405" t="s">
        <v>1566</v>
      </c>
      <c r="J1405" t="s">
        <v>160</v>
      </c>
      <c r="K1405">
        <v>1</v>
      </c>
      <c r="L1405">
        <v>3492303.0303030303</v>
      </c>
      <c r="M1405">
        <v>0</v>
      </c>
      <c r="N1405">
        <v>0</v>
      </c>
      <c r="O1405">
        <v>3492303.0303030303</v>
      </c>
    </row>
    <row r="1406" spans="1:15" x14ac:dyDescent="0.35">
      <c r="A1406" t="s">
        <v>1567</v>
      </c>
      <c r="B1406">
        <v>3492303.0303030303</v>
      </c>
      <c r="C1406" t="s">
        <v>1628</v>
      </c>
      <c r="D1406" s="1">
        <v>46093</v>
      </c>
      <c r="E1406" t="s">
        <v>14</v>
      </c>
      <c r="F1406" t="s">
        <v>15</v>
      </c>
      <c r="G1406" t="s">
        <v>366</v>
      </c>
      <c r="H1406" t="s">
        <v>58</v>
      </c>
      <c r="I1406" t="s">
        <v>1566</v>
      </c>
      <c r="J1406" t="s">
        <v>160</v>
      </c>
      <c r="K1406">
        <v>2</v>
      </c>
      <c r="L1406">
        <v>3710000</v>
      </c>
      <c r="M1406">
        <v>0</v>
      </c>
      <c r="N1406">
        <v>2784000</v>
      </c>
      <c r="O1406">
        <v>3710000</v>
      </c>
    </row>
    <row r="1407" spans="1:15" x14ac:dyDescent="0.35">
      <c r="A1407" t="s">
        <v>1567</v>
      </c>
      <c r="B1407">
        <v>3492303.0303030303</v>
      </c>
      <c r="C1407" t="s">
        <v>1629</v>
      </c>
      <c r="D1407" s="1">
        <v>46108</v>
      </c>
      <c r="E1407" t="s">
        <v>14</v>
      </c>
      <c r="F1407" t="s">
        <v>15</v>
      </c>
      <c r="G1407" t="s">
        <v>394</v>
      </c>
      <c r="H1407" t="s">
        <v>23</v>
      </c>
      <c r="I1407" t="s">
        <v>1566</v>
      </c>
      <c r="J1407" t="s">
        <v>160</v>
      </c>
      <c r="K1407">
        <v>3</v>
      </c>
      <c r="L1407">
        <v>3265000</v>
      </c>
      <c r="M1407">
        <v>0</v>
      </c>
      <c r="N1407">
        <v>2412000</v>
      </c>
      <c r="O1407">
        <v>3265000</v>
      </c>
    </row>
    <row r="1408" spans="1:15" x14ac:dyDescent="0.35">
      <c r="A1408" t="s">
        <v>1567</v>
      </c>
      <c r="B1408">
        <v>3492303.0303030303</v>
      </c>
      <c r="C1408" t="s">
        <v>1630</v>
      </c>
      <c r="D1408" s="1">
        <v>46125</v>
      </c>
      <c r="E1408" t="s">
        <v>49</v>
      </c>
      <c r="F1408" t="s">
        <v>50</v>
      </c>
      <c r="G1408" t="s">
        <v>172</v>
      </c>
      <c r="H1408" t="s">
        <v>23</v>
      </c>
      <c r="I1408" t="s">
        <v>1566</v>
      </c>
      <c r="J1408" t="s">
        <v>160</v>
      </c>
      <c r="K1408">
        <v>1</v>
      </c>
      <c r="L1408">
        <v>2428000</v>
      </c>
      <c r="M1408">
        <v>0</v>
      </c>
      <c r="N1408">
        <v>1768000</v>
      </c>
      <c r="O1408">
        <v>2428000</v>
      </c>
    </row>
    <row r="1409" spans="1:15" x14ac:dyDescent="0.35">
      <c r="A1409" t="s">
        <v>1567</v>
      </c>
      <c r="B1409">
        <v>3492303.0303030303</v>
      </c>
      <c r="C1409" t="s">
        <v>1631</v>
      </c>
      <c r="D1409" s="1">
        <v>46138</v>
      </c>
      <c r="E1409" t="s">
        <v>25</v>
      </c>
      <c r="F1409" t="s">
        <v>26</v>
      </c>
      <c r="G1409" t="s">
        <v>63</v>
      </c>
      <c r="H1409" t="s">
        <v>28</v>
      </c>
      <c r="I1409" t="s">
        <v>1566</v>
      </c>
      <c r="J1409" t="s">
        <v>160</v>
      </c>
      <c r="K1409">
        <v>1</v>
      </c>
      <c r="L1409">
        <v>5104000</v>
      </c>
      <c r="M1409">
        <v>0</v>
      </c>
      <c r="N1409">
        <v>3759000</v>
      </c>
      <c r="O1409">
        <v>5104000</v>
      </c>
    </row>
    <row r="1410" spans="1:15" x14ac:dyDescent="0.35">
      <c r="A1410" t="s">
        <v>1567</v>
      </c>
      <c r="B1410">
        <v>3492303.0303030303</v>
      </c>
      <c r="C1410" t="s">
        <v>1632</v>
      </c>
      <c r="D1410" s="1">
        <v>46139</v>
      </c>
      <c r="E1410" t="s">
        <v>14</v>
      </c>
      <c r="F1410" t="s">
        <v>15</v>
      </c>
      <c r="G1410" t="s">
        <v>335</v>
      </c>
      <c r="H1410" t="s">
        <v>23</v>
      </c>
      <c r="I1410" t="s">
        <v>1566</v>
      </c>
      <c r="J1410" t="s">
        <v>160</v>
      </c>
      <c r="K1410">
        <v>1</v>
      </c>
      <c r="L1410">
        <v>2939000</v>
      </c>
      <c r="M1410">
        <v>0</v>
      </c>
      <c r="N1410">
        <v>2146000</v>
      </c>
      <c r="O1410">
        <v>2939000</v>
      </c>
    </row>
    <row r="1411" spans="1:15" x14ac:dyDescent="0.35">
      <c r="A1411" t="s">
        <v>1567</v>
      </c>
      <c r="B1411">
        <v>3492303.0303030303</v>
      </c>
      <c r="C1411" t="s">
        <v>1633</v>
      </c>
      <c r="D1411" s="1">
        <v>46144</v>
      </c>
      <c r="E1411" t="s">
        <v>41</v>
      </c>
      <c r="F1411" t="s">
        <v>42</v>
      </c>
      <c r="G1411" t="s">
        <v>447</v>
      </c>
      <c r="H1411" t="s">
        <v>23</v>
      </c>
      <c r="I1411" t="s">
        <v>1566</v>
      </c>
      <c r="J1411" t="s">
        <v>160</v>
      </c>
      <c r="K1411">
        <v>1</v>
      </c>
      <c r="L1411">
        <v>4746000</v>
      </c>
      <c r="M1411">
        <v>0</v>
      </c>
      <c r="N1411">
        <v>3498000</v>
      </c>
      <c r="O1411">
        <v>4746000</v>
      </c>
    </row>
    <row r="1412" spans="1:15" x14ac:dyDescent="0.35">
      <c r="A1412" t="s">
        <v>1567</v>
      </c>
      <c r="B1412">
        <v>3492303.0303030303</v>
      </c>
      <c r="C1412" t="s">
        <v>1634</v>
      </c>
      <c r="D1412" s="1">
        <v>46151</v>
      </c>
      <c r="E1412" t="s">
        <v>41</v>
      </c>
      <c r="F1412" t="s">
        <v>42</v>
      </c>
      <c r="G1412" t="s">
        <v>104</v>
      </c>
      <c r="H1412" t="s">
        <v>28</v>
      </c>
      <c r="I1412" t="s">
        <v>1566</v>
      </c>
      <c r="J1412" t="s">
        <v>160</v>
      </c>
      <c r="K1412">
        <v>1</v>
      </c>
      <c r="L1412">
        <v>2328000</v>
      </c>
      <c r="M1412">
        <v>0</v>
      </c>
      <c r="N1412">
        <v>1762000</v>
      </c>
      <c r="O1412">
        <v>2328000</v>
      </c>
    </row>
    <row r="1413" spans="1:15" x14ac:dyDescent="0.35">
      <c r="A1413" t="s">
        <v>1567</v>
      </c>
      <c r="B1413">
        <v>3492303.0303030303</v>
      </c>
      <c r="C1413" t="s">
        <v>1635</v>
      </c>
      <c r="D1413" s="1">
        <v>46159</v>
      </c>
      <c r="E1413" t="s">
        <v>49</v>
      </c>
      <c r="F1413" t="s">
        <v>50</v>
      </c>
      <c r="G1413" t="s">
        <v>394</v>
      </c>
      <c r="H1413" t="s">
        <v>23</v>
      </c>
      <c r="I1413" t="s">
        <v>1566</v>
      </c>
      <c r="J1413" t="s">
        <v>160</v>
      </c>
      <c r="K1413">
        <v>1</v>
      </c>
      <c r="L1413">
        <v>4479000</v>
      </c>
      <c r="M1413">
        <v>0</v>
      </c>
      <c r="N1413">
        <v>3225000</v>
      </c>
      <c r="O1413">
        <v>4479000</v>
      </c>
    </row>
    <row r="1414" spans="1:15" x14ac:dyDescent="0.35">
      <c r="A1414" t="s">
        <v>1567</v>
      </c>
      <c r="B1414">
        <v>3492303.0303030303</v>
      </c>
      <c r="C1414" t="s">
        <v>1636</v>
      </c>
      <c r="D1414" s="1">
        <v>46191</v>
      </c>
      <c r="E1414" t="s">
        <v>41</v>
      </c>
      <c r="F1414" t="s">
        <v>42</v>
      </c>
      <c r="G1414" t="s">
        <v>177</v>
      </c>
      <c r="H1414" t="s">
        <v>23</v>
      </c>
      <c r="I1414" t="s">
        <v>1566</v>
      </c>
      <c r="J1414" t="s">
        <v>160</v>
      </c>
      <c r="K1414">
        <v>5</v>
      </c>
      <c r="L1414">
        <v>5117000</v>
      </c>
      <c r="M1414">
        <v>0</v>
      </c>
      <c r="N1414">
        <v>3834000</v>
      </c>
      <c r="O1414">
        <v>5117000</v>
      </c>
    </row>
    <row r="1415" spans="1:15" x14ac:dyDescent="0.35">
      <c r="A1415" t="s">
        <v>1639</v>
      </c>
      <c r="B1415">
        <v>3316000</v>
      </c>
      <c r="C1415" t="s">
        <v>1637</v>
      </c>
      <c r="D1415" s="1">
        <v>44954</v>
      </c>
      <c r="E1415" t="s">
        <v>49</v>
      </c>
      <c r="F1415" t="s">
        <v>50</v>
      </c>
      <c r="G1415" t="s">
        <v>168</v>
      </c>
      <c r="H1415" t="s">
        <v>23</v>
      </c>
      <c r="I1415" t="s">
        <v>1638</v>
      </c>
      <c r="J1415" t="s">
        <v>363</v>
      </c>
      <c r="K1415">
        <v>1</v>
      </c>
      <c r="L1415">
        <v>2663000</v>
      </c>
      <c r="M1415">
        <v>0.1</v>
      </c>
      <c r="N1415">
        <v>2022000</v>
      </c>
      <c r="O1415">
        <v>2663000</v>
      </c>
    </row>
    <row r="1416" spans="1:15" x14ac:dyDescent="0.35">
      <c r="A1416" t="s">
        <v>1639</v>
      </c>
      <c r="B1416">
        <v>3316000</v>
      </c>
      <c r="C1416" t="s">
        <v>1640</v>
      </c>
      <c r="D1416" s="1">
        <v>44989</v>
      </c>
      <c r="E1416" t="s">
        <v>41</v>
      </c>
      <c r="F1416" t="s">
        <v>42</v>
      </c>
      <c r="G1416" t="s">
        <v>27</v>
      </c>
      <c r="H1416" t="s">
        <v>28</v>
      </c>
      <c r="I1416" t="s">
        <v>1638</v>
      </c>
      <c r="J1416" t="s">
        <v>363</v>
      </c>
      <c r="K1416">
        <v>2</v>
      </c>
      <c r="L1416">
        <v>3530000</v>
      </c>
      <c r="M1416">
        <v>0</v>
      </c>
      <c r="N1416">
        <v>2691000</v>
      </c>
      <c r="O1416">
        <v>3530000</v>
      </c>
    </row>
    <row r="1417" spans="1:15" x14ac:dyDescent="0.35">
      <c r="A1417" t="s">
        <v>1639</v>
      </c>
      <c r="B1417">
        <v>3316000</v>
      </c>
      <c r="C1417" t="s">
        <v>1641</v>
      </c>
      <c r="D1417" s="1">
        <v>45021</v>
      </c>
      <c r="E1417" t="s">
        <v>14</v>
      </c>
      <c r="F1417" t="s">
        <v>15</v>
      </c>
      <c r="G1417" t="s">
        <v>203</v>
      </c>
      <c r="H1417" t="s">
        <v>17</v>
      </c>
      <c r="I1417" t="s">
        <v>1638</v>
      </c>
      <c r="J1417" t="s">
        <v>363</v>
      </c>
      <c r="K1417">
        <v>2</v>
      </c>
      <c r="L1417">
        <v>3836000</v>
      </c>
      <c r="M1417">
        <v>0</v>
      </c>
      <c r="N1417">
        <v>2950000</v>
      </c>
      <c r="O1417">
        <v>3836000</v>
      </c>
    </row>
    <row r="1418" spans="1:15" x14ac:dyDescent="0.35">
      <c r="A1418" t="s">
        <v>1639</v>
      </c>
      <c r="B1418">
        <v>3316000</v>
      </c>
      <c r="C1418" t="s">
        <v>1642</v>
      </c>
      <c r="D1418" s="1">
        <v>45042</v>
      </c>
      <c r="E1418" t="s">
        <v>41</v>
      </c>
      <c r="F1418" t="s">
        <v>42</v>
      </c>
      <c r="G1418" t="s">
        <v>174</v>
      </c>
      <c r="H1418" t="s">
        <v>23</v>
      </c>
      <c r="I1418" t="s">
        <v>1638</v>
      </c>
      <c r="J1418" t="s">
        <v>363</v>
      </c>
      <c r="K1418">
        <v>1</v>
      </c>
      <c r="L1418">
        <v>2617000</v>
      </c>
      <c r="M1418">
        <v>0</v>
      </c>
      <c r="N1418">
        <v>1997000</v>
      </c>
      <c r="O1418">
        <v>2617000</v>
      </c>
    </row>
    <row r="1419" spans="1:15" x14ac:dyDescent="0.35">
      <c r="A1419" t="s">
        <v>1639</v>
      </c>
      <c r="B1419">
        <v>3316000</v>
      </c>
      <c r="C1419" t="s">
        <v>1643</v>
      </c>
      <c r="D1419" s="1">
        <v>45044</v>
      </c>
      <c r="E1419" t="s">
        <v>36</v>
      </c>
      <c r="F1419" t="s">
        <v>37</v>
      </c>
      <c r="G1419" t="s">
        <v>205</v>
      </c>
      <c r="H1419" t="s">
        <v>17</v>
      </c>
      <c r="I1419" t="s">
        <v>1638</v>
      </c>
      <c r="J1419" t="s">
        <v>363</v>
      </c>
      <c r="K1419">
        <v>3</v>
      </c>
      <c r="L1419">
        <v>3475000</v>
      </c>
      <c r="M1419">
        <v>0.05</v>
      </c>
      <c r="N1419">
        <v>2630000</v>
      </c>
      <c r="O1419">
        <v>3475000</v>
      </c>
    </row>
    <row r="1420" spans="1:15" x14ac:dyDescent="0.35">
      <c r="A1420" t="s">
        <v>1639</v>
      </c>
      <c r="B1420">
        <v>3316000</v>
      </c>
      <c r="C1420" t="s">
        <v>1644</v>
      </c>
      <c r="D1420" s="1">
        <v>45058</v>
      </c>
      <c r="E1420" t="s">
        <v>25</v>
      </c>
      <c r="F1420" t="s">
        <v>26</v>
      </c>
      <c r="G1420" t="s">
        <v>228</v>
      </c>
      <c r="H1420" t="s">
        <v>17</v>
      </c>
      <c r="I1420" t="s">
        <v>1638</v>
      </c>
      <c r="J1420" t="s">
        <v>363</v>
      </c>
      <c r="K1420">
        <v>2</v>
      </c>
      <c r="L1420">
        <v>2908000</v>
      </c>
      <c r="M1420">
        <v>0.1</v>
      </c>
      <c r="N1420">
        <v>2147000</v>
      </c>
      <c r="O1420">
        <v>2908000</v>
      </c>
    </row>
    <row r="1421" spans="1:15" x14ac:dyDescent="0.35">
      <c r="A1421" t="s">
        <v>1639</v>
      </c>
      <c r="B1421">
        <v>3316000</v>
      </c>
      <c r="C1421" t="s">
        <v>1645</v>
      </c>
      <c r="D1421" s="1">
        <v>45070</v>
      </c>
      <c r="E1421" t="s">
        <v>41</v>
      </c>
      <c r="F1421" t="s">
        <v>42</v>
      </c>
      <c r="G1421" t="s">
        <v>323</v>
      </c>
      <c r="H1421" t="s">
        <v>28</v>
      </c>
      <c r="I1421" t="s">
        <v>1638</v>
      </c>
      <c r="J1421" t="s">
        <v>363</v>
      </c>
      <c r="K1421">
        <v>3</v>
      </c>
      <c r="L1421">
        <v>3503000</v>
      </c>
      <c r="M1421">
        <v>0</v>
      </c>
      <c r="N1421">
        <v>2676000</v>
      </c>
      <c r="O1421">
        <v>3503000</v>
      </c>
    </row>
    <row r="1422" spans="1:15" x14ac:dyDescent="0.35">
      <c r="A1422" t="s">
        <v>1639</v>
      </c>
      <c r="B1422">
        <v>3316000</v>
      </c>
      <c r="C1422" t="s">
        <v>1646</v>
      </c>
      <c r="D1422" s="1">
        <v>45080</v>
      </c>
      <c r="E1422" t="s">
        <v>41</v>
      </c>
      <c r="F1422" t="s">
        <v>42</v>
      </c>
      <c r="G1422" t="s">
        <v>447</v>
      </c>
      <c r="H1422" t="s">
        <v>23</v>
      </c>
      <c r="I1422" t="s">
        <v>1638</v>
      </c>
      <c r="J1422" t="s">
        <v>363</v>
      </c>
      <c r="K1422">
        <v>1</v>
      </c>
      <c r="L1422">
        <v>2175000</v>
      </c>
      <c r="M1422">
        <v>0</v>
      </c>
      <c r="N1422">
        <v>1627000</v>
      </c>
      <c r="O1422">
        <v>2175000</v>
      </c>
    </row>
    <row r="1423" spans="1:15" x14ac:dyDescent="0.35">
      <c r="A1423" t="s">
        <v>1639</v>
      </c>
      <c r="B1423">
        <v>3316000</v>
      </c>
      <c r="C1423" t="s">
        <v>1647</v>
      </c>
      <c r="D1423" s="1">
        <v>45081</v>
      </c>
      <c r="E1423" t="s">
        <v>14</v>
      </c>
      <c r="F1423" t="s">
        <v>15</v>
      </c>
      <c r="G1423" t="s">
        <v>208</v>
      </c>
      <c r="H1423" t="s">
        <v>23</v>
      </c>
      <c r="I1423" t="s">
        <v>1638</v>
      </c>
      <c r="J1423" t="s">
        <v>363</v>
      </c>
      <c r="K1423">
        <v>2</v>
      </c>
      <c r="L1423">
        <v>2414000</v>
      </c>
      <c r="M1423">
        <v>0</v>
      </c>
      <c r="N1423">
        <v>1807000</v>
      </c>
      <c r="O1423">
        <v>2414000</v>
      </c>
    </row>
    <row r="1424" spans="1:15" x14ac:dyDescent="0.35">
      <c r="A1424" t="s">
        <v>1639</v>
      </c>
      <c r="B1424">
        <v>3316000</v>
      </c>
      <c r="C1424" t="s">
        <v>1648</v>
      </c>
      <c r="D1424" s="1">
        <v>45083</v>
      </c>
      <c r="E1424" t="s">
        <v>14</v>
      </c>
      <c r="F1424" t="s">
        <v>15</v>
      </c>
      <c r="G1424" t="s">
        <v>134</v>
      </c>
      <c r="H1424" t="s">
        <v>28</v>
      </c>
      <c r="I1424" t="s">
        <v>1638</v>
      </c>
      <c r="J1424" t="s">
        <v>363</v>
      </c>
      <c r="K1424">
        <v>2</v>
      </c>
      <c r="L1424">
        <v>2745000</v>
      </c>
      <c r="M1424">
        <v>0</v>
      </c>
      <c r="N1424">
        <v>2048000</v>
      </c>
      <c r="O1424">
        <v>2745000</v>
      </c>
    </row>
    <row r="1425" spans="1:15" x14ac:dyDescent="0.35">
      <c r="A1425" t="s">
        <v>1639</v>
      </c>
      <c r="B1425">
        <v>3316000</v>
      </c>
      <c r="C1425" t="s">
        <v>1649</v>
      </c>
      <c r="D1425" s="1">
        <v>45085</v>
      </c>
      <c r="E1425" t="s">
        <v>36</v>
      </c>
      <c r="F1425" t="s">
        <v>37</v>
      </c>
      <c r="G1425" t="s">
        <v>146</v>
      </c>
      <c r="H1425" t="s">
        <v>17</v>
      </c>
      <c r="I1425" t="s">
        <v>1638</v>
      </c>
      <c r="J1425" t="s">
        <v>363</v>
      </c>
      <c r="K1425">
        <v>3</v>
      </c>
      <c r="L1425">
        <v>3668000</v>
      </c>
      <c r="M1425">
        <v>0.1</v>
      </c>
      <c r="N1425">
        <v>2778000</v>
      </c>
      <c r="O1425">
        <v>3668000</v>
      </c>
    </row>
    <row r="1426" spans="1:15" x14ac:dyDescent="0.35">
      <c r="A1426" t="s">
        <v>1639</v>
      </c>
      <c r="B1426">
        <v>3316000</v>
      </c>
      <c r="C1426" t="s">
        <v>1650</v>
      </c>
      <c r="D1426" s="1">
        <v>45108</v>
      </c>
      <c r="E1426" t="s">
        <v>14</v>
      </c>
      <c r="F1426" t="s">
        <v>15</v>
      </c>
      <c r="G1426" t="s">
        <v>164</v>
      </c>
      <c r="H1426" t="s">
        <v>23</v>
      </c>
      <c r="I1426" t="s">
        <v>1638</v>
      </c>
      <c r="J1426" t="s">
        <v>363</v>
      </c>
      <c r="K1426">
        <v>1</v>
      </c>
      <c r="L1426">
        <v>2238000</v>
      </c>
      <c r="M1426">
        <v>0</v>
      </c>
      <c r="N1426">
        <v>1668000</v>
      </c>
      <c r="O1426">
        <v>2238000</v>
      </c>
    </row>
    <row r="1427" spans="1:15" x14ac:dyDescent="0.35">
      <c r="A1427" t="s">
        <v>1639</v>
      </c>
      <c r="B1427">
        <v>3316000</v>
      </c>
      <c r="C1427" t="s">
        <v>1651</v>
      </c>
      <c r="D1427" s="1">
        <v>45119</v>
      </c>
      <c r="E1427" t="s">
        <v>49</v>
      </c>
      <c r="F1427" t="s">
        <v>50</v>
      </c>
      <c r="G1427" t="s">
        <v>359</v>
      </c>
      <c r="H1427" t="s">
        <v>23</v>
      </c>
      <c r="I1427" t="s">
        <v>1638</v>
      </c>
      <c r="J1427" t="s">
        <v>363</v>
      </c>
      <c r="K1427">
        <v>1</v>
      </c>
      <c r="L1427">
        <v>2476000</v>
      </c>
      <c r="M1427">
        <v>0</v>
      </c>
      <c r="N1427">
        <v>1839000</v>
      </c>
      <c r="O1427">
        <v>2476000</v>
      </c>
    </row>
    <row r="1428" spans="1:15" x14ac:dyDescent="0.35">
      <c r="A1428" t="s">
        <v>1639</v>
      </c>
      <c r="B1428">
        <v>3316000</v>
      </c>
      <c r="C1428" t="s">
        <v>1652</v>
      </c>
      <c r="D1428" s="1">
        <v>45123</v>
      </c>
      <c r="E1428" t="s">
        <v>14</v>
      </c>
      <c r="F1428" t="s">
        <v>15</v>
      </c>
      <c r="G1428" t="s">
        <v>115</v>
      </c>
      <c r="H1428" t="s">
        <v>23</v>
      </c>
      <c r="I1428" t="s">
        <v>1638</v>
      </c>
      <c r="J1428" t="s">
        <v>363</v>
      </c>
      <c r="K1428">
        <v>2</v>
      </c>
      <c r="L1428">
        <v>3739000</v>
      </c>
      <c r="M1428">
        <v>0</v>
      </c>
      <c r="N1428">
        <v>2861000</v>
      </c>
      <c r="O1428">
        <v>3739000</v>
      </c>
    </row>
    <row r="1429" spans="1:15" x14ac:dyDescent="0.35">
      <c r="A1429" t="s">
        <v>1639</v>
      </c>
      <c r="B1429">
        <v>3316000</v>
      </c>
      <c r="C1429" t="s">
        <v>1653</v>
      </c>
      <c r="D1429" s="1">
        <v>45131</v>
      </c>
      <c r="E1429" t="s">
        <v>25</v>
      </c>
      <c r="F1429" t="s">
        <v>26</v>
      </c>
      <c r="G1429" t="s">
        <v>141</v>
      </c>
      <c r="H1429" t="s">
        <v>17</v>
      </c>
      <c r="I1429" t="s">
        <v>1638</v>
      </c>
      <c r="J1429" t="s">
        <v>363</v>
      </c>
      <c r="K1429">
        <v>2</v>
      </c>
      <c r="L1429">
        <v>2842000</v>
      </c>
      <c r="M1429">
        <v>0.1</v>
      </c>
      <c r="N1429">
        <v>2187000</v>
      </c>
      <c r="O1429">
        <v>2842000</v>
      </c>
    </row>
    <row r="1430" spans="1:15" x14ac:dyDescent="0.35">
      <c r="A1430" t="s">
        <v>1639</v>
      </c>
      <c r="B1430">
        <v>3316000</v>
      </c>
      <c r="C1430" t="s">
        <v>1654</v>
      </c>
      <c r="D1430" s="1">
        <v>45178</v>
      </c>
      <c r="E1430" t="s">
        <v>41</v>
      </c>
      <c r="F1430" t="s">
        <v>42</v>
      </c>
      <c r="G1430" t="s">
        <v>582</v>
      </c>
      <c r="H1430" t="s">
        <v>17</v>
      </c>
      <c r="I1430" t="s">
        <v>1638</v>
      </c>
      <c r="J1430" t="s">
        <v>363</v>
      </c>
      <c r="K1430">
        <v>1</v>
      </c>
      <c r="L1430">
        <v>4200000</v>
      </c>
      <c r="M1430">
        <v>0</v>
      </c>
      <c r="N1430">
        <v>3162000</v>
      </c>
      <c r="O1430">
        <v>4200000</v>
      </c>
    </row>
    <row r="1431" spans="1:15" x14ac:dyDescent="0.35">
      <c r="A1431" t="s">
        <v>1639</v>
      </c>
      <c r="B1431">
        <v>3316000</v>
      </c>
      <c r="C1431" t="s">
        <v>1655</v>
      </c>
      <c r="D1431" s="1">
        <v>45200</v>
      </c>
      <c r="E1431" t="s">
        <v>41</v>
      </c>
      <c r="F1431" t="s">
        <v>42</v>
      </c>
      <c r="G1431" t="s">
        <v>301</v>
      </c>
      <c r="H1431" t="s">
        <v>28</v>
      </c>
      <c r="I1431" t="s">
        <v>1638</v>
      </c>
      <c r="J1431" t="s">
        <v>363</v>
      </c>
      <c r="K1431">
        <v>2</v>
      </c>
      <c r="L1431">
        <v>2708000</v>
      </c>
      <c r="M1431">
        <v>0</v>
      </c>
      <c r="N1431">
        <v>1994000</v>
      </c>
      <c r="O1431">
        <v>2708000</v>
      </c>
    </row>
    <row r="1432" spans="1:15" x14ac:dyDescent="0.35">
      <c r="A1432" t="s">
        <v>1639</v>
      </c>
      <c r="B1432">
        <v>3316000</v>
      </c>
      <c r="C1432" t="s">
        <v>1656</v>
      </c>
      <c r="D1432" s="1">
        <v>45215</v>
      </c>
      <c r="E1432" t="s">
        <v>41</v>
      </c>
      <c r="F1432" t="s">
        <v>42</v>
      </c>
      <c r="G1432" t="s">
        <v>95</v>
      </c>
      <c r="H1432" t="s">
        <v>23</v>
      </c>
      <c r="I1432" t="s">
        <v>1638</v>
      </c>
      <c r="J1432" t="s">
        <v>363</v>
      </c>
      <c r="K1432">
        <v>1</v>
      </c>
      <c r="L1432">
        <v>3209000</v>
      </c>
      <c r="M1432">
        <v>0</v>
      </c>
      <c r="N1432">
        <v>2419000</v>
      </c>
      <c r="O1432">
        <v>3209000</v>
      </c>
    </row>
    <row r="1433" spans="1:15" x14ac:dyDescent="0.35">
      <c r="A1433" t="s">
        <v>1639</v>
      </c>
      <c r="B1433">
        <v>3316000</v>
      </c>
      <c r="C1433" t="s">
        <v>1657</v>
      </c>
      <c r="D1433" s="1">
        <v>45242</v>
      </c>
      <c r="E1433" t="s">
        <v>49</v>
      </c>
      <c r="F1433" t="s">
        <v>50</v>
      </c>
      <c r="G1433" t="s">
        <v>216</v>
      </c>
      <c r="H1433" t="s">
        <v>17</v>
      </c>
      <c r="I1433" t="s">
        <v>1638</v>
      </c>
      <c r="J1433" t="s">
        <v>363</v>
      </c>
      <c r="K1433">
        <v>2</v>
      </c>
      <c r="L1433">
        <v>2632000</v>
      </c>
      <c r="M1433">
        <v>0</v>
      </c>
      <c r="N1433">
        <v>2013000</v>
      </c>
      <c r="O1433">
        <v>2632000</v>
      </c>
    </row>
    <row r="1434" spans="1:15" x14ac:dyDescent="0.35">
      <c r="A1434" t="s">
        <v>1639</v>
      </c>
      <c r="B1434">
        <v>3316000</v>
      </c>
      <c r="C1434" t="s">
        <v>1658</v>
      </c>
      <c r="D1434" s="1">
        <v>45273</v>
      </c>
      <c r="E1434" t="s">
        <v>36</v>
      </c>
      <c r="F1434" t="s">
        <v>37</v>
      </c>
      <c r="G1434" t="s">
        <v>55</v>
      </c>
      <c r="H1434" t="s">
        <v>17</v>
      </c>
      <c r="I1434" t="s">
        <v>1638</v>
      </c>
      <c r="J1434" t="s">
        <v>363</v>
      </c>
      <c r="K1434">
        <v>1</v>
      </c>
      <c r="L1434">
        <v>2552000</v>
      </c>
      <c r="M1434">
        <v>0</v>
      </c>
      <c r="N1434">
        <v>1887000</v>
      </c>
      <c r="O1434">
        <v>2552000</v>
      </c>
    </row>
    <row r="1435" spans="1:15" x14ac:dyDescent="0.35">
      <c r="A1435" t="s">
        <v>1639</v>
      </c>
      <c r="B1435">
        <v>3316000</v>
      </c>
      <c r="C1435" t="s">
        <v>1659</v>
      </c>
      <c r="D1435" s="1">
        <v>45275</v>
      </c>
      <c r="E1435" t="s">
        <v>49</v>
      </c>
      <c r="F1435" t="s">
        <v>50</v>
      </c>
      <c r="G1435" t="s">
        <v>113</v>
      </c>
      <c r="H1435" t="s">
        <v>23</v>
      </c>
      <c r="I1435" t="s">
        <v>1638</v>
      </c>
      <c r="J1435" t="s">
        <v>363</v>
      </c>
      <c r="K1435">
        <v>1</v>
      </c>
      <c r="L1435">
        <v>4217000</v>
      </c>
      <c r="M1435">
        <v>0</v>
      </c>
      <c r="N1435">
        <v>3171000</v>
      </c>
      <c r="O1435">
        <v>4217000</v>
      </c>
    </row>
    <row r="1436" spans="1:15" x14ac:dyDescent="0.35">
      <c r="A1436" t="s">
        <v>1639</v>
      </c>
      <c r="B1436">
        <v>3316000</v>
      </c>
      <c r="C1436" t="s">
        <v>1660</v>
      </c>
      <c r="D1436" s="1">
        <v>45301</v>
      </c>
      <c r="E1436" t="s">
        <v>14</v>
      </c>
      <c r="F1436" t="s">
        <v>15</v>
      </c>
      <c r="G1436" t="s">
        <v>210</v>
      </c>
      <c r="H1436" t="s">
        <v>23</v>
      </c>
      <c r="I1436" t="s">
        <v>1638</v>
      </c>
      <c r="J1436" t="s">
        <v>363</v>
      </c>
      <c r="K1436">
        <v>1</v>
      </c>
      <c r="L1436">
        <v>2391000</v>
      </c>
      <c r="M1436">
        <v>0</v>
      </c>
      <c r="N1436">
        <v>1795000</v>
      </c>
      <c r="O1436">
        <v>2391000</v>
      </c>
    </row>
    <row r="1437" spans="1:15" x14ac:dyDescent="0.35">
      <c r="A1437" t="s">
        <v>1639</v>
      </c>
      <c r="B1437">
        <v>3316000</v>
      </c>
      <c r="C1437" t="s">
        <v>1661</v>
      </c>
      <c r="D1437" s="1">
        <v>45348</v>
      </c>
      <c r="E1437" t="s">
        <v>14</v>
      </c>
      <c r="F1437" t="s">
        <v>15</v>
      </c>
      <c r="G1437" t="s">
        <v>352</v>
      </c>
      <c r="H1437" t="s">
        <v>23</v>
      </c>
      <c r="I1437" t="s">
        <v>1638</v>
      </c>
      <c r="J1437" t="s">
        <v>363</v>
      </c>
      <c r="K1437">
        <v>3</v>
      </c>
      <c r="L1437">
        <v>3683000</v>
      </c>
      <c r="M1437">
        <v>0</v>
      </c>
      <c r="N1437">
        <v>2718000</v>
      </c>
      <c r="O1437">
        <v>3683000</v>
      </c>
    </row>
    <row r="1438" spans="1:15" x14ac:dyDescent="0.35">
      <c r="A1438" t="s">
        <v>1639</v>
      </c>
      <c r="B1438">
        <v>3316000</v>
      </c>
      <c r="C1438" t="s">
        <v>1662</v>
      </c>
      <c r="D1438" s="1">
        <v>45352</v>
      </c>
      <c r="E1438" t="s">
        <v>14</v>
      </c>
      <c r="F1438" t="s">
        <v>15</v>
      </c>
      <c r="G1438" t="s">
        <v>65</v>
      </c>
      <c r="H1438" t="s">
        <v>17</v>
      </c>
      <c r="I1438" t="s">
        <v>1638</v>
      </c>
      <c r="J1438" t="s">
        <v>363</v>
      </c>
      <c r="K1438">
        <v>3</v>
      </c>
      <c r="L1438">
        <v>2716000</v>
      </c>
      <c r="M1438">
        <v>0</v>
      </c>
      <c r="N1438">
        <v>2033000</v>
      </c>
      <c r="O1438">
        <v>2716000</v>
      </c>
    </row>
    <row r="1439" spans="1:15" x14ac:dyDescent="0.35">
      <c r="A1439" t="s">
        <v>1639</v>
      </c>
      <c r="B1439">
        <v>3316000</v>
      </c>
      <c r="C1439" t="s">
        <v>1663</v>
      </c>
      <c r="D1439" s="1">
        <v>45396</v>
      </c>
      <c r="E1439" t="s">
        <v>25</v>
      </c>
      <c r="F1439" t="s">
        <v>26</v>
      </c>
      <c r="G1439" t="s">
        <v>27</v>
      </c>
      <c r="H1439" t="s">
        <v>28</v>
      </c>
      <c r="I1439" t="s">
        <v>1638</v>
      </c>
      <c r="J1439" t="s">
        <v>363</v>
      </c>
      <c r="K1439">
        <v>1</v>
      </c>
      <c r="L1439">
        <v>3116000</v>
      </c>
      <c r="M1439">
        <v>0</v>
      </c>
      <c r="N1439">
        <v>2322000</v>
      </c>
      <c r="O1439">
        <v>3116000</v>
      </c>
    </row>
    <row r="1440" spans="1:15" x14ac:dyDescent="0.35">
      <c r="A1440" t="s">
        <v>1639</v>
      </c>
      <c r="B1440">
        <v>3316000</v>
      </c>
      <c r="C1440" t="s">
        <v>1664</v>
      </c>
      <c r="D1440" s="1">
        <v>45422</v>
      </c>
      <c r="E1440" t="s">
        <v>14</v>
      </c>
      <c r="F1440" t="s">
        <v>15</v>
      </c>
      <c r="G1440" t="s">
        <v>136</v>
      </c>
      <c r="H1440" t="s">
        <v>23</v>
      </c>
      <c r="I1440" t="s">
        <v>1638</v>
      </c>
      <c r="J1440" t="s">
        <v>363</v>
      </c>
      <c r="K1440">
        <v>1</v>
      </c>
      <c r="L1440">
        <v>3732000</v>
      </c>
      <c r="M1440">
        <v>0</v>
      </c>
      <c r="N1440">
        <v>2864000</v>
      </c>
      <c r="O1440">
        <v>3732000</v>
      </c>
    </row>
    <row r="1441" spans="1:15" x14ac:dyDescent="0.35">
      <c r="A1441" t="s">
        <v>1639</v>
      </c>
      <c r="B1441">
        <v>3316000</v>
      </c>
      <c r="C1441" t="s">
        <v>1665</v>
      </c>
      <c r="D1441" s="1">
        <v>45451</v>
      </c>
      <c r="E1441" t="s">
        <v>14</v>
      </c>
      <c r="F1441" t="s">
        <v>15</v>
      </c>
      <c r="G1441" t="s">
        <v>152</v>
      </c>
      <c r="H1441" t="s">
        <v>23</v>
      </c>
      <c r="I1441" t="s">
        <v>1638</v>
      </c>
      <c r="J1441" t="s">
        <v>363</v>
      </c>
      <c r="K1441">
        <v>1</v>
      </c>
      <c r="L1441">
        <v>3919000</v>
      </c>
      <c r="M1441">
        <v>0</v>
      </c>
      <c r="N1441">
        <v>2902000</v>
      </c>
      <c r="O1441">
        <v>3919000</v>
      </c>
    </row>
    <row r="1442" spans="1:15" x14ac:dyDescent="0.35">
      <c r="A1442" t="s">
        <v>1639</v>
      </c>
      <c r="B1442">
        <v>3316000</v>
      </c>
      <c r="C1442" t="s">
        <v>1666</v>
      </c>
      <c r="D1442" s="1">
        <v>45472</v>
      </c>
      <c r="E1442" t="s">
        <v>14</v>
      </c>
      <c r="F1442" t="s">
        <v>15</v>
      </c>
      <c r="G1442" t="s">
        <v>43</v>
      </c>
      <c r="H1442" t="s">
        <v>17</v>
      </c>
      <c r="I1442" t="s">
        <v>1638</v>
      </c>
      <c r="J1442" t="s">
        <v>363</v>
      </c>
      <c r="K1442">
        <v>1</v>
      </c>
      <c r="L1442">
        <v>2275000</v>
      </c>
      <c r="M1442">
        <v>0</v>
      </c>
      <c r="N1442">
        <v>1705000</v>
      </c>
      <c r="O1442">
        <v>2275000</v>
      </c>
    </row>
    <row r="1443" spans="1:15" x14ac:dyDescent="0.35">
      <c r="A1443" t="s">
        <v>1639</v>
      </c>
      <c r="B1443">
        <v>3316000</v>
      </c>
      <c r="C1443" t="s">
        <v>1667</v>
      </c>
      <c r="D1443" s="1">
        <v>45487</v>
      </c>
      <c r="E1443" t="s">
        <v>49</v>
      </c>
      <c r="F1443" t="s">
        <v>50</v>
      </c>
      <c r="G1443" t="s">
        <v>340</v>
      </c>
      <c r="H1443" t="s">
        <v>23</v>
      </c>
      <c r="I1443" t="s">
        <v>1638</v>
      </c>
      <c r="J1443" t="s">
        <v>363</v>
      </c>
      <c r="K1443">
        <v>1</v>
      </c>
      <c r="L1443">
        <v>4565000</v>
      </c>
      <c r="M1443">
        <v>0</v>
      </c>
      <c r="N1443">
        <v>3497000</v>
      </c>
      <c r="O1443">
        <v>4565000</v>
      </c>
    </row>
    <row r="1444" spans="1:15" x14ac:dyDescent="0.35">
      <c r="A1444" t="s">
        <v>1639</v>
      </c>
      <c r="B1444">
        <v>3316000</v>
      </c>
      <c r="C1444" t="s">
        <v>1668</v>
      </c>
      <c r="D1444" s="1">
        <v>45508</v>
      </c>
      <c r="E1444" t="s">
        <v>49</v>
      </c>
      <c r="F1444" t="s">
        <v>50</v>
      </c>
      <c r="G1444" t="s">
        <v>197</v>
      </c>
      <c r="H1444" t="s">
        <v>28</v>
      </c>
      <c r="I1444" t="s">
        <v>1638</v>
      </c>
      <c r="J1444" t="s">
        <v>363</v>
      </c>
      <c r="K1444">
        <v>1</v>
      </c>
      <c r="L1444">
        <v>3768000</v>
      </c>
      <c r="M1444">
        <v>0</v>
      </c>
      <c r="N1444">
        <v>2761000</v>
      </c>
      <c r="O1444">
        <v>3768000</v>
      </c>
    </row>
    <row r="1445" spans="1:15" x14ac:dyDescent="0.35">
      <c r="A1445" t="s">
        <v>1639</v>
      </c>
      <c r="B1445">
        <v>3316000</v>
      </c>
      <c r="C1445" t="s">
        <v>1669</v>
      </c>
      <c r="D1445" s="1">
        <v>45544</v>
      </c>
      <c r="E1445" t="s">
        <v>49</v>
      </c>
      <c r="F1445" t="s">
        <v>50</v>
      </c>
      <c r="G1445" t="s">
        <v>69</v>
      </c>
      <c r="H1445" t="s">
        <v>23</v>
      </c>
      <c r="I1445" t="s">
        <v>1638</v>
      </c>
      <c r="J1445" t="s">
        <v>363</v>
      </c>
      <c r="K1445">
        <v>1</v>
      </c>
      <c r="L1445">
        <v>2920000</v>
      </c>
      <c r="M1445">
        <v>0.05</v>
      </c>
      <c r="N1445">
        <v>2135000</v>
      </c>
      <c r="O1445">
        <v>2920000</v>
      </c>
    </row>
    <row r="1446" spans="1:15" x14ac:dyDescent="0.35">
      <c r="A1446" t="s">
        <v>1639</v>
      </c>
      <c r="B1446">
        <v>3316000</v>
      </c>
      <c r="C1446" t="s">
        <v>1670</v>
      </c>
      <c r="D1446" s="1">
        <v>45550</v>
      </c>
      <c r="E1446" t="s">
        <v>14</v>
      </c>
      <c r="F1446" t="s">
        <v>15</v>
      </c>
      <c r="G1446" t="s">
        <v>191</v>
      </c>
      <c r="H1446" t="s">
        <v>23</v>
      </c>
      <c r="I1446" t="s">
        <v>1638</v>
      </c>
      <c r="J1446" t="s">
        <v>363</v>
      </c>
      <c r="K1446">
        <v>2</v>
      </c>
      <c r="L1446">
        <v>4435000</v>
      </c>
      <c r="M1446">
        <v>0.05</v>
      </c>
      <c r="N1446">
        <v>3297000</v>
      </c>
      <c r="O1446">
        <v>4435000</v>
      </c>
    </row>
    <row r="1447" spans="1:15" x14ac:dyDescent="0.35">
      <c r="A1447" t="s">
        <v>1639</v>
      </c>
      <c r="B1447">
        <v>3316000</v>
      </c>
      <c r="C1447" t="s">
        <v>1671</v>
      </c>
      <c r="D1447" s="1">
        <v>45578</v>
      </c>
      <c r="E1447" t="s">
        <v>49</v>
      </c>
      <c r="F1447" t="s">
        <v>50</v>
      </c>
      <c r="G1447" t="s">
        <v>260</v>
      </c>
      <c r="H1447" t="s">
        <v>23</v>
      </c>
      <c r="I1447" t="s">
        <v>1638</v>
      </c>
      <c r="J1447" t="s">
        <v>363</v>
      </c>
      <c r="K1447">
        <v>2</v>
      </c>
      <c r="L1447">
        <v>3118000</v>
      </c>
      <c r="M1447">
        <v>0</v>
      </c>
      <c r="N1447">
        <v>2288000</v>
      </c>
      <c r="O1447">
        <v>3118000</v>
      </c>
    </row>
    <row r="1448" spans="1:15" x14ac:dyDescent="0.35">
      <c r="A1448" t="s">
        <v>1639</v>
      </c>
      <c r="B1448">
        <v>3316000</v>
      </c>
      <c r="C1448" t="s">
        <v>1672</v>
      </c>
      <c r="D1448" s="1">
        <v>45617</v>
      </c>
      <c r="E1448" t="s">
        <v>49</v>
      </c>
      <c r="F1448" t="s">
        <v>50</v>
      </c>
      <c r="G1448" t="s">
        <v>447</v>
      </c>
      <c r="H1448" t="s">
        <v>23</v>
      </c>
      <c r="I1448" t="s">
        <v>1638</v>
      </c>
      <c r="J1448" t="s">
        <v>363</v>
      </c>
      <c r="K1448">
        <v>1</v>
      </c>
      <c r="L1448">
        <v>2890000</v>
      </c>
      <c r="M1448">
        <v>0</v>
      </c>
      <c r="N1448">
        <v>2167000</v>
      </c>
      <c r="O1448">
        <v>2890000</v>
      </c>
    </row>
    <row r="1449" spans="1:15" x14ac:dyDescent="0.35">
      <c r="A1449" t="s">
        <v>1639</v>
      </c>
      <c r="B1449">
        <v>3316000</v>
      </c>
      <c r="C1449" t="s">
        <v>1673</v>
      </c>
      <c r="D1449" s="1">
        <v>45671</v>
      </c>
      <c r="E1449" t="s">
        <v>41</v>
      </c>
      <c r="F1449" t="s">
        <v>42</v>
      </c>
      <c r="G1449" t="s">
        <v>825</v>
      </c>
      <c r="H1449" t="s">
        <v>23</v>
      </c>
      <c r="I1449" t="s">
        <v>1638</v>
      </c>
      <c r="J1449" t="s">
        <v>363</v>
      </c>
      <c r="K1449">
        <v>3</v>
      </c>
      <c r="L1449">
        <v>2839000</v>
      </c>
      <c r="M1449">
        <v>0.15</v>
      </c>
      <c r="N1449">
        <v>2176000</v>
      </c>
      <c r="O1449">
        <v>2839000</v>
      </c>
    </row>
    <row r="1450" spans="1:15" x14ac:dyDescent="0.35">
      <c r="A1450" t="s">
        <v>1639</v>
      </c>
      <c r="B1450">
        <v>3316000</v>
      </c>
      <c r="C1450" t="s">
        <v>1674</v>
      </c>
      <c r="D1450" s="1">
        <v>45705</v>
      </c>
      <c r="E1450" t="s">
        <v>14</v>
      </c>
      <c r="F1450" t="s">
        <v>15</v>
      </c>
      <c r="G1450" t="s">
        <v>260</v>
      </c>
      <c r="H1450" t="s">
        <v>23</v>
      </c>
      <c r="I1450" t="s">
        <v>1638</v>
      </c>
      <c r="J1450" t="s">
        <v>363</v>
      </c>
      <c r="K1450">
        <v>1</v>
      </c>
      <c r="L1450">
        <v>4941000</v>
      </c>
      <c r="M1450">
        <v>0</v>
      </c>
      <c r="N1450">
        <v>3785000</v>
      </c>
      <c r="O1450">
        <v>4941000</v>
      </c>
    </row>
    <row r="1451" spans="1:15" x14ac:dyDescent="0.35">
      <c r="A1451" t="s">
        <v>1639</v>
      </c>
      <c r="B1451">
        <v>3316000</v>
      </c>
      <c r="C1451" t="s">
        <v>1675</v>
      </c>
      <c r="D1451" s="1">
        <v>45794</v>
      </c>
      <c r="E1451" t="s">
        <v>14</v>
      </c>
      <c r="F1451" t="s">
        <v>15</v>
      </c>
      <c r="G1451" t="s">
        <v>130</v>
      </c>
      <c r="H1451" t="s">
        <v>28</v>
      </c>
      <c r="I1451" t="s">
        <v>1638</v>
      </c>
      <c r="J1451" t="s">
        <v>363</v>
      </c>
      <c r="K1451">
        <v>1</v>
      </c>
      <c r="L1451">
        <v>4848000</v>
      </c>
      <c r="M1451">
        <v>0</v>
      </c>
      <c r="N1451">
        <v>3706000</v>
      </c>
      <c r="O1451">
        <v>4848000</v>
      </c>
    </row>
    <row r="1452" spans="1:15" x14ac:dyDescent="0.35">
      <c r="A1452" t="s">
        <v>1639</v>
      </c>
      <c r="B1452">
        <v>3316000</v>
      </c>
      <c r="C1452" t="s">
        <v>1676</v>
      </c>
      <c r="D1452" s="1">
        <v>45851</v>
      </c>
      <c r="E1452" t="s">
        <v>14</v>
      </c>
      <c r="F1452" t="s">
        <v>15</v>
      </c>
      <c r="G1452" t="s">
        <v>553</v>
      </c>
      <c r="H1452" t="s">
        <v>17</v>
      </c>
      <c r="I1452" t="s">
        <v>1638</v>
      </c>
      <c r="J1452" t="s">
        <v>363</v>
      </c>
      <c r="K1452">
        <v>1</v>
      </c>
      <c r="L1452">
        <v>2432000</v>
      </c>
      <c r="M1452">
        <v>0</v>
      </c>
      <c r="N1452">
        <v>1801000</v>
      </c>
      <c r="O1452">
        <v>2432000</v>
      </c>
    </row>
    <row r="1453" spans="1:15" x14ac:dyDescent="0.35">
      <c r="A1453" t="s">
        <v>1639</v>
      </c>
      <c r="B1453">
        <v>3316000</v>
      </c>
      <c r="C1453" t="s">
        <v>1677</v>
      </c>
      <c r="D1453" s="1">
        <v>45853</v>
      </c>
      <c r="E1453" t="s">
        <v>25</v>
      </c>
      <c r="F1453" t="s">
        <v>26</v>
      </c>
      <c r="G1453" t="s">
        <v>667</v>
      </c>
      <c r="H1453" t="s">
        <v>23</v>
      </c>
      <c r="I1453" t="s">
        <v>1638</v>
      </c>
      <c r="J1453" t="s">
        <v>363</v>
      </c>
      <c r="K1453">
        <v>2</v>
      </c>
      <c r="L1453">
        <v>3697000</v>
      </c>
      <c r="M1453">
        <v>0</v>
      </c>
      <c r="N1453">
        <v>2781000</v>
      </c>
      <c r="O1453">
        <v>3697000</v>
      </c>
    </row>
    <row r="1454" spans="1:15" x14ac:dyDescent="0.35">
      <c r="A1454" t="s">
        <v>1639</v>
      </c>
      <c r="B1454">
        <v>3316000</v>
      </c>
      <c r="C1454" t="s">
        <v>1678</v>
      </c>
      <c r="D1454" s="1">
        <v>45896</v>
      </c>
      <c r="E1454" t="s">
        <v>41</v>
      </c>
      <c r="F1454" t="s">
        <v>42</v>
      </c>
      <c r="G1454" t="s">
        <v>186</v>
      </c>
      <c r="H1454" t="s">
        <v>23</v>
      </c>
      <c r="I1454" t="s">
        <v>1638</v>
      </c>
      <c r="J1454" t="s">
        <v>363</v>
      </c>
      <c r="K1454">
        <v>1</v>
      </c>
      <c r="L1454">
        <v>4408000</v>
      </c>
      <c r="M1454">
        <v>0</v>
      </c>
      <c r="N1454">
        <v>3298000</v>
      </c>
      <c r="O1454">
        <v>4408000</v>
      </c>
    </row>
    <row r="1455" spans="1:15" x14ac:dyDescent="0.35">
      <c r="A1455" t="s">
        <v>1639</v>
      </c>
      <c r="B1455">
        <v>3316000</v>
      </c>
      <c r="C1455" t="s">
        <v>1679</v>
      </c>
      <c r="D1455" s="1">
        <v>45902</v>
      </c>
      <c r="E1455" t="s">
        <v>49</v>
      </c>
      <c r="F1455" t="s">
        <v>50</v>
      </c>
      <c r="G1455" t="s">
        <v>102</v>
      </c>
      <c r="H1455" t="s">
        <v>58</v>
      </c>
      <c r="I1455" t="s">
        <v>1638</v>
      </c>
      <c r="J1455" t="s">
        <v>363</v>
      </c>
      <c r="K1455">
        <v>1</v>
      </c>
      <c r="L1455">
        <v>4460000</v>
      </c>
      <c r="M1455">
        <v>0</v>
      </c>
      <c r="N1455">
        <v>3351000</v>
      </c>
      <c r="O1455">
        <v>4460000</v>
      </c>
    </row>
    <row r="1456" spans="1:15" x14ac:dyDescent="0.35">
      <c r="A1456" t="s">
        <v>1639</v>
      </c>
      <c r="B1456">
        <v>3316000</v>
      </c>
      <c r="C1456" t="s">
        <v>1680</v>
      </c>
      <c r="D1456" s="1">
        <v>45906</v>
      </c>
      <c r="E1456" t="s">
        <v>25</v>
      </c>
      <c r="F1456" t="s">
        <v>26</v>
      </c>
      <c r="G1456" t="s">
        <v>102</v>
      </c>
      <c r="H1456" t="s">
        <v>58</v>
      </c>
      <c r="I1456" t="s">
        <v>1638</v>
      </c>
      <c r="J1456" t="s">
        <v>363</v>
      </c>
      <c r="K1456">
        <v>3</v>
      </c>
      <c r="L1456">
        <v>3443000</v>
      </c>
      <c r="M1456">
        <v>0</v>
      </c>
      <c r="N1456">
        <v>2617000</v>
      </c>
      <c r="O1456">
        <v>3443000</v>
      </c>
    </row>
    <row r="1457" spans="1:15" x14ac:dyDescent="0.35">
      <c r="A1457" t="s">
        <v>1639</v>
      </c>
      <c r="B1457">
        <v>3316000</v>
      </c>
      <c r="C1457" t="s">
        <v>1681</v>
      </c>
      <c r="D1457" s="1">
        <v>46037</v>
      </c>
      <c r="E1457" t="s">
        <v>41</v>
      </c>
      <c r="F1457" t="s">
        <v>42</v>
      </c>
      <c r="G1457" t="s">
        <v>295</v>
      </c>
      <c r="H1457" t="s">
        <v>23</v>
      </c>
      <c r="I1457" t="s">
        <v>1638</v>
      </c>
      <c r="J1457" t="s">
        <v>363</v>
      </c>
      <c r="K1457">
        <v>1</v>
      </c>
      <c r="L1457">
        <v>3316000</v>
      </c>
      <c r="M1457">
        <v>0.05</v>
      </c>
      <c r="N1457">
        <v>0</v>
      </c>
      <c r="O1457">
        <v>3316000</v>
      </c>
    </row>
    <row r="1458" spans="1:15" x14ac:dyDescent="0.35">
      <c r="A1458" t="s">
        <v>1639</v>
      </c>
      <c r="B1458">
        <v>3316000</v>
      </c>
      <c r="C1458" t="s">
        <v>1682</v>
      </c>
      <c r="D1458" s="1">
        <v>46101</v>
      </c>
      <c r="E1458" t="s">
        <v>25</v>
      </c>
      <c r="F1458" t="s">
        <v>26</v>
      </c>
      <c r="G1458" t="s">
        <v>337</v>
      </c>
      <c r="H1458" t="s">
        <v>23</v>
      </c>
      <c r="I1458" t="s">
        <v>1638</v>
      </c>
      <c r="J1458" t="s">
        <v>363</v>
      </c>
      <c r="K1458">
        <v>1</v>
      </c>
      <c r="L1458">
        <v>2664000</v>
      </c>
      <c r="M1458">
        <v>0</v>
      </c>
      <c r="N1458">
        <v>2014000</v>
      </c>
      <c r="O1458">
        <v>2664000</v>
      </c>
    </row>
    <row r="1459" spans="1:15" x14ac:dyDescent="0.35">
      <c r="A1459" t="s">
        <v>1639</v>
      </c>
      <c r="B1459">
        <v>3316000</v>
      </c>
      <c r="C1459" t="s">
        <v>1683</v>
      </c>
      <c r="D1459" s="1">
        <v>46115</v>
      </c>
      <c r="E1459" t="s">
        <v>14</v>
      </c>
      <c r="F1459" t="s">
        <v>15</v>
      </c>
      <c r="G1459" t="s">
        <v>340</v>
      </c>
      <c r="H1459" t="s">
        <v>23</v>
      </c>
      <c r="I1459" t="s">
        <v>1638</v>
      </c>
      <c r="J1459" t="s">
        <v>363</v>
      </c>
      <c r="K1459">
        <v>1</v>
      </c>
      <c r="L1459">
        <v>4784000</v>
      </c>
      <c r="M1459">
        <v>0</v>
      </c>
      <c r="N1459">
        <v>3597000</v>
      </c>
      <c r="O1459">
        <v>4784000</v>
      </c>
    </row>
    <row r="1460" spans="1:15" x14ac:dyDescent="0.35">
      <c r="A1460" t="s">
        <v>1639</v>
      </c>
      <c r="B1460">
        <v>3316000</v>
      </c>
      <c r="C1460" t="s">
        <v>1684</v>
      </c>
      <c r="D1460" s="1">
        <v>46152</v>
      </c>
      <c r="E1460" t="s">
        <v>49</v>
      </c>
      <c r="F1460" t="s">
        <v>50</v>
      </c>
      <c r="G1460" t="s">
        <v>191</v>
      </c>
      <c r="H1460" t="s">
        <v>23</v>
      </c>
      <c r="I1460" t="s">
        <v>1638</v>
      </c>
      <c r="J1460" t="s">
        <v>363</v>
      </c>
      <c r="K1460">
        <v>3</v>
      </c>
      <c r="L1460">
        <v>3519000</v>
      </c>
      <c r="M1460">
        <v>0</v>
      </c>
      <c r="N1460">
        <v>2669000</v>
      </c>
      <c r="O1460">
        <v>3519000</v>
      </c>
    </row>
    <row r="1461" spans="1:15" x14ac:dyDescent="0.35">
      <c r="A1461" t="s">
        <v>1639</v>
      </c>
      <c r="B1461">
        <v>3316000</v>
      </c>
      <c r="C1461" t="s">
        <v>1685</v>
      </c>
      <c r="D1461" s="1">
        <v>46170</v>
      </c>
      <c r="E1461" t="s">
        <v>14</v>
      </c>
      <c r="F1461" t="s">
        <v>15</v>
      </c>
      <c r="G1461" t="s">
        <v>239</v>
      </c>
      <c r="H1461" t="s">
        <v>23</v>
      </c>
      <c r="I1461" t="s">
        <v>1638</v>
      </c>
      <c r="J1461" t="s">
        <v>363</v>
      </c>
      <c r="K1461">
        <v>1</v>
      </c>
      <c r="L1461">
        <v>3316000</v>
      </c>
      <c r="M1461">
        <v>0.1</v>
      </c>
      <c r="N1461">
        <v>2438000</v>
      </c>
      <c r="O1461">
        <v>3316000</v>
      </c>
    </row>
    <row r="1462" spans="1:15" x14ac:dyDescent="0.35">
      <c r="A1462" t="s">
        <v>1639</v>
      </c>
      <c r="B1462">
        <v>3316000</v>
      </c>
      <c r="C1462" t="s">
        <v>1686</v>
      </c>
      <c r="D1462" s="1">
        <v>46197</v>
      </c>
      <c r="E1462" t="s">
        <v>49</v>
      </c>
      <c r="F1462" t="s">
        <v>50</v>
      </c>
      <c r="G1462" t="s">
        <v>258</v>
      </c>
      <c r="H1462" t="s">
        <v>23</v>
      </c>
      <c r="I1462" t="s">
        <v>1638</v>
      </c>
      <c r="J1462" t="s">
        <v>363</v>
      </c>
      <c r="K1462">
        <v>1</v>
      </c>
      <c r="L1462">
        <v>2626000</v>
      </c>
      <c r="M1462">
        <v>0</v>
      </c>
      <c r="N1462">
        <v>1927000</v>
      </c>
      <c r="O1462">
        <v>2626000</v>
      </c>
    </row>
    <row r="1463" spans="1:15" x14ac:dyDescent="0.35">
      <c r="A1463" t="s">
        <v>1689</v>
      </c>
      <c r="B1463">
        <v>1245465.5172413792</v>
      </c>
      <c r="C1463" t="s">
        <v>1687</v>
      </c>
      <c r="D1463" s="1">
        <v>44964</v>
      </c>
      <c r="E1463" t="s">
        <v>25</v>
      </c>
      <c r="F1463" t="s">
        <v>26</v>
      </c>
      <c r="G1463" t="s">
        <v>798</v>
      </c>
      <c r="H1463" t="s">
        <v>28</v>
      </c>
      <c r="I1463" t="s">
        <v>1688</v>
      </c>
      <c r="J1463" t="s">
        <v>20</v>
      </c>
      <c r="K1463">
        <v>1</v>
      </c>
      <c r="L1463">
        <v>1178000</v>
      </c>
      <c r="M1463">
        <v>0</v>
      </c>
      <c r="N1463">
        <v>873000</v>
      </c>
      <c r="O1463">
        <v>1178000</v>
      </c>
    </row>
    <row r="1464" spans="1:15" x14ac:dyDescent="0.35">
      <c r="A1464" t="s">
        <v>1689</v>
      </c>
      <c r="B1464">
        <v>1245465.5172413792</v>
      </c>
      <c r="C1464" t="s">
        <v>1690</v>
      </c>
      <c r="D1464" s="1">
        <v>44978</v>
      </c>
      <c r="E1464" t="s">
        <v>14</v>
      </c>
      <c r="F1464" t="s">
        <v>15</v>
      </c>
      <c r="G1464" t="s">
        <v>22</v>
      </c>
      <c r="H1464" t="s">
        <v>23</v>
      </c>
      <c r="I1464" t="s">
        <v>1688</v>
      </c>
      <c r="J1464" t="s">
        <v>20</v>
      </c>
      <c r="K1464">
        <v>1</v>
      </c>
      <c r="L1464">
        <v>1469000</v>
      </c>
      <c r="M1464">
        <v>0</v>
      </c>
      <c r="N1464">
        <v>1084000</v>
      </c>
      <c r="O1464">
        <v>1469000</v>
      </c>
    </row>
    <row r="1465" spans="1:15" x14ac:dyDescent="0.35">
      <c r="A1465" t="s">
        <v>1689</v>
      </c>
      <c r="B1465">
        <v>1245465.5172413792</v>
      </c>
      <c r="C1465" t="s">
        <v>1691</v>
      </c>
      <c r="D1465" s="1">
        <v>44996</v>
      </c>
      <c r="E1465" t="s">
        <v>41</v>
      </c>
      <c r="F1465" t="s">
        <v>42</v>
      </c>
      <c r="G1465" t="s">
        <v>152</v>
      </c>
      <c r="H1465" t="s">
        <v>23</v>
      </c>
      <c r="I1465" t="s">
        <v>1688</v>
      </c>
      <c r="J1465" t="s">
        <v>20</v>
      </c>
      <c r="K1465">
        <v>2</v>
      </c>
      <c r="L1465">
        <v>1301000</v>
      </c>
      <c r="M1465">
        <v>0</v>
      </c>
      <c r="N1465">
        <v>942000</v>
      </c>
      <c r="O1465">
        <v>1301000</v>
      </c>
    </row>
    <row r="1466" spans="1:15" x14ac:dyDescent="0.35">
      <c r="A1466" t="s">
        <v>1689</v>
      </c>
      <c r="B1466">
        <v>1245465.5172413792</v>
      </c>
      <c r="C1466" t="s">
        <v>1692</v>
      </c>
      <c r="D1466" s="1">
        <v>45000</v>
      </c>
      <c r="E1466" t="s">
        <v>36</v>
      </c>
      <c r="F1466" t="s">
        <v>37</v>
      </c>
      <c r="G1466" t="s">
        <v>522</v>
      </c>
      <c r="H1466" t="s">
        <v>23</v>
      </c>
      <c r="I1466" t="s">
        <v>1688</v>
      </c>
      <c r="J1466" t="s">
        <v>20</v>
      </c>
      <c r="K1466">
        <v>1</v>
      </c>
      <c r="L1466">
        <v>1352000</v>
      </c>
      <c r="M1466">
        <v>0</v>
      </c>
      <c r="N1466">
        <v>1011000</v>
      </c>
      <c r="O1466">
        <v>1352000</v>
      </c>
    </row>
    <row r="1467" spans="1:15" x14ac:dyDescent="0.35">
      <c r="A1467" t="s">
        <v>1689</v>
      </c>
      <c r="B1467">
        <v>1245465.5172413792</v>
      </c>
      <c r="C1467" t="s">
        <v>1693</v>
      </c>
      <c r="D1467" s="1">
        <v>45014</v>
      </c>
      <c r="E1467" t="s">
        <v>14</v>
      </c>
      <c r="F1467" t="s">
        <v>15</v>
      </c>
      <c r="G1467" t="s">
        <v>76</v>
      </c>
      <c r="H1467" t="s">
        <v>23</v>
      </c>
      <c r="I1467" t="s">
        <v>1688</v>
      </c>
      <c r="J1467" t="s">
        <v>20</v>
      </c>
      <c r="K1467">
        <v>2</v>
      </c>
      <c r="L1467">
        <v>1230000</v>
      </c>
      <c r="M1467">
        <v>0</v>
      </c>
      <c r="N1467">
        <v>889000</v>
      </c>
      <c r="O1467">
        <v>1230000</v>
      </c>
    </row>
    <row r="1468" spans="1:15" x14ac:dyDescent="0.35">
      <c r="A1468" t="s">
        <v>1689</v>
      </c>
      <c r="B1468">
        <v>1245465.5172413792</v>
      </c>
      <c r="C1468" t="s">
        <v>1694</v>
      </c>
      <c r="D1468" s="1">
        <v>45019</v>
      </c>
      <c r="E1468" t="s">
        <v>49</v>
      </c>
      <c r="F1468" t="s">
        <v>50</v>
      </c>
      <c r="G1468" t="s">
        <v>489</v>
      </c>
      <c r="H1468" t="s">
        <v>17</v>
      </c>
      <c r="I1468" t="s">
        <v>1688</v>
      </c>
      <c r="J1468" t="s">
        <v>20</v>
      </c>
      <c r="K1468">
        <v>1</v>
      </c>
      <c r="L1468">
        <v>1443000</v>
      </c>
      <c r="M1468">
        <v>0</v>
      </c>
      <c r="N1468">
        <v>1062000</v>
      </c>
      <c r="O1468">
        <v>1443000</v>
      </c>
    </row>
    <row r="1469" spans="1:15" x14ac:dyDescent="0.35">
      <c r="A1469" t="s">
        <v>1689</v>
      </c>
      <c r="B1469">
        <v>1245465.5172413792</v>
      </c>
      <c r="C1469" t="s">
        <v>1695</v>
      </c>
      <c r="D1469" s="1">
        <v>45035</v>
      </c>
      <c r="E1469" t="s">
        <v>41</v>
      </c>
      <c r="F1469" t="s">
        <v>42</v>
      </c>
      <c r="G1469" t="s">
        <v>226</v>
      </c>
      <c r="H1469" t="s">
        <v>17</v>
      </c>
      <c r="I1469" t="s">
        <v>1688</v>
      </c>
      <c r="J1469" t="s">
        <v>20</v>
      </c>
      <c r="K1469">
        <v>3</v>
      </c>
      <c r="L1469">
        <v>938000</v>
      </c>
      <c r="M1469">
        <v>0</v>
      </c>
      <c r="N1469">
        <v>668000</v>
      </c>
      <c r="O1469">
        <v>938000</v>
      </c>
    </row>
    <row r="1470" spans="1:15" x14ac:dyDescent="0.35">
      <c r="A1470" t="s">
        <v>1689</v>
      </c>
      <c r="B1470">
        <v>1245465.5172413792</v>
      </c>
      <c r="C1470" t="s">
        <v>1696</v>
      </c>
      <c r="D1470" s="1">
        <v>45036</v>
      </c>
      <c r="E1470" t="s">
        <v>49</v>
      </c>
      <c r="F1470" t="s">
        <v>50</v>
      </c>
      <c r="G1470" t="s">
        <v>447</v>
      </c>
      <c r="H1470" t="s">
        <v>23</v>
      </c>
      <c r="I1470" t="s">
        <v>1688</v>
      </c>
      <c r="J1470" t="s">
        <v>20</v>
      </c>
      <c r="K1470">
        <v>1</v>
      </c>
      <c r="L1470">
        <v>863000</v>
      </c>
      <c r="M1470">
        <v>0.05</v>
      </c>
      <c r="N1470">
        <v>614000</v>
      </c>
      <c r="O1470">
        <v>863000</v>
      </c>
    </row>
    <row r="1471" spans="1:15" x14ac:dyDescent="0.35">
      <c r="A1471" t="s">
        <v>1689</v>
      </c>
      <c r="B1471">
        <v>1245465.5172413792</v>
      </c>
      <c r="C1471" t="s">
        <v>1697</v>
      </c>
      <c r="D1471" s="1">
        <v>45037</v>
      </c>
      <c r="E1471" t="s">
        <v>14</v>
      </c>
      <c r="F1471" t="s">
        <v>15</v>
      </c>
      <c r="G1471" t="s">
        <v>83</v>
      </c>
      <c r="H1471" t="s">
        <v>23</v>
      </c>
      <c r="I1471" t="s">
        <v>1688</v>
      </c>
      <c r="J1471" t="s">
        <v>20</v>
      </c>
      <c r="K1471">
        <v>2</v>
      </c>
      <c r="L1471">
        <v>1027000</v>
      </c>
      <c r="M1471">
        <v>0.1</v>
      </c>
      <c r="N1471">
        <v>742000</v>
      </c>
      <c r="O1471">
        <v>1027000</v>
      </c>
    </row>
    <row r="1472" spans="1:15" x14ac:dyDescent="0.35">
      <c r="A1472" t="s">
        <v>1689</v>
      </c>
      <c r="B1472">
        <v>1245465.5172413792</v>
      </c>
      <c r="C1472" t="s">
        <v>1698</v>
      </c>
      <c r="D1472" s="1">
        <v>45074</v>
      </c>
      <c r="E1472" t="s">
        <v>36</v>
      </c>
      <c r="F1472" t="s">
        <v>37</v>
      </c>
      <c r="G1472" t="s">
        <v>258</v>
      </c>
      <c r="H1472" t="s">
        <v>23</v>
      </c>
      <c r="I1472" t="s">
        <v>1688</v>
      </c>
      <c r="J1472" t="s">
        <v>20</v>
      </c>
      <c r="K1472">
        <v>1</v>
      </c>
      <c r="L1472">
        <v>1341000</v>
      </c>
      <c r="M1472">
        <v>0</v>
      </c>
      <c r="N1472">
        <v>975000</v>
      </c>
      <c r="O1472">
        <v>1341000</v>
      </c>
    </row>
    <row r="1473" spans="1:15" x14ac:dyDescent="0.35">
      <c r="A1473" t="s">
        <v>1689</v>
      </c>
      <c r="B1473">
        <v>1245465.5172413792</v>
      </c>
      <c r="C1473" t="s">
        <v>1699</v>
      </c>
      <c r="D1473" s="1">
        <v>45102</v>
      </c>
      <c r="E1473" t="s">
        <v>36</v>
      </c>
      <c r="F1473" t="s">
        <v>37</v>
      </c>
      <c r="G1473" t="s">
        <v>613</v>
      </c>
      <c r="H1473" t="s">
        <v>28</v>
      </c>
      <c r="I1473" t="s">
        <v>1688</v>
      </c>
      <c r="J1473" t="s">
        <v>20</v>
      </c>
      <c r="K1473">
        <v>1</v>
      </c>
      <c r="L1473">
        <v>1190000</v>
      </c>
      <c r="M1473">
        <v>0</v>
      </c>
      <c r="N1473">
        <v>884000</v>
      </c>
      <c r="O1473">
        <v>1190000</v>
      </c>
    </row>
    <row r="1474" spans="1:15" x14ac:dyDescent="0.35">
      <c r="A1474" t="s">
        <v>1689</v>
      </c>
      <c r="B1474">
        <v>1245465.5172413792</v>
      </c>
      <c r="C1474" t="s">
        <v>1700</v>
      </c>
      <c r="D1474" s="1">
        <v>45129</v>
      </c>
      <c r="E1474" t="s">
        <v>36</v>
      </c>
      <c r="F1474" t="s">
        <v>37</v>
      </c>
      <c r="G1474" t="s">
        <v>221</v>
      </c>
      <c r="H1474" t="s">
        <v>17</v>
      </c>
      <c r="I1474" t="s">
        <v>1688</v>
      </c>
      <c r="J1474" t="s">
        <v>20</v>
      </c>
      <c r="K1474">
        <v>1</v>
      </c>
      <c r="L1474">
        <v>1245465.5172413792</v>
      </c>
      <c r="M1474">
        <v>0</v>
      </c>
      <c r="N1474">
        <v>840000</v>
      </c>
      <c r="O1474">
        <v>1245465.5172413792</v>
      </c>
    </row>
    <row r="1475" spans="1:15" x14ac:dyDescent="0.35">
      <c r="A1475" t="s">
        <v>1689</v>
      </c>
      <c r="B1475">
        <v>1245465.5172413792</v>
      </c>
      <c r="C1475" t="s">
        <v>1701</v>
      </c>
      <c r="D1475" s="1">
        <v>45135</v>
      </c>
      <c r="E1475" t="s">
        <v>14</v>
      </c>
      <c r="F1475" t="s">
        <v>15</v>
      </c>
      <c r="G1475" t="s">
        <v>319</v>
      </c>
      <c r="H1475" t="s">
        <v>23</v>
      </c>
      <c r="I1475" t="s">
        <v>1688</v>
      </c>
      <c r="J1475" t="s">
        <v>20</v>
      </c>
      <c r="K1475">
        <v>1</v>
      </c>
      <c r="L1475">
        <v>1146000</v>
      </c>
      <c r="M1475">
        <v>0</v>
      </c>
      <c r="N1475">
        <v>830000</v>
      </c>
      <c r="O1475">
        <v>1146000</v>
      </c>
    </row>
    <row r="1476" spans="1:15" x14ac:dyDescent="0.35">
      <c r="A1476" t="s">
        <v>1689</v>
      </c>
      <c r="B1476">
        <v>1245465.5172413792</v>
      </c>
      <c r="C1476" t="s">
        <v>1702</v>
      </c>
      <c r="D1476" s="1">
        <v>45138</v>
      </c>
      <c r="E1476" t="s">
        <v>14</v>
      </c>
      <c r="F1476" t="s">
        <v>15</v>
      </c>
      <c r="G1476" t="s">
        <v>255</v>
      </c>
      <c r="H1476" t="s">
        <v>17</v>
      </c>
      <c r="I1476" t="s">
        <v>1688</v>
      </c>
      <c r="J1476" t="s">
        <v>20</v>
      </c>
      <c r="K1476">
        <v>1</v>
      </c>
      <c r="L1476">
        <v>1220000</v>
      </c>
      <c r="M1476">
        <v>0</v>
      </c>
      <c r="N1476">
        <v>887000</v>
      </c>
      <c r="O1476">
        <v>1220000</v>
      </c>
    </row>
    <row r="1477" spans="1:15" x14ac:dyDescent="0.35">
      <c r="A1477" t="s">
        <v>1689</v>
      </c>
      <c r="B1477">
        <v>1245465.5172413792</v>
      </c>
      <c r="C1477" t="s">
        <v>1703</v>
      </c>
      <c r="D1477" s="1">
        <v>45154</v>
      </c>
      <c r="E1477" t="s">
        <v>41</v>
      </c>
      <c r="F1477" t="s">
        <v>42</v>
      </c>
      <c r="G1477" t="s">
        <v>150</v>
      </c>
      <c r="H1477" t="s">
        <v>28</v>
      </c>
      <c r="I1477" t="s">
        <v>1688</v>
      </c>
      <c r="J1477" t="s">
        <v>20</v>
      </c>
      <c r="K1477">
        <v>3</v>
      </c>
      <c r="L1477">
        <v>856000</v>
      </c>
      <c r="M1477">
        <v>0</v>
      </c>
      <c r="N1477">
        <v>624000</v>
      </c>
      <c r="O1477">
        <v>856000</v>
      </c>
    </row>
    <row r="1478" spans="1:15" x14ac:dyDescent="0.35">
      <c r="A1478" t="s">
        <v>1689</v>
      </c>
      <c r="B1478">
        <v>1245465.5172413792</v>
      </c>
      <c r="C1478" t="s">
        <v>1704</v>
      </c>
      <c r="D1478" s="1">
        <v>45170</v>
      </c>
      <c r="E1478" t="s">
        <v>41</v>
      </c>
      <c r="F1478" t="s">
        <v>42</v>
      </c>
      <c r="G1478" t="s">
        <v>764</v>
      </c>
      <c r="H1478" t="s">
        <v>17</v>
      </c>
      <c r="I1478" t="s">
        <v>1688</v>
      </c>
      <c r="J1478" t="s">
        <v>20</v>
      </c>
      <c r="K1478">
        <v>2</v>
      </c>
      <c r="L1478">
        <v>1312000</v>
      </c>
      <c r="M1478">
        <v>0</v>
      </c>
      <c r="N1478">
        <v>975000</v>
      </c>
      <c r="O1478">
        <v>1312000</v>
      </c>
    </row>
    <row r="1479" spans="1:15" x14ac:dyDescent="0.35">
      <c r="A1479" t="s">
        <v>1689</v>
      </c>
      <c r="B1479">
        <v>1245465.5172413792</v>
      </c>
      <c r="C1479" t="s">
        <v>1705</v>
      </c>
      <c r="D1479" s="1">
        <v>45177</v>
      </c>
      <c r="E1479" t="s">
        <v>14</v>
      </c>
      <c r="F1479" t="s">
        <v>15</v>
      </c>
      <c r="G1479" t="s">
        <v>287</v>
      </c>
      <c r="H1479" t="s">
        <v>28</v>
      </c>
      <c r="I1479" t="s">
        <v>1688</v>
      </c>
      <c r="J1479" t="s">
        <v>20</v>
      </c>
      <c r="K1479">
        <v>1</v>
      </c>
      <c r="L1479">
        <v>1089000</v>
      </c>
      <c r="M1479">
        <v>0</v>
      </c>
      <c r="N1479">
        <v>812000</v>
      </c>
      <c r="O1479">
        <v>1089000</v>
      </c>
    </row>
    <row r="1480" spans="1:15" x14ac:dyDescent="0.35">
      <c r="A1480" t="s">
        <v>1689</v>
      </c>
      <c r="B1480">
        <v>1245465.5172413792</v>
      </c>
      <c r="C1480" t="s">
        <v>1706</v>
      </c>
      <c r="D1480" s="1">
        <v>45249</v>
      </c>
      <c r="E1480" t="s">
        <v>14</v>
      </c>
      <c r="F1480" t="s">
        <v>15</v>
      </c>
      <c r="G1480" t="s">
        <v>27</v>
      </c>
      <c r="H1480" t="s">
        <v>28</v>
      </c>
      <c r="I1480" t="s">
        <v>1688</v>
      </c>
      <c r="J1480" t="s">
        <v>20</v>
      </c>
      <c r="K1480">
        <v>1</v>
      </c>
      <c r="L1480">
        <v>1419000</v>
      </c>
      <c r="M1480">
        <v>0</v>
      </c>
      <c r="N1480">
        <v>1015000</v>
      </c>
      <c r="O1480">
        <v>1419000</v>
      </c>
    </row>
    <row r="1481" spans="1:15" x14ac:dyDescent="0.35">
      <c r="A1481" t="s">
        <v>1689</v>
      </c>
      <c r="B1481">
        <v>1245465.5172413792</v>
      </c>
      <c r="C1481" t="s">
        <v>1707</v>
      </c>
      <c r="D1481" s="1">
        <v>45282</v>
      </c>
      <c r="E1481" t="s">
        <v>14</v>
      </c>
      <c r="F1481" t="s">
        <v>15</v>
      </c>
      <c r="G1481" t="s">
        <v>155</v>
      </c>
      <c r="H1481" t="s">
        <v>58</v>
      </c>
      <c r="I1481" t="s">
        <v>1688</v>
      </c>
      <c r="J1481" t="s">
        <v>20</v>
      </c>
      <c r="K1481">
        <v>3</v>
      </c>
      <c r="L1481">
        <v>1227000</v>
      </c>
      <c r="M1481">
        <v>0.05</v>
      </c>
      <c r="N1481">
        <v>886000</v>
      </c>
      <c r="O1481">
        <v>1227000</v>
      </c>
    </row>
    <row r="1482" spans="1:15" x14ac:dyDescent="0.35">
      <c r="A1482" t="s">
        <v>1689</v>
      </c>
      <c r="B1482">
        <v>1245465.5172413792</v>
      </c>
      <c r="C1482" t="s">
        <v>1708</v>
      </c>
      <c r="D1482" s="1">
        <v>45294</v>
      </c>
      <c r="E1482" t="s">
        <v>41</v>
      </c>
      <c r="F1482" t="s">
        <v>42</v>
      </c>
      <c r="G1482" t="s">
        <v>553</v>
      </c>
      <c r="H1482" t="s">
        <v>17</v>
      </c>
      <c r="I1482" t="s">
        <v>1688</v>
      </c>
      <c r="J1482" t="s">
        <v>20</v>
      </c>
      <c r="K1482">
        <v>1</v>
      </c>
      <c r="L1482">
        <v>1450000</v>
      </c>
      <c r="M1482">
        <v>0</v>
      </c>
      <c r="N1482">
        <v>1047000</v>
      </c>
      <c r="O1482">
        <v>1450000</v>
      </c>
    </row>
    <row r="1483" spans="1:15" x14ac:dyDescent="0.35">
      <c r="A1483" t="s">
        <v>1689</v>
      </c>
      <c r="B1483">
        <v>1245465.5172413792</v>
      </c>
      <c r="C1483" t="s">
        <v>1709</v>
      </c>
      <c r="D1483" s="1">
        <v>45313</v>
      </c>
      <c r="E1483" t="s">
        <v>14</v>
      </c>
      <c r="F1483" t="s">
        <v>15</v>
      </c>
      <c r="G1483" t="s">
        <v>260</v>
      </c>
      <c r="H1483" t="s">
        <v>23</v>
      </c>
      <c r="I1483" t="s">
        <v>1688</v>
      </c>
      <c r="J1483" t="s">
        <v>20</v>
      </c>
      <c r="K1483">
        <v>3</v>
      </c>
      <c r="L1483">
        <v>949000</v>
      </c>
      <c r="M1483">
        <v>0.1</v>
      </c>
      <c r="N1483">
        <v>686000</v>
      </c>
      <c r="O1483">
        <v>949000</v>
      </c>
    </row>
    <row r="1484" spans="1:15" x14ac:dyDescent="0.35">
      <c r="A1484" t="s">
        <v>1689</v>
      </c>
      <c r="B1484">
        <v>1245465.5172413792</v>
      </c>
      <c r="C1484" t="s">
        <v>1710</v>
      </c>
      <c r="D1484" s="1">
        <v>45340</v>
      </c>
      <c r="E1484" t="s">
        <v>14</v>
      </c>
      <c r="F1484" t="s">
        <v>15</v>
      </c>
      <c r="G1484" t="s">
        <v>230</v>
      </c>
      <c r="H1484" t="s">
        <v>23</v>
      </c>
      <c r="I1484" t="s">
        <v>1688</v>
      </c>
      <c r="J1484" t="s">
        <v>20</v>
      </c>
      <c r="K1484">
        <v>2</v>
      </c>
      <c r="L1484">
        <v>1245465.5172413792</v>
      </c>
      <c r="M1484">
        <v>0</v>
      </c>
      <c r="N1484">
        <v>0</v>
      </c>
      <c r="O1484">
        <v>1245465.5172413792</v>
      </c>
    </row>
    <row r="1485" spans="1:15" x14ac:dyDescent="0.35">
      <c r="A1485" t="s">
        <v>1689</v>
      </c>
      <c r="B1485">
        <v>1245465.5172413792</v>
      </c>
      <c r="C1485" t="s">
        <v>1711</v>
      </c>
      <c r="D1485" s="1">
        <v>45371</v>
      </c>
      <c r="E1485" t="s">
        <v>25</v>
      </c>
      <c r="F1485" t="s">
        <v>26</v>
      </c>
      <c r="G1485" t="s">
        <v>134</v>
      </c>
      <c r="H1485" t="s">
        <v>28</v>
      </c>
      <c r="I1485" t="s">
        <v>1688</v>
      </c>
      <c r="J1485" t="s">
        <v>20</v>
      </c>
      <c r="K1485">
        <v>1</v>
      </c>
      <c r="L1485">
        <v>1248000</v>
      </c>
      <c r="M1485">
        <v>0</v>
      </c>
      <c r="N1485">
        <v>904000</v>
      </c>
      <c r="O1485">
        <v>1248000</v>
      </c>
    </row>
    <row r="1486" spans="1:15" x14ac:dyDescent="0.35">
      <c r="A1486" t="s">
        <v>1689</v>
      </c>
      <c r="B1486">
        <v>1245465.5172413792</v>
      </c>
      <c r="C1486" t="s">
        <v>1712</v>
      </c>
      <c r="D1486" s="1">
        <v>45380</v>
      </c>
      <c r="E1486" t="s">
        <v>25</v>
      </c>
      <c r="F1486" t="s">
        <v>26</v>
      </c>
      <c r="G1486" t="s">
        <v>349</v>
      </c>
      <c r="H1486" t="s">
        <v>23</v>
      </c>
      <c r="I1486" t="s">
        <v>1688</v>
      </c>
      <c r="J1486" t="s">
        <v>20</v>
      </c>
      <c r="K1486">
        <v>1</v>
      </c>
      <c r="L1486">
        <v>1245465.5172413792</v>
      </c>
      <c r="M1486">
        <v>0</v>
      </c>
      <c r="N1486">
        <v>840000</v>
      </c>
      <c r="O1486">
        <v>1245465.5172413792</v>
      </c>
    </row>
    <row r="1487" spans="1:15" x14ac:dyDescent="0.35">
      <c r="A1487" t="s">
        <v>1689</v>
      </c>
      <c r="B1487">
        <v>1245465.5172413792</v>
      </c>
      <c r="C1487" t="s">
        <v>1713</v>
      </c>
      <c r="D1487" s="1">
        <v>45382</v>
      </c>
      <c r="E1487" t="s">
        <v>36</v>
      </c>
      <c r="F1487" t="s">
        <v>37</v>
      </c>
      <c r="G1487" t="s">
        <v>53</v>
      </c>
      <c r="H1487" t="s">
        <v>17</v>
      </c>
      <c r="I1487" t="s">
        <v>1688</v>
      </c>
      <c r="J1487" t="s">
        <v>20</v>
      </c>
      <c r="K1487">
        <v>1</v>
      </c>
      <c r="L1487">
        <v>1171000</v>
      </c>
      <c r="M1487">
        <v>0</v>
      </c>
      <c r="N1487">
        <v>837000</v>
      </c>
      <c r="O1487">
        <v>1171000</v>
      </c>
    </row>
    <row r="1488" spans="1:15" x14ac:dyDescent="0.35">
      <c r="A1488" t="s">
        <v>1689</v>
      </c>
      <c r="B1488">
        <v>1245465.5172413792</v>
      </c>
      <c r="C1488" t="s">
        <v>1714</v>
      </c>
      <c r="D1488" s="1">
        <v>45393</v>
      </c>
      <c r="E1488" t="s">
        <v>25</v>
      </c>
      <c r="F1488" t="s">
        <v>26</v>
      </c>
      <c r="G1488" t="s">
        <v>295</v>
      </c>
      <c r="H1488" t="s">
        <v>23</v>
      </c>
      <c r="I1488" t="s">
        <v>1688</v>
      </c>
      <c r="J1488" t="s">
        <v>20</v>
      </c>
      <c r="K1488">
        <v>1</v>
      </c>
      <c r="L1488">
        <v>1239000</v>
      </c>
      <c r="M1488">
        <v>0</v>
      </c>
      <c r="N1488">
        <v>921000</v>
      </c>
      <c r="O1488">
        <v>1239000</v>
      </c>
    </row>
    <row r="1489" spans="1:15" x14ac:dyDescent="0.35">
      <c r="A1489" t="s">
        <v>1689</v>
      </c>
      <c r="B1489">
        <v>1245465.5172413792</v>
      </c>
      <c r="C1489" t="s">
        <v>1715</v>
      </c>
      <c r="D1489" s="1">
        <v>45393</v>
      </c>
      <c r="E1489" t="s">
        <v>41</v>
      </c>
      <c r="F1489" t="s">
        <v>42</v>
      </c>
      <c r="G1489" t="s">
        <v>113</v>
      </c>
      <c r="H1489" t="s">
        <v>23</v>
      </c>
      <c r="I1489" t="s">
        <v>1688</v>
      </c>
      <c r="J1489" t="s">
        <v>20</v>
      </c>
      <c r="K1489">
        <v>1</v>
      </c>
      <c r="L1489">
        <v>1544000</v>
      </c>
      <c r="M1489">
        <v>0</v>
      </c>
      <c r="N1489">
        <v>1121000</v>
      </c>
      <c r="O1489">
        <v>1544000</v>
      </c>
    </row>
    <row r="1490" spans="1:15" x14ac:dyDescent="0.35">
      <c r="A1490" t="s">
        <v>1689</v>
      </c>
      <c r="B1490">
        <v>1245465.5172413792</v>
      </c>
      <c r="C1490" t="s">
        <v>1716</v>
      </c>
      <c r="D1490" s="1">
        <v>45412</v>
      </c>
      <c r="E1490" t="s">
        <v>14</v>
      </c>
      <c r="F1490" t="s">
        <v>15</v>
      </c>
      <c r="G1490" t="s">
        <v>85</v>
      </c>
      <c r="H1490" t="s">
        <v>23</v>
      </c>
      <c r="I1490" t="s">
        <v>1688</v>
      </c>
      <c r="J1490" t="s">
        <v>20</v>
      </c>
      <c r="K1490">
        <v>5</v>
      </c>
      <c r="L1490">
        <v>877000</v>
      </c>
      <c r="M1490">
        <v>0</v>
      </c>
      <c r="N1490">
        <v>651000</v>
      </c>
      <c r="O1490">
        <v>877000</v>
      </c>
    </row>
    <row r="1491" spans="1:15" x14ac:dyDescent="0.35">
      <c r="A1491" t="s">
        <v>1689</v>
      </c>
      <c r="B1491">
        <v>1245465.5172413792</v>
      </c>
      <c r="C1491" t="s">
        <v>1717</v>
      </c>
      <c r="D1491" s="1">
        <v>45435</v>
      </c>
      <c r="E1491" t="s">
        <v>49</v>
      </c>
      <c r="F1491" t="s">
        <v>50</v>
      </c>
      <c r="G1491" t="s">
        <v>553</v>
      </c>
      <c r="H1491" t="s">
        <v>17</v>
      </c>
      <c r="I1491" t="s">
        <v>1688</v>
      </c>
      <c r="J1491" t="s">
        <v>20</v>
      </c>
      <c r="K1491">
        <v>1</v>
      </c>
      <c r="L1491">
        <v>1484000</v>
      </c>
      <c r="M1491">
        <v>0</v>
      </c>
      <c r="N1491">
        <v>1087000</v>
      </c>
      <c r="O1491">
        <v>1484000</v>
      </c>
    </row>
    <row r="1492" spans="1:15" x14ac:dyDescent="0.35">
      <c r="A1492" t="s">
        <v>1689</v>
      </c>
      <c r="B1492">
        <v>1245465.5172413792</v>
      </c>
      <c r="C1492" t="s">
        <v>1718</v>
      </c>
      <c r="D1492" s="1">
        <v>45472</v>
      </c>
      <c r="E1492" t="s">
        <v>14</v>
      </c>
      <c r="F1492" t="s">
        <v>15</v>
      </c>
      <c r="G1492" t="s">
        <v>798</v>
      </c>
      <c r="H1492" t="s">
        <v>28</v>
      </c>
      <c r="I1492" t="s">
        <v>1688</v>
      </c>
      <c r="J1492" t="s">
        <v>20</v>
      </c>
      <c r="K1492">
        <v>2</v>
      </c>
      <c r="L1492">
        <v>995000</v>
      </c>
      <c r="M1492">
        <v>0</v>
      </c>
      <c r="N1492">
        <v>735000</v>
      </c>
      <c r="O1492">
        <v>995000</v>
      </c>
    </row>
    <row r="1493" spans="1:15" x14ac:dyDescent="0.35">
      <c r="A1493" t="s">
        <v>1689</v>
      </c>
      <c r="B1493">
        <v>1245465.5172413792</v>
      </c>
      <c r="C1493" t="s">
        <v>1719</v>
      </c>
      <c r="D1493" s="1">
        <v>45483</v>
      </c>
      <c r="E1493" t="s">
        <v>14</v>
      </c>
      <c r="F1493" t="s">
        <v>15</v>
      </c>
      <c r="G1493" t="s">
        <v>352</v>
      </c>
      <c r="H1493" t="s">
        <v>23</v>
      </c>
      <c r="I1493" t="s">
        <v>1688</v>
      </c>
      <c r="J1493" t="s">
        <v>20</v>
      </c>
      <c r="K1493">
        <v>2</v>
      </c>
      <c r="L1493">
        <v>1121000</v>
      </c>
      <c r="M1493">
        <v>0</v>
      </c>
      <c r="N1493">
        <v>837000</v>
      </c>
      <c r="O1493">
        <v>1121000</v>
      </c>
    </row>
    <row r="1494" spans="1:15" x14ac:dyDescent="0.35">
      <c r="A1494" t="s">
        <v>1689</v>
      </c>
      <c r="B1494">
        <v>1245465.5172413792</v>
      </c>
      <c r="C1494" t="s">
        <v>1720</v>
      </c>
      <c r="D1494" s="1">
        <v>45493</v>
      </c>
      <c r="E1494" t="s">
        <v>25</v>
      </c>
      <c r="F1494" t="s">
        <v>26</v>
      </c>
      <c r="G1494" t="s">
        <v>203</v>
      </c>
      <c r="H1494" t="s">
        <v>17</v>
      </c>
      <c r="I1494" t="s">
        <v>1688</v>
      </c>
      <c r="J1494" t="s">
        <v>20</v>
      </c>
      <c r="K1494">
        <v>1</v>
      </c>
      <c r="L1494">
        <v>1086000</v>
      </c>
      <c r="M1494">
        <v>0</v>
      </c>
      <c r="N1494">
        <v>801000</v>
      </c>
      <c r="O1494">
        <v>1086000</v>
      </c>
    </row>
    <row r="1495" spans="1:15" x14ac:dyDescent="0.35">
      <c r="A1495" t="s">
        <v>1689</v>
      </c>
      <c r="B1495">
        <v>1245465.5172413792</v>
      </c>
      <c r="C1495" t="s">
        <v>1721</v>
      </c>
      <c r="D1495" s="1">
        <v>45507</v>
      </c>
      <c r="E1495" t="s">
        <v>41</v>
      </c>
      <c r="F1495" t="s">
        <v>42</v>
      </c>
      <c r="G1495" t="s">
        <v>85</v>
      </c>
      <c r="H1495" t="s">
        <v>23</v>
      </c>
      <c r="I1495" t="s">
        <v>1688</v>
      </c>
      <c r="J1495" t="s">
        <v>20</v>
      </c>
      <c r="K1495">
        <v>1</v>
      </c>
      <c r="L1495">
        <v>1209000</v>
      </c>
      <c r="M1495">
        <v>0.05</v>
      </c>
      <c r="N1495">
        <v>904000</v>
      </c>
      <c r="O1495">
        <v>1209000</v>
      </c>
    </row>
    <row r="1496" spans="1:15" x14ac:dyDescent="0.35">
      <c r="A1496" t="s">
        <v>1689</v>
      </c>
      <c r="B1496">
        <v>1245465.5172413792</v>
      </c>
      <c r="C1496" t="s">
        <v>1722</v>
      </c>
      <c r="D1496" s="1">
        <v>45554</v>
      </c>
      <c r="E1496" t="s">
        <v>36</v>
      </c>
      <c r="F1496" t="s">
        <v>37</v>
      </c>
      <c r="G1496" t="s">
        <v>569</v>
      </c>
      <c r="H1496" t="s">
        <v>23</v>
      </c>
      <c r="I1496" t="s">
        <v>1688</v>
      </c>
      <c r="J1496" t="s">
        <v>20</v>
      </c>
      <c r="K1496">
        <v>1</v>
      </c>
      <c r="L1496">
        <v>1312000</v>
      </c>
      <c r="M1496">
        <v>0.05</v>
      </c>
      <c r="N1496">
        <v>974000</v>
      </c>
      <c r="O1496">
        <v>1312000</v>
      </c>
    </row>
    <row r="1497" spans="1:15" x14ac:dyDescent="0.35">
      <c r="A1497" t="s">
        <v>1689</v>
      </c>
      <c r="B1497">
        <v>1245465.5172413792</v>
      </c>
      <c r="C1497" t="s">
        <v>1723</v>
      </c>
      <c r="D1497" s="1">
        <v>45594</v>
      </c>
      <c r="E1497" t="s">
        <v>49</v>
      </c>
      <c r="F1497" t="s">
        <v>50</v>
      </c>
      <c r="G1497" t="s">
        <v>172</v>
      </c>
      <c r="H1497" t="s">
        <v>23</v>
      </c>
      <c r="I1497" t="s">
        <v>1688</v>
      </c>
      <c r="J1497" t="s">
        <v>20</v>
      </c>
      <c r="K1497">
        <v>1</v>
      </c>
      <c r="L1497">
        <v>1261000</v>
      </c>
      <c r="M1497">
        <v>0</v>
      </c>
      <c r="N1497">
        <v>931000</v>
      </c>
      <c r="O1497">
        <v>1261000</v>
      </c>
    </row>
    <row r="1498" spans="1:15" x14ac:dyDescent="0.35">
      <c r="A1498" t="s">
        <v>1689</v>
      </c>
      <c r="B1498">
        <v>1245465.5172413792</v>
      </c>
      <c r="C1498" t="s">
        <v>1724</v>
      </c>
      <c r="D1498" s="1">
        <v>45633</v>
      </c>
      <c r="E1498" t="s">
        <v>41</v>
      </c>
      <c r="F1498" t="s">
        <v>42</v>
      </c>
      <c r="G1498" t="s">
        <v>255</v>
      </c>
      <c r="H1498" t="s">
        <v>17</v>
      </c>
      <c r="I1498" t="s">
        <v>1688</v>
      </c>
      <c r="J1498" t="s">
        <v>20</v>
      </c>
      <c r="K1498">
        <v>2</v>
      </c>
      <c r="L1498">
        <v>1460000</v>
      </c>
      <c r="M1498">
        <v>0</v>
      </c>
      <c r="N1498">
        <v>1068000</v>
      </c>
      <c r="O1498">
        <v>1460000</v>
      </c>
    </row>
    <row r="1499" spans="1:15" x14ac:dyDescent="0.35">
      <c r="A1499" t="s">
        <v>1689</v>
      </c>
      <c r="B1499">
        <v>1245465.5172413792</v>
      </c>
      <c r="C1499" t="s">
        <v>1725</v>
      </c>
      <c r="D1499" s="1">
        <v>45641</v>
      </c>
      <c r="E1499" t="s">
        <v>14</v>
      </c>
      <c r="F1499" t="s">
        <v>15</v>
      </c>
      <c r="G1499" t="s">
        <v>166</v>
      </c>
      <c r="H1499" t="s">
        <v>28</v>
      </c>
      <c r="I1499" t="s">
        <v>1688</v>
      </c>
      <c r="J1499" t="s">
        <v>20</v>
      </c>
      <c r="K1499">
        <v>1</v>
      </c>
      <c r="L1499">
        <v>1307000</v>
      </c>
      <c r="M1499">
        <v>0.1</v>
      </c>
      <c r="N1499">
        <v>974000</v>
      </c>
      <c r="O1499">
        <v>1307000</v>
      </c>
    </row>
    <row r="1500" spans="1:15" x14ac:dyDescent="0.35">
      <c r="A1500" t="s">
        <v>1689</v>
      </c>
      <c r="B1500">
        <v>1245465.5172413792</v>
      </c>
      <c r="C1500" t="s">
        <v>1726</v>
      </c>
      <c r="D1500" s="1">
        <v>45659</v>
      </c>
      <c r="E1500" t="s">
        <v>14</v>
      </c>
      <c r="F1500" t="s">
        <v>15</v>
      </c>
      <c r="G1500" t="s">
        <v>262</v>
      </c>
      <c r="H1500" t="s">
        <v>23</v>
      </c>
      <c r="I1500" t="s">
        <v>1688</v>
      </c>
      <c r="J1500" t="s">
        <v>20</v>
      </c>
      <c r="K1500">
        <v>1</v>
      </c>
      <c r="L1500">
        <v>1095000</v>
      </c>
      <c r="M1500">
        <v>0</v>
      </c>
      <c r="N1500">
        <v>810000</v>
      </c>
      <c r="O1500">
        <v>1095000</v>
      </c>
    </row>
    <row r="1501" spans="1:15" x14ac:dyDescent="0.35">
      <c r="A1501" t="s">
        <v>1689</v>
      </c>
      <c r="B1501">
        <v>1245465.5172413792</v>
      </c>
      <c r="C1501" t="s">
        <v>1727</v>
      </c>
      <c r="D1501" s="1">
        <v>45676</v>
      </c>
      <c r="E1501" t="s">
        <v>41</v>
      </c>
      <c r="F1501" t="s">
        <v>42</v>
      </c>
      <c r="G1501" t="s">
        <v>224</v>
      </c>
      <c r="H1501" t="s">
        <v>23</v>
      </c>
      <c r="I1501" t="s">
        <v>1688</v>
      </c>
      <c r="J1501" t="s">
        <v>20</v>
      </c>
      <c r="K1501">
        <v>5</v>
      </c>
      <c r="L1501">
        <v>1162000</v>
      </c>
      <c r="M1501">
        <v>0.1</v>
      </c>
      <c r="N1501">
        <v>843000</v>
      </c>
      <c r="O1501">
        <v>1162000</v>
      </c>
    </row>
    <row r="1502" spans="1:15" x14ac:dyDescent="0.35">
      <c r="A1502" t="s">
        <v>1689</v>
      </c>
      <c r="B1502">
        <v>1245465.5172413792</v>
      </c>
      <c r="C1502" t="s">
        <v>1728</v>
      </c>
      <c r="D1502" s="1">
        <v>45688</v>
      </c>
      <c r="E1502" t="s">
        <v>41</v>
      </c>
      <c r="F1502" t="s">
        <v>42</v>
      </c>
      <c r="G1502" t="s">
        <v>74</v>
      </c>
      <c r="H1502" t="s">
        <v>23</v>
      </c>
      <c r="I1502" t="s">
        <v>1688</v>
      </c>
      <c r="J1502" t="s">
        <v>20</v>
      </c>
      <c r="K1502">
        <v>3</v>
      </c>
      <c r="L1502">
        <v>1536000</v>
      </c>
      <c r="M1502">
        <v>0</v>
      </c>
      <c r="N1502">
        <v>1116000</v>
      </c>
      <c r="O1502">
        <v>1536000</v>
      </c>
    </row>
    <row r="1503" spans="1:15" x14ac:dyDescent="0.35">
      <c r="A1503" t="s">
        <v>1689</v>
      </c>
      <c r="B1503">
        <v>1245465.5172413792</v>
      </c>
      <c r="C1503" t="s">
        <v>1729</v>
      </c>
      <c r="D1503" s="1">
        <v>45729</v>
      </c>
      <c r="E1503" t="s">
        <v>36</v>
      </c>
      <c r="F1503" t="s">
        <v>37</v>
      </c>
      <c r="G1503" t="s">
        <v>368</v>
      </c>
      <c r="H1503" t="s">
        <v>23</v>
      </c>
      <c r="I1503" t="s">
        <v>1688</v>
      </c>
      <c r="J1503" t="s">
        <v>20</v>
      </c>
      <c r="K1503">
        <v>1</v>
      </c>
      <c r="L1503">
        <v>1556000</v>
      </c>
      <c r="M1503">
        <v>0</v>
      </c>
      <c r="N1503">
        <v>1117000</v>
      </c>
      <c r="O1503">
        <v>1556000</v>
      </c>
    </row>
    <row r="1504" spans="1:15" x14ac:dyDescent="0.35">
      <c r="A1504" t="s">
        <v>1689</v>
      </c>
      <c r="B1504">
        <v>1245465.5172413792</v>
      </c>
      <c r="C1504" t="s">
        <v>1730</v>
      </c>
      <c r="D1504" s="1">
        <v>45777</v>
      </c>
      <c r="E1504" t="s">
        <v>25</v>
      </c>
      <c r="F1504" t="s">
        <v>26</v>
      </c>
      <c r="G1504" t="s">
        <v>493</v>
      </c>
      <c r="H1504" t="s">
        <v>23</v>
      </c>
      <c r="I1504" t="s">
        <v>1688</v>
      </c>
      <c r="J1504" t="s">
        <v>20</v>
      </c>
      <c r="K1504">
        <v>1</v>
      </c>
      <c r="L1504">
        <v>1390000</v>
      </c>
      <c r="M1504">
        <v>0.05</v>
      </c>
      <c r="N1504">
        <v>1003000</v>
      </c>
      <c r="O1504">
        <v>1390000</v>
      </c>
    </row>
    <row r="1505" spans="1:15" x14ac:dyDescent="0.35">
      <c r="A1505" t="s">
        <v>1689</v>
      </c>
      <c r="B1505">
        <v>1245465.5172413792</v>
      </c>
      <c r="C1505" t="s">
        <v>1731</v>
      </c>
      <c r="D1505" s="1">
        <v>45818</v>
      </c>
      <c r="E1505" t="s">
        <v>14</v>
      </c>
      <c r="F1505" t="s">
        <v>15</v>
      </c>
      <c r="G1505" t="s">
        <v>191</v>
      </c>
      <c r="H1505" t="s">
        <v>23</v>
      </c>
      <c r="I1505" t="s">
        <v>1688</v>
      </c>
      <c r="J1505" t="s">
        <v>20</v>
      </c>
      <c r="K1505">
        <v>1</v>
      </c>
      <c r="L1505">
        <v>1242000</v>
      </c>
      <c r="M1505">
        <v>0.1</v>
      </c>
      <c r="N1505">
        <v>913000</v>
      </c>
      <c r="O1505">
        <v>1242000</v>
      </c>
    </row>
    <row r="1506" spans="1:15" x14ac:dyDescent="0.35">
      <c r="A1506" t="s">
        <v>1689</v>
      </c>
      <c r="B1506">
        <v>1245465.5172413792</v>
      </c>
      <c r="C1506" t="s">
        <v>1732</v>
      </c>
      <c r="D1506" s="1">
        <v>45854</v>
      </c>
      <c r="E1506" t="s">
        <v>14</v>
      </c>
      <c r="F1506" t="s">
        <v>15</v>
      </c>
      <c r="G1506" t="s">
        <v>255</v>
      </c>
      <c r="H1506" t="s">
        <v>17</v>
      </c>
      <c r="I1506" t="s">
        <v>1688</v>
      </c>
      <c r="J1506" t="s">
        <v>20</v>
      </c>
      <c r="K1506">
        <v>3</v>
      </c>
      <c r="L1506">
        <v>1023000</v>
      </c>
      <c r="M1506">
        <v>0</v>
      </c>
      <c r="N1506">
        <v>756000</v>
      </c>
      <c r="O1506">
        <v>1023000</v>
      </c>
    </row>
    <row r="1507" spans="1:15" x14ac:dyDescent="0.35">
      <c r="A1507" t="s">
        <v>1689</v>
      </c>
      <c r="B1507">
        <v>1245465.5172413792</v>
      </c>
      <c r="C1507" t="s">
        <v>1733</v>
      </c>
      <c r="D1507" s="1">
        <v>45864</v>
      </c>
      <c r="E1507" t="s">
        <v>49</v>
      </c>
      <c r="F1507" t="s">
        <v>50</v>
      </c>
      <c r="G1507" t="s">
        <v>150</v>
      </c>
      <c r="H1507" t="s">
        <v>28</v>
      </c>
      <c r="I1507" t="s">
        <v>1688</v>
      </c>
      <c r="J1507" t="s">
        <v>20</v>
      </c>
      <c r="K1507">
        <v>1</v>
      </c>
      <c r="L1507">
        <v>1451000</v>
      </c>
      <c r="M1507">
        <v>0</v>
      </c>
      <c r="N1507">
        <v>1037000</v>
      </c>
      <c r="O1507">
        <v>1451000</v>
      </c>
    </row>
    <row r="1508" spans="1:15" x14ac:dyDescent="0.35">
      <c r="A1508" t="s">
        <v>1689</v>
      </c>
      <c r="B1508">
        <v>1245465.5172413792</v>
      </c>
      <c r="C1508" t="s">
        <v>1734</v>
      </c>
      <c r="D1508" s="1">
        <v>45870</v>
      </c>
      <c r="E1508" t="s">
        <v>36</v>
      </c>
      <c r="F1508" t="s">
        <v>37</v>
      </c>
      <c r="G1508" t="s">
        <v>524</v>
      </c>
      <c r="H1508" t="s">
        <v>17</v>
      </c>
      <c r="I1508" t="s">
        <v>1688</v>
      </c>
      <c r="J1508" t="s">
        <v>20</v>
      </c>
      <c r="K1508">
        <v>1</v>
      </c>
      <c r="L1508">
        <v>1150000</v>
      </c>
      <c r="M1508">
        <v>0</v>
      </c>
      <c r="N1508">
        <v>847000</v>
      </c>
      <c r="O1508">
        <v>1150000</v>
      </c>
    </row>
    <row r="1509" spans="1:15" x14ac:dyDescent="0.35">
      <c r="A1509" t="s">
        <v>1689</v>
      </c>
      <c r="B1509">
        <v>1245465.5172413792</v>
      </c>
      <c r="C1509" t="s">
        <v>1735</v>
      </c>
      <c r="D1509" s="1">
        <v>45959</v>
      </c>
      <c r="E1509" t="s">
        <v>14</v>
      </c>
      <c r="F1509" t="s">
        <v>15</v>
      </c>
      <c r="G1509" t="s">
        <v>69</v>
      </c>
      <c r="H1509" t="s">
        <v>23</v>
      </c>
      <c r="I1509" t="s">
        <v>1688</v>
      </c>
      <c r="J1509" t="s">
        <v>20</v>
      </c>
      <c r="K1509">
        <v>1</v>
      </c>
      <c r="L1509">
        <v>1195000</v>
      </c>
      <c r="M1509">
        <v>0</v>
      </c>
      <c r="N1509">
        <v>869000</v>
      </c>
      <c r="O1509">
        <v>1195000</v>
      </c>
    </row>
    <row r="1510" spans="1:15" x14ac:dyDescent="0.35">
      <c r="A1510" t="s">
        <v>1689</v>
      </c>
      <c r="B1510">
        <v>1245465.5172413792</v>
      </c>
      <c r="C1510" t="s">
        <v>1736</v>
      </c>
      <c r="D1510" s="1">
        <v>45969</v>
      </c>
      <c r="E1510" t="s">
        <v>49</v>
      </c>
      <c r="F1510" t="s">
        <v>50</v>
      </c>
      <c r="G1510" t="s">
        <v>168</v>
      </c>
      <c r="H1510" t="s">
        <v>23</v>
      </c>
      <c r="I1510" t="s">
        <v>1688</v>
      </c>
      <c r="J1510" t="s">
        <v>20</v>
      </c>
      <c r="K1510">
        <v>1</v>
      </c>
      <c r="L1510">
        <v>1079000</v>
      </c>
      <c r="M1510">
        <v>0</v>
      </c>
      <c r="N1510">
        <v>805000</v>
      </c>
      <c r="O1510">
        <v>1079000</v>
      </c>
    </row>
    <row r="1511" spans="1:15" x14ac:dyDescent="0.35">
      <c r="A1511" t="s">
        <v>1689</v>
      </c>
      <c r="B1511">
        <v>1245465.5172413792</v>
      </c>
      <c r="C1511" t="s">
        <v>1737</v>
      </c>
      <c r="D1511" s="1">
        <v>45969</v>
      </c>
      <c r="E1511" t="s">
        <v>14</v>
      </c>
      <c r="F1511" t="s">
        <v>15</v>
      </c>
      <c r="G1511" t="s">
        <v>236</v>
      </c>
      <c r="H1511" t="s">
        <v>28</v>
      </c>
      <c r="I1511" t="s">
        <v>1688</v>
      </c>
      <c r="J1511" t="s">
        <v>20</v>
      </c>
      <c r="K1511">
        <v>1</v>
      </c>
      <c r="L1511">
        <v>1029000</v>
      </c>
      <c r="M1511">
        <v>0</v>
      </c>
      <c r="N1511">
        <v>768000</v>
      </c>
      <c r="O1511">
        <v>1029000</v>
      </c>
    </row>
    <row r="1512" spans="1:15" x14ac:dyDescent="0.35">
      <c r="A1512" t="s">
        <v>1689</v>
      </c>
      <c r="B1512">
        <v>1245465.5172413792</v>
      </c>
      <c r="C1512" t="s">
        <v>1738</v>
      </c>
      <c r="D1512" s="1">
        <v>45969</v>
      </c>
      <c r="E1512" t="s">
        <v>25</v>
      </c>
      <c r="F1512" t="s">
        <v>26</v>
      </c>
      <c r="G1512" t="s">
        <v>51</v>
      </c>
      <c r="H1512" t="s">
        <v>23</v>
      </c>
      <c r="I1512" t="s">
        <v>1688</v>
      </c>
      <c r="J1512" t="s">
        <v>20</v>
      </c>
      <c r="K1512">
        <v>5</v>
      </c>
      <c r="L1512">
        <v>1041000</v>
      </c>
      <c r="M1512">
        <v>0.15</v>
      </c>
      <c r="N1512">
        <v>780000</v>
      </c>
      <c r="O1512">
        <v>1041000</v>
      </c>
    </row>
    <row r="1513" spans="1:15" x14ac:dyDescent="0.35">
      <c r="A1513" t="s">
        <v>1689</v>
      </c>
      <c r="B1513">
        <v>1245465.5172413792</v>
      </c>
      <c r="C1513" t="s">
        <v>1739</v>
      </c>
      <c r="D1513" s="1">
        <v>45988</v>
      </c>
      <c r="E1513" t="s">
        <v>36</v>
      </c>
      <c r="F1513" t="s">
        <v>37</v>
      </c>
      <c r="G1513" t="s">
        <v>462</v>
      </c>
      <c r="H1513" t="s">
        <v>58</v>
      </c>
      <c r="I1513" t="s">
        <v>1688</v>
      </c>
      <c r="J1513" t="s">
        <v>20</v>
      </c>
      <c r="K1513">
        <v>1</v>
      </c>
      <c r="L1513">
        <v>1050000</v>
      </c>
      <c r="M1513">
        <v>0.05</v>
      </c>
      <c r="N1513">
        <v>773000</v>
      </c>
      <c r="O1513">
        <v>1050000</v>
      </c>
    </row>
    <row r="1514" spans="1:15" x14ac:dyDescent="0.35">
      <c r="A1514" t="s">
        <v>1689</v>
      </c>
      <c r="B1514">
        <v>1245465.5172413792</v>
      </c>
      <c r="C1514" t="s">
        <v>1740</v>
      </c>
      <c r="D1514" s="1">
        <v>45988</v>
      </c>
      <c r="E1514" t="s">
        <v>25</v>
      </c>
      <c r="F1514" t="s">
        <v>26</v>
      </c>
      <c r="G1514" t="s">
        <v>69</v>
      </c>
      <c r="H1514" t="s">
        <v>23</v>
      </c>
      <c r="I1514" t="s">
        <v>1688</v>
      </c>
      <c r="J1514" t="s">
        <v>20</v>
      </c>
      <c r="K1514">
        <v>1</v>
      </c>
      <c r="L1514">
        <v>1448000</v>
      </c>
      <c r="M1514">
        <v>0</v>
      </c>
      <c r="N1514">
        <v>1040000</v>
      </c>
      <c r="O1514">
        <v>1448000</v>
      </c>
    </row>
    <row r="1515" spans="1:15" x14ac:dyDescent="0.35">
      <c r="A1515" t="s">
        <v>1689</v>
      </c>
      <c r="B1515">
        <v>1245465.5172413792</v>
      </c>
      <c r="C1515" t="s">
        <v>1741</v>
      </c>
      <c r="D1515" s="1">
        <v>45989</v>
      </c>
      <c r="E1515" t="s">
        <v>49</v>
      </c>
      <c r="F1515" t="s">
        <v>50</v>
      </c>
      <c r="G1515" t="s">
        <v>224</v>
      </c>
      <c r="H1515" t="s">
        <v>23</v>
      </c>
      <c r="I1515" t="s">
        <v>1688</v>
      </c>
      <c r="J1515" t="s">
        <v>20</v>
      </c>
      <c r="K1515">
        <v>1</v>
      </c>
      <c r="L1515">
        <v>1186000</v>
      </c>
      <c r="M1515">
        <v>0.15</v>
      </c>
      <c r="N1515">
        <v>846000</v>
      </c>
      <c r="O1515">
        <v>1186000</v>
      </c>
    </row>
    <row r="1516" spans="1:15" x14ac:dyDescent="0.35">
      <c r="A1516" t="s">
        <v>1689</v>
      </c>
      <c r="B1516">
        <v>1245465.5172413792</v>
      </c>
      <c r="C1516" t="s">
        <v>1742</v>
      </c>
      <c r="D1516" s="1">
        <v>46030</v>
      </c>
      <c r="E1516" t="s">
        <v>14</v>
      </c>
      <c r="F1516" t="s">
        <v>15</v>
      </c>
      <c r="G1516" t="s">
        <v>287</v>
      </c>
      <c r="H1516" t="s">
        <v>28</v>
      </c>
      <c r="I1516" t="s">
        <v>1688</v>
      </c>
      <c r="J1516" t="s">
        <v>20</v>
      </c>
      <c r="K1516">
        <v>1</v>
      </c>
      <c r="L1516">
        <v>1030000</v>
      </c>
      <c r="M1516">
        <v>0</v>
      </c>
      <c r="N1516">
        <v>738000</v>
      </c>
      <c r="O1516">
        <v>1030000</v>
      </c>
    </row>
    <row r="1517" spans="1:15" x14ac:dyDescent="0.35">
      <c r="A1517" t="s">
        <v>1689</v>
      </c>
      <c r="B1517">
        <v>1245465.5172413792</v>
      </c>
      <c r="C1517" t="s">
        <v>1743</v>
      </c>
      <c r="D1517" s="1">
        <v>46036</v>
      </c>
      <c r="E1517" t="s">
        <v>49</v>
      </c>
      <c r="F1517" t="s">
        <v>50</v>
      </c>
      <c r="G1517" t="s">
        <v>337</v>
      </c>
      <c r="H1517" t="s">
        <v>23</v>
      </c>
      <c r="I1517" t="s">
        <v>1688</v>
      </c>
      <c r="J1517" t="s">
        <v>20</v>
      </c>
      <c r="K1517">
        <v>1</v>
      </c>
      <c r="L1517">
        <v>1084000</v>
      </c>
      <c r="M1517">
        <v>0</v>
      </c>
      <c r="N1517">
        <v>801000</v>
      </c>
      <c r="O1517">
        <v>1084000</v>
      </c>
    </row>
    <row r="1518" spans="1:15" x14ac:dyDescent="0.35">
      <c r="A1518" t="s">
        <v>1689</v>
      </c>
      <c r="B1518">
        <v>1245465.5172413792</v>
      </c>
      <c r="C1518" t="s">
        <v>1744</v>
      </c>
      <c r="D1518" s="1">
        <v>46059</v>
      </c>
      <c r="E1518" t="s">
        <v>36</v>
      </c>
      <c r="F1518" t="s">
        <v>37</v>
      </c>
      <c r="G1518" t="s">
        <v>27</v>
      </c>
      <c r="H1518" t="s">
        <v>28</v>
      </c>
      <c r="I1518" t="s">
        <v>1688</v>
      </c>
      <c r="J1518" t="s">
        <v>20</v>
      </c>
      <c r="K1518">
        <v>5</v>
      </c>
      <c r="L1518">
        <v>1606000</v>
      </c>
      <c r="M1518">
        <v>0</v>
      </c>
      <c r="N1518">
        <v>1187000</v>
      </c>
      <c r="O1518">
        <v>1606000</v>
      </c>
    </row>
    <row r="1519" spans="1:15" x14ac:dyDescent="0.35">
      <c r="A1519" t="s">
        <v>1689</v>
      </c>
      <c r="B1519">
        <v>1245465.5172413792</v>
      </c>
      <c r="C1519" t="s">
        <v>1745</v>
      </c>
      <c r="D1519" s="1">
        <v>46082</v>
      </c>
      <c r="E1519" t="s">
        <v>14</v>
      </c>
      <c r="F1519" t="s">
        <v>15</v>
      </c>
      <c r="G1519" t="s">
        <v>186</v>
      </c>
      <c r="H1519" t="s">
        <v>23</v>
      </c>
      <c r="I1519" t="s">
        <v>1688</v>
      </c>
      <c r="J1519" t="s">
        <v>20</v>
      </c>
      <c r="K1519">
        <v>1</v>
      </c>
      <c r="L1519">
        <v>1687000</v>
      </c>
      <c r="M1519">
        <v>0.05</v>
      </c>
      <c r="N1519">
        <v>1224000</v>
      </c>
      <c r="O1519">
        <v>1687000</v>
      </c>
    </row>
    <row r="1520" spans="1:15" x14ac:dyDescent="0.35">
      <c r="A1520" t="s">
        <v>1689</v>
      </c>
      <c r="B1520">
        <v>1245465.5172413792</v>
      </c>
      <c r="C1520" t="s">
        <v>1746</v>
      </c>
      <c r="D1520" s="1">
        <v>46084</v>
      </c>
      <c r="E1520" t="s">
        <v>14</v>
      </c>
      <c r="F1520" t="s">
        <v>15</v>
      </c>
      <c r="G1520" t="s">
        <v>270</v>
      </c>
      <c r="H1520" t="s">
        <v>23</v>
      </c>
      <c r="I1520" t="s">
        <v>1688</v>
      </c>
      <c r="J1520" t="s">
        <v>20</v>
      </c>
      <c r="K1520">
        <v>1</v>
      </c>
      <c r="L1520">
        <v>1546000</v>
      </c>
      <c r="M1520">
        <v>0.05</v>
      </c>
      <c r="N1520">
        <v>1129000</v>
      </c>
      <c r="O1520">
        <v>1546000</v>
      </c>
    </row>
    <row r="1521" spans="1:15" x14ac:dyDescent="0.35">
      <c r="A1521" t="s">
        <v>1689</v>
      </c>
      <c r="B1521">
        <v>1245465.5172413792</v>
      </c>
      <c r="C1521" t="s">
        <v>1747</v>
      </c>
      <c r="D1521" s="1">
        <v>46105</v>
      </c>
      <c r="E1521" t="s">
        <v>36</v>
      </c>
      <c r="F1521" t="s">
        <v>37</v>
      </c>
      <c r="G1521" t="s">
        <v>307</v>
      </c>
      <c r="H1521" t="s">
        <v>28</v>
      </c>
      <c r="I1521" t="s">
        <v>1688</v>
      </c>
      <c r="J1521" t="s">
        <v>20</v>
      </c>
      <c r="K1521">
        <v>1</v>
      </c>
      <c r="L1521">
        <v>1075000</v>
      </c>
      <c r="M1521">
        <v>0.1</v>
      </c>
      <c r="N1521">
        <v>774000</v>
      </c>
      <c r="O1521">
        <v>1075000</v>
      </c>
    </row>
    <row r="1522" spans="1:15" x14ac:dyDescent="0.35">
      <c r="A1522" t="s">
        <v>1689</v>
      </c>
      <c r="B1522">
        <v>1245465.5172413792</v>
      </c>
      <c r="C1522" t="s">
        <v>1748</v>
      </c>
      <c r="D1522" s="1">
        <v>46130</v>
      </c>
      <c r="E1522" t="s">
        <v>49</v>
      </c>
      <c r="F1522" t="s">
        <v>50</v>
      </c>
      <c r="G1522" t="s">
        <v>315</v>
      </c>
      <c r="H1522" t="s">
        <v>23</v>
      </c>
      <c r="I1522" t="s">
        <v>1688</v>
      </c>
      <c r="J1522" t="s">
        <v>20</v>
      </c>
      <c r="K1522">
        <v>3</v>
      </c>
      <c r="L1522">
        <v>1576000</v>
      </c>
      <c r="M1522">
        <v>0.05</v>
      </c>
      <c r="N1522">
        <v>1120000</v>
      </c>
      <c r="O1522">
        <v>1576000</v>
      </c>
    </row>
    <row r="1523" spans="1:15" x14ac:dyDescent="0.35">
      <c r="A1523" t="s">
        <v>1689</v>
      </c>
      <c r="B1523">
        <v>1245465.5172413792</v>
      </c>
      <c r="C1523" t="s">
        <v>1749</v>
      </c>
      <c r="D1523" s="1">
        <v>46171</v>
      </c>
      <c r="E1523" t="s">
        <v>25</v>
      </c>
      <c r="F1523" t="s">
        <v>26</v>
      </c>
      <c r="G1523" t="s">
        <v>274</v>
      </c>
      <c r="H1523" t="s">
        <v>58</v>
      </c>
      <c r="I1523" t="s">
        <v>1688</v>
      </c>
      <c r="J1523" t="s">
        <v>20</v>
      </c>
      <c r="K1523">
        <v>1</v>
      </c>
      <c r="L1523">
        <v>1686000</v>
      </c>
      <c r="M1523">
        <v>0.05</v>
      </c>
      <c r="N1523">
        <v>1243000</v>
      </c>
      <c r="O1523">
        <v>1686000</v>
      </c>
    </row>
    <row r="1524" spans="1:15" x14ac:dyDescent="0.35">
      <c r="A1524" t="s">
        <v>1752</v>
      </c>
      <c r="B1524">
        <v>273666.66666666669</v>
      </c>
      <c r="C1524" t="s">
        <v>1750</v>
      </c>
      <c r="D1524" s="1">
        <v>44967</v>
      </c>
      <c r="E1524" t="s">
        <v>49</v>
      </c>
      <c r="F1524" t="s">
        <v>50</v>
      </c>
      <c r="G1524" t="s">
        <v>524</v>
      </c>
      <c r="H1524" t="s">
        <v>17</v>
      </c>
      <c r="I1524" t="s">
        <v>1751</v>
      </c>
      <c r="J1524" t="s">
        <v>363</v>
      </c>
      <c r="K1524">
        <v>1</v>
      </c>
      <c r="L1524">
        <v>356000</v>
      </c>
      <c r="M1524">
        <v>0</v>
      </c>
      <c r="N1524">
        <v>234000</v>
      </c>
      <c r="O1524">
        <v>356000</v>
      </c>
    </row>
    <row r="1525" spans="1:15" x14ac:dyDescent="0.35">
      <c r="A1525" t="s">
        <v>1752</v>
      </c>
      <c r="B1525">
        <v>273666.66666666669</v>
      </c>
      <c r="C1525" t="s">
        <v>1753</v>
      </c>
      <c r="D1525" s="1">
        <v>44979</v>
      </c>
      <c r="E1525" t="s">
        <v>14</v>
      </c>
      <c r="F1525" t="s">
        <v>15</v>
      </c>
      <c r="G1525" t="s">
        <v>216</v>
      </c>
      <c r="H1525" t="s">
        <v>17</v>
      </c>
      <c r="I1525" t="s">
        <v>1751</v>
      </c>
      <c r="J1525" t="s">
        <v>363</v>
      </c>
      <c r="K1525">
        <v>1</v>
      </c>
      <c r="L1525">
        <v>204000</v>
      </c>
      <c r="M1525">
        <v>0</v>
      </c>
      <c r="N1525">
        <v>138000</v>
      </c>
      <c r="O1525">
        <v>204000</v>
      </c>
    </row>
    <row r="1526" spans="1:15" x14ac:dyDescent="0.35">
      <c r="A1526" t="s">
        <v>1752</v>
      </c>
      <c r="B1526">
        <v>273666.66666666669</v>
      </c>
      <c r="C1526" t="s">
        <v>1754</v>
      </c>
      <c r="D1526" s="1">
        <v>45004</v>
      </c>
      <c r="E1526" t="s">
        <v>41</v>
      </c>
      <c r="F1526" t="s">
        <v>42</v>
      </c>
      <c r="G1526" t="s">
        <v>97</v>
      </c>
      <c r="H1526" t="s">
        <v>23</v>
      </c>
      <c r="I1526" t="s">
        <v>1751</v>
      </c>
      <c r="J1526" t="s">
        <v>363</v>
      </c>
      <c r="K1526">
        <v>5</v>
      </c>
      <c r="L1526">
        <v>162000</v>
      </c>
      <c r="M1526">
        <v>0.05</v>
      </c>
      <c r="N1526">
        <v>108000</v>
      </c>
      <c r="O1526">
        <v>162000</v>
      </c>
    </row>
    <row r="1527" spans="1:15" x14ac:dyDescent="0.35">
      <c r="A1527" t="s">
        <v>1752</v>
      </c>
      <c r="B1527">
        <v>273666.66666666669</v>
      </c>
      <c r="C1527" t="s">
        <v>1755</v>
      </c>
      <c r="D1527" s="1">
        <v>45020</v>
      </c>
      <c r="E1527" t="s">
        <v>41</v>
      </c>
      <c r="F1527" t="s">
        <v>42</v>
      </c>
      <c r="G1527" t="s">
        <v>517</v>
      </c>
      <c r="H1527" t="s">
        <v>23</v>
      </c>
      <c r="I1527" t="s">
        <v>1751</v>
      </c>
      <c r="J1527" t="s">
        <v>363</v>
      </c>
      <c r="K1527">
        <v>1</v>
      </c>
      <c r="L1527">
        <v>273666.66666666669</v>
      </c>
      <c r="M1527">
        <v>0</v>
      </c>
      <c r="N1527">
        <v>0</v>
      </c>
      <c r="O1527">
        <v>273666.66666666669</v>
      </c>
    </row>
    <row r="1528" spans="1:15" x14ac:dyDescent="0.35">
      <c r="A1528" t="s">
        <v>1752</v>
      </c>
      <c r="B1528">
        <v>273666.66666666669</v>
      </c>
      <c r="C1528" t="s">
        <v>1756</v>
      </c>
      <c r="D1528" s="1">
        <v>45067</v>
      </c>
      <c r="E1528" t="s">
        <v>49</v>
      </c>
      <c r="F1528" t="s">
        <v>50</v>
      </c>
      <c r="G1528" t="s">
        <v>234</v>
      </c>
      <c r="H1528" t="s">
        <v>23</v>
      </c>
      <c r="I1528" t="s">
        <v>1751</v>
      </c>
      <c r="J1528" t="s">
        <v>363</v>
      </c>
      <c r="K1528">
        <v>1</v>
      </c>
      <c r="L1528">
        <v>167000</v>
      </c>
      <c r="M1528">
        <v>0.05</v>
      </c>
      <c r="N1528">
        <v>109000</v>
      </c>
      <c r="O1528">
        <v>167000</v>
      </c>
    </row>
    <row r="1529" spans="1:15" x14ac:dyDescent="0.35">
      <c r="A1529" t="s">
        <v>1752</v>
      </c>
      <c r="B1529">
        <v>273666.66666666669</v>
      </c>
      <c r="C1529" t="s">
        <v>1757</v>
      </c>
      <c r="D1529" s="1">
        <v>45071</v>
      </c>
      <c r="E1529" t="s">
        <v>14</v>
      </c>
      <c r="F1529" t="s">
        <v>15</v>
      </c>
      <c r="G1529" t="s">
        <v>1041</v>
      </c>
      <c r="H1529" t="s">
        <v>23</v>
      </c>
      <c r="I1529" t="s">
        <v>1751</v>
      </c>
      <c r="J1529" t="s">
        <v>363</v>
      </c>
      <c r="K1529">
        <v>3</v>
      </c>
      <c r="L1529">
        <v>276000</v>
      </c>
      <c r="M1529">
        <v>0.05</v>
      </c>
      <c r="N1529">
        <v>184000</v>
      </c>
      <c r="O1529">
        <v>276000</v>
      </c>
    </row>
    <row r="1530" spans="1:15" x14ac:dyDescent="0.35">
      <c r="A1530" t="s">
        <v>1752</v>
      </c>
      <c r="B1530">
        <v>273666.66666666669</v>
      </c>
      <c r="C1530" t="s">
        <v>1758</v>
      </c>
      <c r="D1530" s="1">
        <v>45082</v>
      </c>
      <c r="E1530" t="s">
        <v>14</v>
      </c>
      <c r="F1530" t="s">
        <v>15</v>
      </c>
      <c r="G1530" t="s">
        <v>55</v>
      </c>
      <c r="H1530" t="s">
        <v>17</v>
      </c>
      <c r="I1530" t="s">
        <v>1751</v>
      </c>
      <c r="J1530" t="s">
        <v>363</v>
      </c>
      <c r="K1530">
        <v>1</v>
      </c>
      <c r="L1530">
        <v>345000</v>
      </c>
      <c r="M1530">
        <v>0</v>
      </c>
      <c r="N1530">
        <v>227000</v>
      </c>
      <c r="O1530">
        <v>345000</v>
      </c>
    </row>
    <row r="1531" spans="1:15" x14ac:dyDescent="0.35">
      <c r="A1531" t="s">
        <v>1752</v>
      </c>
      <c r="B1531">
        <v>273666.66666666669</v>
      </c>
      <c r="C1531" t="s">
        <v>1759</v>
      </c>
      <c r="D1531" s="1">
        <v>45088</v>
      </c>
      <c r="E1531" t="s">
        <v>14</v>
      </c>
      <c r="F1531" t="s">
        <v>15</v>
      </c>
      <c r="G1531" t="s">
        <v>83</v>
      </c>
      <c r="H1531" t="s">
        <v>23</v>
      </c>
      <c r="I1531" t="s">
        <v>1751</v>
      </c>
      <c r="J1531" t="s">
        <v>363</v>
      </c>
      <c r="K1531">
        <v>1</v>
      </c>
      <c r="L1531">
        <v>205000</v>
      </c>
      <c r="M1531">
        <v>0</v>
      </c>
      <c r="N1531">
        <v>140000</v>
      </c>
      <c r="O1531">
        <v>205000</v>
      </c>
    </row>
    <row r="1532" spans="1:15" x14ac:dyDescent="0.35">
      <c r="A1532" t="s">
        <v>1752</v>
      </c>
      <c r="B1532">
        <v>273666.66666666669</v>
      </c>
      <c r="C1532" t="s">
        <v>1760</v>
      </c>
      <c r="D1532" s="1">
        <v>45094</v>
      </c>
      <c r="E1532" t="s">
        <v>41</v>
      </c>
      <c r="F1532" t="s">
        <v>42</v>
      </c>
      <c r="G1532" t="s">
        <v>323</v>
      </c>
      <c r="H1532" t="s">
        <v>28</v>
      </c>
      <c r="I1532" t="s">
        <v>1751</v>
      </c>
      <c r="J1532" t="s">
        <v>363</v>
      </c>
      <c r="K1532">
        <v>1</v>
      </c>
      <c r="L1532">
        <v>352000</v>
      </c>
      <c r="M1532">
        <v>0</v>
      </c>
      <c r="N1532">
        <v>238000</v>
      </c>
      <c r="O1532">
        <v>352000</v>
      </c>
    </row>
    <row r="1533" spans="1:15" x14ac:dyDescent="0.35">
      <c r="A1533" t="s">
        <v>1752</v>
      </c>
      <c r="B1533">
        <v>273666.66666666669</v>
      </c>
      <c r="C1533" t="s">
        <v>1761</v>
      </c>
      <c r="D1533" s="1">
        <v>45098</v>
      </c>
      <c r="E1533" t="s">
        <v>49</v>
      </c>
      <c r="F1533" t="s">
        <v>50</v>
      </c>
      <c r="G1533" t="s">
        <v>193</v>
      </c>
      <c r="H1533" t="s">
        <v>23</v>
      </c>
      <c r="I1533" t="s">
        <v>1751</v>
      </c>
      <c r="J1533" t="s">
        <v>363</v>
      </c>
      <c r="K1533">
        <v>5</v>
      </c>
      <c r="L1533">
        <v>225000</v>
      </c>
      <c r="M1533">
        <v>0.05</v>
      </c>
      <c r="N1533">
        <v>148000</v>
      </c>
      <c r="O1533">
        <v>225000</v>
      </c>
    </row>
    <row r="1534" spans="1:15" x14ac:dyDescent="0.35">
      <c r="A1534" t="s">
        <v>1752</v>
      </c>
      <c r="B1534">
        <v>273666.66666666669</v>
      </c>
      <c r="C1534" t="s">
        <v>1762</v>
      </c>
      <c r="D1534" s="1">
        <v>45098</v>
      </c>
      <c r="E1534" t="s">
        <v>14</v>
      </c>
      <c r="F1534" t="s">
        <v>15</v>
      </c>
      <c r="G1534" t="s">
        <v>323</v>
      </c>
      <c r="H1534" t="s">
        <v>28</v>
      </c>
      <c r="I1534" t="s">
        <v>1751</v>
      </c>
      <c r="J1534" t="s">
        <v>363</v>
      </c>
      <c r="K1534">
        <v>1</v>
      </c>
      <c r="L1534">
        <v>331000</v>
      </c>
      <c r="M1534">
        <v>0</v>
      </c>
      <c r="N1534">
        <v>225000</v>
      </c>
      <c r="O1534">
        <v>331000</v>
      </c>
    </row>
    <row r="1535" spans="1:15" x14ac:dyDescent="0.35">
      <c r="A1535" t="s">
        <v>1752</v>
      </c>
      <c r="B1535">
        <v>273666.66666666669</v>
      </c>
      <c r="C1535" t="s">
        <v>1763</v>
      </c>
      <c r="D1535" s="1">
        <v>45167</v>
      </c>
      <c r="E1535" t="s">
        <v>41</v>
      </c>
      <c r="F1535" t="s">
        <v>42</v>
      </c>
      <c r="G1535" t="s">
        <v>313</v>
      </c>
      <c r="H1535" t="s">
        <v>17</v>
      </c>
      <c r="I1535" t="s">
        <v>1751</v>
      </c>
      <c r="J1535" t="s">
        <v>363</v>
      </c>
      <c r="K1535">
        <v>1</v>
      </c>
      <c r="L1535">
        <v>306000</v>
      </c>
      <c r="M1535">
        <v>0</v>
      </c>
      <c r="N1535">
        <v>204000</v>
      </c>
      <c r="O1535">
        <v>306000</v>
      </c>
    </row>
    <row r="1536" spans="1:15" x14ac:dyDescent="0.35">
      <c r="A1536" t="s">
        <v>1752</v>
      </c>
      <c r="B1536">
        <v>273666.66666666669</v>
      </c>
      <c r="C1536" t="s">
        <v>1764</v>
      </c>
      <c r="D1536" s="1">
        <v>45187</v>
      </c>
      <c r="E1536" t="s">
        <v>14</v>
      </c>
      <c r="F1536" t="s">
        <v>15</v>
      </c>
      <c r="G1536" t="s">
        <v>315</v>
      </c>
      <c r="H1536" t="s">
        <v>23</v>
      </c>
      <c r="I1536" t="s">
        <v>1751</v>
      </c>
      <c r="J1536" t="s">
        <v>363</v>
      </c>
      <c r="K1536">
        <v>1</v>
      </c>
      <c r="L1536">
        <v>322000</v>
      </c>
      <c r="M1536">
        <v>0</v>
      </c>
      <c r="N1536">
        <v>218000</v>
      </c>
      <c r="O1536">
        <v>322000</v>
      </c>
    </row>
    <row r="1537" spans="1:15" x14ac:dyDescent="0.35">
      <c r="A1537" t="s">
        <v>1752</v>
      </c>
      <c r="B1537">
        <v>273666.66666666669</v>
      </c>
      <c r="C1537" t="s">
        <v>1765</v>
      </c>
      <c r="D1537" s="1">
        <v>45192</v>
      </c>
      <c r="E1537" t="s">
        <v>49</v>
      </c>
      <c r="F1537" t="s">
        <v>50</v>
      </c>
      <c r="G1537" t="s">
        <v>274</v>
      </c>
      <c r="H1537" t="s">
        <v>58</v>
      </c>
      <c r="I1537" t="s">
        <v>1751</v>
      </c>
      <c r="J1537" t="s">
        <v>363</v>
      </c>
      <c r="K1537">
        <v>3</v>
      </c>
      <c r="L1537">
        <v>205000</v>
      </c>
      <c r="M1537">
        <v>0</v>
      </c>
      <c r="N1537">
        <v>137000</v>
      </c>
      <c r="O1537">
        <v>205000</v>
      </c>
    </row>
    <row r="1538" spans="1:15" x14ac:dyDescent="0.35">
      <c r="A1538" t="s">
        <v>1752</v>
      </c>
      <c r="B1538">
        <v>273666.66666666669</v>
      </c>
      <c r="C1538" t="s">
        <v>1766</v>
      </c>
      <c r="D1538" s="1">
        <v>45228</v>
      </c>
      <c r="E1538" t="s">
        <v>41</v>
      </c>
      <c r="F1538" t="s">
        <v>42</v>
      </c>
      <c r="G1538" t="s">
        <v>27</v>
      </c>
      <c r="H1538" t="s">
        <v>28</v>
      </c>
      <c r="I1538" t="s">
        <v>1751</v>
      </c>
      <c r="J1538" t="s">
        <v>363</v>
      </c>
      <c r="K1538">
        <v>1</v>
      </c>
      <c r="L1538">
        <v>153000</v>
      </c>
      <c r="M1538">
        <v>0</v>
      </c>
      <c r="N1538">
        <v>104000</v>
      </c>
      <c r="O1538">
        <v>153000</v>
      </c>
    </row>
    <row r="1539" spans="1:15" x14ac:dyDescent="0.35">
      <c r="A1539" t="s">
        <v>1752</v>
      </c>
      <c r="B1539">
        <v>273666.66666666669</v>
      </c>
      <c r="C1539" t="s">
        <v>1767</v>
      </c>
      <c r="D1539" s="1">
        <v>45234</v>
      </c>
      <c r="E1539" t="s">
        <v>14</v>
      </c>
      <c r="F1539" t="s">
        <v>15</v>
      </c>
      <c r="G1539" t="s">
        <v>162</v>
      </c>
      <c r="H1539" t="s">
        <v>28</v>
      </c>
      <c r="I1539" t="s">
        <v>1751</v>
      </c>
      <c r="J1539" t="s">
        <v>363</v>
      </c>
      <c r="K1539">
        <v>1</v>
      </c>
      <c r="L1539">
        <v>209000</v>
      </c>
      <c r="M1539">
        <v>0</v>
      </c>
      <c r="N1539">
        <v>137000</v>
      </c>
      <c r="O1539">
        <v>209000</v>
      </c>
    </row>
    <row r="1540" spans="1:15" x14ac:dyDescent="0.35">
      <c r="A1540" t="s">
        <v>1752</v>
      </c>
      <c r="B1540">
        <v>273666.66666666669</v>
      </c>
      <c r="C1540" t="s">
        <v>1768</v>
      </c>
      <c r="D1540" s="1">
        <v>45234</v>
      </c>
      <c r="E1540" t="s">
        <v>49</v>
      </c>
      <c r="F1540" t="s">
        <v>50</v>
      </c>
      <c r="G1540" t="s">
        <v>117</v>
      </c>
      <c r="H1540" t="s">
        <v>23</v>
      </c>
      <c r="I1540" t="s">
        <v>1751</v>
      </c>
      <c r="J1540" t="s">
        <v>363</v>
      </c>
      <c r="K1540">
        <v>1</v>
      </c>
      <c r="L1540">
        <v>232000</v>
      </c>
      <c r="M1540">
        <v>0.05</v>
      </c>
      <c r="N1540">
        <v>158000</v>
      </c>
      <c r="O1540">
        <v>232000</v>
      </c>
    </row>
    <row r="1541" spans="1:15" x14ac:dyDescent="0.35">
      <c r="A1541" t="s">
        <v>1752</v>
      </c>
      <c r="B1541">
        <v>273666.66666666669</v>
      </c>
      <c r="C1541" t="s">
        <v>1769</v>
      </c>
      <c r="D1541" s="1">
        <v>45272</v>
      </c>
      <c r="E1541" t="s">
        <v>41</v>
      </c>
      <c r="F1541" t="s">
        <v>42</v>
      </c>
      <c r="G1541" t="s">
        <v>193</v>
      </c>
      <c r="H1541" t="s">
        <v>23</v>
      </c>
      <c r="I1541" t="s">
        <v>1751</v>
      </c>
      <c r="J1541" t="s">
        <v>363</v>
      </c>
      <c r="K1541">
        <v>3</v>
      </c>
      <c r="L1541">
        <v>243000</v>
      </c>
      <c r="M1541">
        <v>0</v>
      </c>
      <c r="N1541">
        <v>167000</v>
      </c>
      <c r="O1541">
        <v>243000</v>
      </c>
    </row>
    <row r="1542" spans="1:15" x14ac:dyDescent="0.35">
      <c r="A1542" t="s">
        <v>1752</v>
      </c>
      <c r="B1542">
        <v>273666.66666666669</v>
      </c>
      <c r="C1542" t="s">
        <v>1770</v>
      </c>
      <c r="D1542" s="1">
        <v>45311</v>
      </c>
      <c r="E1542" t="s">
        <v>14</v>
      </c>
      <c r="F1542" t="s">
        <v>15</v>
      </c>
      <c r="G1542" t="s">
        <v>311</v>
      </c>
      <c r="H1542" t="s">
        <v>17</v>
      </c>
      <c r="I1542" t="s">
        <v>1751</v>
      </c>
      <c r="J1542" t="s">
        <v>363</v>
      </c>
      <c r="K1542">
        <v>1</v>
      </c>
      <c r="L1542">
        <v>369000</v>
      </c>
      <c r="M1542">
        <v>0</v>
      </c>
      <c r="N1542">
        <v>253000</v>
      </c>
      <c r="O1542">
        <v>369000</v>
      </c>
    </row>
    <row r="1543" spans="1:15" x14ac:dyDescent="0.35">
      <c r="A1543" t="s">
        <v>1752</v>
      </c>
      <c r="B1543">
        <v>273666.66666666669</v>
      </c>
      <c r="C1543" t="s">
        <v>1771</v>
      </c>
      <c r="D1543" s="1">
        <v>45345</v>
      </c>
      <c r="E1543" t="s">
        <v>49</v>
      </c>
      <c r="F1543" t="s">
        <v>50</v>
      </c>
      <c r="G1543" t="s">
        <v>498</v>
      </c>
      <c r="H1543" t="s">
        <v>23</v>
      </c>
      <c r="I1543" t="s">
        <v>1751</v>
      </c>
      <c r="J1543" t="s">
        <v>363</v>
      </c>
      <c r="K1543">
        <v>1</v>
      </c>
      <c r="L1543">
        <v>376000</v>
      </c>
      <c r="M1543">
        <v>0</v>
      </c>
      <c r="N1543">
        <v>258000</v>
      </c>
      <c r="O1543">
        <v>376000</v>
      </c>
    </row>
    <row r="1544" spans="1:15" x14ac:dyDescent="0.35">
      <c r="A1544" t="s">
        <v>1752</v>
      </c>
      <c r="B1544">
        <v>273666.66666666669</v>
      </c>
      <c r="C1544" t="s">
        <v>1772</v>
      </c>
      <c r="D1544" s="1">
        <v>45362</v>
      </c>
      <c r="E1544" t="s">
        <v>14</v>
      </c>
      <c r="F1544" t="s">
        <v>15</v>
      </c>
      <c r="G1544" t="s">
        <v>242</v>
      </c>
      <c r="H1544" t="s">
        <v>17</v>
      </c>
      <c r="I1544" t="s">
        <v>1751</v>
      </c>
      <c r="J1544" t="s">
        <v>363</v>
      </c>
      <c r="K1544">
        <v>2</v>
      </c>
      <c r="L1544">
        <v>205000</v>
      </c>
      <c r="M1544">
        <v>0</v>
      </c>
      <c r="N1544">
        <v>138000</v>
      </c>
      <c r="O1544">
        <v>205000</v>
      </c>
    </row>
    <row r="1545" spans="1:15" x14ac:dyDescent="0.35">
      <c r="A1545" t="s">
        <v>1752</v>
      </c>
      <c r="B1545">
        <v>273666.66666666669</v>
      </c>
      <c r="C1545" t="s">
        <v>1773</v>
      </c>
      <c r="D1545" s="1">
        <v>45376</v>
      </c>
      <c r="E1545" t="s">
        <v>25</v>
      </c>
      <c r="F1545" t="s">
        <v>26</v>
      </c>
      <c r="G1545" t="s">
        <v>16</v>
      </c>
      <c r="H1545" t="s">
        <v>17</v>
      </c>
      <c r="I1545" t="s">
        <v>1751</v>
      </c>
      <c r="J1545" t="s">
        <v>363</v>
      </c>
      <c r="K1545">
        <v>1</v>
      </c>
      <c r="L1545">
        <v>236000</v>
      </c>
      <c r="M1545">
        <v>0</v>
      </c>
      <c r="N1545">
        <v>157000</v>
      </c>
      <c r="O1545">
        <v>236000</v>
      </c>
    </row>
    <row r="1546" spans="1:15" x14ac:dyDescent="0.35">
      <c r="A1546" t="s">
        <v>1752</v>
      </c>
      <c r="B1546">
        <v>273666.66666666669</v>
      </c>
      <c r="C1546" t="s">
        <v>1774</v>
      </c>
      <c r="D1546" s="1">
        <v>45412</v>
      </c>
      <c r="E1546" t="s">
        <v>14</v>
      </c>
      <c r="F1546" t="s">
        <v>15</v>
      </c>
      <c r="G1546" t="s">
        <v>76</v>
      </c>
      <c r="H1546" t="s">
        <v>23</v>
      </c>
      <c r="I1546" t="s">
        <v>1751</v>
      </c>
      <c r="J1546" t="s">
        <v>363</v>
      </c>
      <c r="K1546">
        <v>1</v>
      </c>
      <c r="L1546">
        <v>214000</v>
      </c>
      <c r="M1546">
        <v>0</v>
      </c>
      <c r="N1546">
        <v>143000</v>
      </c>
      <c r="O1546">
        <v>214000</v>
      </c>
    </row>
    <row r="1547" spans="1:15" x14ac:dyDescent="0.35">
      <c r="A1547" t="s">
        <v>1752</v>
      </c>
      <c r="B1547">
        <v>273666.66666666669</v>
      </c>
      <c r="C1547" t="s">
        <v>1775</v>
      </c>
      <c r="D1547" s="1">
        <v>45435</v>
      </c>
      <c r="E1547" t="s">
        <v>41</v>
      </c>
      <c r="F1547" t="s">
        <v>42</v>
      </c>
      <c r="G1547" t="s">
        <v>216</v>
      </c>
      <c r="H1547" t="s">
        <v>17</v>
      </c>
      <c r="I1547" t="s">
        <v>1751</v>
      </c>
      <c r="J1547" t="s">
        <v>363</v>
      </c>
      <c r="K1547">
        <v>2</v>
      </c>
      <c r="L1547">
        <v>178000</v>
      </c>
      <c r="M1547">
        <v>0</v>
      </c>
      <c r="N1547">
        <v>122000</v>
      </c>
      <c r="O1547">
        <v>178000</v>
      </c>
    </row>
    <row r="1548" spans="1:15" x14ac:dyDescent="0.35">
      <c r="A1548" t="s">
        <v>1752</v>
      </c>
      <c r="B1548">
        <v>273666.66666666669</v>
      </c>
      <c r="C1548" t="s">
        <v>1776</v>
      </c>
      <c r="D1548" s="1">
        <v>45475</v>
      </c>
      <c r="E1548" t="s">
        <v>49</v>
      </c>
      <c r="F1548" t="s">
        <v>50</v>
      </c>
      <c r="G1548" t="s">
        <v>164</v>
      </c>
      <c r="H1548" t="s">
        <v>23</v>
      </c>
      <c r="I1548" t="s">
        <v>1751</v>
      </c>
      <c r="J1548" t="s">
        <v>363</v>
      </c>
      <c r="K1548">
        <v>5</v>
      </c>
      <c r="L1548">
        <v>261000</v>
      </c>
      <c r="M1548">
        <v>0</v>
      </c>
      <c r="N1548">
        <v>179000</v>
      </c>
      <c r="O1548">
        <v>261000</v>
      </c>
    </row>
    <row r="1549" spans="1:15" x14ac:dyDescent="0.35">
      <c r="A1549" t="s">
        <v>1752</v>
      </c>
      <c r="B1549">
        <v>273666.66666666669</v>
      </c>
      <c r="C1549" t="s">
        <v>1777</v>
      </c>
      <c r="D1549" s="1">
        <v>45494</v>
      </c>
      <c r="E1549" t="s">
        <v>25</v>
      </c>
      <c r="F1549" t="s">
        <v>26</v>
      </c>
      <c r="G1549" t="s">
        <v>166</v>
      </c>
      <c r="H1549" t="s">
        <v>28</v>
      </c>
      <c r="I1549" t="s">
        <v>1751</v>
      </c>
      <c r="J1549" t="s">
        <v>363</v>
      </c>
      <c r="K1549">
        <v>3</v>
      </c>
      <c r="L1549">
        <v>217000</v>
      </c>
      <c r="M1549">
        <v>0.1</v>
      </c>
      <c r="N1549">
        <v>149000</v>
      </c>
      <c r="O1549">
        <v>217000</v>
      </c>
    </row>
    <row r="1550" spans="1:15" x14ac:dyDescent="0.35">
      <c r="A1550" t="s">
        <v>1752</v>
      </c>
      <c r="B1550">
        <v>273666.66666666669</v>
      </c>
      <c r="C1550" t="s">
        <v>1778</v>
      </c>
      <c r="D1550" s="1">
        <v>45518</v>
      </c>
      <c r="E1550" t="s">
        <v>49</v>
      </c>
      <c r="F1550" t="s">
        <v>50</v>
      </c>
      <c r="G1550" t="s">
        <v>195</v>
      </c>
      <c r="H1550" t="s">
        <v>23</v>
      </c>
      <c r="I1550" t="s">
        <v>1751</v>
      </c>
      <c r="J1550" t="s">
        <v>363</v>
      </c>
      <c r="K1550">
        <v>2</v>
      </c>
      <c r="L1550">
        <v>170000</v>
      </c>
      <c r="M1550">
        <v>0</v>
      </c>
      <c r="N1550">
        <v>112000</v>
      </c>
      <c r="O1550">
        <v>170000</v>
      </c>
    </row>
    <row r="1551" spans="1:15" x14ac:dyDescent="0.35">
      <c r="A1551" t="s">
        <v>1752</v>
      </c>
      <c r="B1551">
        <v>273666.66666666669</v>
      </c>
      <c r="C1551" t="s">
        <v>1779</v>
      </c>
      <c r="D1551" s="1">
        <v>45541</v>
      </c>
      <c r="E1551" t="s">
        <v>36</v>
      </c>
      <c r="F1551" t="s">
        <v>37</v>
      </c>
      <c r="G1551" t="s">
        <v>166</v>
      </c>
      <c r="H1551" t="s">
        <v>28</v>
      </c>
      <c r="I1551" t="s">
        <v>1751</v>
      </c>
      <c r="J1551" t="s">
        <v>363</v>
      </c>
      <c r="K1551">
        <v>2</v>
      </c>
      <c r="L1551">
        <v>197000</v>
      </c>
      <c r="M1551">
        <v>0</v>
      </c>
      <c r="N1551">
        <v>130000</v>
      </c>
      <c r="O1551">
        <v>197000</v>
      </c>
    </row>
    <row r="1552" spans="1:15" x14ac:dyDescent="0.35">
      <c r="A1552" t="s">
        <v>1752</v>
      </c>
      <c r="B1552">
        <v>273666.66666666669</v>
      </c>
      <c r="C1552" t="s">
        <v>1780</v>
      </c>
      <c r="D1552" s="1">
        <v>45583</v>
      </c>
      <c r="E1552" t="s">
        <v>49</v>
      </c>
      <c r="F1552" t="s">
        <v>50</v>
      </c>
      <c r="G1552" t="s">
        <v>402</v>
      </c>
      <c r="H1552" t="s">
        <v>23</v>
      </c>
      <c r="I1552" t="s">
        <v>1751</v>
      </c>
      <c r="J1552" t="s">
        <v>363</v>
      </c>
      <c r="K1552">
        <v>1</v>
      </c>
      <c r="L1552">
        <v>363000</v>
      </c>
      <c r="M1552">
        <v>0.05</v>
      </c>
      <c r="N1552">
        <v>237000</v>
      </c>
      <c r="O1552">
        <v>363000</v>
      </c>
    </row>
    <row r="1553" spans="1:15" x14ac:dyDescent="0.35">
      <c r="A1553" t="s">
        <v>1752</v>
      </c>
      <c r="B1553">
        <v>273666.66666666669</v>
      </c>
      <c r="C1553" t="s">
        <v>1781</v>
      </c>
      <c r="D1553" s="1">
        <v>45626</v>
      </c>
      <c r="E1553" t="s">
        <v>14</v>
      </c>
      <c r="F1553" t="s">
        <v>15</v>
      </c>
      <c r="G1553" t="s">
        <v>311</v>
      </c>
      <c r="H1553" t="s">
        <v>17</v>
      </c>
      <c r="I1553" t="s">
        <v>1751</v>
      </c>
      <c r="J1553" t="s">
        <v>363</v>
      </c>
      <c r="K1553">
        <v>1</v>
      </c>
      <c r="L1553">
        <v>181000</v>
      </c>
      <c r="M1553">
        <v>0</v>
      </c>
      <c r="N1553">
        <v>121000</v>
      </c>
      <c r="O1553">
        <v>181000</v>
      </c>
    </row>
    <row r="1554" spans="1:15" x14ac:dyDescent="0.35">
      <c r="A1554" t="s">
        <v>1752</v>
      </c>
      <c r="B1554">
        <v>273666.66666666669</v>
      </c>
      <c r="C1554" t="s">
        <v>1782</v>
      </c>
      <c r="D1554" s="1">
        <v>45636</v>
      </c>
      <c r="E1554" t="s">
        <v>14</v>
      </c>
      <c r="F1554" t="s">
        <v>15</v>
      </c>
      <c r="G1554" t="s">
        <v>93</v>
      </c>
      <c r="H1554" t="s">
        <v>23</v>
      </c>
      <c r="I1554" t="s">
        <v>1751</v>
      </c>
      <c r="J1554" t="s">
        <v>363</v>
      </c>
      <c r="K1554">
        <v>1</v>
      </c>
      <c r="L1554">
        <v>350000</v>
      </c>
      <c r="M1554">
        <v>0</v>
      </c>
      <c r="N1554">
        <v>231000</v>
      </c>
      <c r="O1554">
        <v>350000</v>
      </c>
    </row>
    <row r="1555" spans="1:15" x14ac:dyDescent="0.35">
      <c r="A1555" t="s">
        <v>1752</v>
      </c>
      <c r="B1555">
        <v>273666.66666666669</v>
      </c>
      <c r="C1555" t="s">
        <v>1783</v>
      </c>
      <c r="D1555" s="1">
        <v>45651</v>
      </c>
      <c r="E1555" t="s">
        <v>41</v>
      </c>
      <c r="F1555" t="s">
        <v>42</v>
      </c>
      <c r="G1555" t="s">
        <v>30</v>
      </c>
      <c r="H1555" t="s">
        <v>23</v>
      </c>
      <c r="I1555" t="s">
        <v>1751</v>
      </c>
      <c r="J1555" t="s">
        <v>363</v>
      </c>
      <c r="K1555">
        <v>3</v>
      </c>
      <c r="L1555">
        <v>373000</v>
      </c>
      <c r="M1555">
        <v>0</v>
      </c>
      <c r="N1555">
        <v>245000</v>
      </c>
      <c r="O1555">
        <v>373000</v>
      </c>
    </row>
    <row r="1556" spans="1:15" x14ac:dyDescent="0.35">
      <c r="A1556" t="s">
        <v>1752</v>
      </c>
      <c r="B1556">
        <v>273666.66666666669</v>
      </c>
      <c r="C1556" t="s">
        <v>1784</v>
      </c>
      <c r="D1556" s="1">
        <v>45651</v>
      </c>
      <c r="E1556" t="s">
        <v>36</v>
      </c>
      <c r="F1556" t="s">
        <v>37</v>
      </c>
      <c r="G1556" t="s">
        <v>174</v>
      </c>
      <c r="H1556" t="s">
        <v>23</v>
      </c>
      <c r="I1556" t="s">
        <v>1751</v>
      </c>
      <c r="J1556" t="s">
        <v>363</v>
      </c>
      <c r="K1556">
        <v>1</v>
      </c>
      <c r="L1556">
        <v>212000</v>
      </c>
      <c r="M1556">
        <v>0</v>
      </c>
      <c r="N1556">
        <v>141000</v>
      </c>
      <c r="O1556">
        <v>212000</v>
      </c>
    </row>
    <row r="1557" spans="1:15" x14ac:dyDescent="0.35">
      <c r="A1557" t="s">
        <v>1752</v>
      </c>
      <c r="B1557">
        <v>273666.66666666669</v>
      </c>
      <c r="C1557" t="s">
        <v>1785</v>
      </c>
      <c r="D1557" s="1">
        <v>45660</v>
      </c>
      <c r="E1557" t="s">
        <v>14</v>
      </c>
      <c r="F1557" t="s">
        <v>15</v>
      </c>
      <c r="G1557" t="s">
        <v>162</v>
      </c>
      <c r="H1557" t="s">
        <v>28</v>
      </c>
      <c r="I1557" t="s">
        <v>1751</v>
      </c>
      <c r="J1557" t="s">
        <v>363</v>
      </c>
      <c r="K1557">
        <v>1</v>
      </c>
      <c r="L1557">
        <v>356000</v>
      </c>
      <c r="M1557">
        <v>0</v>
      </c>
      <c r="N1557">
        <v>241000</v>
      </c>
      <c r="O1557">
        <v>356000</v>
      </c>
    </row>
    <row r="1558" spans="1:15" x14ac:dyDescent="0.35">
      <c r="A1558" t="s">
        <v>1752</v>
      </c>
      <c r="B1558">
        <v>273666.66666666669</v>
      </c>
      <c r="C1558" t="s">
        <v>1786</v>
      </c>
      <c r="D1558" s="1">
        <v>45673</v>
      </c>
      <c r="E1558" t="s">
        <v>36</v>
      </c>
      <c r="F1558" t="s">
        <v>37</v>
      </c>
      <c r="G1558" t="s">
        <v>798</v>
      </c>
      <c r="H1558" t="s">
        <v>28</v>
      </c>
      <c r="I1558" t="s">
        <v>1751</v>
      </c>
      <c r="J1558" t="s">
        <v>363</v>
      </c>
      <c r="K1558">
        <v>2</v>
      </c>
      <c r="L1558">
        <v>204000</v>
      </c>
      <c r="M1558">
        <v>0</v>
      </c>
      <c r="N1558">
        <v>139000</v>
      </c>
      <c r="O1558">
        <v>204000</v>
      </c>
    </row>
    <row r="1559" spans="1:15" x14ac:dyDescent="0.35">
      <c r="A1559" t="s">
        <v>1752</v>
      </c>
      <c r="B1559">
        <v>273666.66666666669</v>
      </c>
      <c r="C1559" t="s">
        <v>1787</v>
      </c>
      <c r="D1559" s="1">
        <v>45761</v>
      </c>
      <c r="E1559" t="s">
        <v>14</v>
      </c>
      <c r="F1559" t="s">
        <v>15</v>
      </c>
      <c r="G1559" t="s">
        <v>236</v>
      </c>
      <c r="H1559" t="s">
        <v>28</v>
      </c>
      <c r="I1559" t="s">
        <v>1751</v>
      </c>
      <c r="J1559" t="s">
        <v>363</v>
      </c>
      <c r="K1559">
        <v>1</v>
      </c>
      <c r="L1559">
        <v>346000</v>
      </c>
      <c r="M1559">
        <v>0</v>
      </c>
      <c r="N1559">
        <v>230000</v>
      </c>
      <c r="O1559">
        <v>346000</v>
      </c>
    </row>
    <row r="1560" spans="1:15" x14ac:dyDescent="0.35">
      <c r="A1560" t="s">
        <v>1752</v>
      </c>
      <c r="B1560">
        <v>273666.66666666669</v>
      </c>
      <c r="C1560" t="s">
        <v>1788</v>
      </c>
      <c r="D1560" s="1">
        <v>45776</v>
      </c>
      <c r="E1560" t="s">
        <v>14</v>
      </c>
      <c r="F1560" t="s">
        <v>15</v>
      </c>
      <c r="G1560" t="s">
        <v>157</v>
      </c>
      <c r="H1560" t="s">
        <v>23</v>
      </c>
      <c r="I1560" t="s">
        <v>1751</v>
      </c>
      <c r="J1560" t="s">
        <v>363</v>
      </c>
      <c r="K1560">
        <v>1</v>
      </c>
      <c r="L1560">
        <v>354000</v>
      </c>
      <c r="M1560">
        <v>0</v>
      </c>
      <c r="N1560">
        <v>235000</v>
      </c>
      <c r="O1560">
        <v>354000</v>
      </c>
    </row>
    <row r="1561" spans="1:15" x14ac:dyDescent="0.35">
      <c r="A1561" t="s">
        <v>1752</v>
      </c>
      <c r="B1561">
        <v>273666.66666666669</v>
      </c>
      <c r="C1561" t="s">
        <v>1789</v>
      </c>
      <c r="D1561" s="1">
        <v>45777</v>
      </c>
      <c r="E1561" t="s">
        <v>14</v>
      </c>
      <c r="F1561" t="s">
        <v>15</v>
      </c>
      <c r="G1561" t="s">
        <v>456</v>
      </c>
      <c r="H1561" t="s">
        <v>23</v>
      </c>
      <c r="I1561" t="s">
        <v>1751</v>
      </c>
      <c r="J1561" t="s">
        <v>363</v>
      </c>
      <c r="K1561">
        <v>2</v>
      </c>
      <c r="L1561">
        <v>294000</v>
      </c>
      <c r="M1561">
        <v>0</v>
      </c>
      <c r="N1561">
        <v>198000</v>
      </c>
      <c r="O1561">
        <v>294000</v>
      </c>
    </row>
    <row r="1562" spans="1:15" x14ac:dyDescent="0.35">
      <c r="A1562" t="s">
        <v>1752</v>
      </c>
      <c r="B1562">
        <v>273666.66666666669</v>
      </c>
      <c r="C1562" t="s">
        <v>1790</v>
      </c>
      <c r="D1562" s="1">
        <v>45805</v>
      </c>
      <c r="E1562" t="s">
        <v>14</v>
      </c>
      <c r="F1562" t="s">
        <v>15</v>
      </c>
      <c r="G1562" t="s">
        <v>218</v>
      </c>
      <c r="H1562" t="s">
        <v>23</v>
      </c>
      <c r="I1562" t="s">
        <v>1751</v>
      </c>
      <c r="J1562" t="s">
        <v>363</v>
      </c>
      <c r="K1562">
        <v>2</v>
      </c>
      <c r="L1562">
        <v>229000</v>
      </c>
      <c r="M1562">
        <v>0</v>
      </c>
      <c r="N1562">
        <v>150000</v>
      </c>
      <c r="O1562">
        <v>229000</v>
      </c>
    </row>
    <row r="1563" spans="1:15" x14ac:dyDescent="0.35">
      <c r="A1563" t="s">
        <v>1752</v>
      </c>
      <c r="B1563">
        <v>273666.66666666669</v>
      </c>
      <c r="C1563" t="s">
        <v>1791</v>
      </c>
      <c r="D1563" s="1">
        <v>45811</v>
      </c>
      <c r="E1563" t="s">
        <v>41</v>
      </c>
      <c r="F1563" t="s">
        <v>42</v>
      </c>
      <c r="G1563" t="s">
        <v>675</v>
      </c>
      <c r="H1563" t="s">
        <v>17</v>
      </c>
      <c r="I1563" t="s">
        <v>1751</v>
      </c>
      <c r="J1563" t="s">
        <v>363</v>
      </c>
      <c r="K1563">
        <v>2</v>
      </c>
      <c r="L1563">
        <v>273666.66666666669</v>
      </c>
      <c r="M1563">
        <v>0</v>
      </c>
      <c r="N1563">
        <v>0</v>
      </c>
      <c r="O1563">
        <v>273666.66666666669</v>
      </c>
    </row>
    <row r="1564" spans="1:15" x14ac:dyDescent="0.35">
      <c r="A1564" t="s">
        <v>1752</v>
      </c>
      <c r="B1564">
        <v>273666.66666666669</v>
      </c>
      <c r="C1564" t="s">
        <v>1792</v>
      </c>
      <c r="D1564" s="1">
        <v>45814</v>
      </c>
      <c r="E1564" t="s">
        <v>49</v>
      </c>
      <c r="F1564" t="s">
        <v>50</v>
      </c>
      <c r="G1564" t="s">
        <v>43</v>
      </c>
      <c r="H1564" t="s">
        <v>17</v>
      </c>
      <c r="I1564" t="s">
        <v>1751</v>
      </c>
      <c r="J1564" t="s">
        <v>363</v>
      </c>
      <c r="K1564">
        <v>1</v>
      </c>
      <c r="L1564">
        <v>210000</v>
      </c>
      <c r="M1564">
        <v>0</v>
      </c>
      <c r="N1564">
        <v>141000</v>
      </c>
      <c r="O1564">
        <v>210000</v>
      </c>
    </row>
    <row r="1565" spans="1:15" x14ac:dyDescent="0.35">
      <c r="A1565" t="s">
        <v>1752</v>
      </c>
      <c r="B1565">
        <v>273666.66666666669</v>
      </c>
      <c r="C1565" t="s">
        <v>1793</v>
      </c>
      <c r="D1565" s="1">
        <v>45830</v>
      </c>
      <c r="E1565" t="s">
        <v>14</v>
      </c>
      <c r="F1565" t="s">
        <v>15</v>
      </c>
      <c r="G1565" t="s">
        <v>97</v>
      </c>
      <c r="H1565" t="s">
        <v>23</v>
      </c>
      <c r="I1565" t="s">
        <v>1751</v>
      </c>
      <c r="J1565" t="s">
        <v>363</v>
      </c>
      <c r="K1565">
        <v>1</v>
      </c>
      <c r="L1565">
        <v>264000</v>
      </c>
      <c r="M1565">
        <v>0.1</v>
      </c>
      <c r="N1565">
        <v>177000</v>
      </c>
      <c r="O1565">
        <v>264000</v>
      </c>
    </row>
    <row r="1566" spans="1:15" x14ac:dyDescent="0.35">
      <c r="A1566" t="s">
        <v>1752</v>
      </c>
      <c r="B1566">
        <v>273666.66666666669</v>
      </c>
      <c r="C1566" t="s">
        <v>1794</v>
      </c>
      <c r="D1566" s="1">
        <v>45862</v>
      </c>
      <c r="E1566" t="s">
        <v>49</v>
      </c>
      <c r="F1566" t="s">
        <v>50</v>
      </c>
      <c r="G1566" t="s">
        <v>394</v>
      </c>
      <c r="H1566" t="s">
        <v>23</v>
      </c>
      <c r="I1566" t="s">
        <v>1751</v>
      </c>
      <c r="J1566" t="s">
        <v>363</v>
      </c>
      <c r="K1566">
        <v>1</v>
      </c>
      <c r="L1566">
        <v>289000</v>
      </c>
      <c r="M1566">
        <v>0.05</v>
      </c>
      <c r="N1566">
        <v>196000</v>
      </c>
      <c r="O1566">
        <v>289000</v>
      </c>
    </row>
    <row r="1567" spans="1:15" x14ac:dyDescent="0.35">
      <c r="A1567" t="s">
        <v>1752</v>
      </c>
      <c r="B1567">
        <v>273666.66666666669</v>
      </c>
      <c r="C1567" t="s">
        <v>1795</v>
      </c>
      <c r="D1567" s="1">
        <v>45863</v>
      </c>
      <c r="E1567" t="s">
        <v>14</v>
      </c>
      <c r="F1567" t="s">
        <v>15</v>
      </c>
      <c r="G1567" t="s">
        <v>216</v>
      </c>
      <c r="H1567" t="s">
        <v>17</v>
      </c>
      <c r="I1567" t="s">
        <v>1751</v>
      </c>
      <c r="J1567" t="s">
        <v>363</v>
      </c>
      <c r="K1567">
        <v>1</v>
      </c>
      <c r="L1567">
        <v>236000</v>
      </c>
      <c r="M1567">
        <v>0</v>
      </c>
      <c r="N1567">
        <v>159000</v>
      </c>
      <c r="O1567">
        <v>236000</v>
      </c>
    </row>
    <row r="1568" spans="1:15" x14ac:dyDescent="0.35">
      <c r="A1568" t="s">
        <v>1752</v>
      </c>
      <c r="B1568">
        <v>273666.66666666669</v>
      </c>
      <c r="C1568" t="s">
        <v>1796</v>
      </c>
      <c r="D1568" s="1">
        <v>45883</v>
      </c>
      <c r="E1568" t="s">
        <v>49</v>
      </c>
      <c r="F1568" t="s">
        <v>50</v>
      </c>
      <c r="G1568" t="s">
        <v>462</v>
      </c>
      <c r="H1568" t="s">
        <v>58</v>
      </c>
      <c r="I1568" t="s">
        <v>1751</v>
      </c>
      <c r="J1568" t="s">
        <v>363</v>
      </c>
      <c r="K1568">
        <v>1</v>
      </c>
      <c r="L1568">
        <v>369000</v>
      </c>
      <c r="M1568">
        <v>0</v>
      </c>
      <c r="N1568">
        <v>241000</v>
      </c>
      <c r="O1568">
        <v>369000</v>
      </c>
    </row>
    <row r="1569" spans="1:15" x14ac:dyDescent="0.35">
      <c r="A1569" t="s">
        <v>1752</v>
      </c>
      <c r="B1569">
        <v>273666.66666666669</v>
      </c>
      <c r="C1569" t="s">
        <v>1797</v>
      </c>
      <c r="D1569" s="1">
        <v>45925</v>
      </c>
      <c r="E1569" t="s">
        <v>14</v>
      </c>
      <c r="F1569" t="s">
        <v>15</v>
      </c>
      <c r="G1569" t="s">
        <v>102</v>
      </c>
      <c r="H1569" t="s">
        <v>58</v>
      </c>
      <c r="I1569" t="s">
        <v>1751</v>
      </c>
      <c r="J1569" t="s">
        <v>363</v>
      </c>
      <c r="K1569">
        <v>1</v>
      </c>
      <c r="L1569">
        <v>247000</v>
      </c>
      <c r="M1569">
        <v>0</v>
      </c>
      <c r="N1569">
        <v>168000</v>
      </c>
      <c r="O1569">
        <v>247000</v>
      </c>
    </row>
    <row r="1570" spans="1:15" x14ac:dyDescent="0.35">
      <c r="A1570" t="s">
        <v>1752</v>
      </c>
      <c r="B1570">
        <v>273666.66666666669</v>
      </c>
      <c r="C1570" t="s">
        <v>1798</v>
      </c>
      <c r="D1570" s="1">
        <v>45947</v>
      </c>
      <c r="E1570" t="s">
        <v>49</v>
      </c>
      <c r="F1570" t="s">
        <v>50</v>
      </c>
      <c r="G1570" t="s">
        <v>226</v>
      </c>
      <c r="H1570" t="s">
        <v>17</v>
      </c>
      <c r="I1570" t="s">
        <v>1751</v>
      </c>
      <c r="J1570" t="s">
        <v>363</v>
      </c>
      <c r="K1570">
        <v>2</v>
      </c>
      <c r="L1570">
        <v>298000</v>
      </c>
      <c r="M1570">
        <v>0</v>
      </c>
      <c r="N1570">
        <v>205000</v>
      </c>
      <c r="O1570">
        <v>298000</v>
      </c>
    </row>
    <row r="1571" spans="1:15" x14ac:dyDescent="0.35">
      <c r="A1571" t="s">
        <v>1752</v>
      </c>
      <c r="B1571">
        <v>273666.66666666669</v>
      </c>
      <c r="C1571" t="s">
        <v>1799</v>
      </c>
      <c r="D1571" s="1">
        <v>45973</v>
      </c>
      <c r="E1571" t="s">
        <v>41</v>
      </c>
      <c r="F1571" t="s">
        <v>42</v>
      </c>
      <c r="G1571" t="s">
        <v>81</v>
      </c>
      <c r="H1571" t="s">
        <v>17</v>
      </c>
      <c r="I1571" t="s">
        <v>1751</v>
      </c>
      <c r="J1571" t="s">
        <v>363</v>
      </c>
      <c r="K1571">
        <v>1</v>
      </c>
      <c r="L1571">
        <v>295000</v>
      </c>
      <c r="M1571">
        <v>0</v>
      </c>
      <c r="N1571">
        <v>192000</v>
      </c>
      <c r="O1571">
        <v>295000</v>
      </c>
    </row>
    <row r="1572" spans="1:15" x14ac:dyDescent="0.35">
      <c r="A1572" t="s">
        <v>1752</v>
      </c>
      <c r="B1572">
        <v>273666.66666666669</v>
      </c>
      <c r="C1572" t="s">
        <v>1800</v>
      </c>
      <c r="D1572" s="1">
        <v>45975</v>
      </c>
      <c r="E1572" t="s">
        <v>14</v>
      </c>
      <c r="F1572" t="s">
        <v>15</v>
      </c>
      <c r="G1572" t="s">
        <v>155</v>
      </c>
      <c r="H1572" t="s">
        <v>58</v>
      </c>
      <c r="I1572" t="s">
        <v>1751</v>
      </c>
      <c r="J1572" t="s">
        <v>363</v>
      </c>
      <c r="K1572">
        <v>3</v>
      </c>
      <c r="L1572">
        <v>228000</v>
      </c>
      <c r="M1572">
        <v>0</v>
      </c>
      <c r="N1572">
        <v>148000</v>
      </c>
      <c r="O1572">
        <v>228000</v>
      </c>
    </row>
    <row r="1573" spans="1:15" x14ac:dyDescent="0.35">
      <c r="A1573" t="s">
        <v>1752</v>
      </c>
      <c r="B1573">
        <v>273666.66666666669</v>
      </c>
      <c r="C1573" t="s">
        <v>1801</v>
      </c>
      <c r="D1573" s="1">
        <v>45985</v>
      </c>
      <c r="E1573" t="s">
        <v>41</v>
      </c>
      <c r="F1573" t="s">
        <v>42</v>
      </c>
      <c r="G1573" t="s">
        <v>218</v>
      </c>
      <c r="H1573" t="s">
        <v>23</v>
      </c>
      <c r="I1573" t="s">
        <v>1751</v>
      </c>
      <c r="J1573" t="s">
        <v>363</v>
      </c>
      <c r="K1573">
        <v>3</v>
      </c>
      <c r="L1573">
        <v>250000</v>
      </c>
      <c r="M1573">
        <v>0</v>
      </c>
      <c r="N1573">
        <v>165000</v>
      </c>
      <c r="O1573">
        <v>250000</v>
      </c>
    </row>
    <row r="1574" spans="1:15" x14ac:dyDescent="0.35">
      <c r="A1574" t="s">
        <v>1752</v>
      </c>
      <c r="B1574">
        <v>273666.66666666669</v>
      </c>
      <c r="C1574" t="s">
        <v>1802</v>
      </c>
      <c r="D1574" s="1">
        <v>45989</v>
      </c>
      <c r="E1574" t="s">
        <v>14</v>
      </c>
      <c r="F1574" t="s">
        <v>15</v>
      </c>
      <c r="G1574" t="s">
        <v>55</v>
      </c>
      <c r="H1574" t="s">
        <v>17</v>
      </c>
      <c r="I1574" t="s">
        <v>1751</v>
      </c>
      <c r="J1574" t="s">
        <v>363</v>
      </c>
      <c r="K1574">
        <v>1</v>
      </c>
      <c r="L1574">
        <v>405000</v>
      </c>
      <c r="M1574">
        <v>0</v>
      </c>
      <c r="N1574">
        <v>267000</v>
      </c>
      <c r="O1574">
        <v>405000</v>
      </c>
    </row>
    <row r="1575" spans="1:15" x14ac:dyDescent="0.35">
      <c r="A1575" t="s">
        <v>1752</v>
      </c>
      <c r="B1575">
        <v>273666.66666666669</v>
      </c>
      <c r="C1575" t="s">
        <v>1803</v>
      </c>
      <c r="D1575" s="1">
        <v>46042</v>
      </c>
      <c r="E1575" t="s">
        <v>14</v>
      </c>
      <c r="F1575" t="s">
        <v>15</v>
      </c>
      <c r="G1575" t="s">
        <v>309</v>
      </c>
      <c r="H1575" t="s">
        <v>23</v>
      </c>
      <c r="I1575" t="s">
        <v>1751</v>
      </c>
      <c r="J1575" t="s">
        <v>363</v>
      </c>
      <c r="K1575">
        <v>1</v>
      </c>
      <c r="L1575">
        <v>208000</v>
      </c>
      <c r="M1575">
        <v>0</v>
      </c>
      <c r="N1575">
        <v>140000</v>
      </c>
      <c r="O1575">
        <v>208000</v>
      </c>
    </row>
    <row r="1576" spans="1:15" x14ac:dyDescent="0.35">
      <c r="A1576" t="s">
        <v>1752</v>
      </c>
      <c r="B1576">
        <v>273666.66666666669</v>
      </c>
      <c r="C1576" t="s">
        <v>1804</v>
      </c>
      <c r="D1576" s="1">
        <v>46057</v>
      </c>
      <c r="E1576" t="s">
        <v>49</v>
      </c>
      <c r="F1576" t="s">
        <v>50</v>
      </c>
      <c r="G1576" t="s">
        <v>205</v>
      </c>
      <c r="H1576" t="s">
        <v>17</v>
      </c>
      <c r="I1576" t="s">
        <v>1751</v>
      </c>
      <c r="J1576" t="s">
        <v>363</v>
      </c>
      <c r="K1576">
        <v>3</v>
      </c>
      <c r="L1576">
        <v>198000</v>
      </c>
      <c r="M1576">
        <v>0</v>
      </c>
      <c r="N1576">
        <v>129000</v>
      </c>
      <c r="O1576">
        <v>198000</v>
      </c>
    </row>
    <row r="1577" spans="1:15" x14ac:dyDescent="0.35">
      <c r="A1577" t="s">
        <v>1752</v>
      </c>
      <c r="B1577">
        <v>273666.66666666669</v>
      </c>
      <c r="C1577" t="s">
        <v>1805</v>
      </c>
      <c r="D1577" s="1">
        <v>46061</v>
      </c>
      <c r="E1577" t="s">
        <v>41</v>
      </c>
      <c r="F1577" t="s">
        <v>42</v>
      </c>
      <c r="G1577" t="s">
        <v>117</v>
      </c>
      <c r="H1577" t="s">
        <v>23</v>
      </c>
      <c r="I1577" t="s">
        <v>1751</v>
      </c>
      <c r="J1577" t="s">
        <v>363</v>
      </c>
      <c r="K1577">
        <v>5</v>
      </c>
      <c r="L1577">
        <v>348000</v>
      </c>
      <c r="M1577">
        <v>0</v>
      </c>
      <c r="N1577">
        <v>229000</v>
      </c>
      <c r="O1577">
        <v>348000</v>
      </c>
    </row>
    <row r="1578" spans="1:15" x14ac:dyDescent="0.35">
      <c r="A1578" t="s">
        <v>1752</v>
      </c>
      <c r="B1578">
        <v>273666.66666666669</v>
      </c>
      <c r="C1578" t="s">
        <v>1806</v>
      </c>
      <c r="D1578" s="1">
        <v>46077</v>
      </c>
      <c r="E1578" t="s">
        <v>14</v>
      </c>
      <c r="F1578" t="s">
        <v>15</v>
      </c>
      <c r="G1578" t="s">
        <v>327</v>
      </c>
      <c r="H1578" t="s">
        <v>23</v>
      </c>
      <c r="I1578" t="s">
        <v>1751</v>
      </c>
      <c r="J1578" t="s">
        <v>363</v>
      </c>
      <c r="K1578">
        <v>1</v>
      </c>
      <c r="L1578">
        <v>216000</v>
      </c>
      <c r="M1578">
        <v>0</v>
      </c>
      <c r="N1578">
        <v>149000</v>
      </c>
      <c r="O1578">
        <v>216000</v>
      </c>
    </row>
    <row r="1579" spans="1:15" x14ac:dyDescent="0.35">
      <c r="A1579" t="s">
        <v>1752</v>
      </c>
      <c r="B1579">
        <v>273666.66666666669</v>
      </c>
      <c r="C1579" t="s">
        <v>1807</v>
      </c>
      <c r="D1579" s="1">
        <v>46094</v>
      </c>
      <c r="E1579" t="s">
        <v>14</v>
      </c>
      <c r="F1579" t="s">
        <v>15</v>
      </c>
      <c r="G1579" t="s">
        <v>447</v>
      </c>
      <c r="H1579" t="s">
        <v>23</v>
      </c>
      <c r="I1579" t="s">
        <v>1751</v>
      </c>
      <c r="J1579" t="s">
        <v>363</v>
      </c>
      <c r="K1579">
        <v>1</v>
      </c>
      <c r="L1579">
        <v>429000</v>
      </c>
      <c r="M1579">
        <v>0</v>
      </c>
      <c r="N1579">
        <v>295000</v>
      </c>
      <c r="O1579">
        <v>429000</v>
      </c>
    </row>
    <row r="1580" spans="1:15" x14ac:dyDescent="0.35">
      <c r="A1580" t="s">
        <v>1752</v>
      </c>
      <c r="B1580">
        <v>273666.66666666669</v>
      </c>
      <c r="C1580" t="s">
        <v>1808</v>
      </c>
      <c r="D1580" s="1">
        <v>46094</v>
      </c>
      <c r="E1580" t="s">
        <v>14</v>
      </c>
      <c r="F1580" t="s">
        <v>15</v>
      </c>
      <c r="G1580" t="s">
        <v>85</v>
      </c>
      <c r="H1580" t="s">
        <v>23</v>
      </c>
      <c r="I1580" t="s">
        <v>1751</v>
      </c>
      <c r="J1580" t="s">
        <v>363</v>
      </c>
      <c r="K1580">
        <v>2</v>
      </c>
      <c r="L1580">
        <v>359000</v>
      </c>
      <c r="M1580">
        <v>0.1</v>
      </c>
      <c r="N1580">
        <v>238000</v>
      </c>
      <c r="O1580">
        <v>359000</v>
      </c>
    </row>
    <row r="1581" spans="1:15" x14ac:dyDescent="0.35">
      <c r="A1581" t="s">
        <v>1752</v>
      </c>
      <c r="B1581">
        <v>273666.66666666669</v>
      </c>
      <c r="C1581" t="s">
        <v>1809</v>
      </c>
      <c r="D1581" s="1">
        <v>46103</v>
      </c>
      <c r="E1581" t="s">
        <v>14</v>
      </c>
      <c r="F1581" t="s">
        <v>15</v>
      </c>
      <c r="G1581" t="s">
        <v>559</v>
      </c>
      <c r="H1581" t="s">
        <v>23</v>
      </c>
      <c r="I1581" t="s">
        <v>1751</v>
      </c>
      <c r="J1581" t="s">
        <v>363</v>
      </c>
      <c r="K1581">
        <v>1</v>
      </c>
      <c r="L1581">
        <v>433000</v>
      </c>
      <c r="M1581">
        <v>0</v>
      </c>
      <c r="N1581">
        <v>284000</v>
      </c>
      <c r="O1581">
        <v>433000</v>
      </c>
    </row>
    <row r="1582" spans="1:15" x14ac:dyDescent="0.35">
      <c r="A1582" t="s">
        <v>1752</v>
      </c>
      <c r="B1582">
        <v>273666.66666666669</v>
      </c>
      <c r="C1582" t="s">
        <v>1810</v>
      </c>
      <c r="D1582" s="1">
        <v>46103</v>
      </c>
      <c r="E1582" t="s">
        <v>49</v>
      </c>
      <c r="F1582" t="s">
        <v>50</v>
      </c>
      <c r="G1582" t="s">
        <v>221</v>
      </c>
      <c r="H1582" t="s">
        <v>17</v>
      </c>
      <c r="I1582" t="s">
        <v>1751</v>
      </c>
      <c r="J1582" t="s">
        <v>363</v>
      </c>
      <c r="K1582">
        <v>1</v>
      </c>
      <c r="L1582">
        <v>302000</v>
      </c>
      <c r="M1582">
        <v>0.05</v>
      </c>
      <c r="N1582">
        <v>196000</v>
      </c>
      <c r="O1582">
        <v>302000</v>
      </c>
    </row>
    <row r="1583" spans="1:15" x14ac:dyDescent="0.35">
      <c r="A1583" t="s">
        <v>1752</v>
      </c>
      <c r="B1583">
        <v>273666.66666666669</v>
      </c>
      <c r="C1583" t="s">
        <v>1811</v>
      </c>
      <c r="D1583" s="1">
        <v>46108</v>
      </c>
      <c r="E1583" t="s">
        <v>14</v>
      </c>
      <c r="F1583" t="s">
        <v>15</v>
      </c>
      <c r="G1583" t="s">
        <v>95</v>
      </c>
      <c r="H1583" t="s">
        <v>23</v>
      </c>
      <c r="I1583" t="s">
        <v>1751</v>
      </c>
      <c r="J1583" t="s">
        <v>363</v>
      </c>
      <c r="K1583">
        <v>1</v>
      </c>
      <c r="L1583">
        <v>294000</v>
      </c>
      <c r="M1583">
        <v>0</v>
      </c>
      <c r="N1583">
        <v>197000</v>
      </c>
      <c r="O1583">
        <v>294000</v>
      </c>
    </row>
    <row r="1584" spans="1:15" x14ac:dyDescent="0.35">
      <c r="A1584" t="s">
        <v>1752</v>
      </c>
      <c r="B1584">
        <v>273666.66666666669</v>
      </c>
      <c r="C1584" t="s">
        <v>1812</v>
      </c>
      <c r="D1584" s="1">
        <v>46169</v>
      </c>
      <c r="E1584" t="s">
        <v>14</v>
      </c>
      <c r="F1584" t="s">
        <v>15</v>
      </c>
      <c r="G1584" t="s">
        <v>201</v>
      </c>
      <c r="H1584" t="s">
        <v>58</v>
      </c>
      <c r="I1584" t="s">
        <v>1751</v>
      </c>
      <c r="J1584" t="s">
        <v>363</v>
      </c>
      <c r="K1584">
        <v>1</v>
      </c>
      <c r="L1584">
        <v>233000</v>
      </c>
      <c r="M1584">
        <v>0</v>
      </c>
      <c r="N1584">
        <v>153000</v>
      </c>
      <c r="O1584">
        <v>233000</v>
      </c>
    </row>
    <row r="1585" spans="1:15" x14ac:dyDescent="0.35">
      <c r="A1585" t="s">
        <v>1752</v>
      </c>
      <c r="B1585">
        <v>273666.66666666669</v>
      </c>
      <c r="C1585" t="s">
        <v>1813</v>
      </c>
      <c r="D1585" s="1">
        <v>46174</v>
      </c>
      <c r="E1585" t="s">
        <v>14</v>
      </c>
      <c r="F1585" t="s">
        <v>15</v>
      </c>
      <c r="G1585" t="s">
        <v>150</v>
      </c>
      <c r="H1585" t="s">
        <v>28</v>
      </c>
      <c r="I1585" t="s">
        <v>1751</v>
      </c>
      <c r="J1585" t="s">
        <v>363</v>
      </c>
      <c r="K1585">
        <v>3</v>
      </c>
      <c r="L1585">
        <v>331000</v>
      </c>
      <c r="M1585">
        <v>0</v>
      </c>
      <c r="N1585">
        <v>226000</v>
      </c>
      <c r="O1585">
        <v>331000</v>
      </c>
    </row>
    <row r="1586" spans="1:15" x14ac:dyDescent="0.35">
      <c r="A1586" t="s">
        <v>1816</v>
      </c>
      <c r="B1586">
        <v>191750</v>
      </c>
      <c r="C1586" t="s">
        <v>1814</v>
      </c>
      <c r="D1586" s="1">
        <v>44968</v>
      </c>
      <c r="E1586" t="s">
        <v>41</v>
      </c>
      <c r="F1586" t="s">
        <v>42</v>
      </c>
      <c r="G1586" t="s">
        <v>366</v>
      </c>
      <c r="H1586" t="s">
        <v>58</v>
      </c>
      <c r="I1586" t="s">
        <v>1815</v>
      </c>
      <c r="J1586" t="s">
        <v>754</v>
      </c>
      <c r="K1586">
        <v>1</v>
      </c>
      <c r="L1586">
        <v>191750</v>
      </c>
      <c r="M1586">
        <v>0</v>
      </c>
      <c r="N1586">
        <v>129000</v>
      </c>
      <c r="O1586">
        <v>191750</v>
      </c>
    </row>
    <row r="1587" spans="1:15" x14ac:dyDescent="0.35">
      <c r="A1587" t="s">
        <v>1816</v>
      </c>
      <c r="B1587">
        <v>191750</v>
      </c>
      <c r="C1587" t="s">
        <v>1817</v>
      </c>
      <c r="D1587" s="1">
        <v>44969</v>
      </c>
      <c r="E1587" t="s">
        <v>49</v>
      </c>
      <c r="F1587" t="s">
        <v>50</v>
      </c>
      <c r="G1587" t="s">
        <v>162</v>
      </c>
      <c r="H1587" t="s">
        <v>28</v>
      </c>
      <c r="I1587" t="s">
        <v>1815</v>
      </c>
      <c r="J1587" t="s">
        <v>754</v>
      </c>
      <c r="K1587">
        <v>2</v>
      </c>
      <c r="L1587">
        <v>210000</v>
      </c>
      <c r="M1587">
        <v>0</v>
      </c>
      <c r="N1587">
        <v>150000</v>
      </c>
      <c r="O1587">
        <v>210000</v>
      </c>
    </row>
    <row r="1588" spans="1:15" x14ac:dyDescent="0.35">
      <c r="A1588" t="s">
        <v>1816</v>
      </c>
      <c r="B1588">
        <v>191750</v>
      </c>
      <c r="C1588" t="s">
        <v>1818</v>
      </c>
      <c r="D1588" s="1">
        <v>45011</v>
      </c>
      <c r="E1588" t="s">
        <v>25</v>
      </c>
      <c r="F1588" t="s">
        <v>26</v>
      </c>
      <c r="G1588" t="s">
        <v>130</v>
      </c>
      <c r="H1588" t="s">
        <v>28</v>
      </c>
      <c r="I1588" t="s">
        <v>1815</v>
      </c>
      <c r="J1588" t="s">
        <v>754</v>
      </c>
      <c r="K1588">
        <v>2</v>
      </c>
      <c r="L1588">
        <v>214000</v>
      </c>
      <c r="M1588">
        <v>0</v>
      </c>
      <c r="N1588">
        <v>148000</v>
      </c>
      <c r="O1588">
        <v>214000</v>
      </c>
    </row>
    <row r="1589" spans="1:15" x14ac:dyDescent="0.35">
      <c r="A1589" t="s">
        <v>1816</v>
      </c>
      <c r="B1589">
        <v>191750</v>
      </c>
      <c r="C1589" t="s">
        <v>1819</v>
      </c>
      <c r="D1589" s="1">
        <v>45023</v>
      </c>
      <c r="E1589" t="s">
        <v>25</v>
      </c>
      <c r="F1589" t="s">
        <v>26</v>
      </c>
      <c r="G1589" t="s">
        <v>134</v>
      </c>
      <c r="H1589" t="s">
        <v>28</v>
      </c>
      <c r="I1589" t="s">
        <v>1815</v>
      </c>
      <c r="J1589" t="s">
        <v>754</v>
      </c>
      <c r="K1589">
        <v>1</v>
      </c>
      <c r="L1589">
        <v>177000</v>
      </c>
      <c r="M1589">
        <v>0</v>
      </c>
      <c r="N1589">
        <v>127000</v>
      </c>
      <c r="O1589">
        <v>177000</v>
      </c>
    </row>
    <row r="1590" spans="1:15" x14ac:dyDescent="0.35">
      <c r="A1590" t="s">
        <v>1816</v>
      </c>
      <c r="B1590">
        <v>191750</v>
      </c>
      <c r="C1590" t="s">
        <v>1820</v>
      </c>
      <c r="D1590" s="1">
        <v>45050</v>
      </c>
      <c r="E1590" t="s">
        <v>14</v>
      </c>
      <c r="F1590" t="s">
        <v>15</v>
      </c>
      <c r="G1590" t="s">
        <v>39</v>
      </c>
      <c r="H1590" t="s">
        <v>23</v>
      </c>
      <c r="I1590" t="s">
        <v>1815</v>
      </c>
      <c r="J1590" t="s">
        <v>754</v>
      </c>
      <c r="K1590">
        <v>1</v>
      </c>
      <c r="L1590">
        <v>206000</v>
      </c>
      <c r="M1590">
        <v>0</v>
      </c>
      <c r="N1590">
        <v>145000</v>
      </c>
      <c r="O1590">
        <v>206000</v>
      </c>
    </row>
    <row r="1591" spans="1:15" x14ac:dyDescent="0.35">
      <c r="A1591" t="s">
        <v>1816</v>
      </c>
      <c r="B1591">
        <v>191750</v>
      </c>
      <c r="C1591" t="s">
        <v>1821</v>
      </c>
      <c r="D1591" s="1">
        <v>45054</v>
      </c>
      <c r="E1591" t="s">
        <v>41</v>
      </c>
      <c r="F1591" t="s">
        <v>42</v>
      </c>
      <c r="G1591" t="s">
        <v>155</v>
      </c>
      <c r="H1591" t="s">
        <v>58</v>
      </c>
      <c r="I1591" t="s">
        <v>1815</v>
      </c>
      <c r="J1591" t="s">
        <v>754</v>
      </c>
      <c r="K1591">
        <v>3</v>
      </c>
      <c r="L1591">
        <v>149000</v>
      </c>
      <c r="M1591">
        <v>0</v>
      </c>
      <c r="N1591">
        <v>106000</v>
      </c>
      <c r="O1591">
        <v>149000</v>
      </c>
    </row>
    <row r="1592" spans="1:15" x14ac:dyDescent="0.35">
      <c r="A1592" t="s">
        <v>1816</v>
      </c>
      <c r="B1592">
        <v>191750</v>
      </c>
      <c r="C1592" t="s">
        <v>1822</v>
      </c>
      <c r="D1592" s="1">
        <v>45065</v>
      </c>
      <c r="E1592" t="s">
        <v>41</v>
      </c>
      <c r="F1592" t="s">
        <v>42</v>
      </c>
      <c r="G1592" t="s">
        <v>55</v>
      </c>
      <c r="H1592" t="s">
        <v>17</v>
      </c>
      <c r="I1592" t="s">
        <v>1815</v>
      </c>
      <c r="J1592" t="s">
        <v>754</v>
      </c>
      <c r="K1592">
        <v>1</v>
      </c>
      <c r="L1592">
        <v>143000</v>
      </c>
      <c r="M1592">
        <v>0</v>
      </c>
      <c r="N1592">
        <v>103000</v>
      </c>
      <c r="O1592">
        <v>143000</v>
      </c>
    </row>
    <row r="1593" spans="1:15" x14ac:dyDescent="0.35">
      <c r="A1593" t="s">
        <v>1816</v>
      </c>
      <c r="B1593">
        <v>191750</v>
      </c>
      <c r="C1593" t="s">
        <v>1823</v>
      </c>
      <c r="D1593" s="1">
        <v>45072</v>
      </c>
      <c r="E1593" t="s">
        <v>14</v>
      </c>
      <c r="F1593" t="s">
        <v>15</v>
      </c>
      <c r="G1593" t="s">
        <v>55</v>
      </c>
      <c r="H1593" t="s">
        <v>17</v>
      </c>
      <c r="I1593" t="s">
        <v>1815</v>
      </c>
      <c r="J1593" t="s">
        <v>754</v>
      </c>
      <c r="K1593">
        <v>1</v>
      </c>
      <c r="L1593">
        <v>240000</v>
      </c>
      <c r="M1593">
        <v>0</v>
      </c>
      <c r="N1593">
        <v>171000</v>
      </c>
      <c r="O1593">
        <v>240000</v>
      </c>
    </row>
    <row r="1594" spans="1:15" x14ac:dyDescent="0.35">
      <c r="A1594" t="s">
        <v>1816</v>
      </c>
      <c r="B1594">
        <v>191750</v>
      </c>
      <c r="C1594" t="s">
        <v>1824</v>
      </c>
      <c r="D1594" s="1">
        <v>45091</v>
      </c>
      <c r="E1594" t="s">
        <v>36</v>
      </c>
      <c r="F1594" t="s">
        <v>37</v>
      </c>
      <c r="G1594" t="s">
        <v>394</v>
      </c>
      <c r="H1594" t="s">
        <v>23</v>
      </c>
      <c r="I1594" t="s">
        <v>1815</v>
      </c>
      <c r="J1594" t="s">
        <v>754</v>
      </c>
      <c r="K1594">
        <v>2</v>
      </c>
      <c r="L1594">
        <v>162000</v>
      </c>
      <c r="M1594">
        <v>0</v>
      </c>
      <c r="N1594">
        <v>115000</v>
      </c>
      <c r="O1594">
        <v>162000</v>
      </c>
    </row>
    <row r="1595" spans="1:15" x14ac:dyDescent="0.35">
      <c r="A1595" t="s">
        <v>1816</v>
      </c>
      <c r="B1595">
        <v>191750</v>
      </c>
      <c r="C1595" t="s">
        <v>1825</v>
      </c>
      <c r="D1595" s="1">
        <v>45092</v>
      </c>
      <c r="E1595" t="s">
        <v>25</v>
      </c>
      <c r="F1595" t="s">
        <v>26</v>
      </c>
      <c r="G1595" t="s">
        <v>366</v>
      </c>
      <c r="H1595" t="s">
        <v>58</v>
      </c>
      <c r="I1595" t="s">
        <v>1815</v>
      </c>
      <c r="J1595" t="s">
        <v>754</v>
      </c>
      <c r="K1595">
        <v>1</v>
      </c>
      <c r="L1595">
        <v>232000</v>
      </c>
      <c r="M1595">
        <v>0</v>
      </c>
      <c r="N1595">
        <v>163000</v>
      </c>
      <c r="O1595">
        <v>232000</v>
      </c>
    </row>
    <row r="1596" spans="1:15" x14ac:dyDescent="0.35">
      <c r="A1596" t="s">
        <v>1816</v>
      </c>
      <c r="B1596">
        <v>191750</v>
      </c>
      <c r="C1596" t="s">
        <v>1826</v>
      </c>
      <c r="D1596" s="1">
        <v>45097</v>
      </c>
      <c r="E1596" t="s">
        <v>41</v>
      </c>
      <c r="F1596" t="s">
        <v>42</v>
      </c>
      <c r="G1596" t="s">
        <v>368</v>
      </c>
      <c r="H1596" t="s">
        <v>23</v>
      </c>
      <c r="I1596" t="s">
        <v>1815</v>
      </c>
      <c r="J1596" t="s">
        <v>754</v>
      </c>
      <c r="K1596">
        <v>2</v>
      </c>
      <c r="L1596">
        <v>209000</v>
      </c>
      <c r="M1596">
        <v>0</v>
      </c>
      <c r="N1596">
        <v>143000</v>
      </c>
      <c r="O1596">
        <v>209000</v>
      </c>
    </row>
    <row r="1597" spans="1:15" x14ac:dyDescent="0.35">
      <c r="A1597" t="s">
        <v>1816</v>
      </c>
      <c r="B1597">
        <v>191750</v>
      </c>
      <c r="C1597" t="s">
        <v>1827</v>
      </c>
      <c r="D1597" s="1">
        <v>45127</v>
      </c>
      <c r="E1597" t="s">
        <v>14</v>
      </c>
      <c r="F1597" t="s">
        <v>15</v>
      </c>
      <c r="G1597" t="s">
        <v>150</v>
      </c>
      <c r="H1597" t="s">
        <v>28</v>
      </c>
      <c r="I1597" t="s">
        <v>1815</v>
      </c>
      <c r="J1597" t="s">
        <v>754</v>
      </c>
      <c r="K1597">
        <v>2</v>
      </c>
      <c r="L1597">
        <v>232000</v>
      </c>
      <c r="M1597">
        <v>0</v>
      </c>
      <c r="N1597">
        <v>159000</v>
      </c>
      <c r="O1597">
        <v>232000</v>
      </c>
    </row>
    <row r="1598" spans="1:15" x14ac:dyDescent="0.35">
      <c r="A1598" t="s">
        <v>1816</v>
      </c>
      <c r="B1598">
        <v>191750</v>
      </c>
      <c r="C1598" t="s">
        <v>1828</v>
      </c>
      <c r="D1598" s="1">
        <v>45164</v>
      </c>
      <c r="E1598" t="s">
        <v>14</v>
      </c>
      <c r="F1598" t="s">
        <v>15</v>
      </c>
      <c r="G1598" t="s">
        <v>270</v>
      </c>
      <c r="H1598" t="s">
        <v>23</v>
      </c>
      <c r="I1598" t="s">
        <v>1815</v>
      </c>
      <c r="J1598" t="s">
        <v>754</v>
      </c>
      <c r="K1598">
        <v>1</v>
      </c>
      <c r="L1598">
        <v>201000</v>
      </c>
      <c r="M1598">
        <v>0</v>
      </c>
      <c r="N1598">
        <v>143000</v>
      </c>
      <c r="O1598">
        <v>201000</v>
      </c>
    </row>
    <row r="1599" spans="1:15" x14ac:dyDescent="0.35">
      <c r="A1599" t="s">
        <v>1816</v>
      </c>
      <c r="B1599">
        <v>191750</v>
      </c>
      <c r="C1599" t="s">
        <v>1829</v>
      </c>
      <c r="D1599" s="1">
        <v>45168</v>
      </c>
      <c r="E1599" t="s">
        <v>25</v>
      </c>
      <c r="F1599" t="s">
        <v>26</v>
      </c>
      <c r="G1599" t="s">
        <v>117</v>
      </c>
      <c r="H1599" t="s">
        <v>23</v>
      </c>
      <c r="I1599" t="s">
        <v>1815</v>
      </c>
      <c r="J1599" t="s">
        <v>754</v>
      </c>
      <c r="K1599">
        <v>1</v>
      </c>
      <c r="L1599">
        <v>130000</v>
      </c>
      <c r="M1599">
        <v>0</v>
      </c>
      <c r="N1599">
        <v>91000</v>
      </c>
      <c r="O1599">
        <v>130000</v>
      </c>
    </row>
    <row r="1600" spans="1:15" x14ac:dyDescent="0.35">
      <c r="A1600" t="s">
        <v>1816</v>
      </c>
      <c r="B1600">
        <v>191750</v>
      </c>
      <c r="C1600" t="s">
        <v>1830</v>
      </c>
      <c r="D1600" s="1">
        <v>45174</v>
      </c>
      <c r="E1600" t="s">
        <v>14</v>
      </c>
      <c r="F1600" t="s">
        <v>15</v>
      </c>
      <c r="G1600" t="s">
        <v>83</v>
      </c>
      <c r="H1600" t="s">
        <v>23</v>
      </c>
      <c r="I1600" t="s">
        <v>1815</v>
      </c>
      <c r="J1600" t="s">
        <v>754</v>
      </c>
      <c r="K1600">
        <v>1</v>
      </c>
      <c r="L1600">
        <v>237000</v>
      </c>
      <c r="M1600">
        <v>0</v>
      </c>
      <c r="N1600">
        <v>161000</v>
      </c>
      <c r="O1600">
        <v>237000</v>
      </c>
    </row>
    <row r="1601" spans="1:15" x14ac:dyDescent="0.35">
      <c r="A1601" t="s">
        <v>1816</v>
      </c>
      <c r="B1601">
        <v>191750</v>
      </c>
      <c r="C1601" t="s">
        <v>1831</v>
      </c>
      <c r="D1601" s="1">
        <v>45176</v>
      </c>
      <c r="E1601" t="s">
        <v>14</v>
      </c>
      <c r="F1601" t="s">
        <v>15</v>
      </c>
      <c r="G1601" t="s">
        <v>79</v>
      </c>
      <c r="H1601" t="s">
        <v>17</v>
      </c>
      <c r="I1601" t="s">
        <v>1815</v>
      </c>
      <c r="J1601" t="s">
        <v>754</v>
      </c>
      <c r="K1601">
        <v>1</v>
      </c>
      <c r="L1601">
        <v>216000</v>
      </c>
      <c r="M1601">
        <v>0</v>
      </c>
      <c r="N1601">
        <v>155000</v>
      </c>
      <c r="O1601">
        <v>216000</v>
      </c>
    </row>
    <row r="1602" spans="1:15" x14ac:dyDescent="0.35">
      <c r="A1602" t="s">
        <v>1816</v>
      </c>
      <c r="B1602">
        <v>191750</v>
      </c>
      <c r="C1602" t="s">
        <v>1832</v>
      </c>
      <c r="D1602" s="1">
        <v>45181</v>
      </c>
      <c r="E1602" t="s">
        <v>41</v>
      </c>
      <c r="F1602" t="s">
        <v>42</v>
      </c>
      <c r="G1602" t="s">
        <v>255</v>
      </c>
      <c r="H1602" t="s">
        <v>17</v>
      </c>
      <c r="I1602" t="s">
        <v>1815</v>
      </c>
      <c r="J1602" t="s">
        <v>754</v>
      </c>
      <c r="K1602">
        <v>3</v>
      </c>
      <c r="L1602">
        <v>151000</v>
      </c>
      <c r="M1602">
        <v>0</v>
      </c>
      <c r="N1602">
        <v>104000</v>
      </c>
      <c r="O1602">
        <v>151000</v>
      </c>
    </row>
    <row r="1603" spans="1:15" x14ac:dyDescent="0.35">
      <c r="A1603" t="s">
        <v>1816</v>
      </c>
      <c r="B1603">
        <v>191750</v>
      </c>
      <c r="C1603" t="s">
        <v>1833</v>
      </c>
      <c r="D1603" s="1">
        <v>45197</v>
      </c>
      <c r="E1603" t="s">
        <v>49</v>
      </c>
      <c r="F1603" t="s">
        <v>50</v>
      </c>
      <c r="G1603" t="s">
        <v>216</v>
      </c>
      <c r="H1603" t="s">
        <v>17</v>
      </c>
      <c r="I1603" t="s">
        <v>1815</v>
      </c>
      <c r="J1603" t="s">
        <v>754</v>
      </c>
      <c r="K1603">
        <v>1</v>
      </c>
      <c r="L1603">
        <v>191750</v>
      </c>
      <c r="M1603">
        <v>0</v>
      </c>
      <c r="N1603">
        <v>129000</v>
      </c>
      <c r="O1603">
        <v>191750</v>
      </c>
    </row>
    <row r="1604" spans="1:15" x14ac:dyDescent="0.35">
      <c r="A1604" t="s">
        <v>1816</v>
      </c>
      <c r="B1604">
        <v>191750</v>
      </c>
      <c r="C1604" t="s">
        <v>1834</v>
      </c>
      <c r="D1604" s="1">
        <v>45246</v>
      </c>
      <c r="E1604" t="s">
        <v>36</v>
      </c>
      <c r="F1604" t="s">
        <v>37</v>
      </c>
      <c r="G1604" t="s">
        <v>30</v>
      </c>
      <c r="H1604" t="s">
        <v>23</v>
      </c>
      <c r="I1604" t="s">
        <v>1815</v>
      </c>
      <c r="J1604" t="s">
        <v>754</v>
      </c>
      <c r="K1604">
        <v>2</v>
      </c>
      <c r="L1604">
        <v>137000</v>
      </c>
      <c r="M1604">
        <v>0</v>
      </c>
      <c r="N1604">
        <v>97000</v>
      </c>
      <c r="O1604">
        <v>137000</v>
      </c>
    </row>
    <row r="1605" spans="1:15" x14ac:dyDescent="0.35">
      <c r="A1605" t="s">
        <v>1816</v>
      </c>
      <c r="B1605">
        <v>191750</v>
      </c>
      <c r="C1605" t="s">
        <v>1835</v>
      </c>
      <c r="D1605" s="1">
        <v>45255</v>
      </c>
      <c r="E1605" t="s">
        <v>49</v>
      </c>
      <c r="F1605" t="s">
        <v>50</v>
      </c>
      <c r="G1605" t="s">
        <v>247</v>
      </c>
      <c r="H1605" t="s">
        <v>17</v>
      </c>
      <c r="I1605" t="s">
        <v>1815</v>
      </c>
      <c r="J1605" t="s">
        <v>754</v>
      </c>
      <c r="K1605">
        <v>2</v>
      </c>
      <c r="L1605">
        <v>239000</v>
      </c>
      <c r="M1605">
        <v>0</v>
      </c>
      <c r="N1605">
        <v>163000</v>
      </c>
      <c r="O1605">
        <v>239000</v>
      </c>
    </row>
    <row r="1606" spans="1:15" x14ac:dyDescent="0.35">
      <c r="A1606" t="s">
        <v>1816</v>
      </c>
      <c r="B1606">
        <v>191750</v>
      </c>
      <c r="C1606" t="s">
        <v>1836</v>
      </c>
      <c r="D1606" s="1">
        <v>45263</v>
      </c>
      <c r="E1606" t="s">
        <v>49</v>
      </c>
      <c r="F1606" t="s">
        <v>50</v>
      </c>
      <c r="G1606" t="s">
        <v>295</v>
      </c>
      <c r="H1606" t="s">
        <v>23</v>
      </c>
      <c r="I1606" t="s">
        <v>1815</v>
      </c>
      <c r="J1606" t="s">
        <v>754</v>
      </c>
      <c r="K1606">
        <v>1</v>
      </c>
      <c r="L1606">
        <v>159000</v>
      </c>
      <c r="M1606">
        <v>0</v>
      </c>
      <c r="N1606">
        <v>110000</v>
      </c>
      <c r="O1606">
        <v>159000</v>
      </c>
    </row>
    <row r="1607" spans="1:15" x14ac:dyDescent="0.35">
      <c r="A1607" t="s">
        <v>1816</v>
      </c>
      <c r="B1607">
        <v>191750</v>
      </c>
      <c r="C1607" t="s">
        <v>1837</v>
      </c>
      <c r="D1607" s="1">
        <v>45279</v>
      </c>
      <c r="E1607" t="s">
        <v>41</v>
      </c>
      <c r="F1607" t="s">
        <v>42</v>
      </c>
      <c r="G1607" t="s">
        <v>57</v>
      </c>
      <c r="H1607" t="s">
        <v>58</v>
      </c>
      <c r="I1607" t="s">
        <v>1815</v>
      </c>
      <c r="J1607" t="s">
        <v>754</v>
      </c>
      <c r="K1607">
        <v>1</v>
      </c>
      <c r="L1607">
        <v>186000</v>
      </c>
      <c r="M1607">
        <v>0</v>
      </c>
      <c r="N1607">
        <v>128000</v>
      </c>
      <c r="O1607">
        <v>186000</v>
      </c>
    </row>
    <row r="1608" spans="1:15" x14ac:dyDescent="0.35">
      <c r="A1608" t="s">
        <v>1816</v>
      </c>
      <c r="B1608">
        <v>191750</v>
      </c>
      <c r="C1608" t="s">
        <v>1838</v>
      </c>
      <c r="D1608" s="1">
        <v>45282</v>
      </c>
      <c r="E1608" t="s">
        <v>14</v>
      </c>
      <c r="F1608" t="s">
        <v>15</v>
      </c>
      <c r="G1608" t="s">
        <v>85</v>
      </c>
      <c r="H1608" t="s">
        <v>23</v>
      </c>
      <c r="I1608" t="s">
        <v>1815</v>
      </c>
      <c r="J1608" t="s">
        <v>754</v>
      </c>
      <c r="K1608">
        <v>1</v>
      </c>
      <c r="L1608">
        <v>181000</v>
      </c>
      <c r="M1608">
        <v>0</v>
      </c>
      <c r="N1608">
        <v>125000</v>
      </c>
      <c r="O1608">
        <v>181000</v>
      </c>
    </row>
    <row r="1609" spans="1:15" x14ac:dyDescent="0.35">
      <c r="A1609" t="s">
        <v>1816</v>
      </c>
      <c r="B1609">
        <v>191750</v>
      </c>
      <c r="C1609" t="s">
        <v>1839</v>
      </c>
      <c r="D1609" s="1">
        <v>45360</v>
      </c>
      <c r="E1609" t="s">
        <v>14</v>
      </c>
      <c r="F1609" t="s">
        <v>15</v>
      </c>
      <c r="G1609" t="s">
        <v>329</v>
      </c>
      <c r="H1609" t="s">
        <v>28</v>
      </c>
      <c r="I1609" t="s">
        <v>1815</v>
      </c>
      <c r="J1609" t="s">
        <v>754</v>
      </c>
      <c r="K1609">
        <v>2</v>
      </c>
      <c r="L1609">
        <v>191000</v>
      </c>
      <c r="M1609">
        <v>0</v>
      </c>
      <c r="N1609">
        <v>135000</v>
      </c>
      <c r="O1609">
        <v>191000</v>
      </c>
    </row>
    <row r="1610" spans="1:15" x14ac:dyDescent="0.35">
      <c r="A1610" t="s">
        <v>1816</v>
      </c>
      <c r="B1610">
        <v>191750</v>
      </c>
      <c r="C1610" t="s">
        <v>1840</v>
      </c>
      <c r="D1610" s="1">
        <v>45392</v>
      </c>
      <c r="E1610" t="s">
        <v>41</v>
      </c>
      <c r="F1610" t="s">
        <v>42</v>
      </c>
      <c r="G1610" t="s">
        <v>214</v>
      </c>
      <c r="H1610" t="s">
        <v>23</v>
      </c>
      <c r="I1610" t="s">
        <v>1815</v>
      </c>
      <c r="J1610" t="s">
        <v>754</v>
      </c>
      <c r="K1610">
        <v>1</v>
      </c>
      <c r="L1610">
        <v>247000</v>
      </c>
      <c r="M1610">
        <v>0</v>
      </c>
      <c r="N1610">
        <v>172000</v>
      </c>
      <c r="O1610">
        <v>247000</v>
      </c>
    </row>
    <row r="1611" spans="1:15" x14ac:dyDescent="0.35">
      <c r="A1611" t="s">
        <v>1816</v>
      </c>
      <c r="B1611">
        <v>191750</v>
      </c>
      <c r="C1611" t="s">
        <v>1841</v>
      </c>
      <c r="D1611" s="1">
        <v>45457</v>
      </c>
      <c r="E1611" t="s">
        <v>14</v>
      </c>
      <c r="F1611" t="s">
        <v>15</v>
      </c>
      <c r="G1611" t="s">
        <v>87</v>
      </c>
      <c r="H1611" t="s">
        <v>17</v>
      </c>
      <c r="I1611" t="s">
        <v>1815</v>
      </c>
      <c r="J1611" t="s">
        <v>754</v>
      </c>
      <c r="K1611">
        <v>5</v>
      </c>
      <c r="L1611">
        <v>255000</v>
      </c>
      <c r="M1611">
        <v>0</v>
      </c>
      <c r="N1611">
        <v>175000</v>
      </c>
      <c r="O1611">
        <v>255000</v>
      </c>
    </row>
    <row r="1612" spans="1:15" x14ac:dyDescent="0.35">
      <c r="A1612" t="s">
        <v>1816</v>
      </c>
      <c r="B1612">
        <v>191750</v>
      </c>
      <c r="C1612" t="s">
        <v>1842</v>
      </c>
      <c r="D1612" s="1">
        <v>45473</v>
      </c>
      <c r="E1612" t="s">
        <v>14</v>
      </c>
      <c r="F1612" t="s">
        <v>15</v>
      </c>
      <c r="G1612" t="s">
        <v>582</v>
      </c>
      <c r="H1612" t="s">
        <v>17</v>
      </c>
      <c r="I1612" t="s">
        <v>1815</v>
      </c>
      <c r="J1612" t="s">
        <v>754</v>
      </c>
      <c r="K1612">
        <v>1</v>
      </c>
      <c r="L1612">
        <v>153000</v>
      </c>
      <c r="M1612">
        <v>0</v>
      </c>
      <c r="N1612">
        <v>107000</v>
      </c>
      <c r="O1612">
        <v>153000</v>
      </c>
    </row>
    <row r="1613" spans="1:15" x14ac:dyDescent="0.35">
      <c r="A1613" t="s">
        <v>1816</v>
      </c>
      <c r="B1613">
        <v>191750</v>
      </c>
      <c r="C1613" t="s">
        <v>1843</v>
      </c>
      <c r="D1613" s="1">
        <v>45495</v>
      </c>
      <c r="E1613" t="s">
        <v>25</v>
      </c>
      <c r="F1613" t="s">
        <v>26</v>
      </c>
      <c r="G1613" t="s">
        <v>598</v>
      </c>
      <c r="H1613" t="s">
        <v>23</v>
      </c>
      <c r="I1613" t="s">
        <v>1815</v>
      </c>
      <c r="J1613" t="s">
        <v>754</v>
      </c>
      <c r="K1613">
        <v>1</v>
      </c>
      <c r="L1613">
        <v>199000</v>
      </c>
      <c r="M1613">
        <v>0</v>
      </c>
      <c r="N1613">
        <v>141000</v>
      </c>
      <c r="O1613">
        <v>199000</v>
      </c>
    </row>
    <row r="1614" spans="1:15" x14ac:dyDescent="0.35">
      <c r="A1614" t="s">
        <v>1816</v>
      </c>
      <c r="B1614">
        <v>191750</v>
      </c>
      <c r="C1614" t="s">
        <v>1844</v>
      </c>
      <c r="D1614" s="1">
        <v>45504</v>
      </c>
      <c r="E1614" t="s">
        <v>14</v>
      </c>
      <c r="F1614" t="s">
        <v>15</v>
      </c>
      <c r="G1614" t="s">
        <v>239</v>
      </c>
      <c r="H1614" t="s">
        <v>23</v>
      </c>
      <c r="I1614" t="s">
        <v>1815</v>
      </c>
      <c r="J1614" t="s">
        <v>754</v>
      </c>
      <c r="K1614">
        <v>1</v>
      </c>
      <c r="L1614">
        <v>160000</v>
      </c>
      <c r="M1614">
        <v>0</v>
      </c>
      <c r="N1614">
        <v>109000</v>
      </c>
      <c r="O1614">
        <v>160000</v>
      </c>
    </row>
    <row r="1615" spans="1:15" x14ac:dyDescent="0.35">
      <c r="A1615" t="s">
        <v>1816</v>
      </c>
      <c r="B1615">
        <v>191750</v>
      </c>
      <c r="C1615" t="s">
        <v>1845</v>
      </c>
      <c r="D1615" s="1">
        <v>45516</v>
      </c>
      <c r="E1615" t="s">
        <v>14</v>
      </c>
      <c r="F1615" t="s">
        <v>15</v>
      </c>
      <c r="G1615" t="s">
        <v>447</v>
      </c>
      <c r="H1615" t="s">
        <v>23</v>
      </c>
      <c r="I1615" t="s">
        <v>1815</v>
      </c>
      <c r="J1615" t="s">
        <v>754</v>
      </c>
      <c r="K1615">
        <v>1</v>
      </c>
      <c r="L1615">
        <v>175000</v>
      </c>
      <c r="M1615">
        <v>0</v>
      </c>
      <c r="N1615">
        <v>121000</v>
      </c>
      <c r="O1615">
        <v>175000</v>
      </c>
    </row>
    <row r="1616" spans="1:15" x14ac:dyDescent="0.35">
      <c r="A1616" t="s">
        <v>1816</v>
      </c>
      <c r="B1616">
        <v>191750</v>
      </c>
      <c r="C1616" t="s">
        <v>1846</v>
      </c>
      <c r="D1616" s="1">
        <v>45520</v>
      </c>
      <c r="E1616" t="s">
        <v>14</v>
      </c>
      <c r="F1616" t="s">
        <v>15</v>
      </c>
      <c r="G1616" t="s">
        <v>32</v>
      </c>
      <c r="H1616" t="s">
        <v>23</v>
      </c>
      <c r="I1616" t="s">
        <v>1815</v>
      </c>
      <c r="J1616" t="s">
        <v>754</v>
      </c>
      <c r="K1616">
        <v>2</v>
      </c>
      <c r="L1616">
        <v>145000</v>
      </c>
      <c r="M1616">
        <v>0</v>
      </c>
      <c r="N1616">
        <v>101000</v>
      </c>
      <c r="O1616">
        <v>145000</v>
      </c>
    </row>
    <row r="1617" spans="1:15" x14ac:dyDescent="0.35">
      <c r="A1617" t="s">
        <v>1816</v>
      </c>
      <c r="B1617">
        <v>191750</v>
      </c>
      <c r="C1617" t="s">
        <v>1847</v>
      </c>
      <c r="D1617" s="1">
        <v>45530</v>
      </c>
      <c r="E1617" t="s">
        <v>14</v>
      </c>
      <c r="F1617" t="s">
        <v>15</v>
      </c>
      <c r="G1617" t="s">
        <v>76</v>
      </c>
      <c r="H1617" t="s">
        <v>23</v>
      </c>
      <c r="I1617" t="s">
        <v>1815</v>
      </c>
      <c r="J1617" t="s">
        <v>754</v>
      </c>
      <c r="K1617">
        <v>1</v>
      </c>
      <c r="L1617">
        <v>210000</v>
      </c>
      <c r="M1617">
        <v>0</v>
      </c>
      <c r="N1617">
        <v>148000</v>
      </c>
      <c r="O1617">
        <v>210000</v>
      </c>
    </row>
    <row r="1618" spans="1:15" x14ac:dyDescent="0.35">
      <c r="A1618" t="s">
        <v>1816</v>
      </c>
      <c r="B1618">
        <v>191750</v>
      </c>
      <c r="C1618" t="s">
        <v>1848</v>
      </c>
      <c r="D1618" s="1">
        <v>45585</v>
      </c>
      <c r="E1618" t="s">
        <v>14</v>
      </c>
      <c r="F1618" t="s">
        <v>15</v>
      </c>
      <c r="G1618" t="s">
        <v>634</v>
      </c>
      <c r="H1618" t="s">
        <v>17</v>
      </c>
      <c r="I1618" t="s">
        <v>1815</v>
      </c>
      <c r="J1618" t="s">
        <v>754</v>
      </c>
      <c r="K1618">
        <v>1</v>
      </c>
      <c r="L1618">
        <v>169000</v>
      </c>
      <c r="M1618">
        <v>0</v>
      </c>
      <c r="N1618">
        <v>118000</v>
      </c>
      <c r="O1618">
        <v>169000</v>
      </c>
    </row>
    <row r="1619" spans="1:15" x14ac:dyDescent="0.35">
      <c r="A1619" t="s">
        <v>1816</v>
      </c>
      <c r="B1619">
        <v>191750</v>
      </c>
      <c r="C1619" t="s">
        <v>1849</v>
      </c>
      <c r="D1619" s="1">
        <v>45611</v>
      </c>
      <c r="E1619" t="s">
        <v>41</v>
      </c>
      <c r="F1619" t="s">
        <v>42</v>
      </c>
      <c r="G1619" t="s">
        <v>134</v>
      </c>
      <c r="H1619" t="s">
        <v>28</v>
      </c>
      <c r="I1619" t="s">
        <v>1815</v>
      </c>
      <c r="J1619" t="s">
        <v>754</v>
      </c>
      <c r="K1619">
        <v>1</v>
      </c>
      <c r="L1619">
        <v>174000</v>
      </c>
      <c r="M1619">
        <v>0</v>
      </c>
      <c r="N1619">
        <v>121000</v>
      </c>
      <c r="O1619">
        <v>174000</v>
      </c>
    </row>
    <row r="1620" spans="1:15" x14ac:dyDescent="0.35">
      <c r="A1620" t="s">
        <v>1816</v>
      </c>
      <c r="B1620">
        <v>191750</v>
      </c>
      <c r="C1620" t="s">
        <v>1850</v>
      </c>
      <c r="D1620" s="1">
        <v>45623</v>
      </c>
      <c r="E1620" t="s">
        <v>14</v>
      </c>
      <c r="F1620" t="s">
        <v>15</v>
      </c>
      <c r="G1620" t="s">
        <v>825</v>
      </c>
      <c r="H1620" t="s">
        <v>23</v>
      </c>
      <c r="I1620" t="s">
        <v>1815</v>
      </c>
      <c r="J1620" t="s">
        <v>754</v>
      </c>
      <c r="K1620">
        <v>3</v>
      </c>
      <c r="L1620">
        <v>251000</v>
      </c>
      <c r="M1620">
        <v>0</v>
      </c>
      <c r="N1620">
        <v>176000</v>
      </c>
      <c r="O1620">
        <v>251000</v>
      </c>
    </row>
    <row r="1621" spans="1:15" x14ac:dyDescent="0.35">
      <c r="A1621" t="s">
        <v>1816</v>
      </c>
      <c r="B1621">
        <v>191750</v>
      </c>
      <c r="C1621" t="s">
        <v>1851</v>
      </c>
      <c r="D1621" s="1">
        <v>45645</v>
      </c>
      <c r="E1621" t="s">
        <v>41</v>
      </c>
      <c r="F1621" t="s">
        <v>42</v>
      </c>
      <c r="G1621" t="s">
        <v>798</v>
      </c>
      <c r="H1621" t="s">
        <v>28</v>
      </c>
      <c r="I1621" t="s">
        <v>1815</v>
      </c>
      <c r="J1621" t="s">
        <v>754</v>
      </c>
      <c r="K1621">
        <v>1</v>
      </c>
      <c r="L1621">
        <v>203000</v>
      </c>
      <c r="M1621">
        <v>0.05</v>
      </c>
      <c r="N1621">
        <v>144000</v>
      </c>
      <c r="O1621">
        <v>203000</v>
      </c>
    </row>
    <row r="1622" spans="1:15" x14ac:dyDescent="0.35">
      <c r="A1622" t="s">
        <v>1816</v>
      </c>
      <c r="B1622">
        <v>191750</v>
      </c>
      <c r="C1622" t="s">
        <v>1852</v>
      </c>
      <c r="D1622" s="1">
        <v>45653</v>
      </c>
      <c r="E1622" t="s">
        <v>36</v>
      </c>
      <c r="F1622" t="s">
        <v>37</v>
      </c>
      <c r="G1622" t="s">
        <v>489</v>
      </c>
      <c r="H1622" t="s">
        <v>17</v>
      </c>
      <c r="I1622" t="s">
        <v>1815</v>
      </c>
      <c r="J1622" t="s">
        <v>754</v>
      </c>
      <c r="K1622">
        <v>1</v>
      </c>
      <c r="L1622">
        <v>139000</v>
      </c>
      <c r="M1622">
        <v>0</v>
      </c>
      <c r="N1622">
        <v>98000</v>
      </c>
      <c r="O1622">
        <v>139000</v>
      </c>
    </row>
    <row r="1623" spans="1:15" x14ac:dyDescent="0.35">
      <c r="A1623" t="s">
        <v>1816</v>
      </c>
      <c r="B1623">
        <v>191750</v>
      </c>
      <c r="C1623" t="s">
        <v>1853</v>
      </c>
      <c r="D1623" s="1">
        <v>45685</v>
      </c>
      <c r="E1623" t="s">
        <v>14</v>
      </c>
      <c r="F1623" t="s">
        <v>15</v>
      </c>
      <c r="G1623" t="s">
        <v>110</v>
      </c>
      <c r="H1623" t="s">
        <v>23</v>
      </c>
      <c r="I1623" t="s">
        <v>1815</v>
      </c>
      <c r="J1623" t="s">
        <v>754</v>
      </c>
      <c r="K1623">
        <v>2</v>
      </c>
      <c r="L1623">
        <v>143000</v>
      </c>
      <c r="M1623">
        <v>0</v>
      </c>
      <c r="N1623">
        <v>98000</v>
      </c>
      <c r="O1623">
        <v>143000</v>
      </c>
    </row>
    <row r="1624" spans="1:15" x14ac:dyDescent="0.35">
      <c r="A1624" t="s">
        <v>1816</v>
      </c>
      <c r="B1624">
        <v>191750</v>
      </c>
      <c r="C1624" t="s">
        <v>1854</v>
      </c>
      <c r="D1624" s="1">
        <v>45707</v>
      </c>
      <c r="E1624" t="s">
        <v>14</v>
      </c>
      <c r="F1624" t="s">
        <v>15</v>
      </c>
      <c r="G1624" t="s">
        <v>32</v>
      </c>
      <c r="H1624" t="s">
        <v>23</v>
      </c>
      <c r="I1624" t="s">
        <v>1815</v>
      </c>
      <c r="J1624" t="s">
        <v>754</v>
      </c>
      <c r="K1624">
        <v>2</v>
      </c>
      <c r="L1624">
        <v>234000</v>
      </c>
      <c r="M1624">
        <v>0</v>
      </c>
      <c r="N1624">
        <v>162000</v>
      </c>
      <c r="O1624">
        <v>234000</v>
      </c>
    </row>
    <row r="1625" spans="1:15" x14ac:dyDescent="0.35">
      <c r="A1625" t="s">
        <v>1816</v>
      </c>
      <c r="B1625">
        <v>191750</v>
      </c>
      <c r="C1625" t="s">
        <v>1855</v>
      </c>
      <c r="D1625" s="1">
        <v>45732</v>
      </c>
      <c r="E1625" t="s">
        <v>36</v>
      </c>
      <c r="F1625" t="s">
        <v>37</v>
      </c>
      <c r="G1625" t="s">
        <v>51</v>
      </c>
      <c r="H1625" t="s">
        <v>23</v>
      </c>
      <c r="I1625" t="s">
        <v>1815</v>
      </c>
      <c r="J1625" t="s">
        <v>754</v>
      </c>
      <c r="K1625">
        <v>1</v>
      </c>
      <c r="L1625">
        <v>182000</v>
      </c>
      <c r="M1625">
        <v>0.05</v>
      </c>
      <c r="N1625">
        <v>128000</v>
      </c>
      <c r="O1625">
        <v>182000</v>
      </c>
    </row>
    <row r="1626" spans="1:15" x14ac:dyDescent="0.35">
      <c r="A1626" t="s">
        <v>1816</v>
      </c>
      <c r="B1626">
        <v>191750</v>
      </c>
      <c r="C1626" t="s">
        <v>1856</v>
      </c>
      <c r="D1626" s="1">
        <v>45740</v>
      </c>
      <c r="E1626" t="s">
        <v>14</v>
      </c>
      <c r="F1626" t="s">
        <v>15</v>
      </c>
      <c r="G1626" t="s">
        <v>270</v>
      </c>
      <c r="H1626" t="s">
        <v>23</v>
      </c>
      <c r="I1626" t="s">
        <v>1815</v>
      </c>
      <c r="J1626" t="s">
        <v>754</v>
      </c>
      <c r="K1626">
        <v>1</v>
      </c>
      <c r="L1626">
        <v>190000</v>
      </c>
      <c r="M1626">
        <v>0</v>
      </c>
      <c r="N1626">
        <v>132000</v>
      </c>
      <c r="O1626">
        <v>190000</v>
      </c>
    </row>
    <row r="1627" spans="1:15" x14ac:dyDescent="0.35">
      <c r="A1627" t="s">
        <v>1816</v>
      </c>
      <c r="B1627">
        <v>191750</v>
      </c>
      <c r="C1627" t="s">
        <v>1857</v>
      </c>
      <c r="D1627" s="1">
        <v>45748</v>
      </c>
      <c r="E1627" t="s">
        <v>14</v>
      </c>
      <c r="F1627" t="s">
        <v>15</v>
      </c>
      <c r="G1627" t="s">
        <v>93</v>
      </c>
      <c r="H1627" t="s">
        <v>23</v>
      </c>
      <c r="I1627" t="s">
        <v>1815</v>
      </c>
      <c r="J1627" t="s">
        <v>754</v>
      </c>
      <c r="K1627">
        <v>1</v>
      </c>
      <c r="L1627">
        <v>238000</v>
      </c>
      <c r="M1627">
        <v>0.05</v>
      </c>
      <c r="N1627">
        <v>171000</v>
      </c>
      <c r="O1627">
        <v>238000</v>
      </c>
    </row>
    <row r="1628" spans="1:15" x14ac:dyDescent="0.35">
      <c r="A1628" t="s">
        <v>1816</v>
      </c>
      <c r="B1628">
        <v>191750</v>
      </c>
      <c r="C1628" t="s">
        <v>1858</v>
      </c>
      <c r="D1628" s="1">
        <v>45762</v>
      </c>
      <c r="E1628" t="s">
        <v>14</v>
      </c>
      <c r="F1628" t="s">
        <v>15</v>
      </c>
      <c r="G1628" t="s">
        <v>134</v>
      </c>
      <c r="H1628" t="s">
        <v>28</v>
      </c>
      <c r="I1628" t="s">
        <v>1815</v>
      </c>
      <c r="J1628" t="s">
        <v>754</v>
      </c>
      <c r="K1628">
        <v>2</v>
      </c>
      <c r="L1628">
        <v>228000</v>
      </c>
      <c r="M1628">
        <v>0</v>
      </c>
      <c r="N1628">
        <v>161000</v>
      </c>
      <c r="O1628">
        <v>228000</v>
      </c>
    </row>
    <row r="1629" spans="1:15" x14ac:dyDescent="0.35">
      <c r="A1629" t="s">
        <v>1816</v>
      </c>
      <c r="B1629">
        <v>191750</v>
      </c>
      <c r="C1629" t="s">
        <v>1859</v>
      </c>
      <c r="D1629" s="1">
        <v>45809</v>
      </c>
      <c r="E1629" t="s">
        <v>25</v>
      </c>
      <c r="F1629" t="s">
        <v>26</v>
      </c>
      <c r="G1629" t="s">
        <v>447</v>
      </c>
      <c r="H1629" t="s">
        <v>23</v>
      </c>
      <c r="I1629" t="s">
        <v>1815</v>
      </c>
      <c r="J1629" t="s">
        <v>754</v>
      </c>
      <c r="K1629">
        <v>1</v>
      </c>
      <c r="L1629">
        <v>178000</v>
      </c>
      <c r="M1629">
        <v>0</v>
      </c>
      <c r="N1629">
        <v>125000</v>
      </c>
      <c r="O1629">
        <v>178000</v>
      </c>
    </row>
    <row r="1630" spans="1:15" x14ac:dyDescent="0.35">
      <c r="A1630" t="s">
        <v>1816</v>
      </c>
      <c r="B1630">
        <v>191750</v>
      </c>
      <c r="C1630" t="s">
        <v>1860</v>
      </c>
      <c r="D1630" s="1">
        <v>45843</v>
      </c>
      <c r="E1630" t="s">
        <v>25</v>
      </c>
      <c r="F1630" t="s">
        <v>26</v>
      </c>
      <c r="G1630" t="s">
        <v>553</v>
      </c>
      <c r="H1630" t="s">
        <v>17</v>
      </c>
      <c r="I1630" t="s">
        <v>1815</v>
      </c>
      <c r="J1630" t="s">
        <v>754</v>
      </c>
      <c r="K1630">
        <v>5</v>
      </c>
      <c r="L1630">
        <v>199000</v>
      </c>
      <c r="M1630">
        <v>0.05</v>
      </c>
      <c r="N1630">
        <v>141000</v>
      </c>
      <c r="O1630">
        <v>199000</v>
      </c>
    </row>
    <row r="1631" spans="1:15" x14ac:dyDescent="0.35">
      <c r="A1631" t="s">
        <v>1816</v>
      </c>
      <c r="B1631">
        <v>191750</v>
      </c>
      <c r="C1631" t="s">
        <v>1861</v>
      </c>
      <c r="D1631" s="1">
        <v>45847</v>
      </c>
      <c r="E1631" t="s">
        <v>14</v>
      </c>
      <c r="F1631" t="s">
        <v>15</v>
      </c>
      <c r="G1631" t="s">
        <v>191</v>
      </c>
      <c r="H1631" t="s">
        <v>23</v>
      </c>
      <c r="I1631" t="s">
        <v>1815</v>
      </c>
      <c r="J1631" t="s">
        <v>754</v>
      </c>
      <c r="K1631">
        <v>1</v>
      </c>
      <c r="L1631">
        <v>206000</v>
      </c>
      <c r="M1631">
        <v>0</v>
      </c>
      <c r="N1631">
        <v>148000</v>
      </c>
      <c r="O1631">
        <v>206000</v>
      </c>
    </row>
    <row r="1632" spans="1:15" x14ac:dyDescent="0.35">
      <c r="A1632" t="s">
        <v>1816</v>
      </c>
      <c r="B1632">
        <v>191750</v>
      </c>
      <c r="C1632" t="s">
        <v>1862</v>
      </c>
      <c r="D1632" s="1">
        <v>45862</v>
      </c>
      <c r="E1632" t="s">
        <v>49</v>
      </c>
      <c r="F1632" t="s">
        <v>50</v>
      </c>
      <c r="G1632" t="s">
        <v>447</v>
      </c>
      <c r="H1632" t="s">
        <v>23</v>
      </c>
      <c r="I1632" t="s">
        <v>1815</v>
      </c>
      <c r="J1632" t="s">
        <v>754</v>
      </c>
      <c r="K1632">
        <v>1</v>
      </c>
      <c r="L1632">
        <v>199000</v>
      </c>
      <c r="M1632">
        <v>0.15</v>
      </c>
      <c r="N1632">
        <v>142000</v>
      </c>
      <c r="O1632">
        <v>199000</v>
      </c>
    </row>
    <row r="1633" spans="1:15" x14ac:dyDescent="0.35">
      <c r="A1633" t="s">
        <v>1816</v>
      </c>
      <c r="B1633">
        <v>191750</v>
      </c>
      <c r="C1633" t="s">
        <v>1863</v>
      </c>
      <c r="D1633" s="1">
        <v>45888</v>
      </c>
      <c r="E1633" t="s">
        <v>49</v>
      </c>
      <c r="F1633" t="s">
        <v>50</v>
      </c>
      <c r="G1633" t="s">
        <v>522</v>
      </c>
      <c r="H1633" t="s">
        <v>23</v>
      </c>
      <c r="I1633" t="s">
        <v>1815</v>
      </c>
      <c r="J1633" t="s">
        <v>754</v>
      </c>
      <c r="K1633">
        <v>1</v>
      </c>
      <c r="L1633">
        <v>178000</v>
      </c>
      <c r="M1633">
        <v>0</v>
      </c>
      <c r="N1633">
        <v>128000</v>
      </c>
      <c r="O1633">
        <v>178000</v>
      </c>
    </row>
    <row r="1634" spans="1:15" x14ac:dyDescent="0.35">
      <c r="A1634" t="s">
        <v>1816</v>
      </c>
      <c r="B1634">
        <v>191750</v>
      </c>
      <c r="C1634" t="s">
        <v>1864</v>
      </c>
      <c r="D1634" s="1">
        <v>45892</v>
      </c>
      <c r="E1634" t="s">
        <v>49</v>
      </c>
      <c r="F1634" t="s">
        <v>50</v>
      </c>
      <c r="G1634" t="s">
        <v>108</v>
      </c>
      <c r="H1634" t="s">
        <v>23</v>
      </c>
      <c r="I1634" t="s">
        <v>1815</v>
      </c>
      <c r="J1634" t="s">
        <v>754</v>
      </c>
      <c r="K1634">
        <v>1</v>
      </c>
      <c r="L1634">
        <v>255000</v>
      </c>
      <c r="M1634">
        <v>0</v>
      </c>
      <c r="N1634">
        <v>177000</v>
      </c>
      <c r="O1634">
        <v>255000</v>
      </c>
    </row>
    <row r="1635" spans="1:15" x14ac:dyDescent="0.35">
      <c r="A1635" t="s">
        <v>1816</v>
      </c>
      <c r="B1635">
        <v>191750</v>
      </c>
      <c r="C1635" t="s">
        <v>1865</v>
      </c>
      <c r="D1635" s="1">
        <v>45921</v>
      </c>
      <c r="E1635" t="s">
        <v>14</v>
      </c>
      <c r="F1635" t="s">
        <v>15</v>
      </c>
      <c r="G1635" t="s">
        <v>61</v>
      </c>
      <c r="H1635" t="s">
        <v>23</v>
      </c>
      <c r="I1635" t="s">
        <v>1815</v>
      </c>
      <c r="J1635" t="s">
        <v>754</v>
      </c>
      <c r="K1635">
        <v>5</v>
      </c>
      <c r="L1635">
        <v>132000</v>
      </c>
      <c r="M1635">
        <v>0</v>
      </c>
      <c r="N1635">
        <v>94000</v>
      </c>
      <c r="O1635">
        <v>132000</v>
      </c>
    </row>
    <row r="1636" spans="1:15" x14ac:dyDescent="0.35">
      <c r="A1636" t="s">
        <v>1816</v>
      </c>
      <c r="B1636">
        <v>191750</v>
      </c>
      <c r="C1636" t="s">
        <v>1866</v>
      </c>
      <c r="D1636" s="1">
        <v>45933</v>
      </c>
      <c r="E1636" t="s">
        <v>14</v>
      </c>
      <c r="F1636" t="s">
        <v>15</v>
      </c>
      <c r="G1636" t="s">
        <v>141</v>
      </c>
      <c r="H1636" t="s">
        <v>17</v>
      </c>
      <c r="I1636" t="s">
        <v>1815</v>
      </c>
      <c r="J1636" t="s">
        <v>754</v>
      </c>
      <c r="K1636">
        <v>1</v>
      </c>
      <c r="L1636">
        <v>153000</v>
      </c>
      <c r="M1636">
        <v>0</v>
      </c>
      <c r="N1636">
        <v>107000</v>
      </c>
      <c r="O1636">
        <v>153000</v>
      </c>
    </row>
    <row r="1637" spans="1:15" x14ac:dyDescent="0.35">
      <c r="A1637" t="s">
        <v>1816</v>
      </c>
      <c r="B1637">
        <v>191750</v>
      </c>
      <c r="C1637" t="s">
        <v>1867</v>
      </c>
      <c r="D1637" s="1">
        <v>45938</v>
      </c>
      <c r="E1637" t="s">
        <v>49</v>
      </c>
      <c r="F1637" t="s">
        <v>50</v>
      </c>
      <c r="G1637" t="s">
        <v>121</v>
      </c>
      <c r="H1637" t="s">
        <v>23</v>
      </c>
      <c r="I1637" t="s">
        <v>1815</v>
      </c>
      <c r="J1637" t="s">
        <v>754</v>
      </c>
      <c r="K1637">
        <v>1</v>
      </c>
      <c r="L1637">
        <v>226000</v>
      </c>
      <c r="M1637">
        <v>0</v>
      </c>
      <c r="N1637">
        <v>161000</v>
      </c>
      <c r="O1637">
        <v>226000</v>
      </c>
    </row>
    <row r="1638" spans="1:15" x14ac:dyDescent="0.35">
      <c r="A1638" t="s">
        <v>1816</v>
      </c>
      <c r="B1638">
        <v>191750</v>
      </c>
      <c r="C1638" t="s">
        <v>1868</v>
      </c>
      <c r="D1638" s="1">
        <v>45959</v>
      </c>
      <c r="E1638" t="s">
        <v>14</v>
      </c>
      <c r="F1638" t="s">
        <v>15</v>
      </c>
      <c r="G1638" t="s">
        <v>598</v>
      </c>
      <c r="H1638" t="s">
        <v>23</v>
      </c>
      <c r="I1638" t="s">
        <v>1815</v>
      </c>
      <c r="J1638" t="s">
        <v>754</v>
      </c>
      <c r="K1638">
        <v>1</v>
      </c>
      <c r="L1638">
        <v>186000</v>
      </c>
      <c r="M1638">
        <v>0.05</v>
      </c>
      <c r="N1638">
        <v>127000</v>
      </c>
      <c r="O1638">
        <v>186000</v>
      </c>
    </row>
    <row r="1639" spans="1:15" x14ac:dyDescent="0.35">
      <c r="A1639" t="s">
        <v>1816</v>
      </c>
      <c r="B1639">
        <v>191750</v>
      </c>
      <c r="C1639" t="s">
        <v>1869</v>
      </c>
      <c r="D1639" s="1">
        <v>46008</v>
      </c>
      <c r="E1639" t="s">
        <v>14</v>
      </c>
      <c r="F1639" t="s">
        <v>15</v>
      </c>
      <c r="G1639" t="s">
        <v>113</v>
      </c>
      <c r="H1639" t="s">
        <v>23</v>
      </c>
      <c r="I1639" t="s">
        <v>1815</v>
      </c>
      <c r="J1639" t="s">
        <v>754</v>
      </c>
      <c r="K1639">
        <v>1</v>
      </c>
      <c r="L1639">
        <v>149000</v>
      </c>
      <c r="M1639">
        <v>0</v>
      </c>
      <c r="N1639">
        <v>107000</v>
      </c>
      <c r="O1639">
        <v>149000</v>
      </c>
    </row>
    <row r="1640" spans="1:15" x14ac:dyDescent="0.35">
      <c r="A1640" t="s">
        <v>1816</v>
      </c>
      <c r="B1640">
        <v>191750</v>
      </c>
      <c r="C1640" t="s">
        <v>1870</v>
      </c>
      <c r="D1640" s="1">
        <v>46045</v>
      </c>
      <c r="E1640" t="s">
        <v>14</v>
      </c>
      <c r="F1640" t="s">
        <v>15</v>
      </c>
      <c r="G1640" t="s">
        <v>216</v>
      </c>
      <c r="H1640" t="s">
        <v>17</v>
      </c>
      <c r="I1640" t="s">
        <v>1815</v>
      </c>
      <c r="J1640" t="s">
        <v>754</v>
      </c>
      <c r="K1640">
        <v>1</v>
      </c>
      <c r="L1640">
        <v>141000</v>
      </c>
      <c r="M1640">
        <v>0</v>
      </c>
      <c r="N1640">
        <v>96000</v>
      </c>
      <c r="O1640">
        <v>141000</v>
      </c>
    </row>
    <row r="1641" spans="1:15" x14ac:dyDescent="0.35">
      <c r="A1641" t="s">
        <v>1816</v>
      </c>
      <c r="B1641">
        <v>191750</v>
      </c>
      <c r="C1641" t="s">
        <v>1871</v>
      </c>
      <c r="D1641" s="1">
        <v>46047</v>
      </c>
      <c r="E1641" t="s">
        <v>14</v>
      </c>
      <c r="F1641" t="s">
        <v>15</v>
      </c>
      <c r="G1641" t="s">
        <v>522</v>
      </c>
      <c r="H1641" t="s">
        <v>23</v>
      </c>
      <c r="I1641" t="s">
        <v>1815</v>
      </c>
      <c r="J1641" t="s">
        <v>754</v>
      </c>
      <c r="K1641">
        <v>1</v>
      </c>
      <c r="L1641">
        <v>165000</v>
      </c>
      <c r="M1641">
        <v>0</v>
      </c>
      <c r="N1641">
        <v>116000</v>
      </c>
      <c r="O1641">
        <v>165000</v>
      </c>
    </row>
    <row r="1642" spans="1:15" x14ac:dyDescent="0.35">
      <c r="A1642" t="s">
        <v>1816</v>
      </c>
      <c r="B1642">
        <v>191750</v>
      </c>
      <c r="C1642" t="s">
        <v>1872</v>
      </c>
      <c r="D1642" s="1">
        <v>46062</v>
      </c>
      <c r="E1642" t="s">
        <v>41</v>
      </c>
      <c r="F1642" t="s">
        <v>42</v>
      </c>
      <c r="G1642" t="s">
        <v>27</v>
      </c>
      <c r="H1642" t="s">
        <v>28</v>
      </c>
      <c r="I1642" t="s">
        <v>1815</v>
      </c>
      <c r="J1642" t="s">
        <v>754</v>
      </c>
      <c r="K1642">
        <v>1</v>
      </c>
      <c r="L1642">
        <v>191000</v>
      </c>
      <c r="M1642">
        <v>0</v>
      </c>
      <c r="N1642">
        <v>132000</v>
      </c>
      <c r="O1642">
        <v>191000</v>
      </c>
    </row>
    <row r="1643" spans="1:15" x14ac:dyDescent="0.35">
      <c r="A1643" t="s">
        <v>1816</v>
      </c>
      <c r="B1643">
        <v>191750</v>
      </c>
      <c r="C1643" t="s">
        <v>1873</v>
      </c>
      <c r="D1643" s="1">
        <v>46106</v>
      </c>
      <c r="E1643" t="s">
        <v>14</v>
      </c>
      <c r="F1643" t="s">
        <v>15</v>
      </c>
      <c r="G1643" t="s">
        <v>419</v>
      </c>
      <c r="H1643" t="s">
        <v>17</v>
      </c>
      <c r="I1643" t="s">
        <v>1815</v>
      </c>
      <c r="J1643" t="s">
        <v>754</v>
      </c>
      <c r="K1643">
        <v>1</v>
      </c>
      <c r="L1643">
        <v>224000</v>
      </c>
      <c r="M1643">
        <v>0.05</v>
      </c>
      <c r="N1643">
        <v>153000</v>
      </c>
      <c r="O1643">
        <v>224000</v>
      </c>
    </row>
    <row r="1644" spans="1:15" x14ac:dyDescent="0.35">
      <c r="A1644" t="s">
        <v>1816</v>
      </c>
      <c r="B1644">
        <v>191750</v>
      </c>
      <c r="C1644" t="s">
        <v>1874</v>
      </c>
      <c r="D1644" s="1">
        <v>46143</v>
      </c>
      <c r="E1644" t="s">
        <v>14</v>
      </c>
      <c r="F1644" t="s">
        <v>15</v>
      </c>
      <c r="G1644" t="s">
        <v>239</v>
      </c>
      <c r="H1644" t="s">
        <v>23</v>
      </c>
      <c r="I1644" t="s">
        <v>1815</v>
      </c>
      <c r="J1644" t="s">
        <v>754</v>
      </c>
      <c r="K1644">
        <v>1</v>
      </c>
      <c r="L1644">
        <v>173000</v>
      </c>
      <c r="M1644">
        <v>0.05</v>
      </c>
      <c r="N1644">
        <v>124000</v>
      </c>
      <c r="O1644">
        <v>173000</v>
      </c>
    </row>
    <row r="1645" spans="1:15" x14ac:dyDescent="0.35">
      <c r="A1645" t="s">
        <v>1816</v>
      </c>
      <c r="B1645">
        <v>191750</v>
      </c>
      <c r="C1645" t="s">
        <v>1875</v>
      </c>
      <c r="D1645" s="1">
        <v>46153</v>
      </c>
      <c r="E1645" t="s">
        <v>41</v>
      </c>
      <c r="F1645" t="s">
        <v>42</v>
      </c>
      <c r="G1645" t="s">
        <v>65</v>
      </c>
      <c r="H1645" t="s">
        <v>17</v>
      </c>
      <c r="I1645" t="s">
        <v>1815</v>
      </c>
      <c r="J1645" t="s">
        <v>754</v>
      </c>
      <c r="K1645">
        <v>1</v>
      </c>
      <c r="L1645">
        <v>270000</v>
      </c>
      <c r="M1645">
        <v>0</v>
      </c>
      <c r="N1645">
        <v>194000</v>
      </c>
      <c r="O1645">
        <v>270000</v>
      </c>
    </row>
    <row r="1646" spans="1:15" x14ac:dyDescent="0.35">
      <c r="A1646" t="s">
        <v>1816</v>
      </c>
      <c r="B1646">
        <v>191750</v>
      </c>
      <c r="C1646" t="s">
        <v>1876</v>
      </c>
      <c r="D1646" s="1">
        <v>46188</v>
      </c>
      <c r="E1646" t="s">
        <v>49</v>
      </c>
      <c r="F1646" t="s">
        <v>50</v>
      </c>
      <c r="G1646" t="s">
        <v>216</v>
      </c>
      <c r="H1646" t="s">
        <v>17</v>
      </c>
      <c r="I1646" t="s">
        <v>1815</v>
      </c>
      <c r="J1646" t="s">
        <v>754</v>
      </c>
      <c r="K1646">
        <v>1</v>
      </c>
      <c r="L1646">
        <v>236000</v>
      </c>
      <c r="M1646">
        <v>0</v>
      </c>
      <c r="N1646">
        <v>168000</v>
      </c>
      <c r="O1646">
        <v>236000</v>
      </c>
    </row>
    <row r="1647" spans="1:15" x14ac:dyDescent="0.35">
      <c r="A1647" t="s">
        <v>1816</v>
      </c>
      <c r="B1647">
        <v>191750</v>
      </c>
      <c r="C1647" t="s">
        <v>1877</v>
      </c>
      <c r="D1647" s="1">
        <v>46197</v>
      </c>
      <c r="E1647" t="s">
        <v>14</v>
      </c>
      <c r="F1647" t="s">
        <v>15</v>
      </c>
      <c r="G1647" t="s">
        <v>186</v>
      </c>
      <c r="H1647" t="s">
        <v>23</v>
      </c>
      <c r="I1647" t="s">
        <v>1815</v>
      </c>
      <c r="J1647" t="s">
        <v>754</v>
      </c>
      <c r="K1647">
        <v>1</v>
      </c>
      <c r="L1647">
        <v>147000</v>
      </c>
      <c r="M1647">
        <v>0</v>
      </c>
      <c r="N1647">
        <v>101000</v>
      </c>
      <c r="O1647">
        <v>147000</v>
      </c>
    </row>
    <row r="1648" spans="1:15" x14ac:dyDescent="0.35">
      <c r="A1648" t="s">
        <v>1880</v>
      </c>
      <c r="B1648">
        <v>498087.71929824562</v>
      </c>
      <c r="C1648" t="s">
        <v>1878</v>
      </c>
      <c r="D1648" s="1">
        <v>44977</v>
      </c>
      <c r="E1648" t="s">
        <v>14</v>
      </c>
      <c r="F1648" t="s">
        <v>15</v>
      </c>
      <c r="G1648" t="s">
        <v>489</v>
      </c>
      <c r="H1648" t="s">
        <v>17</v>
      </c>
      <c r="I1648" t="s">
        <v>1879</v>
      </c>
      <c r="J1648" t="s">
        <v>20</v>
      </c>
      <c r="K1648">
        <v>1</v>
      </c>
      <c r="L1648">
        <v>481000</v>
      </c>
      <c r="M1648">
        <v>0</v>
      </c>
      <c r="N1648">
        <v>347000</v>
      </c>
      <c r="O1648">
        <v>481000</v>
      </c>
    </row>
    <row r="1649" spans="1:15" x14ac:dyDescent="0.35">
      <c r="A1649" t="s">
        <v>1880</v>
      </c>
      <c r="B1649">
        <v>498087.71929824562</v>
      </c>
      <c r="C1649" t="s">
        <v>1881</v>
      </c>
      <c r="D1649" s="1">
        <v>45033</v>
      </c>
      <c r="E1649" t="s">
        <v>36</v>
      </c>
      <c r="F1649" t="s">
        <v>37</v>
      </c>
      <c r="G1649" t="s">
        <v>43</v>
      </c>
      <c r="H1649" t="s">
        <v>17</v>
      </c>
      <c r="I1649" t="s">
        <v>1879</v>
      </c>
      <c r="J1649" t="s">
        <v>20</v>
      </c>
      <c r="K1649">
        <v>3</v>
      </c>
      <c r="L1649">
        <v>415000</v>
      </c>
      <c r="M1649">
        <v>0</v>
      </c>
      <c r="N1649">
        <v>301000</v>
      </c>
      <c r="O1649">
        <v>415000</v>
      </c>
    </row>
    <row r="1650" spans="1:15" x14ac:dyDescent="0.35">
      <c r="A1650" t="s">
        <v>1880</v>
      </c>
      <c r="B1650">
        <v>498087.71929824562</v>
      </c>
      <c r="C1650" t="s">
        <v>1882</v>
      </c>
      <c r="D1650" s="1">
        <v>45039</v>
      </c>
      <c r="E1650" t="s">
        <v>41</v>
      </c>
      <c r="F1650" t="s">
        <v>42</v>
      </c>
      <c r="G1650" t="s">
        <v>179</v>
      </c>
      <c r="H1650" t="s">
        <v>23</v>
      </c>
      <c r="I1650" t="s">
        <v>1879</v>
      </c>
      <c r="J1650" t="s">
        <v>20</v>
      </c>
      <c r="K1650">
        <v>1</v>
      </c>
      <c r="L1650">
        <v>501000</v>
      </c>
      <c r="M1650">
        <v>0</v>
      </c>
      <c r="N1650">
        <v>363000</v>
      </c>
      <c r="O1650">
        <v>501000</v>
      </c>
    </row>
    <row r="1651" spans="1:15" x14ac:dyDescent="0.35">
      <c r="A1651" t="s">
        <v>1880</v>
      </c>
      <c r="B1651">
        <v>498087.71929824562</v>
      </c>
      <c r="C1651" t="s">
        <v>1883</v>
      </c>
      <c r="D1651" s="1">
        <v>45093</v>
      </c>
      <c r="E1651" t="s">
        <v>14</v>
      </c>
      <c r="F1651" t="s">
        <v>15</v>
      </c>
      <c r="G1651" t="s">
        <v>119</v>
      </c>
      <c r="H1651" t="s">
        <v>23</v>
      </c>
      <c r="I1651" t="s">
        <v>1879</v>
      </c>
      <c r="J1651" t="s">
        <v>20</v>
      </c>
      <c r="K1651">
        <v>2</v>
      </c>
      <c r="L1651">
        <v>441000</v>
      </c>
      <c r="M1651">
        <v>0</v>
      </c>
      <c r="N1651">
        <v>314000</v>
      </c>
      <c r="O1651">
        <v>441000</v>
      </c>
    </row>
    <row r="1652" spans="1:15" x14ac:dyDescent="0.35">
      <c r="A1652" t="s">
        <v>1880</v>
      </c>
      <c r="B1652">
        <v>498087.71929824562</v>
      </c>
      <c r="C1652" t="s">
        <v>1884</v>
      </c>
      <c r="D1652" s="1">
        <v>45100</v>
      </c>
      <c r="E1652" t="s">
        <v>14</v>
      </c>
      <c r="F1652" t="s">
        <v>15</v>
      </c>
      <c r="G1652" t="s">
        <v>61</v>
      </c>
      <c r="H1652" t="s">
        <v>23</v>
      </c>
      <c r="I1652" t="s">
        <v>1879</v>
      </c>
      <c r="J1652" t="s">
        <v>20</v>
      </c>
      <c r="K1652">
        <v>1</v>
      </c>
      <c r="L1652">
        <v>544000</v>
      </c>
      <c r="M1652">
        <v>0</v>
      </c>
      <c r="N1652">
        <v>404000</v>
      </c>
      <c r="O1652">
        <v>544000</v>
      </c>
    </row>
    <row r="1653" spans="1:15" x14ac:dyDescent="0.35">
      <c r="A1653" t="s">
        <v>1880</v>
      </c>
      <c r="B1653">
        <v>498087.71929824562</v>
      </c>
      <c r="C1653" t="s">
        <v>1885</v>
      </c>
      <c r="D1653" s="1">
        <v>45124</v>
      </c>
      <c r="E1653" t="s">
        <v>41</v>
      </c>
      <c r="F1653" t="s">
        <v>42</v>
      </c>
      <c r="G1653" t="s">
        <v>349</v>
      </c>
      <c r="H1653" t="s">
        <v>23</v>
      </c>
      <c r="I1653" t="s">
        <v>1879</v>
      </c>
      <c r="J1653" t="s">
        <v>20</v>
      </c>
      <c r="K1653">
        <v>1</v>
      </c>
      <c r="L1653">
        <v>434000</v>
      </c>
      <c r="M1653">
        <v>0</v>
      </c>
      <c r="N1653">
        <v>311000</v>
      </c>
      <c r="O1653">
        <v>434000</v>
      </c>
    </row>
    <row r="1654" spans="1:15" x14ac:dyDescent="0.35">
      <c r="A1654" t="s">
        <v>1880</v>
      </c>
      <c r="B1654">
        <v>498087.71929824562</v>
      </c>
      <c r="C1654" t="s">
        <v>1886</v>
      </c>
      <c r="D1654" s="1">
        <v>45154</v>
      </c>
      <c r="E1654" t="s">
        <v>41</v>
      </c>
      <c r="F1654" t="s">
        <v>42</v>
      </c>
      <c r="G1654" t="s">
        <v>95</v>
      </c>
      <c r="H1654" t="s">
        <v>23</v>
      </c>
      <c r="I1654" t="s">
        <v>1879</v>
      </c>
      <c r="J1654" t="s">
        <v>20</v>
      </c>
      <c r="K1654">
        <v>3</v>
      </c>
      <c r="L1654">
        <v>572000</v>
      </c>
      <c r="M1654">
        <v>0.1</v>
      </c>
      <c r="N1654">
        <v>413000</v>
      </c>
      <c r="O1654">
        <v>572000</v>
      </c>
    </row>
    <row r="1655" spans="1:15" x14ac:dyDescent="0.35">
      <c r="A1655" t="s">
        <v>1880</v>
      </c>
      <c r="B1655">
        <v>498087.71929824562</v>
      </c>
      <c r="C1655" t="s">
        <v>1887</v>
      </c>
      <c r="D1655" s="1">
        <v>45184</v>
      </c>
      <c r="E1655" t="s">
        <v>41</v>
      </c>
      <c r="F1655" t="s">
        <v>42</v>
      </c>
      <c r="G1655" t="s">
        <v>1041</v>
      </c>
      <c r="H1655" t="s">
        <v>23</v>
      </c>
      <c r="I1655" t="s">
        <v>1879</v>
      </c>
      <c r="J1655" t="s">
        <v>20</v>
      </c>
      <c r="K1655">
        <v>1</v>
      </c>
      <c r="L1655">
        <v>418000</v>
      </c>
      <c r="M1655">
        <v>0</v>
      </c>
      <c r="N1655">
        <v>302000</v>
      </c>
      <c r="O1655">
        <v>418000</v>
      </c>
    </row>
    <row r="1656" spans="1:15" x14ac:dyDescent="0.35">
      <c r="A1656" t="s">
        <v>1880</v>
      </c>
      <c r="B1656">
        <v>498087.71929824562</v>
      </c>
      <c r="C1656" t="s">
        <v>1888</v>
      </c>
      <c r="D1656" s="1">
        <v>45186</v>
      </c>
      <c r="E1656" t="s">
        <v>41</v>
      </c>
      <c r="F1656" t="s">
        <v>42</v>
      </c>
      <c r="G1656" t="s">
        <v>212</v>
      </c>
      <c r="H1656" t="s">
        <v>28</v>
      </c>
      <c r="I1656" t="s">
        <v>1879</v>
      </c>
      <c r="J1656" t="s">
        <v>20</v>
      </c>
      <c r="K1656">
        <v>1</v>
      </c>
      <c r="L1656">
        <v>371000</v>
      </c>
      <c r="M1656">
        <v>0</v>
      </c>
      <c r="N1656">
        <v>274000</v>
      </c>
      <c r="O1656">
        <v>371000</v>
      </c>
    </row>
    <row r="1657" spans="1:15" x14ac:dyDescent="0.35">
      <c r="A1657" t="s">
        <v>1880</v>
      </c>
      <c r="B1657">
        <v>498087.71929824562</v>
      </c>
      <c r="C1657" t="s">
        <v>1889</v>
      </c>
      <c r="D1657" s="1">
        <v>45232</v>
      </c>
      <c r="E1657" t="s">
        <v>36</v>
      </c>
      <c r="F1657" t="s">
        <v>37</v>
      </c>
      <c r="G1657" t="s">
        <v>69</v>
      </c>
      <c r="H1657" t="s">
        <v>23</v>
      </c>
      <c r="I1657" t="s">
        <v>1879</v>
      </c>
      <c r="J1657" t="s">
        <v>20</v>
      </c>
      <c r="K1657">
        <v>1</v>
      </c>
      <c r="L1657">
        <v>430000</v>
      </c>
      <c r="M1657">
        <v>0</v>
      </c>
      <c r="N1657">
        <v>312000</v>
      </c>
      <c r="O1657">
        <v>430000</v>
      </c>
    </row>
    <row r="1658" spans="1:15" x14ac:dyDescent="0.35">
      <c r="A1658" t="s">
        <v>1880</v>
      </c>
      <c r="B1658">
        <v>498087.71929824562</v>
      </c>
      <c r="C1658" t="s">
        <v>1890</v>
      </c>
      <c r="D1658" s="1">
        <v>45233</v>
      </c>
      <c r="E1658" t="s">
        <v>41</v>
      </c>
      <c r="F1658" t="s">
        <v>42</v>
      </c>
      <c r="G1658" t="s">
        <v>179</v>
      </c>
      <c r="H1658" t="s">
        <v>23</v>
      </c>
      <c r="I1658" t="s">
        <v>1879</v>
      </c>
      <c r="J1658" t="s">
        <v>20</v>
      </c>
      <c r="K1658">
        <v>3</v>
      </c>
      <c r="L1658">
        <v>502000</v>
      </c>
      <c r="M1658">
        <v>0.05</v>
      </c>
      <c r="N1658">
        <v>363000</v>
      </c>
      <c r="O1658">
        <v>502000</v>
      </c>
    </row>
    <row r="1659" spans="1:15" x14ac:dyDescent="0.35">
      <c r="A1659" t="s">
        <v>1880</v>
      </c>
      <c r="B1659">
        <v>498087.71929824562</v>
      </c>
      <c r="C1659" t="s">
        <v>1891</v>
      </c>
      <c r="D1659" s="1">
        <v>45245</v>
      </c>
      <c r="E1659" t="s">
        <v>49</v>
      </c>
      <c r="F1659" t="s">
        <v>50</v>
      </c>
      <c r="G1659" t="s">
        <v>309</v>
      </c>
      <c r="H1659" t="s">
        <v>23</v>
      </c>
      <c r="I1659" t="s">
        <v>1879</v>
      </c>
      <c r="J1659" t="s">
        <v>20</v>
      </c>
      <c r="K1659">
        <v>2</v>
      </c>
      <c r="L1659">
        <v>501000</v>
      </c>
      <c r="M1659">
        <v>0.1</v>
      </c>
      <c r="N1659">
        <v>361000</v>
      </c>
      <c r="O1659">
        <v>501000</v>
      </c>
    </row>
    <row r="1660" spans="1:15" x14ac:dyDescent="0.35">
      <c r="A1660" t="s">
        <v>1880</v>
      </c>
      <c r="B1660">
        <v>498087.71929824562</v>
      </c>
      <c r="C1660" t="s">
        <v>1892</v>
      </c>
      <c r="D1660" s="1">
        <v>45268</v>
      </c>
      <c r="E1660" t="s">
        <v>14</v>
      </c>
      <c r="F1660" t="s">
        <v>15</v>
      </c>
      <c r="G1660" t="s">
        <v>121</v>
      </c>
      <c r="H1660" t="s">
        <v>23</v>
      </c>
      <c r="I1660" t="s">
        <v>1879</v>
      </c>
      <c r="J1660" t="s">
        <v>20</v>
      </c>
      <c r="K1660">
        <v>1</v>
      </c>
      <c r="L1660">
        <v>452000</v>
      </c>
      <c r="M1660">
        <v>0</v>
      </c>
      <c r="N1660">
        <v>334000</v>
      </c>
      <c r="O1660">
        <v>452000</v>
      </c>
    </row>
    <row r="1661" spans="1:15" x14ac:dyDescent="0.35">
      <c r="A1661" t="s">
        <v>1880</v>
      </c>
      <c r="B1661">
        <v>498087.71929824562</v>
      </c>
      <c r="C1661" t="s">
        <v>1893</v>
      </c>
      <c r="D1661" s="1">
        <v>45315</v>
      </c>
      <c r="E1661" t="s">
        <v>14</v>
      </c>
      <c r="F1661" t="s">
        <v>15</v>
      </c>
      <c r="G1661" t="s">
        <v>208</v>
      </c>
      <c r="H1661" t="s">
        <v>23</v>
      </c>
      <c r="I1661" t="s">
        <v>1879</v>
      </c>
      <c r="J1661" t="s">
        <v>20</v>
      </c>
      <c r="K1661">
        <v>1</v>
      </c>
      <c r="L1661">
        <v>331000</v>
      </c>
      <c r="M1661">
        <v>0</v>
      </c>
      <c r="N1661">
        <v>240000</v>
      </c>
      <c r="O1661">
        <v>331000</v>
      </c>
    </row>
    <row r="1662" spans="1:15" x14ac:dyDescent="0.35">
      <c r="A1662" t="s">
        <v>1880</v>
      </c>
      <c r="B1662">
        <v>498087.71929824562</v>
      </c>
      <c r="C1662" t="s">
        <v>1894</v>
      </c>
      <c r="D1662" s="1">
        <v>45364</v>
      </c>
      <c r="E1662" t="s">
        <v>14</v>
      </c>
      <c r="F1662" t="s">
        <v>15</v>
      </c>
      <c r="G1662" t="s">
        <v>221</v>
      </c>
      <c r="H1662" t="s">
        <v>17</v>
      </c>
      <c r="I1662" t="s">
        <v>1879</v>
      </c>
      <c r="J1662" t="s">
        <v>20</v>
      </c>
      <c r="K1662">
        <v>1</v>
      </c>
      <c r="L1662">
        <v>453000</v>
      </c>
      <c r="M1662">
        <v>0</v>
      </c>
      <c r="N1662">
        <v>334000</v>
      </c>
      <c r="O1662">
        <v>453000</v>
      </c>
    </row>
    <row r="1663" spans="1:15" x14ac:dyDescent="0.35">
      <c r="A1663" t="s">
        <v>1880</v>
      </c>
      <c r="B1663">
        <v>498087.71929824562</v>
      </c>
      <c r="C1663" t="s">
        <v>1895</v>
      </c>
      <c r="D1663" s="1">
        <v>45381</v>
      </c>
      <c r="E1663" t="s">
        <v>14</v>
      </c>
      <c r="F1663" t="s">
        <v>15</v>
      </c>
      <c r="G1663" t="s">
        <v>287</v>
      </c>
      <c r="H1663" t="s">
        <v>28</v>
      </c>
      <c r="I1663" t="s">
        <v>1879</v>
      </c>
      <c r="J1663" t="s">
        <v>20</v>
      </c>
      <c r="K1663">
        <v>2</v>
      </c>
      <c r="L1663">
        <v>616000</v>
      </c>
      <c r="M1663">
        <v>0</v>
      </c>
      <c r="N1663">
        <v>440000</v>
      </c>
      <c r="O1663">
        <v>616000</v>
      </c>
    </row>
    <row r="1664" spans="1:15" x14ac:dyDescent="0.35">
      <c r="A1664" t="s">
        <v>1880</v>
      </c>
      <c r="B1664">
        <v>498087.71929824562</v>
      </c>
      <c r="C1664" t="s">
        <v>1896</v>
      </c>
      <c r="D1664" s="1">
        <v>45387</v>
      </c>
      <c r="E1664" t="s">
        <v>14</v>
      </c>
      <c r="F1664" t="s">
        <v>15</v>
      </c>
      <c r="G1664" t="s">
        <v>498</v>
      </c>
      <c r="H1664" t="s">
        <v>23</v>
      </c>
      <c r="I1664" t="s">
        <v>1879</v>
      </c>
      <c r="J1664" t="s">
        <v>20</v>
      </c>
      <c r="K1664">
        <v>1</v>
      </c>
      <c r="L1664">
        <v>611000</v>
      </c>
      <c r="M1664">
        <v>0</v>
      </c>
      <c r="N1664">
        <v>452000</v>
      </c>
      <c r="O1664">
        <v>611000</v>
      </c>
    </row>
    <row r="1665" spans="1:15" x14ac:dyDescent="0.35">
      <c r="A1665" t="s">
        <v>1880</v>
      </c>
      <c r="B1665">
        <v>498087.71929824562</v>
      </c>
      <c r="C1665" t="s">
        <v>1897</v>
      </c>
      <c r="D1665" s="1">
        <v>45403</v>
      </c>
      <c r="E1665" t="s">
        <v>36</v>
      </c>
      <c r="F1665" t="s">
        <v>37</v>
      </c>
      <c r="G1665" t="s">
        <v>675</v>
      </c>
      <c r="H1665" t="s">
        <v>17</v>
      </c>
      <c r="I1665" t="s">
        <v>1879</v>
      </c>
      <c r="J1665" t="s">
        <v>20</v>
      </c>
      <c r="K1665">
        <v>1</v>
      </c>
      <c r="L1665">
        <v>475000</v>
      </c>
      <c r="M1665">
        <v>0.05</v>
      </c>
      <c r="N1665">
        <v>344000</v>
      </c>
      <c r="O1665">
        <v>475000</v>
      </c>
    </row>
    <row r="1666" spans="1:15" x14ac:dyDescent="0.35">
      <c r="A1666" t="s">
        <v>1880</v>
      </c>
      <c r="B1666">
        <v>498087.71929824562</v>
      </c>
      <c r="C1666" t="s">
        <v>1898</v>
      </c>
      <c r="D1666" s="1">
        <v>45417</v>
      </c>
      <c r="E1666" t="s">
        <v>36</v>
      </c>
      <c r="F1666" t="s">
        <v>37</v>
      </c>
      <c r="G1666" t="s">
        <v>262</v>
      </c>
      <c r="H1666" t="s">
        <v>23</v>
      </c>
      <c r="I1666" t="s">
        <v>1879</v>
      </c>
      <c r="J1666" t="s">
        <v>20</v>
      </c>
      <c r="K1666">
        <v>2</v>
      </c>
      <c r="L1666">
        <v>593000</v>
      </c>
      <c r="M1666">
        <v>0.05</v>
      </c>
      <c r="N1666">
        <v>434000</v>
      </c>
      <c r="O1666">
        <v>593000</v>
      </c>
    </row>
    <row r="1667" spans="1:15" x14ac:dyDescent="0.35">
      <c r="A1667" t="s">
        <v>1880</v>
      </c>
      <c r="B1667">
        <v>498087.71929824562</v>
      </c>
      <c r="C1667" t="s">
        <v>1899</v>
      </c>
      <c r="D1667" s="1">
        <v>45428</v>
      </c>
      <c r="E1667" t="s">
        <v>14</v>
      </c>
      <c r="F1667" t="s">
        <v>15</v>
      </c>
      <c r="G1667" t="s">
        <v>179</v>
      </c>
      <c r="H1667" t="s">
        <v>23</v>
      </c>
      <c r="I1667" t="s">
        <v>1879</v>
      </c>
      <c r="J1667" t="s">
        <v>20</v>
      </c>
      <c r="K1667">
        <v>2</v>
      </c>
      <c r="L1667">
        <v>603000</v>
      </c>
      <c r="M1667">
        <v>0</v>
      </c>
      <c r="N1667">
        <v>444000</v>
      </c>
      <c r="O1667">
        <v>603000</v>
      </c>
    </row>
    <row r="1668" spans="1:15" x14ac:dyDescent="0.35">
      <c r="A1668" t="s">
        <v>1880</v>
      </c>
      <c r="B1668">
        <v>498087.71929824562</v>
      </c>
      <c r="C1668" t="s">
        <v>1900</v>
      </c>
      <c r="D1668" s="1">
        <v>45438</v>
      </c>
      <c r="E1668" t="s">
        <v>14</v>
      </c>
      <c r="F1668" t="s">
        <v>15</v>
      </c>
      <c r="G1668" t="s">
        <v>337</v>
      </c>
      <c r="H1668" t="s">
        <v>23</v>
      </c>
      <c r="I1668" t="s">
        <v>1879</v>
      </c>
      <c r="J1668" t="s">
        <v>20</v>
      </c>
      <c r="K1668">
        <v>1</v>
      </c>
      <c r="L1668">
        <v>608000</v>
      </c>
      <c r="M1668">
        <v>0</v>
      </c>
      <c r="N1668">
        <v>438000</v>
      </c>
      <c r="O1668">
        <v>608000</v>
      </c>
    </row>
    <row r="1669" spans="1:15" x14ac:dyDescent="0.35">
      <c r="A1669" t="s">
        <v>1880</v>
      </c>
      <c r="B1669">
        <v>498087.71929824562</v>
      </c>
      <c r="C1669" t="s">
        <v>1901</v>
      </c>
      <c r="D1669" s="1">
        <v>45439</v>
      </c>
      <c r="E1669" t="s">
        <v>49</v>
      </c>
      <c r="F1669" t="s">
        <v>50</v>
      </c>
      <c r="G1669" t="s">
        <v>218</v>
      </c>
      <c r="H1669" t="s">
        <v>23</v>
      </c>
      <c r="I1669" t="s">
        <v>1879</v>
      </c>
      <c r="J1669" t="s">
        <v>20</v>
      </c>
      <c r="K1669">
        <v>1</v>
      </c>
      <c r="L1669">
        <v>508000</v>
      </c>
      <c r="M1669">
        <v>0</v>
      </c>
      <c r="N1669">
        <v>375000</v>
      </c>
      <c r="O1669">
        <v>508000</v>
      </c>
    </row>
    <row r="1670" spans="1:15" x14ac:dyDescent="0.35">
      <c r="A1670" t="s">
        <v>1880</v>
      </c>
      <c r="B1670">
        <v>498087.71929824562</v>
      </c>
      <c r="C1670" t="s">
        <v>1902</v>
      </c>
      <c r="D1670" s="1">
        <v>45440</v>
      </c>
      <c r="E1670" t="s">
        <v>36</v>
      </c>
      <c r="F1670" t="s">
        <v>37</v>
      </c>
      <c r="G1670" t="s">
        <v>359</v>
      </c>
      <c r="H1670" t="s">
        <v>23</v>
      </c>
      <c r="I1670" t="s">
        <v>1879</v>
      </c>
      <c r="J1670" t="s">
        <v>20</v>
      </c>
      <c r="K1670">
        <v>2</v>
      </c>
      <c r="L1670">
        <v>437000</v>
      </c>
      <c r="M1670">
        <v>0</v>
      </c>
      <c r="N1670">
        <v>319000</v>
      </c>
      <c r="O1670">
        <v>437000</v>
      </c>
    </row>
    <row r="1671" spans="1:15" x14ac:dyDescent="0.35">
      <c r="A1671" t="s">
        <v>1880</v>
      </c>
      <c r="B1671">
        <v>498087.71929824562</v>
      </c>
      <c r="C1671" t="s">
        <v>1903</v>
      </c>
      <c r="D1671" s="1">
        <v>45441</v>
      </c>
      <c r="E1671" t="s">
        <v>14</v>
      </c>
      <c r="F1671" t="s">
        <v>15</v>
      </c>
      <c r="G1671" t="s">
        <v>205</v>
      </c>
      <c r="H1671" t="s">
        <v>17</v>
      </c>
      <c r="I1671" t="s">
        <v>1879</v>
      </c>
      <c r="J1671" t="s">
        <v>20</v>
      </c>
      <c r="K1671">
        <v>1</v>
      </c>
      <c r="L1671">
        <v>335000</v>
      </c>
      <c r="M1671">
        <v>0</v>
      </c>
      <c r="N1671">
        <v>242000</v>
      </c>
      <c r="O1671">
        <v>335000</v>
      </c>
    </row>
    <row r="1672" spans="1:15" x14ac:dyDescent="0.35">
      <c r="A1672" t="s">
        <v>1880</v>
      </c>
      <c r="B1672">
        <v>498087.71929824562</v>
      </c>
      <c r="C1672" t="s">
        <v>1904</v>
      </c>
      <c r="D1672" s="1">
        <v>45445</v>
      </c>
      <c r="E1672" t="s">
        <v>41</v>
      </c>
      <c r="F1672" t="s">
        <v>42</v>
      </c>
      <c r="G1672" t="s">
        <v>228</v>
      </c>
      <c r="H1672" t="s">
        <v>17</v>
      </c>
      <c r="I1672" t="s">
        <v>1879</v>
      </c>
      <c r="J1672" t="s">
        <v>20</v>
      </c>
      <c r="K1672">
        <v>1</v>
      </c>
      <c r="L1672">
        <v>491000</v>
      </c>
      <c r="M1672">
        <v>0.1</v>
      </c>
      <c r="N1672">
        <v>366000</v>
      </c>
      <c r="O1672">
        <v>491000</v>
      </c>
    </row>
    <row r="1673" spans="1:15" x14ac:dyDescent="0.35">
      <c r="A1673" t="s">
        <v>1880</v>
      </c>
      <c r="B1673">
        <v>498087.71929824562</v>
      </c>
      <c r="C1673" t="s">
        <v>1905</v>
      </c>
      <c r="D1673" s="1">
        <v>45448</v>
      </c>
      <c r="E1673" t="s">
        <v>49</v>
      </c>
      <c r="F1673" t="s">
        <v>50</v>
      </c>
      <c r="G1673" t="s">
        <v>113</v>
      </c>
      <c r="H1673" t="s">
        <v>23</v>
      </c>
      <c r="I1673" t="s">
        <v>1879</v>
      </c>
      <c r="J1673" t="s">
        <v>20</v>
      </c>
      <c r="K1673">
        <v>1</v>
      </c>
      <c r="L1673">
        <v>455000</v>
      </c>
      <c r="M1673">
        <v>0</v>
      </c>
      <c r="N1673">
        <v>333000</v>
      </c>
      <c r="O1673">
        <v>455000</v>
      </c>
    </row>
    <row r="1674" spans="1:15" x14ac:dyDescent="0.35">
      <c r="A1674" t="s">
        <v>1880</v>
      </c>
      <c r="B1674">
        <v>498087.71929824562</v>
      </c>
      <c r="C1674" t="s">
        <v>1906</v>
      </c>
      <c r="D1674" s="1">
        <v>45523</v>
      </c>
      <c r="E1674" t="s">
        <v>36</v>
      </c>
      <c r="F1674" t="s">
        <v>37</v>
      </c>
      <c r="G1674" t="s">
        <v>144</v>
      </c>
      <c r="H1674" t="s">
        <v>23</v>
      </c>
      <c r="I1674" t="s">
        <v>1879</v>
      </c>
      <c r="J1674" t="s">
        <v>20</v>
      </c>
      <c r="K1674">
        <v>3</v>
      </c>
      <c r="L1674">
        <v>410000</v>
      </c>
      <c r="M1674">
        <v>0</v>
      </c>
      <c r="N1674">
        <v>294000</v>
      </c>
      <c r="O1674">
        <v>410000</v>
      </c>
    </row>
    <row r="1675" spans="1:15" x14ac:dyDescent="0.35">
      <c r="A1675" t="s">
        <v>1880</v>
      </c>
      <c r="B1675">
        <v>498087.71929824562</v>
      </c>
      <c r="C1675" t="s">
        <v>1907</v>
      </c>
      <c r="D1675" s="1">
        <v>45574</v>
      </c>
      <c r="E1675" t="s">
        <v>49</v>
      </c>
      <c r="F1675" t="s">
        <v>50</v>
      </c>
      <c r="G1675" t="s">
        <v>141</v>
      </c>
      <c r="H1675" t="s">
        <v>17</v>
      </c>
      <c r="I1675" t="s">
        <v>1879</v>
      </c>
      <c r="J1675" t="s">
        <v>20</v>
      </c>
      <c r="K1675">
        <v>1</v>
      </c>
      <c r="L1675">
        <v>334000</v>
      </c>
      <c r="M1675">
        <v>0.05</v>
      </c>
      <c r="N1675">
        <v>243000</v>
      </c>
      <c r="O1675">
        <v>334000</v>
      </c>
    </row>
    <row r="1676" spans="1:15" x14ac:dyDescent="0.35">
      <c r="A1676" t="s">
        <v>1880</v>
      </c>
      <c r="B1676">
        <v>498087.71929824562</v>
      </c>
      <c r="C1676" t="s">
        <v>1908</v>
      </c>
      <c r="D1676" s="1">
        <v>45607</v>
      </c>
      <c r="E1676" t="s">
        <v>14</v>
      </c>
      <c r="F1676" t="s">
        <v>15</v>
      </c>
      <c r="G1676" t="s">
        <v>53</v>
      </c>
      <c r="H1676" t="s">
        <v>17</v>
      </c>
      <c r="I1676" t="s">
        <v>1879</v>
      </c>
      <c r="J1676" t="s">
        <v>20</v>
      </c>
      <c r="K1676">
        <v>3</v>
      </c>
      <c r="L1676">
        <v>331000</v>
      </c>
      <c r="M1676">
        <v>0</v>
      </c>
      <c r="N1676">
        <v>246000</v>
      </c>
      <c r="O1676">
        <v>331000</v>
      </c>
    </row>
    <row r="1677" spans="1:15" x14ac:dyDescent="0.35">
      <c r="A1677" t="s">
        <v>1880</v>
      </c>
      <c r="B1677">
        <v>498087.71929824562</v>
      </c>
      <c r="C1677" t="s">
        <v>1909</v>
      </c>
      <c r="D1677" s="1">
        <v>45613</v>
      </c>
      <c r="E1677" t="s">
        <v>41</v>
      </c>
      <c r="F1677" t="s">
        <v>42</v>
      </c>
      <c r="G1677" t="s">
        <v>168</v>
      </c>
      <c r="H1677" t="s">
        <v>23</v>
      </c>
      <c r="I1677" t="s">
        <v>1879</v>
      </c>
      <c r="J1677" t="s">
        <v>20</v>
      </c>
      <c r="K1677">
        <v>1</v>
      </c>
      <c r="L1677">
        <v>398000</v>
      </c>
      <c r="M1677">
        <v>0</v>
      </c>
      <c r="N1677">
        <v>287000</v>
      </c>
      <c r="O1677">
        <v>398000</v>
      </c>
    </row>
    <row r="1678" spans="1:15" x14ac:dyDescent="0.35">
      <c r="A1678" t="s">
        <v>1880</v>
      </c>
      <c r="B1678">
        <v>498087.71929824562</v>
      </c>
      <c r="C1678" t="s">
        <v>1910</v>
      </c>
      <c r="D1678" s="1">
        <v>45616</v>
      </c>
      <c r="E1678" t="s">
        <v>41</v>
      </c>
      <c r="F1678" t="s">
        <v>42</v>
      </c>
      <c r="G1678" t="s">
        <v>53</v>
      </c>
      <c r="H1678" t="s">
        <v>17</v>
      </c>
      <c r="I1678" t="s">
        <v>1879</v>
      </c>
      <c r="J1678" t="s">
        <v>20</v>
      </c>
      <c r="K1678">
        <v>1</v>
      </c>
      <c r="L1678">
        <v>472000</v>
      </c>
      <c r="M1678">
        <v>0</v>
      </c>
      <c r="N1678">
        <v>345000</v>
      </c>
      <c r="O1678">
        <v>472000</v>
      </c>
    </row>
    <row r="1679" spans="1:15" x14ac:dyDescent="0.35">
      <c r="A1679" t="s">
        <v>1880</v>
      </c>
      <c r="B1679">
        <v>498087.71929824562</v>
      </c>
      <c r="C1679" t="s">
        <v>1911</v>
      </c>
      <c r="D1679" s="1">
        <v>45640</v>
      </c>
      <c r="E1679" t="s">
        <v>41</v>
      </c>
      <c r="F1679" t="s">
        <v>42</v>
      </c>
      <c r="G1679" t="s">
        <v>378</v>
      </c>
      <c r="H1679" t="s">
        <v>23</v>
      </c>
      <c r="I1679" t="s">
        <v>1879</v>
      </c>
      <c r="J1679" t="s">
        <v>20</v>
      </c>
      <c r="K1679">
        <v>3</v>
      </c>
      <c r="L1679">
        <v>396000</v>
      </c>
      <c r="M1679">
        <v>0</v>
      </c>
      <c r="N1679">
        <v>284000</v>
      </c>
      <c r="O1679">
        <v>396000</v>
      </c>
    </row>
    <row r="1680" spans="1:15" x14ac:dyDescent="0.35">
      <c r="A1680" t="s">
        <v>1880</v>
      </c>
      <c r="B1680">
        <v>498087.71929824562</v>
      </c>
      <c r="C1680" t="s">
        <v>1912</v>
      </c>
      <c r="D1680" s="1">
        <v>45651</v>
      </c>
      <c r="E1680" t="s">
        <v>49</v>
      </c>
      <c r="F1680" t="s">
        <v>50</v>
      </c>
      <c r="G1680" t="s">
        <v>291</v>
      </c>
      <c r="H1680" t="s">
        <v>17</v>
      </c>
      <c r="I1680" t="s">
        <v>1879</v>
      </c>
      <c r="J1680" t="s">
        <v>20</v>
      </c>
      <c r="K1680">
        <v>2</v>
      </c>
      <c r="L1680">
        <v>347000</v>
      </c>
      <c r="M1680">
        <v>0</v>
      </c>
      <c r="N1680">
        <v>251000</v>
      </c>
      <c r="O1680">
        <v>347000</v>
      </c>
    </row>
    <row r="1681" spans="1:15" x14ac:dyDescent="0.35">
      <c r="A1681" t="s">
        <v>1880</v>
      </c>
      <c r="B1681">
        <v>498087.71929824562</v>
      </c>
      <c r="C1681" t="s">
        <v>1913</v>
      </c>
      <c r="D1681" s="1">
        <v>45707</v>
      </c>
      <c r="E1681" t="s">
        <v>14</v>
      </c>
      <c r="F1681" t="s">
        <v>15</v>
      </c>
      <c r="G1681" t="s">
        <v>69</v>
      </c>
      <c r="H1681" t="s">
        <v>23</v>
      </c>
      <c r="I1681" t="s">
        <v>1879</v>
      </c>
      <c r="J1681" t="s">
        <v>20</v>
      </c>
      <c r="K1681">
        <v>1</v>
      </c>
      <c r="L1681">
        <v>555000</v>
      </c>
      <c r="M1681">
        <v>0.05</v>
      </c>
      <c r="N1681">
        <v>415000</v>
      </c>
      <c r="O1681">
        <v>555000</v>
      </c>
    </row>
    <row r="1682" spans="1:15" x14ac:dyDescent="0.35">
      <c r="A1682" t="s">
        <v>1880</v>
      </c>
      <c r="B1682">
        <v>498087.71929824562</v>
      </c>
      <c r="C1682" t="s">
        <v>1914</v>
      </c>
      <c r="D1682" s="1">
        <v>45714</v>
      </c>
      <c r="E1682" t="s">
        <v>49</v>
      </c>
      <c r="F1682" t="s">
        <v>50</v>
      </c>
      <c r="G1682" t="s">
        <v>30</v>
      </c>
      <c r="H1682" t="s">
        <v>23</v>
      </c>
      <c r="I1682" t="s">
        <v>1879</v>
      </c>
      <c r="J1682" t="s">
        <v>20</v>
      </c>
      <c r="K1682">
        <v>1</v>
      </c>
      <c r="L1682">
        <v>571000</v>
      </c>
      <c r="M1682">
        <v>0</v>
      </c>
      <c r="N1682">
        <v>407000</v>
      </c>
      <c r="O1682">
        <v>571000</v>
      </c>
    </row>
    <row r="1683" spans="1:15" x14ac:dyDescent="0.35">
      <c r="A1683" t="s">
        <v>1880</v>
      </c>
      <c r="B1683">
        <v>498087.71929824562</v>
      </c>
      <c r="C1683" t="s">
        <v>1915</v>
      </c>
      <c r="D1683" s="1">
        <v>45742</v>
      </c>
      <c r="E1683" t="s">
        <v>14</v>
      </c>
      <c r="F1683" t="s">
        <v>15</v>
      </c>
      <c r="G1683" t="s">
        <v>309</v>
      </c>
      <c r="H1683" t="s">
        <v>23</v>
      </c>
      <c r="I1683" t="s">
        <v>1879</v>
      </c>
      <c r="J1683" t="s">
        <v>20</v>
      </c>
      <c r="K1683">
        <v>1</v>
      </c>
      <c r="L1683">
        <v>644000</v>
      </c>
      <c r="M1683">
        <v>0</v>
      </c>
      <c r="N1683">
        <v>480000</v>
      </c>
      <c r="O1683">
        <v>644000</v>
      </c>
    </row>
    <row r="1684" spans="1:15" x14ac:dyDescent="0.35">
      <c r="A1684" t="s">
        <v>1880</v>
      </c>
      <c r="B1684">
        <v>498087.71929824562</v>
      </c>
      <c r="C1684" t="s">
        <v>1916</v>
      </c>
      <c r="D1684" s="1">
        <v>45767</v>
      </c>
      <c r="E1684" t="s">
        <v>36</v>
      </c>
      <c r="F1684" t="s">
        <v>37</v>
      </c>
      <c r="G1684" t="s">
        <v>93</v>
      </c>
      <c r="H1684" t="s">
        <v>23</v>
      </c>
      <c r="I1684" t="s">
        <v>1879</v>
      </c>
      <c r="J1684" t="s">
        <v>20</v>
      </c>
      <c r="K1684">
        <v>1</v>
      </c>
      <c r="L1684">
        <v>571000</v>
      </c>
      <c r="M1684">
        <v>0</v>
      </c>
      <c r="N1684">
        <v>419000</v>
      </c>
      <c r="O1684">
        <v>571000</v>
      </c>
    </row>
    <row r="1685" spans="1:15" x14ac:dyDescent="0.35">
      <c r="A1685" t="s">
        <v>1880</v>
      </c>
      <c r="B1685">
        <v>498087.71929824562</v>
      </c>
      <c r="C1685" t="s">
        <v>1917</v>
      </c>
      <c r="D1685" s="1">
        <v>45775</v>
      </c>
      <c r="E1685" t="s">
        <v>41</v>
      </c>
      <c r="F1685" t="s">
        <v>42</v>
      </c>
      <c r="G1685" t="s">
        <v>168</v>
      </c>
      <c r="H1685" t="s">
        <v>23</v>
      </c>
      <c r="I1685" t="s">
        <v>1879</v>
      </c>
      <c r="J1685" t="s">
        <v>20</v>
      </c>
      <c r="K1685">
        <v>2</v>
      </c>
      <c r="L1685">
        <v>606000</v>
      </c>
      <c r="M1685">
        <v>0</v>
      </c>
      <c r="N1685">
        <v>432000</v>
      </c>
      <c r="O1685">
        <v>606000</v>
      </c>
    </row>
    <row r="1686" spans="1:15" x14ac:dyDescent="0.35">
      <c r="A1686" t="s">
        <v>1880</v>
      </c>
      <c r="B1686">
        <v>498087.71929824562</v>
      </c>
      <c r="C1686" t="s">
        <v>1918</v>
      </c>
      <c r="D1686" s="1">
        <v>45789</v>
      </c>
      <c r="E1686" t="s">
        <v>14</v>
      </c>
      <c r="F1686" t="s">
        <v>15</v>
      </c>
      <c r="G1686" t="s">
        <v>323</v>
      </c>
      <c r="H1686" t="s">
        <v>28</v>
      </c>
      <c r="I1686" t="s">
        <v>1879</v>
      </c>
      <c r="J1686" t="s">
        <v>20</v>
      </c>
      <c r="K1686">
        <v>2</v>
      </c>
      <c r="L1686">
        <v>474000</v>
      </c>
      <c r="M1686">
        <v>0.15</v>
      </c>
      <c r="N1686">
        <v>343000</v>
      </c>
      <c r="O1686">
        <v>474000</v>
      </c>
    </row>
    <row r="1687" spans="1:15" x14ac:dyDescent="0.35">
      <c r="A1687" t="s">
        <v>1880</v>
      </c>
      <c r="B1687">
        <v>498087.71929824562</v>
      </c>
      <c r="C1687" t="s">
        <v>1919</v>
      </c>
      <c r="D1687" s="1">
        <v>45811</v>
      </c>
      <c r="E1687" t="s">
        <v>36</v>
      </c>
      <c r="F1687" t="s">
        <v>37</v>
      </c>
      <c r="G1687" t="s">
        <v>598</v>
      </c>
      <c r="H1687" t="s">
        <v>23</v>
      </c>
      <c r="I1687" t="s">
        <v>1879</v>
      </c>
      <c r="J1687" t="s">
        <v>20</v>
      </c>
      <c r="K1687">
        <v>1</v>
      </c>
      <c r="L1687">
        <v>581000</v>
      </c>
      <c r="M1687">
        <v>0</v>
      </c>
      <c r="N1687">
        <v>422000</v>
      </c>
      <c r="O1687">
        <v>581000</v>
      </c>
    </row>
    <row r="1688" spans="1:15" x14ac:dyDescent="0.35">
      <c r="A1688" t="s">
        <v>1880</v>
      </c>
      <c r="B1688">
        <v>498087.71929824562</v>
      </c>
      <c r="C1688" t="s">
        <v>1920</v>
      </c>
      <c r="D1688" s="1">
        <v>45854</v>
      </c>
      <c r="E1688" t="s">
        <v>14</v>
      </c>
      <c r="F1688" t="s">
        <v>15</v>
      </c>
      <c r="G1688" t="s">
        <v>126</v>
      </c>
      <c r="H1688" t="s">
        <v>17</v>
      </c>
      <c r="I1688" t="s">
        <v>1879</v>
      </c>
      <c r="J1688" t="s">
        <v>20</v>
      </c>
      <c r="K1688">
        <v>3</v>
      </c>
      <c r="L1688">
        <v>493000</v>
      </c>
      <c r="M1688">
        <v>0</v>
      </c>
      <c r="N1688">
        <v>352000</v>
      </c>
      <c r="O1688">
        <v>493000</v>
      </c>
    </row>
    <row r="1689" spans="1:15" x14ac:dyDescent="0.35">
      <c r="A1689" t="s">
        <v>1880</v>
      </c>
      <c r="B1689">
        <v>498087.71929824562</v>
      </c>
      <c r="C1689" t="s">
        <v>1921</v>
      </c>
      <c r="D1689" s="1">
        <v>45868</v>
      </c>
      <c r="E1689" t="s">
        <v>36</v>
      </c>
      <c r="F1689" t="s">
        <v>37</v>
      </c>
      <c r="G1689" t="s">
        <v>368</v>
      </c>
      <c r="H1689" t="s">
        <v>23</v>
      </c>
      <c r="I1689" t="s">
        <v>1879</v>
      </c>
      <c r="J1689" t="s">
        <v>20</v>
      </c>
      <c r="K1689">
        <v>1</v>
      </c>
      <c r="L1689">
        <v>621000</v>
      </c>
      <c r="M1689">
        <v>0</v>
      </c>
      <c r="N1689">
        <v>448000</v>
      </c>
      <c r="O1689">
        <v>621000</v>
      </c>
    </row>
    <row r="1690" spans="1:15" x14ac:dyDescent="0.35">
      <c r="A1690" t="s">
        <v>1880</v>
      </c>
      <c r="B1690">
        <v>498087.71929824562</v>
      </c>
      <c r="C1690" t="s">
        <v>1922</v>
      </c>
      <c r="D1690" s="1">
        <v>45870</v>
      </c>
      <c r="E1690" t="s">
        <v>36</v>
      </c>
      <c r="F1690" t="s">
        <v>37</v>
      </c>
      <c r="G1690" t="s">
        <v>244</v>
      </c>
      <c r="H1690" t="s">
        <v>17</v>
      </c>
      <c r="I1690" t="s">
        <v>1879</v>
      </c>
      <c r="J1690" t="s">
        <v>20</v>
      </c>
      <c r="K1690">
        <v>1</v>
      </c>
      <c r="L1690">
        <v>564000</v>
      </c>
      <c r="M1690">
        <v>0</v>
      </c>
      <c r="N1690">
        <v>411000</v>
      </c>
      <c r="O1690">
        <v>564000</v>
      </c>
    </row>
    <row r="1691" spans="1:15" x14ac:dyDescent="0.35">
      <c r="A1691" t="s">
        <v>1880</v>
      </c>
      <c r="B1691">
        <v>498087.71929824562</v>
      </c>
      <c r="C1691" t="s">
        <v>1923</v>
      </c>
      <c r="D1691" s="1">
        <v>45927</v>
      </c>
      <c r="E1691" t="s">
        <v>14</v>
      </c>
      <c r="F1691" t="s">
        <v>15</v>
      </c>
      <c r="G1691" t="s">
        <v>373</v>
      </c>
      <c r="H1691" t="s">
        <v>23</v>
      </c>
      <c r="I1691" t="s">
        <v>1879</v>
      </c>
      <c r="J1691" t="s">
        <v>20</v>
      </c>
      <c r="K1691">
        <v>1</v>
      </c>
      <c r="L1691">
        <v>604000</v>
      </c>
      <c r="M1691">
        <v>0</v>
      </c>
      <c r="N1691">
        <v>432000</v>
      </c>
      <c r="O1691">
        <v>604000</v>
      </c>
    </row>
    <row r="1692" spans="1:15" x14ac:dyDescent="0.35">
      <c r="A1692" t="s">
        <v>1880</v>
      </c>
      <c r="B1692">
        <v>498087.71929824562</v>
      </c>
      <c r="C1692" t="s">
        <v>1924</v>
      </c>
      <c r="D1692" s="1">
        <v>45941</v>
      </c>
      <c r="E1692" t="s">
        <v>41</v>
      </c>
      <c r="F1692" t="s">
        <v>42</v>
      </c>
      <c r="G1692" t="s">
        <v>99</v>
      </c>
      <c r="H1692" t="s">
        <v>23</v>
      </c>
      <c r="I1692" t="s">
        <v>1879</v>
      </c>
      <c r="J1692" t="s">
        <v>20</v>
      </c>
      <c r="K1692">
        <v>1</v>
      </c>
      <c r="L1692">
        <v>480000</v>
      </c>
      <c r="M1692">
        <v>0</v>
      </c>
      <c r="N1692">
        <v>343000</v>
      </c>
      <c r="O1692">
        <v>480000</v>
      </c>
    </row>
    <row r="1693" spans="1:15" x14ac:dyDescent="0.35">
      <c r="A1693" t="s">
        <v>1880</v>
      </c>
      <c r="B1693">
        <v>498087.71929824562</v>
      </c>
      <c r="C1693" t="s">
        <v>1925</v>
      </c>
      <c r="D1693" s="1">
        <v>45950</v>
      </c>
      <c r="E1693" t="s">
        <v>49</v>
      </c>
      <c r="F1693" t="s">
        <v>50</v>
      </c>
      <c r="G1693" t="s">
        <v>301</v>
      </c>
      <c r="H1693" t="s">
        <v>28</v>
      </c>
      <c r="I1693" t="s">
        <v>1879</v>
      </c>
      <c r="J1693" t="s">
        <v>20</v>
      </c>
      <c r="K1693">
        <v>1</v>
      </c>
      <c r="L1693">
        <v>550000</v>
      </c>
      <c r="M1693">
        <v>0</v>
      </c>
      <c r="N1693">
        <v>408000</v>
      </c>
      <c r="O1693">
        <v>550000</v>
      </c>
    </row>
    <row r="1694" spans="1:15" x14ac:dyDescent="0.35">
      <c r="A1694" t="s">
        <v>1880</v>
      </c>
      <c r="B1694">
        <v>498087.71929824562</v>
      </c>
      <c r="C1694" t="s">
        <v>1926</v>
      </c>
      <c r="D1694" s="1">
        <v>45960</v>
      </c>
      <c r="E1694" t="s">
        <v>14</v>
      </c>
      <c r="F1694" t="s">
        <v>15</v>
      </c>
      <c r="G1694" t="s">
        <v>335</v>
      </c>
      <c r="H1694" t="s">
        <v>23</v>
      </c>
      <c r="I1694" t="s">
        <v>1879</v>
      </c>
      <c r="J1694" t="s">
        <v>20</v>
      </c>
      <c r="K1694">
        <v>2</v>
      </c>
      <c r="L1694">
        <v>505000</v>
      </c>
      <c r="M1694">
        <v>0</v>
      </c>
      <c r="N1694">
        <v>373000</v>
      </c>
      <c r="O1694">
        <v>505000</v>
      </c>
    </row>
    <row r="1695" spans="1:15" x14ac:dyDescent="0.35">
      <c r="A1695" t="s">
        <v>1880</v>
      </c>
      <c r="B1695">
        <v>498087.71929824562</v>
      </c>
      <c r="C1695" t="s">
        <v>1927</v>
      </c>
      <c r="D1695" s="1">
        <v>45961</v>
      </c>
      <c r="E1695" t="s">
        <v>49</v>
      </c>
      <c r="F1695" t="s">
        <v>50</v>
      </c>
      <c r="G1695" t="s">
        <v>352</v>
      </c>
      <c r="H1695" t="s">
        <v>23</v>
      </c>
      <c r="I1695" t="s">
        <v>1879</v>
      </c>
      <c r="J1695" t="s">
        <v>20</v>
      </c>
      <c r="K1695">
        <v>1</v>
      </c>
      <c r="L1695">
        <v>498087.71929824562</v>
      </c>
      <c r="M1695">
        <v>0</v>
      </c>
      <c r="N1695">
        <v>328000</v>
      </c>
      <c r="O1695">
        <v>498087.71929824562</v>
      </c>
    </row>
    <row r="1696" spans="1:15" x14ac:dyDescent="0.35">
      <c r="A1696" t="s">
        <v>1880</v>
      </c>
      <c r="B1696">
        <v>498087.71929824562</v>
      </c>
      <c r="C1696" t="s">
        <v>1928</v>
      </c>
      <c r="D1696" s="1">
        <v>45982</v>
      </c>
      <c r="E1696" t="s">
        <v>49</v>
      </c>
      <c r="F1696" t="s">
        <v>50</v>
      </c>
      <c r="G1696" t="s">
        <v>45</v>
      </c>
      <c r="H1696" t="s">
        <v>17</v>
      </c>
      <c r="I1696" t="s">
        <v>1879</v>
      </c>
      <c r="J1696" t="s">
        <v>20</v>
      </c>
      <c r="K1696">
        <v>1</v>
      </c>
      <c r="L1696">
        <v>337000</v>
      </c>
      <c r="M1696">
        <v>0</v>
      </c>
      <c r="N1696">
        <v>249000</v>
      </c>
      <c r="O1696">
        <v>337000</v>
      </c>
    </row>
    <row r="1697" spans="1:15" x14ac:dyDescent="0.35">
      <c r="A1697" t="s">
        <v>1880</v>
      </c>
      <c r="B1697">
        <v>498087.71929824562</v>
      </c>
      <c r="C1697" t="s">
        <v>1929</v>
      </c>
      <c r="D1697" s="1">
        <v>45986</v>
      </c>
      <c r="E1697" t="s">
        <v>49</v>
      </c>
      <c r="F1697" t="s">
        <v>50</v>
      </c>
      <c r="G1697" t="s">
        <v>675</v>
      </c>
      <c r="H1697" t="s">
        <v>17</v>
      </c>
      <c r="I1697" t="s">
        <v>1879</v>
      </c>
      <c r="J1697" t="s">
        <v>20</v>
      </c>
      <c r="K1697">
        <v>1</v>
      </c>
      <c r="L1697">
        <v>466000</v>
      </c>
      <c r="M1697">
        <v>0.05</v>
      </c>
      <c r="N1697">
        <v>349000</v>
      </c>
      <c r="O1697">
        <v>466000</v>
      </c>
    </row>
    <row r="1698" spans="1:15" x14ac:dyDescent="0.35">
      <c r="A1698" t="s">
        <v>1880</v>
      </c>
      <c r="B1698">
        <v>498087.71929824562</v>
      </c>
      <c r="C1698" t="s">
        <v>1930</v>
      </c>
      <c r="D1698" s="1">
        <v>45996</v>
      </c>
      <c r="E1698" t="s">
        <v>49</v>
      </c>
      <c r="F1698" t="s">
        <v>50</v>
      </c>
      <c r="G1698" t="s">
        <v>498</v>
      </c>
      <c r="H1698" t="s">
        <v>23</v>
      </c>
      <c r="I1698" t="s">
        <v>1879</v>
      </c>
      <c r="J1698" t="s">
        <v>20</v>
      </c>
      <c r="K1698">
        <v>1</v>
      </c>
      <c r="L1698">
        <v>532000</v>
      </c>
      <c r="M1698">
        <v>0</v>
      </c>
      <c r="N1698">
        <v>382000</v>
      </c>
      <c r="O1698">
        <v>532000</v>
      </c>
    </row>
    <row r="1699" spans="1:15" x14ac:dyDescent="0.35">
      <c r="A1699" t="s">
        <v>1880</v>
      </c>
      <c r="B1699">
        <v>498087.71929824562</v>
      </c>
      <c r="C1699" t="s">
        <v>1931</v>
      </c>
      <c r="D1699" s="1">
        <v>46023</v>
      </c>
      <c r="E1699" t="s">
        <v>36</v>
      </c>
      <c r="F1699" t="s">
        <v>37</v>
      </c>
      <c r="G1699" t="s">
        <v>93</v>
      </c>
      <c r="H1699" t="s">
        <v>23</v>
      </c>
      <c r="I1699" t="s">
        <v>1879</v>
      </c>
      <c r="J1699" t="s">
        <v>20</v>
      </c>
      <c r="K1699">
        <v>2</v>
      </c>
      <c r="L1699">
        <v>612000</v>
      </c>
      <c r="M1699">
        <v>0</v>
      </c>
      <c r="N1699">
        <v>454000</v>
      </c>
      <c r="O1699">
        <v>612000</v>
      </c>
    </row>
    <row r="1700" spans="1:15" x14ac:dyDescent="0.35">
      <c r="A1700" t="s">
        <v>1880</v>
      </c>
      <c r="B1700">
        <v>498087.71929824562</v>
      </c>
      <c r="C1700" t="s">
        <v>1932</v>
      </c>
      <c r="D1700" s="1">
        <v>46034</v>
      </c>
      <c r="E1700" t="s">
        <v>14</v>
      </c>
      <c r="F1700" t="s">
        <v>15</v>
      </c>
      <c r="G1700" t="s">
        <v>39</v>
      </c>
      <c r="H1700" t="s">
        <v>23</v>
      </c>
      <c r="I1700" t="s">
        <v>1879</v>
      </c>
      <c r="J1700" t="s">
        <v>20</v>
      </c>
      <c r="K1700">
        <v>2</v>
      </c>
      <c r="L1700">
        <v>503000</v>
      </c>
      <c r="M1700">
        <v>0</v>
      </c>
      <c r="N1700">
        <v>377000</v>
      </c>
      <c r="O1700">
        <v>503000</v>
      </c>
    </row>
    <row r="1701" spans="1:15" x14ac:dyDescent="0.35">
      <c r="A1701" t="s">
        <v>1880</v>
      </c>
      <c r="B1701">
        <v>498087.71929824562</v>
      </c>
      <c r="C1701" t="s">
        <v>1933</v>
      </c>
      <c r="D1701" s="1">
        <v>46069</v>
      </c>
      <c r="E1701" t="s">
        <v>49</v>
      </c>
      <c r="F1701" t="s">
        <v>50</v>
      </c>
      <c r="G1701" t="s">
        <v>327</v>
      </c>
      <c r="H1701" t="s">
        <v>23</v>
      </c>
      <c r="I1701" t="s">
        <v>1879</v>
      </c>
      <c r="J1701" t="s">
        <v>20</v>
      </c>
      <c r="K1701">
        <v>5</v>
      </c>
      <c r="L1701">
        <v>599000</v>
      </c>
      <c r="M1701">
        <v>0</v>
      </c>
      <c r="N1701">
        <v>438000</v>
      </c>
      <c r="O1701">
        <v>599000</v>
      </c>
    </row>
    <row r="1702" spans="1:15" x14ac:dyDescent="0.35">
      <c r="A1702" t="s">
        <v>1880</v>
      </c>
      <c r="B1702">
        <v>498087.71929824562</v>
      </c>
      <c r="C1702" t="s">
        <v>1934</v>
      </c>
      <c r="D1702" s="1">
        <v>46130</v>
      </c>
      <c r="E1702" t="s">
        <v>25</v>
      </c>
      <c r="F1702" t="s">
        <v>26</v>
      </c>
      <c r="G1702" t="s">
        <v>102</v>
      </c>
      <c r="H1702" t="s">
        <v>58</v>
      </c>
      <c r="I1702" t="s">
        <v>1879</v>
      </c>
      <c r="J1702" t="s">
        <v>20</v>
      </c>
      <c r="K1702">
        <v>1</v>
      </c>
      <c r="L1702">
        <v>686000</v>
      </c>
      <c r="M1702">
        <v>0</v>
      </c>
      <c r="N1702">
        <v>510000</v>
      </c>
      <c r="O1702">
        <v>686000</v>
      </c>
    </row>
    <row r="1703" spans="1:15" x14ac:dyDescent="0.35">
      <c r="A1703" t="s">
        <v>1880</v>
      </c>
      <c r="B1703">
        <v>498087.71929824562</v>
      </c>
      <c r="C1703" t="s">
        <v>1935</v>
      </c>
      <c r="D1703" s="1">
        <v>46131</v>
      </c>
      <c r="E1703" t="s">
        <v>36</v>
      </c>
      <c r="F1703" t="s">
        <v>37</v>
      </c>
      <c r="G1703" t="s">
        <v>423</v>
      </c>
      <c r="H1703" t="s">
        <v>17</v>
      </c>
      <c r="I1703" t="s">
        <v>1879</v>
      </c>
      <c r="J1703" t="s">
        <v>20</v>
      </c>
      <c r="K1703">
        <v>1</v>
      </c>
      <c r="L1703">
        <v>558000</v>
      </c>
      <c r="M1703">
        <v>0</v>
      </c>
      <c r="N1703">
        <v>418000</v>
      </c>
      <c r="O1703">
        <v>558000</v>
      </c>
    </row>
    <row r="1704" spans="1:15" x14ac:dyDescent="0.35">
      <c r="A1704" t="s">
        <v>1880</v>
      </c>
      <c r="B1704">
        <v>498087.71929824562</v>
      </c>
      <c r="C1704" t="s">
        <v>1936</v>
      </c>
      <c r="D1704" s="1">
        <v>46143</v>
      </c>
      <c r="E1704" t="s">
        <v>41</v>
      </c>
      <c r="F1704" t="s">
        <v>42</v>
      </c>
      <c r="G1704" t="s">
        <v>95</v>
      </c>
      <c r="H1704" t="s">
        <v>23</v>
      </c>
      <c r="I1704" t="s">
        <v>1879</v>
      </c>
      <c r="J1704" t="s">
        <v>20</v>
      </c>
      <c r="K1704">
        <v>1</v>
      </c>
      <c r="L1704">
        <v>346000</v>
      </c>
      <c r="M1704">
        <v>0</v>
      </c>
      <c r="N1704">
        <v>256000</v>
      </c>
      <c r="O1704">
        <v>346000</v>
      </c>
    </row>
    <row r="1705" spans="1:15" x14ac:dyDescent="0.35">
      <c r="A1705" t="s">
        <v>1880</v>
      </c>
      <c r="B1705">
        <v>498087.71929824562</v>
      </c>
      <c r="C1705" t="s">
        <v>1937</v>
      </c>
      <c r="D1705" s="1">
        <v>46168</v>
      </c>
      <c r="E1705" t="s">
        <v>14</v>
      </c>
      <c r="F1705" t="s">
        <v>15</v>
      </c>
      <c r="G1705" t="s">
        <v>43</v>
      </c>
      <c r="H1705" t="s">
        <v>17</v>
      </c>
      <c r="I1705" t="s">
        <v>1879</v>
      </c>
      <c r="J1705" t="s">
        <v>20</v>
      </c>
      <c r="K1705">
        <v>5</v>
      </c>
      <c r="L1705">
        <v>667000</v>
      </c>
      <c r="M1705">
        <v>0</v>
      </c>
      <c r="N1705">
        <v>480000</v>
      </c>
      <c r="O1705">
        <v>667000</v>
      </c>
    </row>
    <row r="1706" spans="1:15" x14ac:dyDescent="0.35">
      <c r="A1706" t="s">
        <v>1940</v>
      </c>
      <c r="B1706">
        <v>2804666.666666667</v>
      </c>
      <c r="C1706" t="s">
        <v>1938</v>
      </c>
      <c r="D1706" s="1">
        <v>44996</v>
      </c>
      <c r="E1706" t="s">
        <v>14</v>
      </c>
      <c r="F1706" t="s">
        <v>15</v>
      </c>
      <c r="G1706" t="s">
        <v>47</v>
      </c>
      <c r="H1706" t="s">
        <v>23</v>
      </c>
      <c r="I1706" t="s">
        <v>1939</v>
      </c>
      <c r="J1706" t="s">
        <v>160</v>
      </c>
      <c r="K1706">
        <v>1</v>
      </c>
      <c r="L1706">
        <v>2107000</v>
      </c>
      <c r="M1706">
        <v>0</v>
      </c>
      <c r="N1706">
        <v>1417000</v>
      </c>
      <c r="O1706">
        <v>2107000</v>
      </c>
    </row>
    <row r="1707" spans="1:15" x14ac:dyDescent="0.35">
      <c r="A1707" t="s">
        <v>1940</v>
      </c>
      <c r="B1707">
        <v>2804666.666666667</v>
      </c>
      <c r="C1707" t="s">
        <v>1941</v>
      </c>
      <c r="D1707" s="1">
        <v>45004</v>
      </c>
      <c r="E1707" t="s">
        <v>14</v>
      </c>
      <c r="F1707" t="s">
        <v>15</v>
      </c>
      <c r="G1707" t="s">
        <v>65</v>
      </c>
      <c r="H1707" t="s">
        <v>17</v>
      </c>
      <c r="I1707" t="s">
        <v>1939</v>
      </c>
      <c r="J1707" t="s">
        <v>160</v>
      </c>
      <c r="K1707">
        <v>1</v>
      </c>
      <c r="L1707">
        <v>2098000</v>
      </c>
      <c r="M1707">
        <v>0</v>
      </c>
      <c r="N1707">
        <v>1443000</v>
      </c>
      <c r="O1707">
        <v>2098000</v>
      </c>
    </row>
    <row r="1708" spans="1:15" x14ac:dyDescent="0.35">
      <c r="A1708" t="s">
        <v>1940</v>
      </c>
      <c r="B1708">
        <v>2804666.666666667</v>
      </c>
      <c r="C1708" t="s">
        <v>1942</v>
      </c>
      <c r="D1708" s="1">
        <v>45004</v>
      </c>
      <c r="E1708" t="s">
        <v>41</v>
      </c>
      <c r="F1708" t="s">
        <v>42</v>
      </c>
      <c r="G1708" t="s">
        <v>489</v>
      </c>
      <c r="H1708" t="s">
        <v>17</v>
      </c>
      <c r="I1708" t="s">
        <v>1939</v>
      </c>
      <c r="J1708" t="s">
        <v>160</v>
      </c>
      <c r="K1708">
        <v>2</v>
      </c>
      <c r="L1708">
        <v>3446000</v>
      </c>
      <c r="M1708">
        <v>0</v>
      </c>
      <c r="N1708">
        <v>2391000</v>
      </c>
      <c r="O1708">
        <v>3446000</v>
      </c>
    </row>
    <row r="1709" spans="1:15" x14ac:dyDescent="0.35">
      <c r="A1709" t="s">
        <v>1940</v>
      </c>
      <c r="B1709">
        <v>2804666.666666667</v>
      </c>
      <c r="C1709" t="s">
        <v>1943</v>
      </c>
      <c r="D1709" s="1">
        <v>45020</v>
      </c>
      <c r="E1709" t="s">
        <v>36</v>
      </c>
      <c r="F1709" t="s">
        <v>37</v>
      </c>
      <c r="G1709" t="s">
        <v>411</v>
      </c>
      <c r="H1709" t="s">
        <v>28</v>
      </c>
      <c r="I1709" t="s">
        <v>1939</v>
      </c>
      <c r="J1709" t="s">
        <v>160</v>
      </c>
      <c r="K1709">
        <v>1</v>
      </c>
      <c r="L1709">
        <v>2116000</v>
      </c>
      <c r="M1709">
        <v>0.05</v>
      </c>
      <c r="N1709">
        <v>1472000</v>
      </c>
      <c r="O1709">
        <v>2116000</v>
      </c>
    </row>
    <row r="1710" spans="1:15" x14ac:dyDescent="0.35">
      <c r="A1710" t="s">
        <v>1940</v>
      </c>
      <c r="B1710">
        <v>2804666.666666667</v>
      </c>
      <c r="C1710" t="s">
        <v>1944</v>
      </c>
      <c r="D1710" s="1">
        <v>45043</v>
      </c>
      <c r="E1710" t="s">
        <v>41</v>
      </c>
      <c r="F1710" t="s">
        <v>42</v>
      </c>
      <c r="G1710" t="s">
        <v>498</v>
      </c>
      <c r="H1710" t="s">
        <v>23</v>
      </c>
      <c r="I1710" t="s">
        <v>1939</v>
      </c>
      <c r="J1710" t="s">
        <v>160</v>
      </c>
      <c r="K1710">
        <v>1</v>
      </c>
      <c r="L1710">
        <v>3395000</v>
      </c>
      <c r="M1710">
        <v>0</v>
      </c>
      <c r="N1710">
        <v>2314000</v>
      </c>
      <c r="O1710">
        <v>3395000</v>
      </c>
    </row>
    <row r="1711" spans="1:15" x14ac:dyDescent="0.35">
      <c r="A1711" t="s">
        <v>1940</v>
      </c>
      <c r="B1711">
        <v>2804666.666666667</v>
      </c>
      <c r="C1711" t="s">
        <v>1945</v>
      </c>
      <c r="D1711" s="1">
        <v>45055</v>
      </c>
      <c r="E1711" t="s">
        <v>14</v>
      </c>
      <c r="F1711" t="s">
        <v>15</v>
      </c>
      <c r="G1711" t="s">
        <v>239</v>
      </c>
      <c r="H1711" t="s">
        <v>23</v>
      </c>
      <c r="I1711" t="s">
        <v>1939</v>
      </c>
      <c r="J1711" t="s">
        <v>160</v>
      </c>
      <c r="K1711">
        <v>1</v>
      </c>
      <c r="L1711">
        <v>2856000</v>
      </c>
      <c r="M1711">
        <v>0.05</v>
      </c>
      <c r="N1711">
        <v>1932000</v>
      </c>
      <c r="O1711">
        <v>2856000</v>
      </c>
    </row>
    <row r="1712" spans="1:15" x14ac:dyDescent="0.35">
      <c r="A1712" t="s">
        <v>1940</v>
      </c>
      <c r="B1712">
        <v>2804666.666666667</v>
      </c>
      <c r="C1712" t="s">
        <v>1946</v>
      </c>
      <c r="D1712" s="1">
        <v>45070</v>
      </c>
      <c r="E1712" t="s">
        <v>36</v>
      </c>
      <c r="F1712" t="s">
        <v>37</v>
      </c>
      <c r="G1712" t="s">
        <v>373</v>
      </c>
      <c r="H1712" t="s">
        <v>23</v>
      </c>
      <c r="I1712" t="s">
        <v>1939</v>
      </c>
      <c r="J1712" t="s">
        <v>160</v>
      </c>
      <c r="K1712">
        <v>1</v>
      </c>
      <c r="L1712">
        <v>3079000</v>
      </c>
      <c r="M1712">
        <v>0</v>
      </c>
      <c r="N1712">
        <v>2036000</v>
      </c>
      <c r="O1712">
        <v>3079000</v>
      </c>
    </row>
    <row r="1713" spans="1:15" x14ac:dyDescent="0.35">
      <c r="A1713" t="s">
        <v>1940</v>
      </c>
      <c r="B1713">
        <v>2804666.666666667</v>
      </c>
      <c r="C1713" t="s">
        <v>1947</v>
      </c>
      <c r="D1713" s="1">
        <v>45077</v>
      </c>
      <c r="E1713" t="s">
        <v>14</v>
      </c>
      <c r="F1713" t="s">
        <v>15</v>
      </c>
      <c r="G1713" t="s">
        <v>164</v>
      </c>
      <c r="H1713" t="s">
        <v>23</v>
      </c>
      <c r="I1713" t="s">
        <v>1939</v>
      </c>
      <c r="J1713" t="s">
        <v>160</v>
      </c>
      <c r="K1713">
        <v>1</v>
      </c>
      <c r="L1713">
        <v>2456000</v>
      </c>
      <c r="M1713">
        <v>0</v>
      </c>
      <c r="N1713">
        <v>1695000</v>
      </c>
      <c r="O1713">
        <v>2456000</v>
      </c>
    </row>
    <row r="1714" spans="1:15" x14ac:dyDescent="0.35">
      <c r="A1714" t="s">
        <v>1940</v>
      </c>
      <c r="B1714">
        <v>2804666.666666667</v>
      </c>
      <c r="C1714" t="s">
        <v>1948</v>
      </c>
      <c r="D1714" s="1">
        <v>45099</v>
      </c>
      <c r="E1714" t="s">
        <v>41</v>
      </c>
      <c r="F1714" t="s">
        <v>42</v>
      </c>
      <c r="G1714" t="s">
        <v>45</v>
      </c>
      <c r="H1714" t="s">
        <v>17</v>
      </c>
      <c r="I1714" t="s">
        <v>1939</v>
      </c>
      <c r="J1714" t="s">
        <v>160</v>
      </c>
      <c r="K1714">
        <v>1</v>
      </c>
      <c r="L1714">
        <v>3396000</v>
      </c>
      <c r="M1714">
        <v>0</v>
      </c>
      <c r="N1714">
        <v>2360000</v>
      </c>
      <c r="O1714">
        <v>3396000</v>
      </c>
    </row>
    <row r="1715" spans="1:15" x14ac:dyDescent="0.35">
      <c r="A1715" t="s">
        <v>1940</v>
      </c>
      <c r="B1715">
        <v>2804666.666666667</v>
      </c>
      <c r="C1715" t="s">
        <v>1949</v>
      </c>
      <c r="D1715" s="1">
        <v>45153</v>
      </c>
      <c r="E1715" t="s">
        <v>49</v>
      </c>
      <c r="F1715" t="s">
        <v>50</v>
      </c>
      <c r="G1715" t="s">
        <v>95</v>
      </c>
      <c r="H1715" t="s">
        <v>23</v>
      </c>
      <c r="I1715" t="s">
        <v>1939</v>
      </c>
      <c r="J1715" t="s">
        <v>160</v>
      </c>
      <c r="K1715">
        <v>3</v>
      </c>
      <c r="L1715">
        <v>2276000</v>
      </c>
      <c r="M1715">
        <v>0</v>
      </c>
      <c r="N1715">
        <v>1574000</v>
      </c>
      <c r="O1715">
        <v>2276000</v>
      </c>
    </row>
    <row r="1716" spans="1:15" x14ac:dyDescent="0.35">
      <c r="A1716" t="s">
        <v>1940</v>
      </c>
      <c r="B1716">
        <v>2804666.666666667</v>
      </c>
      <c r="C1716" t="s">
        <v>1950</v>
      </c>
      <c r="D1716" s="1">
        <v>45172</v>
      </c>
      <c r="E1716" t="s">
        <v>14</v>
      </c>
      <c r="F1716" t="s">
        <v>15</v>
      </c>
      <c r="G1716" t="s">
        <v>327</v>
      </c>
      <c r="H1716" t="s">
        <v>23</v>
      </c>
      <c r="I1716" t="s">
        <v>1939</v>
      </c>
      <c r="J1716" t="s">
        <v>160</v>
      </c>
      <c r="K1716">
        <v>5</v>
      </c>
      <c r="L1716">
        <v>2012000</v>
      </c>
      <c r="M1716">
        <v>0</v>
      </c>
      <c r="N1716">
        <v>1373000</v>
      </c>
      <c r="O1716">
        <v>2012000</v>
      </c>
    </row>
    <row r="1717" spans="1:15" x14ac:dyDescent="0.35">
      <c r="A1717" t="s">
        <v>1940</v>
      </c>
      <c r="B1717">
        <v>2804666.666666667</v>
      </c>
      <c r="C1717" t="s">
        <v>1951</v>
      </c>
      <c r="D1717" s="1">
        <v>45198</v>
      </c>
      <c r="E1717" t="s">
        <v>14</v>
      </c>
      <c r="F1717" t="s">
        <v>15</v>
      </c>
      <c r="G1717" t="s">
        <v>43</v>
      </c>
      <c r="H1717" t="s">
        <v>17</v>
      </c>
      <c r="I1717" t="s">
        <v>1939</v>
      </c>
      <c r="J1717" t="s">
        <v>160</v>
      </c>
      <c r="K1717">
        <v>1</v>
      </c>
      <c r="L1717">
        <v>2503000</v>
      </c>
      <c r="M1717">
        <v>0</v>
      </c>
      <c r="N1717">
        <v>1664000</v>
      </c>
      <c r="O1717">
        <v>2503000</v>
      </c>
    </row>
    <row r="1718" spans="1:15" x14ac:dyDescent="0.35">
      <c r="A1718" t="s">
        <v>1940</v>
      </c>
      <c r="B1718">
        <v>2804666.666666667</v>
      </c>
      <c r="C1718" t="s">
        <v>1952</v>
      </c>
      <c r="D1718" s="1">
        <v>45221</v>
      </c>
      <c r="E1718" t="s">
        <v>14</v>
      </c>
      <c r="F1718" t="s">
        <v>15</v>
      </c>
      <c r="G1718" t="s">
        <v>195</v>
      </c>
      <c r="H1718" t="s">
        <v>23</v>
      </c>
      <c r="I1718" t="s">
        <v>1939</v>
      </c>
      <c r="J1718" t="s">
        <v>160</v>
      </c>
      <c r="K1718">
        <v>1</v>
      </c>
      <c r="L1718">
        <v>2699000</v>
      </c>
      <c r="M1718">
        <v>0</v>
      </c>
      <c r="N1718">
        <v>1810000</v>
      </c>
      <c r="O1718">
        <v>2699000</v>
      </c>
    </row>
    <row r="1719" spans="1:15" x14ac:dyDescent="0.35">
      <c r="A1719" t="s">
        <v>1940</v>
      </c>
      <c r="B1719">
        <v>2804666.666666667</v>
      </c>
      <c r="C1719" t="s">
        <v>1953</v>
      </c>
      <c r="D1719" s="1">
        <v>45236</v>
      </c>
      <c r="E1719" t="s">
        <v>41</v>
      </c>
      <c r="F1719" t="s">
        <v>42</v>
      </c>
      <c r="G1719" t="s">
        <v>99</v>
      </c>
      <c r="H1719" t="s">
        <v>23</v>
      </c>
      <c r="I1719" t="s">
        <v>1939</v>
      </c>
      <c r="J1719" t="s">
        <v>160</v>
      </c>
      <c r="K1719">
        <v>2</v>
      </c>
      <c r="L1719">
        <v>2022000</v>
      </c>
      <c r="M1719">
        <v>0</v>
      </c>
      <c r="N1719">
        <v>1404000</v>
      </c>
      <c r="O1719">
        <v>2022000</v>
      </c>
    </row>
    <row r="1720" spans="1:15" x14ac:dyDescent="0.35">
      <c r="A1720" t="s">
        <v>1940</v>
      </c>
      <c r="B1720">
        <v>2804666.666666667</v>
      </c>
      <c r="C1720" t="s">
        <v>1954</v>
      </c>
      <c r="D1720" s="1">
        <v>45259</v>
      </c>
      <c r="E1720" t="s">
        <v>49</v>
      </c>
      <c r="F1720" t="s">
        <v>50</v>
      </c>
      <c r="G1720" t="s">
        <v>287</v>
      </c>
      <c r="H1720" t="s">
        <v>28</v>
      </c>
      <c r="I1720" t="s">
        <v>1939</v>
      </c>
      <c r="J1720" t="s">
        <v>160</v>
      </c>
      <c r="K1720">
        <v>1</v>
      </c>
      <c r="L1720">
        <v>2885000</v>
      </c>
      <c r="M1720">
        <v>0</v>
      </c>
      <c r="N1720">
        <v>1968000</v>
      </c>
      <c r="O1720">
        <v>2885000</v>
      </c>
    </row>
    <row r="1721" spans="1:15" x14ac:dyDescent="0.35">
      <c r="A1721" t="s">
        <v>1940</v>
      </c>
      <c r="B1721">
        <v>2804666.666666667</v>
      </c>
      <c r="C1721" t="s">
        <v>1955</v>
      </c>
      <c r="D1721" s="1">
        <v>45269</v>
      </c>
      <c r="E1721" t="s">
        <v>14</v>
      </c>
      <c r="F1721" t="s">
        <v>15</v>
      </c>
      <c r="G1721" t="s">
        <v>144</v>
      </c>
      <c r="H1721" t="s">
        <v>23</v>
      </c>
      <c r="I1721" t="s">
        <v>1939</v>
      </c>
      <c r="J1721" t="s">
        <v>160</v>
      </c>
      <c r="K1721">
        <v>3</v>
      </c>
      <c r="L1721">
        <v>2804666.6666666665</v>
      </c>
      <c r="M1721">
        <v>0</v>
      </c>
      <c r="N1721">
        <v>0</v>
      </c>
      <c r="O1721">
        <v>2804666.6666666665</v>
      </c>
    </row>
    <row r="1722" spans="1:15" x14ac:dyDescent="0.35">
      <c r="A1722" t="s">
        <v>1940</v>
      </c>
      <c r="B1722">
        <v>2804666.666666667</v>
      </c>
      <c r="C1722" t="s">
        <v>1956</v>
      </c>
      <c r="D1722" s="1">
        <v>45278</v>
      </c>
      <c r="E1722" t="s">
        <v>25</v>
      </c>
      <c r="F1722" t="s">
        <v>26</v>
      </c>
      <c r="G1722" t="s">
        <v>32</v>
      </c>
      <c r="H1722" t="s">
        <v>23</v>
      </c>
      <c r="I1722" t="s">
        <v>1939</v>
      </c>
      <c r="J1722" t="s">
        <v>160</v>
      </c>
      <c r="K1722">
        <v>1</v>
      </c>
      <c r="L1722">
        <v>2350000</v>
      </c>
      <c r="M1722">
        <v>0</v>
      </c>
      <c r="N1722">
        <v>1627000</v>
      </c>
      <c r="O1722">
        <v>2350000</v>
      </c>
    </row>
    <row r="1723" spans="1:15" x14ac:dyDescent="0.35">
      <c r="A1723" t="s">
        <v>1940</v>
      </c>
      <c r="B1723">
        <v>2804666.666666667</v>
      </c>
      <c r="C1723" t="s">
        <v>1957</v>
      </c>
      <c r="D1723" s="1">
        <v>45317</v>
      </c>
      <c r="E1723" t="s">
        <v>14</v>
      </c>
      <c r="F1723" t="s">
        <v>15</v>
      </c>
      <c r="G1723" t="s">
        <v>226</v>
      </c>
      <c r="H1723" t="s">
        <v>17</v>
      </c>
      <c r="I1723" t="s">
        <v>1939</v>
      </c>
      <c r="J1723" t="s">
        <v>160</v>
      </c>
      <c r="K1723">
        <v>2</v>
      </c>
      <c r="L1723">
        <v>2247000</v>
      </c>
      <c r="M1723">
        <v>0</v>
      </c>
      <c r="N1723">
        <v>1534000</v>
      </c>
      <c r="O1723">
        <v>2247000</v>
      </c>
    </row>
    <row r="1724" spans="1:15" x14ac:dyDescent="0.35">
      <c r="A1724" t="s">
        <v>1940</v>
      </c>
      <c r="B1724">
        <v>2804666.666666667</v>
      </c>
      <c r="C1724" t="s">
        <v>1958</v>
      </c>
      <c r="D1724" s="1">
        <v>45336</v>
      </c>
      <c r="E1724" t="s">
        <v>49</v>
      </c>
      <c r="F1724" t="s">
        <v>50</v>
      </c>
      <c r="G1724" t="s">
        <v>83</v>
      </c>
      <c r="H1724" t="s">
        <v>23</v>
      </c>
      <c r="I1724" t="s">
        <v>1939</v>
      </c>
      <c r="J1724" t="s">
        <v>160</v>
      </c>
      <c r="K1724">
        <v>1</v>
      </c>
      <c r="L1724">
        <v>2351000</v>
      </c>
      <c r="M1724">
        <v>0.05</v>
      </c>
      <c r="N1724">
        <v>1584000</v>
      </c>
      <c r="O1724">
        <v>2351000</v>
      </c>
    </row>
    <row r="1725" spans="1:15" x14ac:dyDescent="0.35">
      <c r="A1725" t="s">
        <v>1940</v>
      </c>
      <c r="B1725">
        <v>2804666.666666667</v>
      </c>
      <c r="C1725" t="s">
        <v>1959</v>
      </c>
      <c r="D1725" s="1">
        <v>45371</v>
      </c>
      <c r="E1725" t="s">
        <v>14</v>
      </c>
      <c r="F1725" t="s">
        <v>15</v>
      </c>
      <c r="G1725" t="s">
        <v>191</v>
      </c>
      <c r="H1725" t="s">
        <v>23</v>
      </c>
      <c r="I1725" t="s">
        <v>1939</v>
      </c>
      <c r="J1725" t="s">
        <v>160</v>
      </c>
      <c r="K1725">
        <v>1</v>
      </c>
      <c r="L1725">
        <v>2804666.6666666665</v>
      </c>
      <c r="M1725">
        <v>0</v>
      </c>
      <c r="N1725">
        <v>0</v>
      </c>
      <c r="O1725">
        <v>2804666.6666666665</v>
      </c>
    </row>
    <row r="1726" spans="1:15" x14ac:dyDescent="0.35">
      <c r="A1726" t="s">
        <v>1940</v>
      </c>
      <c r="B1726">
        <v>2804666.666666667</v>
      </c>
      <c r="C1726" t="s">
        <v>1960</v>
      </c>
      <c r="D1726" s="1">
        <v>45391</v>
      </c>
      <c r="E1726" t="s">
        <v>14</v>
      </c>
      <c r="F1726" t="s">
        <v>15</v>
      </c>
      <c r="G1726" t="s">
        <v>205</v>
      </c>
      <c r="H1726" t="s">
        <v>17</v>
      </c>
      <c r="I1726" t="s">
        <v>1939</v>
      </c>
      <c r="J1726" t="s">
        <v>160</v>
      </c>
      <c r="K1726">
        <v>3</v>
      </c>
      <c r="L1726">
        <v>3405000</v>
      </c>
      <c r="M1726">
        <v>0.05</v>
      </c>
      <c r="N1726">
        <v>2278000</v>
      </c>
      <c r="O1726">
        <v>3405000</v>
      </c>
    </row>
    <row r="1727" spans="1:15" x14ac:dyDescent="0.35">
      <c r="A1727" t="s">
        <v>1940</v>
      </c>
      <c r="B1727">
        <v>2804666.666666667</v>
      </c>
      <c r="C1727" t="s">
        <v>1961</v>
      </c>
      <c r="D1727" s="1">
        <v>45392</v>
      </c>
      <c r="E1727" t="s">
        <v>14</v>
      </c>
      <c r="F1727" t="s">
        <v>15</v>
      </c>
      <c r="G1727" t="s">
        <v>311</v>
      </c>
      <c r="H1727" t="s">
        <v>17</v>
      </c>
      <c r="I1727" t="s">
        <v>1939</v>
      </c>
      <c r="J1727" t="s">
        <v>160</v>
      </c>
      <c r="K1727">
        <v>3</v>
      </c>
      <c r="L1727">
        <v>2526000</v>
      </c>
      <c r="M1727">
        <v>0</v>
      </c>
      <c r="N1727">
        <v>1731000</v>
      </c>
      <c r="O1727">
        <v>2526000</v>
      </c>
    </row>
    <row r="1728" spans="1:15" x14ac:dyDescent="0.35">
      <c r="A1728" t="s">
        <v>1940</v>
      </c>
      <c r="B1728">
        <v>2804666.666666667</v>
      </c>
      <c r="C1728" t="s">
        <v>1962</v>
      </c>
      <c r="D1728" s="1">
        <v>45423</v>
      </c>
      <c r="E1728" t="s">
        <v>14</v>
      </c>
      <c r="F1728" t="s">
        <v>15</v>
      </c>
      <c r="G1728" t="s">
        <v>432</v>
      </c>
      <c r="H1728" t="s">
        <v>23</v>
      </c>
      <c r="I1728" t="s">
        <v>1939</v>
      </c>
      <c r="J1728" t="s">
        <v>160</v>
      </c>
      <c r="K1728">
        <v>3</v>
      </c>
      <c r="L1728">
        <v>2802000</v>
      </c>
      <c r="M1728">
        <v>0</v>
      </c>
      <c r="N1728">
        <v>1867000</v>
      </c>
      <c r="O1728">
        <v>2802000</v>
      </c>
    </row>
    <row r="1729" spans="1:15" x14ac:dyDescent="0.35">
      <c r="A1729" t="s">
        <v>1940</v>
      </c>
      <c r="B1729">
        <v>2804666.666666667</v>
      </c>
      <c r="C1729" t="s">
        <v>1963</v>
      </c>
      <c r="D1729" s="1">
        <v>45432</v>
      </c>
      <c r="E1729" t="s">
        <v>14</v>
      </c>
      <c r="F1729" t="s">
        <v>15</v>
      </c>
      <c r="G1729" t="s">
        <v>239</v>
      </c>
      <c r="H1729" t="s">
        <v>23</v>
      </c>
      <c r="I1729" t="s">
        <v>1939</v>
      </c>
      <c r="J1729" t="s">
        <v>160</v>
      </c>
      <c r="K1729">
        <v>1</v>
      </c>
      <c r="L1729">
        <v>3591000</v>
      </c>
      <c r="M1729">
        <v>0</v>
      </c>
      <c r="N1729">
        <v>2513000</v>
      </c>
      <c r="O1729">
        <v>3591000</v>
      </c>
    </row>
    <row r="1730" spans="1:15" x14ac:dyDescent="0.35">
      <c r="A1730" t="s">
        <v>1940</v>
      </c>
      <c r="B1730">
        <v>2804666.666666667</v>
      </c>
      <c r="C1730" t="s">
        <v>1964</v>
      </c>
      <c r="D1730" s="1">
        <v>45438</v>
      </c>
      <c r="E1730" t="s">
        <v>14</v>
      </c>
      <c r="F1730" t="s">
        <v>15</v>
      </c>
      <c r="G1730" t="s">
        <v>247</v>
      </c>
      <c r="H1730" t="s">
        <v>17</v>
      </c>
      <c r="I1730" t="s">
        <v>1939</v>
      </c>
      <c r="J1730" t="s">
        <v>160</v>
      </c>
      <c r="K1730">
        <v>3</v>
      </c>
      <c r="L1730">
        <v>2808000</v>
      </c>
      <c r="M1730">
        <v>0.05</v>
      </c>
      <c r="N1730">
        <v>1865000</v>
      </c>
      <c r="O1730">
        <v>2808000</v>
      </c>
    </row>
    <row r="1731" spans="1:15" x14ac:dyDescent="0.35">
      <c r="A1731" t="s">
        <v>1940</v>
      </c>
      <c r="B1731">
        <v>2804666.666666667</v>
      </c>
      <c r="C1731" t="s">
        <v>1965</v>
      </c>
      <c r="D1731" s="1">
        <v>45445</v>
      </c>
      <c r="E1731" t="s">
        <v>49</v>
      </c>
      <c r="F1731" t="s">
        <v>50</v>
      </c>
      <c r="G1731" t="s">
        <v>423</v>
      </c>
      <c r="H1731" t="s">
        <v>17</v>
      </c>
      <c r="I1731" t="s">
        <v>1939</v>
      </c>
      <c r="J1731" t="s">
        <v>160</v>
      </c>
      <c r="K1731">
        <v>1</v>
      </c>
      <c r="L1731">
        <v>2468000</v>
      </c>
      <c r="M1731">
        <v>0.05</v>
      </c>
      <c r="N1731">
        <v>1645000</v>
      </c>
      <c r="O1731">
        <v>2468000</v>
      </c>
    </row>
    <row r="1732" spans="1:15" x14ac:dyDescent="0.35">
      <c r="A1732" t="s">
        <v>1940</v>
      </c>
      <c r="B1732">
        <v>2804666.666666667</v>
      </c>
      <c r="C1732" t="s">
        <v>1966</v>
      </c>
      <c r="D1732" s="1">
        <v>45457</v>
      </c>
      <c r="E1732" t="s">
        <v>14</v>
      </c>
      <c r="F1732" t="s">
        <v>15</v>
      </c>
      <c r="G1732" t="s">
        <v>74</v>
      </c>
      <c r="H1732" t="s">
        <v>23</v>
      </c>
      <c r="I1732" t="s">
        <v>1939</v>
      </c>
      <c r="J1732" t="s">
        <v>160</v>
      </c>
      <c r="K1732">
        <v>1</v>
      </c>
      <c r="L1732">
        <v>2626000</v>
      </c>
      <c r="M1732">
        <v>0</v>
      </c>
      <c r="N1732">
        <v>1735000</v>
      </c>
      <c r="O1732">
        <v>2626000</v>
      </c>
    </row>
    <row r="1733" spans="1:15" x14ac:dyDescent="0.35">
      <c r="A1733" t="s">
        <v>1940</v>
      </c>
      <c r="B1733">
        <v>2804666.666666667</v>
      </c>
      <c r="C1733" t="s">
        <v>1967</v>
      </c>
      <c r="D1733" s="1">
        <v>45460</v>
      </c>
      <c r="E1733" t="s">
        <v>14</v>
      </c>
      <c r="F1733" t="s">
        <v>15</v>
      </c>
      <c r="G1733" t="s">
        <v>113</v>
      </c>
      <c r="H1733" t="s">
        <v>23</v>
      </c>
      <c r="I1733" t="s">
        <v>1939</v>
      </c>
      <c r="J1733" t="s">
        <v>160</v>
      </c>
      <c r="K1733">
        <v>1</v>
      </c>
      <c r="L1733">
        <v>2366000</v>
      </c>
      <c r="M1733">
        <v>0</v>
      </c>
      <c r="N1733">
        <v>1623000</v>
      </c>
      <c r="O1733">
        <v>2366000</v>
      </c>
    </row>
    <row r="1734" spans="1:15" x14ac:dyDescent="0.35">
      <c r="A1734" t="s">
        <v>1940</v>
      </c>
      <c r="B1734">
        <v>2804666.666666667</v>
      </c>
      <c r="C1734" t="s">
        <v>1968</v>
      </c>
      <c r="D1734" s="1">
        <v>45485</v>
      </c>
      <c r="E1734" t="s">
        <v>14</v>
      </c>
      <c r="F1734" t="s">
        <v>15</v>
      </c>
      <c r="G1734" t="s">
        <v>1041</v>
      </c>
      <c r="H1734" t="s">
        <v>23</v>
      </c>
      <c r="I1734" t="s">
        <v>1939</v>
      </c>
      <c r="J1734" t="s">
        <v>160</v>
      </c>
      <c r="K1734">
        <v>1</v>
      </c>
      <c r="L1734">
        <v>2553000</v>
      </c>
      <c r="M1734">
        <v>0.1</v>
      </c>
      <c r="N1734">
        <v>1720000</v>
      </c>
      <c r="O1734">
        <v>2553000</v>
      </c>
    </row>
    <row r="1735" spans="1:15" x14ac:dyDescent="0.35">
      <c r="A1735" t="s">
        <v>1940</v>
      </c>
      <c r="B1735">
        <v>2804666.666666667</v>
      </c>
      <c r="C1735" t="s">
        <v>1969</v>
      </c>
      <c r="D1735" s="1">
        <v>45558</v>
      </c>
      <c r="E1735" t="s">
        <v>49</v>
      </c>
      <c r="F1735" t="s">
        <v>50</v>
      </c>
      <c r="G1735" t="s">
        <v>216</v>
      </c>
      <c r="H1735" t="s">
        <v>17</v>
      </c>
      <c r="I1735" t="s">
        <v>1939</v>
      </c>
      <c r="J1735" t="s">
        <v>160</v>
      </c>
      <c r="K1735">
        <v>1</v>
      </c>
      <c r="L1735">
        <v>2125000</v>
      </c>
      <c r="M1735">
        <v>0</v>
      </c>
      <c r="N1735">
        <v>1478000</v>
      </c>
      <c r="O1735">
        <v>2125000</v>
      </c>
    </row>
    <row r="1736" spans="1:15" x14ac:dyDescent="0.35">
      <c r="A1736" t="s">
        <v>1940</v>
      </c>
      <c r="B1736">
        <v>2804666.666666667</v>
      </c>
      <c r="C1736" t="s">
        <v>1970</v>
      </c>
      <c r="D1736" s="1">
        <v>45567</v>
      </c>
      <c r="E1736" t="s">
        <v>49</v>
      </c>
      <c r="F1736" t="s">
        <v>50</v>
      </c>
      <c r="G1736" t="s">
        <v>95</v>
      </c>
      <c r="H1736" t="s">
        <v>23</v>
      </c>
      <c r="I1736" t="s">
        <v>1939</v>
      </c>
      <c r="J1736" t="s">
        <v>160</v>
      </c>
      <c r="K1736">
        <v>2</v>
      </c>
      <c r="L1736">
        <v>3324000</v>
      </c>
      <c r="M1736">
        <v>0.05</v>
      </c>
      <c r="N1736">
        <v>2198000</v>
      </c>
      <c r="O1736">
        <v>3324000</v>
      </c>
    </row>
    <row r="1737" spans="1:15" x14ac:dyDescent="0.35">
      <c r="A1737" t="s">
        <v>1940</v>
      </c>
      <c r="B1737">
        <v>2804666.666666667</v>
      </c>
      <c r="C1737" t="s">
        <v>1971</v>
      </c>
      <c r="D1737" s="1">
        <v>45580</v>
      </c>
      <c r="E1737" t="s">
        <v>14</v>
      </c>
      <c r="F1737" t="s">
        <v>15</v>
      </c>
      <c r="G1737" t="s">
        <v>255</v>
      </c>
      <c r="H1737" t="s">
        <v>17</v>
      </c>
      <c r="I1737" t="s">
        <v>1939</v>
      </c>
      <c r="J1737" t="s">
        <v>160</v>
      </c>
      <c r="K1737">
        <v>1</v>
      </c>
      <c r="L1737">
        <v>2609000</v>
      </c>
      <c r="M1737">
        <v>0</v>
      </c>
      <c r="N1737">
        <v>1729000</v>
      </c>
      <c r="O1737">
        <v>2609000</v>
      </c>
    </row>
    <row r="1738" spans="1:15" x14ac:dyDescent="0.35">
      <c r="A1738" t="s">
        <v>1940</v>
      </c>
      <c r="B1738">
        <v>2804666.666666667</v>
      </c>
      <c r="C1738" t="s">
        <v>1972</v>
      </c>
      <c r="D1738" s="1">
        <v>45587</v>
      </c>
      <c r="E1738" t="s">
        <v>14</v>
      </c>
      <c r="F1738" t="s">
        <v>15</v>
      </c>
      <c r="G1738" t="s">
        <v>177</v>
      </c>
      <c r="H1738" t="s">
        <v>23</v>
      </c>
      <c r="I1738" t="s">
        <v>1939</v>
      </c>
      <c r="J1738" t="s">
        <v>160</v>
      </c>
      <c r="K1738">
        <v>3</v>
      </c>
      <c r="L1738">
        <v>2424000</v>
      </c>
      <c r="M1738">
        <v>0</v>
      </c>
      <c r="N1738">
        <v>1663000</v>
      </c>
      <c r="O1738">
        <v>2424000</v>
      </c>
    </row>
    <row r="1739" spans="1:15" x14ac:dyDescent="0.35">
      <c r="A1739" t="s">
        <v>1940</v>
      </c>
      <c r="B1739">
        <v>2804666.666666667</v>
      </c>
      <c r="C1739" t="s">
        <v>1973</v>
      </c>
      <c r="D1739" s="1">
        <v>45588</v>
      </c>
      <c r="E1739" t="s">
        <v>14</v>
      </c>
      <c r="F1739" t="s">
        <v>15</v>
      </c>
      <c r="G1739" t="s">
        <v>191</v>
      </c>
      <c r="H1739" t="s">
        <v>23</v>
      </c>
      <c r="I1739" t="s">
        <v>1939</v>
      </c>
      <c r="J1739" t="s">
        <v>160</v>
      </c>
      <c r="K1739">
        <v>1</v>
      </c>
      <c r="L1739">
        <v>2249000</v>
      </c>
      <c r="M1739">
        <v>0</v>
      </c>
      <c r="N1739">
        <v>1506000</v>
      </c>
      <c r="O1739">
        <v>2249000</v>
      </c>
    </row>
    <row r="1740" spans="1:15" x14ac:dyDescent="0.35">
      <c r="A1740" t="s">
        <v>1940</v>
      </c>
      <c r="B1740">
        <v>2804666.666666667</v>
      </c>
      <c r="C1740" t="s">
        <v>1974</v>
      </c>
      <c r="D1740" s="1">
        <v>45615</v>
      </c>
      <c r="E1740" t="s">
        <v>36</v>
      </c>
      <c r="F1740" t="s">
        <v>37</v>
      </c>
      <c r="G1740" t="s">
        <v>247</v>
      </c>
      <c r="H1740" t="s">
        <v>17</v>
      </c>
      <c r="I1740" t="s">
        <v>1939</v>
      </c>
      <c r="J1740" t="s">
        <v>160</v>
      </c>
      <c r="K1740">
        <v>2</v>
      </c>
      <c r="L1740">
        <v>2274000</v>
      </c>
      <c r="M1740">
        <v>0</v>
      </c>
      <c r="N1740">
        <v>1559000</v>
      </c>
      <c r="O1740">
        <v>2274000</v>
      </c>
    </row>
    <row r="1741" spans="1:15" x14ac:dyDescent="0.35">
      <c r="A1741" t="s">
        <v>1940</v>
      </c>
      <c r="B1741">
        <v>2804666.666666667</v>
      </c>
      <c r="C1741" t="s">
        <v>1975</v>
      </c>
      <c r="D1741" s="1">
        <v>45618</v>
      </c>
      <c r="E1741" t="s">
        <v>36</v>
      </c>
      <c r="F1741" t="s">
        <v>37</v>
      </c>
      <c r="G1741" t="s">
        <v>402</v>
      </c>
      <c r="H1741" t="s">
        <v>23</v>
      </c>
      <c r="I1741" t="s">
        <v>1939</v>
      </c>
      <c r="J1741" t="s">
        <v>160</v>
      </c>
      <c r="K1741">
        <v>1</v>
      </c>
      <c r="L1741">
        <v>2228000</v>
      </c>
      <c r="M1741">
        <v>0.05</v>
      </c>
      <c r="N1741">
        <v>1475000</v>
      </c>
      <c r="O1741">
        <v>2228000</v>
      </c>
    </row>
    <row r="1742" spans="1:15" x14ac:dyDescent="0.35">
      <c r="A1742" t="s">
        <v>1940</v>
      </c>
      <c r="B1742">
        <v>2804666.666666667</v>
      </c>
      <c r="C1742" t="s">
        <v>1976</v>
      </c>
      <c r="D1742" s="1">
        <v>45640</v>
      </c>
      <c r="E1742" t="s">
        <v>36</v>
      </c>
      <c r="F1742" t="s">
        <v>37</v>
      </c>
      <c r="G1742" t="s">
        <v>493</v>
      </c>
      <c r="H1742" t="s">
        <v>23</v>
      </c>
      <c r="I1742" t="s">
        <v>1939</v>
      </c>
      <c r="J1742" t="s">
        <v>160</v>
      </c>
      <c r="K1742">
        <v>1</v>
      </c>
      <c r="L1742">
        <v>2856000</v>
      </c>
      <c r="M1742">
        <v>0.1</v>
      </c>
      <c r="N1742">
        <v>1962000</v>
      </c>
      <c r="O1742">
        <v>2856000</v>
      </c>
    </row>
    <row r="1743" spans="1:15" x14ac:dyDescent="0.35">
      <c r="A1743" t="s">
        <v>1940</v>
      </c>
      <c r="B1743">
        <v>2804666.666666667</v>
      </c>
      <c r="C1743" t="s">
        <v>1977</v>
      </c>
      <c r="D1743" s="1">
        <v>45643</v>
      </c>
      <c r="E1743" t="s">
        <v>14</v>
      </c>
      <c r="F1743" t="s">
        <v>15</v>
      </c>
      <c r="G1743" t="s">
        <v>93</v>
      </c>
      <c r="H1743" t="s">
        <v>23</v>
      </c>
      <c r="I1743" t="s">
        <v>1939</v>
      </c>
      <c r="J1743" t="s">
        <v>160</v>
      </c>
      <c r="K1743">
        <v>1</v>
      </c>
      <c r="L1743">
        <v>3162000</v>
      </c>
      <c r="M1743">
        <v>0</v>
      </c>
      <c r="N1743">
        <v>2117000</v>
      </c>
      <c r="O1743">
        <v>3162000</v>
      </c>
    </row>
    <row r="1744" spans="1:15" x14ac:dyDescent="0.35">
      <c r="A1744" t="s">
        <v>1940</v>
      </c>
      <c r="B1744">
        <v>2804666.666666667</v>
      </c>
      <c r="C1744" t="s">
        <v>1978</v>
      </c>
      <c r="D1744" s="1">
        <v>45651</v>
      </c>
      <c r="E1744" t="s">
        <v>14</v>
      </c>
      <c r="F1744" t="s">
        <v>15</v>
      </c>
      <c r="G1744" t="s">
        <v>226</v>
      </c>
      <c r="H1744" t="s">
        <v>17</v>
      </c>
      <c r="I1744" t="s">
        <v>1939</v>
      </c>
      <c r="J1744" t="s">
        <v>160</v>
      </c>
      <c r="K1744">
        <v>1</v>
      </c>
      <c r="L1744">
        <v>2367000</v>
      </c>
      <c r="M1744">
        <v>0</v>
      </c>
      <c r="N1744">
        <v>1589000</v>
      </c>
      <c r="O1744">
        <v>2367000</v>
      </c>
    </row>
    <row r="1745" spans="1:15" x14ac:dyDescent="0.35">
      <c r="A1745" t="s">
        <v>1940</v>
      </c>
      <c r="B1745">
        <v>2804666.666666667</v>
      </c>
      <c r="C1745" t="s">
        <v>1979</v>
      </c>
      <c r="D1745" s="1">
        <v>45652</v>
      </c>
      <c r="E1745" t="s">
        <v>41</v>
      </c>
      <c r="F1745" t="s">
        <v>42</v>
      </c>
      <c r="G1745" t="s">
        <v>81</v>
      </c>
      <c r="H1745" t="s">
        <v>17</v>
      </c>
      <c r="I1745" t="s">
        <v>1939</v>
      </c>
      <c r="J1745" t="s">
        <v>160</v>
      </c>
      <c r="K1745">
        <v>1</v>
      </c>
      <c r="L1745">
        <v>2959000</v>
      </c>
      <c r="M1745">
        <v>0.05</v>
      </c>
      <c r="N1745">
        <v>2028000</v>
      </c>
      <c r="O1745">
        <v>2959000</v>
      </c>
    </row>
    <row r="1746" spans="1:15" x14ac:dyDescent="0.35">
      <c r="A1746" t="s">
        <v>1940</v>
      </c>
      <c r="B1746">
        <v>2804666.666666667</v>
      </c>
      <c r="C1746" t="s">
        <v>1980</v>
      </c>
      <c r="D1746" s="1">
        <v>45656</v>
      </c>
      <c r="E1746" t="s">
        <v>14</v>
      </c>
      <c r="F1746" t="s">
        <v>15</v>
      </c>
      <c r="G1746" t="s">
        <v>81</v>
      </c>
      <c r="H1746" t="s">
        <v>17</v>
      </c>
      <c r="I1746" t="s">
        <v>1939</v>
      </c>
      <c r="J1746" t="s">
        <v>160</v>
      </c>
      <c r="K1746">
        <v>1</v>
      </c>
      <c r="L1746">
        <v>2804666.6666666665</v>
      </c>
      <c r="M1746">
        <v>0</v>
      </c>
      <c r="N1746">
        <v>1870000</v>
      </c>
      <c r="O1746">
        <v>2804666.6666666665</v>
      </c>
    </row>
    <row r="1747" spans="1:15" x14ac:dyDescent="0.35">
      <c r="A1747" t="s">
        <v>1940</v>
      </c>
      <c r="B1747">
        <v>2804666.666666667</v>
      </c>
      <c r="C1747" t="s">
        <v>1981</v>
      </c>
      <c r="D1747" s="1">
        <v>45701</v>
      </c>
      <c r="E1747" t="s">
        <v>14</v>
      </c>
      <c r="F1747" t="s">
        <v>15</v>
      </c>
      <c r="G1747" t="s">
        <v>172</v>
      </c>
      <c r="H1747" t="s">
        <v>23</v>
      </c>
      <c r="I1747" t="s">
        <v>1939</v>
      </c>
      <c r="J1747" t="s">
        <v>160</v>
      </c>
      <c r="K1747">
        <v>1</v>
      </c>
      <c r="L1747">
        <v>2830000</v>
      </c>
      <c r="M1747">
        <v>0</v>
      </c>
      <c r="N1747">
        <v>1920000</v>
      </c>
      <c r="O1747">
        <v>2830000</v>
      </c>
    </row>
    <row r="1748" spans="1:15" x14ac:dyDescent="0.35">
      <c r="A1748" t="s">
        <v>1940</v>
      </c>
      <c r="B1748">
        <v>2804666.666666667</v>
      </c>
      <c r="C1748" t="s">
        <v>1982</v>
      </c>
      <c r="D1748" s="1">
        <v>45705</v>
      </c>
      <c r="E1748" t="s">
        <v>49</v>
      </c>
      <c r="F1748" t="s">
        <v>50</v>
      </c>
      <c r="G1748" t="s">
        <v>214</v>
      </c>
      <c r="H1748" t="s">
        <v>23</v>
      </c>
      <c r="I1748" t="s">
        <v>1939</v>
      </c>
      <c r="J1748" t="s">
        <v>160</v>
      </c>
      <c r="K1748">
        <v>1</v>
      </c>
      <c r="L1748">
        <v>3417000</v>
      </c>
      <c r="M1748">
        <v>0</v>
      </c>
      <c r="N1748">
        <v>2349000</v>
      </c>
      <c r="O1748">
        <v>3417000</v>
      </c>
    </row>
    <row r="1749" spans="1:15" x14ac:dyDescent="0.35">
      <c r="A1749" t="s">
        <v>1940</v>
      </c>
      <c r="B1749">
        <v>2804666.666666667</v>
      </c>
      <c r="C1749" t="s">
        <v>1983</v>
      </c>
      <c r="D1749" s="1">
        <v>45710</v>
      </c>
      <c r="E1749" t="s">
        <v>14</v>
      </c>
      <c r="F1749" t="s">
        <v>15</v>
      </c>
      <c r="G1749" t="s">
        <v>95</v>
      </c>
      <c r="H1749" t="s">
        <v>23</v>
      </c>
      <c r="I1749" t="s">
        <v>1939</v>
      </c>
      <c r="J1749" t="s">
        <v>160</v>
      </c>
      <c r="K1749">
        <v>3</v>
      </c>
      <c r="L1749">
        <v>3631000</v>
      </c>
      <c r="M1749">
        <v>0</v>
      </c>
      <c r="N1749">
        <v>2500000</v>
      </c>
      <c r="O1749">
        <v>3631000</v>
      </c>
    </row>
    <row r="1750" spans="1:15" x14ac:dyDescent="0.35">
      <c r="A1750" t="s">
        <v>1940</v>
      </c>
      <c r="B1750">
        <v>2804666.666666667</v>
      </c>
      <c r="C1750" t="s">
        <v>1984</v>
      </c>
      <c r="D1750" s="1">
        <v>45737</v>
      </c>
      <c r="E1750" t="s">
        <v>14</v>
      </c>
      <c r="F1750" t="s">
        <v>15</v>
      </c>
      <c r="G1750" t="s">
        <v>162</v>
      </c>
      <c r="H1750" t="s">
        <v>28</v>
      </c>
      <c r="I1750" t="s">
        <v>1939</v>
      </c>
      <c r="J1750" t="s">
        <v>160</v>
      </c>
      <c r="K1750">
        <v>1</v>
      </c>
      <c r="L1750">
        <v>2804666.6666666665</v>
      </c>
      <c r="M1750">
        <v>0</v>
      </c>
      <c r="N1750">
        <v>1870000</v>
      </c>
      <c r="O1750">
        <v>2804666.6666666665</v>
      </c>
    </row>
    <row r="1751" spans="1:15" x14ac:dyDescent="0.35">
      <c r="A1751" t="s">
        <v>1940</v>
      </c>
      <c r="B1751">
        <v>2804666.666666667</v>
      </c>
      <c r="C1751" t="s">
        <v>1985</v>
      </c>
      <c r="D1751" s="1">
        <v>45788</v>
      </c>
      <c r="E1751" t="s">
        <v>41</v>
      </c>
      <c r="F1751" t="s">
        <v>42</v>
      </c>
      <c r="G1751" t="s">
        <v>522</v>
      </c>
      <c r="H1751" t="s">
        <v>23</v>
      </c>
      <c r="I1751" t="s">
        <v>1939</v>
      </c>
      <c r="J1751" t="s">
        <v>160</v>
      </c>
      <c r="K1751">
        <v>2</v>
      </c>
      <c r="L1751">
        <v>3373000</v>
      </c>
      <c r="M1751">
        <v>0</v>
      </c>
      <c r="N1751">
        <v>2329000</v>
      </c>
      <c r="O1751">
        <v>3373000</v>
      </c>
    </row>
    <row r="1752" spans="1:15" x14ac:dyDescent="0.35">
      <c r="A1752" t="s">
        <v>1940</v>
      </c>
      <c r="B1752">
        <v>2804666.666666667</v>
      </c>
      <c r="C1752" t="s">
        <v>1986</v>
      </c>
      <c r="D1752" s="1">
        <v>45809</v>
      </c>
      <c r="E1752" t="s">
        <v>14</v>
      </c>
      <c r="F1752" t="s">
        <v>15</v>
      </c>
      <c r="G1752" t="s">
        <v>76</v>
      </c>
      <c r="H1752" t="s">
        <v>23</v>
      </c>
      <c r="I1752" t="s">
        <v>1939</v>
      </c>
      <c r="J1752" t="s">
        <v>160</v>
      </c>
      <c r="K1752">
        <v>1</v>
      </c>
      <c r="L1752">
        <v>3107000</v>
      </c>
      <c r="M1752">
        <v>0</v>
      </c>
      <c r="N1752">
        <v>2167000</v>
      </c>
      <c r="O1752">
        <v>3107000</v>
      </c>
    </row>
    <row r="1753" spans="1:15" x14ac:dyDescent="0.35">
      <c r="A1753" t="s">
        <v>1940</v>
      </c>
      <c r="B1753">
        <v>2804666.666666667</v>
      </c>
      <c r="C1753" t="s">
        <v>1987</v>
      </c>
      <c r="D1753" s="1">
        <v>45872</v>
      </c>
      <c r="E1753" t="s">
        <v>36</v>
      </c>
      <c r="F1753" t="s">
        <v>37</v>
      </c>
      <c r="G1753" t="s">
        <v>87</v>
      </c>
      <c r="H1753" t="s">
        <v>17</v>
      </c>
      <c r="I1753" t="s">
        <v>1939</v>
      </c>
      <c r="J1753" t="s">
        <v>160</v>
      </c>
      <c r="K1753">
        <v>1</v>
      </c>
      <c r="L1753">
        <v>2473000</v>
      </c>
      <c r="M1753">
        <v>0</v>
      </c>
      <c r="N1753">
        <v>1672000</v>
      </c>
      <c r="O1753">
        <v>2473000</v>
      </c>
    </row>
    <row r="1754" spans="1:15" x14ac:dyDescent="0.35">
      <c r="A1754" t="s">
        <v>1940</v>
      </c>
      <c r="B1754">
        <v>2804666.666666667</v>
      </c>
      <c r="C1754" t="s">
        <v>1988</v>
      </c>
      <c r="D1754" s="1">
        <v>45902</v>
      </c>
      <c r="E1754" t="s">
        <v>49</v>
      </c>
      <c r="F1754" t="s">
        <v>50</v>
      </c>
      <c r="G1754" t="s">
        <v>191</v>
      </c>
      <c r="H1754" t="s">
        <v>23</v>
      </c>
      <c r="I1754" t="s">
        <v>1939</v>
      </c>
      <c r="J1754" t="s">
        <v>160</v>
      </c>
      <c r="K1754">
        <v>1</v>
      </c>
      <c r="L1754">
        <v>3234000</v>
      </c>
      <c r="M1754">
        <v>0.1</v>
      </c>
      <c r="N1754">
        <v>2161000</v>
      </c>
      <c r="O1754">
        <v>3234000</v>
      </c>
    </row>
    <row r="1755" spans="1:15" x14ac:dyDescent="0.35">
      <c r="A1755" t="s">
        <v>1940</v>
      </c>
      <c r="B1755">
        <v>2804666.666666667</v>
      </c>
      <c r="C1755" t="s">
        <v>1989</v>
      </c>
      <c r="D1755" s="1">
        <v>45931</v>
      </c>
      <c r="E1755" t="s">
        <v>41</v>
      </c>
      <c r="F1755" t="s">
        <v>42</v>
      </c>
      <c r="G1755" t="s">
        <v>234</v>
      </c>
      <c r="H1755" t="s">
        <v>23</v>
      </c>
      <c r="I1755" t="s">
        <v>1939</v>
      </c>
      <c r="J1755" t="s">
        <v>160</v>
      </c>
      <c r="K1755">
        <v>2</v>
      </c>
      <c r="L1755">
        <v>3625000</v>
      </c>
      <c r="M1755">
        <v>0</v>
      </c>
      <c r="N1755">
        <v>2501000</v>
      </c>
      <c r="O1755">
        <v>3625000</v>
      </c>
    </row>
    <row r="1756" spans="1:15" x14ac:dyDescent="0.35">
      <c r="A1756" t="s">
        <v>1940</v>
      </c>
      <c r="B1756">
        <v>2804666.666666667</v>
      </c>
      <c r="C1756" t="s">
        <v>1990</v>
      </c>
      <c r="D1756" s="1">
        <v>45986</v>
      </c>
      <c r="E1756" t="s">
        <v>36</v>
      </c>
      <c r="F1756" t="s">
        <v>37</v>
      </c>
      <c r="G1756" t="s">
        <v>291</v>
      </c>
      <c r="H1756" t="s">
        <v>17</v>
      </c>
      <c r="I1756" t="s">
        <v>1939</v>
      </c>
      <c r="J1756" t="s">
        <v>160</v>
      </c>
      <c r="K1756">
        <v>1</v>
      </c>
      <c r="L1756">
        <v>3717000</v>
      </c>
      <c r="M1756">
        <v>0</v>
      </c>
      <c r="N1756">
        <v>2601000</v>
      </c>
      <c r="O1756">
        <v>3717000</v>
      </c>
    </row>
    <row r="1757" spans="1:15" x14ac:dyDescent="0.35">
      <c r="A1757" t="s">
        <v>1940</v>
      </c>
      <c r="B1757">
        <v>2804666.666666667</v>
      </c>
      <c r="C1757" t="s">
        <v>1991</v>
      </c>
      <c r="D1757" s="1">
        <v>46005</v>
      </c>
      <c r="E1757" t="s">
        <v>49</v>
      </c>
      <c r="F1757" t="s">
        <v>50</v>
      </c>
      <c r="G1757" t="s">
        <v>301</v>
      </c>
      <c r="H1757" t="s">
        <v>28</v>
      </c>
      <c r="I1757" t="s">
        <v>1939</v>
      </c>
      <c r="J1757" t="s">
        <v>160</v>
      </c>
      <c r="K1757">
        <v>1</v>
      </c>
      <c r="L1757">
        <v>2419000</v>
      </c>
      <c r="M1757">
        <v>0</v>
      </c>
      <c r="N1757">
        <v>1641000</v>
      </c>
      <c r="O1757">
        <v>2419000</v>
      </c>
    </row>
    <row r="1758" spans="1:15" x14ac:dyDescent="0.35">
      <c r="A1758" t="s">
        <v>1940</v>
      </c>
      <c r="B1758">
        <v>2804666.666666667</v>
      </c>
      <c r="C1758" t="s">
        <v>1992</v>
      </c>
      <c r="D1758" s="1">
        <v>46012</v>
      </c>
      <c r="E1758" t="s">
        <v>41</v>
      </c>
      <c r="F1758" t="s">
        <v>42</v>
      </c>
      <c r="G1758" t="s">
        <v>218</v>
      </c>
      <c r="H1758" t="s">
        <v>23</v>
      </c>
      <c r="I1758" t="s">
        <v>1939</v>
      </c>
      <c r="J1758" t="s">
        <v>160</v>
      </c>
      <c r="K1758">
        <v>2</v>
      </c>
      <c r="L1758">
        <v>2366000</v>
      </c>
      <c r="M1758">
        <v>0.15</v>
      </c>
      <c r="N1758">
        <v>1579000</v>
      </c>
      <c r="O1758">
        <v>2366000</v>
      </c>
    </row>
    <row r="1759" spans="1:15" x14ac:dyDescent="0.35">
      <c r="A1759" t="s">
        <v>1940</v>
      </c>
      <c r="B1759">
        <v>2804666.666666667</v>
      </c>
      <c r="C1759" t="s">
        <v>1993</v>
      </c>
      <c r="D1759" s="1">
        <v>46025</v>
      </c>
      <c r="E1759" t="s">
        <v>36</v>
      </c>
      <c r="F1759" t="s">
        <v>37</v>
      </c>
      <c r="G1759" t="s">
        <v>89</v>
      </c>
      <c r="H1759" t="s">
        <v>23</v>
      </c>
      <c r="I1759" t="s">
        <v>1939</v>
      </c>
      <c r="J1759" t="s">
        <v>160</v>
      </c>
      <c r="K1759">
        <v>2</v>
      </c>
      <c r="L1759">
        <v>2738000</v>
      </c>
      <c r="M1759">
        <v>0</v>
      </c>
      <c r="N1759">
        <v>1903000</v>
      </c>
      <c r="O1759">
        <v>2738000</v>
      </c>
    </row>
    <row r="1760" spans="1:15" x14ac:dyDescent="0.35">
      <c r="A1760" t="s">
        <v>1940</v>
      </c>
      <c r="B1760">
        <v>2804666.666666667</v>
      </c>
      <c r="C1760" t="s">
        <v>1994</v>
      </c>
      <c r="D1760" s="1">
        <v>46056</v>
      </c>
      <c r="E1760" t="s">
        <v>25</v>
      </c>
      <c r="F1760" t="s">
        <v>26</v>
      </c>
      <c r="G1760" t="s">
        <v>166</v>
      </c>
      <c r="H1760" t="s">
        <v>28</v>
      </c>
      <c r="I1760" t="s">
        <v>1939</v>
      </c>
      <c r="J1760" t="s">
        <v>160</v>
      </c>
      <c r="K1760">
        <v>2</v>
      </c>
      <c r="L1760">
        <v>3573000</v>
      </c>
      <c r="M1760">
        <v>0</v>
      </c>
      <c r="N1760">
        <v>2388000</v>
      </c>
      <c r="O1760">
        <v>3573000</v>
      </c>
    </row>
    <row r="1761" spans="1:15" x14ac:dyDescent="0.35">
      <c r="A1761" t="s">
        <v>1940</v>
      </c>
      <c r="B1761">
        <v>2804666.666666667</v>
      </c>
      <c r="C1761" t="s">
        <v>1995</v>
      </c>
      <c r="D1761" s="1">
        <v>46075</v>
      </c>
      <c r="E1761" t="s">
        <v>14</v>
      </c>
      <c r="F1761" t="s">
        <v>15</v>
      </c>
      <c r="G1761" t="s">
        <v>43</v>
      </c>
      <c r="H1761" t="s">
        <v>17</v>
      </c>
      <c r="I1761" t="s">
        <v>1939</v>
      </c>
      <c r="J1761" t="s">
        <v>160</v>
      </c>
      <c r="K1761">
        <v>2</v>
      </c>
      <c r="L1761">
        <v>3708000</v>
      </c>
      <c r="M1761">
        <v>0.05</v>
      </c>
      <c r="N1761">
        <v>2556000</v>
      </c>
      <c r="O1761">
        <v>3708000</v>
      </c>
    </row>
    <row r="1762" spans="1:15" x14ac:dyDescent="0.35">
      <c r="A1762" t="s">
        <v>1940</v>
      </c>
      <c r="B1762">
        <v>2804666.666666667</v>
      </c>
      <c r="C1762" t="s">
        <v>1996</v>
      </c>
      <c r="D1762" s="1">
        <v>46124</v>
      </c>
      <c r="E1762" t="s">
        <v>14</v>
      </c>
      <c r="F1762" t="s">
        <v>15</v>
      </c>
      <c r="G1762" t="s">
        <v>65</v>
      </c>
      <c r="H1762" t="s">
        <v>17</v>
      </c>
      <c r="I1762" t="s">
        <v>1939</v>
      </c>
      <c r="J1762" t="s">
        <v>160</v>
      </c>
      <c r="K1762">
        <v>1</v>
      </c>
      <c r="L1762">
        <v>2871000</v>
      </c>
      <c r="M1762">
        <v>0</v>
      </c>
      <c r="N1762">
        <v>1970000</v>
      </c>
      <c r="O1762">
        <v>2871000</v>
      </c>
    </row>
    <row r="1763" spans="1:15" x14ac:dyDescent="0.35">
      <c r="A1763" t="s">
        <v>1940</v>
      </c>
      <c r="B1763">
        <v>2804666.666666667</v>
      </c>
      <c r="C1763" t="s">
        <v>1997</v>
      </c>
      <c r="D1763" s="1">
        <v>46150</v>
      </c>
      <c r="E1763" t="s">
        <v>41</v>
      </c>
      <c r="F1763" t="s">
        <v>42</v>
      </c>
      <c r="G1763" t="s">
        <v>613</v>
      </c>
      <c r="H1763" t="s">
        <v>28</v>
      </c>
      <c r="I1763" t="s">
        <v>1939</v>
      </c>
      <c r="J1763" t="s">
        <v>160</v>
      </c>
      <c r="K1763">
        <v>5</v>
      </c>
      <c r="L1763">
        <v>3342000</v>
      </c>
      <c r="M1763">
        <v>0</v>
      </c>
      <c r="N1763">
        <v>2241000</v>
      </c>
      <c r="O1763">
        <v>3342000</v>
      </c>
    </row>
    <row r="1764" spans="1:15" x14ac:dyDescent="0.35">
      <c r="A1764" t="s">
        <v>1940</v>
      </c>
      <c r="B1764">
        <v>2804666.666666667</v>
      </c>
      <c r="C1764" t="s">
        <v>1998</v>
      </c>
      <c r="D1764" s="1">
        <v>46151</v>
      </c>
      <c r="E1764" t="s">
        <v>49</v>
      </c>
      <c r="F1764" t="s">
        <v>50</v>
      </c>
      <c r="G1764" t="s">
        <v>340</v>
      </c>
      <c r="H1764" t="s">
        <v>23</v>
      </c>
      <c r="I1764" t="s">
        <v>1939</v>
      </c>
      <c r="J1764" t="s">
        <v>160</v>
      </c>
      <c r="K1764">
        <v>1</v>
      </c>
      <c r="L1764">
        <v>3255000</v>
      </c>
      <c r="M1764">
        <v>0</v>
      </c>
      <c r="N1764">
        <v>2229000</v>
      </c>
      <c r="O1764">
        <v>3255000</v>
      </c>
    </row>
    <row r="1765" spans="1:15" x14ac:dyDescent="0.35">
      <c r="A1765" t="s">
        <v>1940</v>
      </c>
      <c r="B1765">
        <v>2804666.666666667</v>
      </c>
      <c r="C1765" t="s">
        <v>1999</v>
      </c>
      <c r="D1765" s="1">
        <v>46161</v>
      </c>
      <c r="E1765" t="s">
        <v>14</v>
      </c>
      <c r="F1765" t="s">
        <v>15</v>
      </c>
      <c r="G1765" t="s">
        <v>634</v>
      </c>
      <c r="H1765" t="s">
        <v>17</v>
      </c>
      <c r="I1765" t="s">
        <v>1939</v>
      </c>
      <c r="J1765" t="s">
        <v>160</v>
      </c>
      <c r="K1765">
        <v>3</v>
      </c>
      <c r="L1765">
        <v>2372000</v>
      </c>
      <c r="M1765">
        <v>0</v>
      </c>
      <c r="N1765">
        <v>1588000</v>
      </c>
      <c r="O1765">
        <v>2372000</v>
      </c>
    </row>
    <row r="1766" spans="1:15" x14ac:dyDescent="0.35">
      <c r="A1766" t="s">
        <v>1940</v>
      </c>
      <c r="B1766">
        <v>2804666.666666667</v>
      </c>
      <c r="C1766" t="s">
        <v>2000</v>
      </c>
      <c r="D1766" s="1">
        <v>46162</v>
      </c>
      <c r="E1766" t="s">
        <v>41</v>
      </c>
      <c r="F1766" t="s">
        <v>42</v>
      </c>
      <c r="G1766" t="s">
        <v>30</v>
      </c>
      <c r="H1766" t="s">
        <v>23</v>
      </c>
      <c r="I1766" t="s">
        <v>1939</v>
      </c>
      <c r="J1766" t="s">
        <v>160</v>
      </c>
      <c r="K1766">
        <v>2</v>
      </c>
      <c r="L1766">
        <v>3304000</v>
      </c>
      <c r="M1766">
        <v>0</v>
      </c>
      <c r="N1766">
        <v>2231000</v>
      </c>
      <c r="O1766">
        <v>3304000</v>
      </c>
    </row>
    <row r="1767" spans="1:15" x14ac:dyDescent="0.35">
      <c r="A1767" t="s">
        <v>1940</v>
      </c>
      <c r="B1767">
        <v>2804666.666666667</v>
      </c>
      <c r="C1767" t="s">
        <v>2001</v>
      </c>
      <c r="D1767" s="1">
        <v>46170</v>
      </c>
      <c r="E1767" t="s">
        <v>36</v>
      </c>
      <c r="F1767" t="s">
        <v>37</v>
      </c>
      <c r="G1767" t="s">
        <v>368</v>
      </c>
      <c r="H1767" t="s">
        <v>23</v>
      </c>
      <c r="I1767" t="s">
        <v>1939</v>
      </c>
      <c r="J1767" t="s">
        <v>160</v>
      </c>
      <c r="K1767">
        <v>1</v>
      </c>
      <c r="L1767">
        <v>2920000</v>
      </c>
      <c r="M1767">
        <v>0</v>
      </c>
      <c r="N1767">
        <v>1944000</v>
      </c>
      <c r="O1767">
        <v>2920000</v>
      </c>
    </row>
    <row r="1768" spans="1:15" x14ac:dyDescent="0.35">
      <c r="A1768" t="s">
        <v>1940</v>
      </c>
      <c r="B1768">
        <v>2804666.666666667</v>
      </c>
      <c r="C1768" t="s">
        <v>2002</v>
      </c>
      <c r="D1768" s="1">
        <v>46186</v>
      </c>
      <c r="E1768" t="s">
        <v>36</v>
      </c>
      <c r="F1768" t="s">
        <v>37</v>
      </c>
      <c r="G1768" t="s">
        <v>69</v>
      </c>
      <c r="H1768" t="s">
        <v>23</v>
      </c>
      <c r="I1768" t="s">
        <v>1939</v>
      </c>
      <c r="J1768" t="s">
        <v>160</v>
      </c>
      <c r="K1768">
        <v>1</v>
      </c>
      <c r="L1768">
        <v>2687000</v>
      </c>
      <c r="M1768">
        <v>0.05</v>
      </c>
      <c r="N1768">
        <v>1845000</v>
      </c>
      <c r="O1768">
        <v>2687000</v>
      </c>
    </row>
    <row r="1769" spans="1:15" x14ac:dyDescent="0.35">
      <c r="A1769" t="s">
        <v>1940</v>
      </c>
      <c r="B1769">
        <v>2804666.666666667</v>
      </c>
      <c r="C1769" t="s">
        <v>2003</v>
      </c>
      <c r="D1769" s="1">
        <v>46189</v>
      </c>
      <c r="E1769" t="s">
        <v>49</v>
      </c>
      <c r="F1769" t="s">
        <v>50</v>
      </c>
      <c r="G1769" t="s">
        <v>27</v>
      </c>
      <c r="H1769" t="s">
        <v>28</v>
      </c>
      <c r="I1769" t="s">
        <v>1939</v>
      </c>
      <c r="J1769" t="s">
        <v>160</v>
      </c>
      <c r="K1769">
        <v>1</v>
      </c>
      <c r="L1769">
        <v>3302000</v>
      </c>
      <c r="M1769">
        <v>0</v>
      </c>
      <c r="N1769">
        <v>2260000</v>
      </c>
      <c r="O1769">
        <v>3302000</v>
      </c>
    </row>
    <row r="1770" spans="1:15" x14ac:dyDescent="0.35">
      <c r="A1770" t="s">
        <v>1940</v>
      </c>
      <c r="B1770">
        <v>2804666.666666667</v>
      </c>
      <c r="C1770" t="s">
        <v>2004</v>
      </c>
      <c r="D1770" s="1">
        <v>46190</v>
      </c>
      <c r="E1770" t="s">
        <v>41</v>
      </c>
      <c r="F1770" t="s">
        <v>42</v>
      </c>
      <c r="G1770" t="s">
        <v>97</v>
      </c>
      <c r="H1770" t="s">
        <v>23</v>
      </c>
      <c r="I1770" t="s">
        <v>1939</v>
      </c>
      <c r="J1770" t="s">
        <v>160</v>
      </c>
      <c r="K1770">
        <v>1</v>
      </c>
      <c r="L1770">
        <v>2804666.6666666665</v>
      </c>
      <c r="M1770">
        <v>0</v>
      </c>
      <c r="N1770">
        <v>0</v>
      </c>
      <c r="O1770">
        <v>2804666.6666666665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1B1C-6ADA-4238-8D7E-EA12B43E7B46}">
  <dimension ref="A1:A2"/>
  <sheetViews>
    <sheetView workbookViewId="0"/>
  </sheetViews>
  <sheetFormatPr defaultRowHeight="14.5" x14ac:dyDescent="0.35"/>
  <cols>
    <col min="1" max="1" width="17.08984375" bestFit="1" customWidth="1"/>
  </cols>
  <sheetData>
    <row r="1" spans="1:1" x14ac:dyDescent="0.35">
      <c r="A1" t="s">
        <v>2007</v>
      </c>
    </row>
    <row r="2" spans="1:1" x14ac:dyDescent="0.35">
      <c r="A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A1FA-64D2-436D-BBC6-130C1638AA9B}">
  <dimension ref="A1:A2"/>
  <sheetViews>
    <sheetView topLeftCell="V1" workbookViewId="0"/>
  </sheetViews>
  <sheetFormatPr defaultRowHeight="14.5" x14ac:dyDescent="0.35"/>
  <cols>
    <col min="1" max="1" width="27.81640625" bestFit="1" customWidth="1"/>
  </cols>
  <sheetData>
    <row r="1" spans="1:1" x14ac:dyDescent="0.35">
      <c r="A1" t="s">
        <v>2006</v>
      </c>
    </row>
    <row r="2" spans="1:1" x14ac:dyDescent="0.35">
      <c r="A2">
        <v>1800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176A-2C12-42A9-8FCF-85DC0619B1A5}">
  <dimension ref="A1:A2"/>
  <sheetViews>
    <sheetView workbookViewId="0"/>
  </sheetViews>
  <sheetFormatPr defaultRowHeight="14.5" x14ac:dyDescent="0.35"/>
  <cols>
    <col min="1" max="1" width="29.26953125" bestFit="1" customWidth="1"/>
  </cols>
  <sheetData>
    <row r="1" spans="1:1" x14ac:dyDescent="0.35">
      <c r="A1" t="s">
        <v>2005</v>
      </c>
    </row>
    <row r="2" spans="1:1" x14ac:dyDescent="0.35">
      <c r="A2">
        <v>2874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5663-D201-4439-82D6-30AAB9A152CE}">
  <sheetPr>
    <tabColor theme="9" tint="0.39997558519241921"/>
  </sheetPr>
  <dimension ref="A1:T1770"/>
  <sheetViews>
    <sheetView workbookViewId="0">
      <selection activeCell="V1062" sqref="V1062"/>
    </sheetView>
  </sheetViews>
  <sheetFormatPr defaultRowHeight="14.5" x14ac:dyDescent="0.35"/>
  <cols>
    <col min="1" max="1" width="13" bestFit="1" customWidth="1"/>
    <col min="2" max="2" width="12.54296875" bestFit="1" customWidth="1"/>
    <col min="3" max="3" width="10" bestFit="1" customWidth="1"/>
    <col min="4" max="4" width="18.54296875" bestFit="1" customWidth="1"/>
    <col min="5" max="5" width="13.54296875" bestFit="1" customWidth="1"/>
    <col min="6" max="6" width="11.1796875" bestFit="1" customWidth="1"/>
    <col min="7" max="7" width="12.26953125" bestFit="1" customWidth="1"/>
    <col min="8" max="8" width="23.453125" bestFit="1" customWidth="1"/>
    <col min="9" max="9" width="15.36328125" bestFit="1" customWidth="1"/>
    <col min="10" max="10" width="10.1796875" bestFit="1" customWidth="1"/>
    <col min="11" max="11" width="11.81640625" bestFit="1" customWidth="1"/>
    <col min="12" max="12" width="10.26953125" bestFit="1" customWidth="1"/>
    <col min="13" max="13" width="7.81640625" bestFit="1" customWidth="1"/>
    <col min="14" max="15" width="11.81640625" bestFit="1" customWidth="1"/>
    <col min="17" max="17" width="6.7265625" bestFit="1" customWidth="1"/>
    <col min="18" max="18" width="13.54296875" bestFit="1" customWidth="1"/>
    <col min="19" max="19" width="6.08984375" bestFit="1" customWidth="1"/>
    <col min="20" max="20" width="11.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2010</v>
      </c>
      <c r="O1" t="s">
        <v>2011</v>
      </c>
      <c r="P1" t="s">
        <v>2012</v>
      </c>
      <c r="Q1" t="s">
        <v>2025</v>
      </c>
      <c r="R1" t="s">
        <v>2042</v>
      </c>
      <c r="S1" t="s">
        <v>2043</v>
      </c>
      <c r="T1" t="s">
        <v>2046</v>
      </c>
    </row>
    <row r="2" spans="1:20" x14ac:dyDescent="0.35">
      <c r="A2" t="s">
        <v>13</v>
      </c>
      <c r="B2" s="1">
        <v>44927</v>
      </c>
      <c r="C2" t="s">
        <v>14</v>
      </c>
      <c r="D2" t="s">
        <v>15</v>
      </c>
      <c r="E2" t="s">
        <v>16</v>
      </c>
      <c r="F2" t="s">
        <v>17</v>
      </c>
      <c r="G2" t="s">
        <v>18</v>
      </c>
      <c r="H2" t="s">
        <v>19</v>
      </c>
      <c r="I2" t="s">
        <v>20</v>
      </c>
      <c r="J2">
        <v>1</v>
      </c>
      <c r="K2">
        <v>400000</v>
      </c>
      <c r="L2">
        <v>0</v>
      </c>
      <c r="M2">
        <v>303000</v>
      </c>
      <c r="N2">
        <f>(data[[#This Row],[unit_price]]*data[[#This Row],[quantity]]) * (1-data[[#This Row],[discount]])</f>
        <v>400000</v>
      </c>
      <c r="O2">
        <f>data[[#This Row],[sales]]-data[[#This Row],[cost]]</f>
        <v>97000</v>
      </c>
      <c r="P2" t="str">
        <f>TEXT(data[[#This Row],[order_date]],"mmm")</f>
        <v>Jan</v>
      </c>
      <c r="Q2">
        <f>YEAR(data[[#This Row],[order_date]])</f>
        <v>2023</v>
      </c>
      <c r="R2">
        <f>MONTH(data[[#This Row],[order_date]])</f>
        <v>1</v>
      </c>
      <c r="S2">
        <f>DAY(data[[#This Row],[order_date]])</f>
        <v>1</v>
      </c>
      <c r="T2">
        <f>data[[#This Row],[profit]]/data[[#This Row],[sales]]</f>
        <v>0.24249999999999999</v>
      </c>
    </row>
    <row r="3" spans="1:20" x14ac:dyDescent="0.35">
      <c r="A3" t="s">
        <v>21</v>
      </c>
      <c r="B3" s="1">
        <v>44935</v>
      </c>
      <c r="C3" t="s">
        <v>14</v>
      </c>
      <c r="D3" t="s">
        <v>15</v>
      </c>
      <c r="E3" t="s">
        <v>22</v>
      </c>
      <c r="F3" t="s">
        <v>23</v>
      </c>
      <c r="G3" t="s">
        <v>18</v>
      </c>
      <c r="H3" t="s">
        <v>19</v>
      </c>
      <c r="I3" t="s">
        <v>20</v>
      </c>
      <c r="J3">
        <v>1</v>
      </c>
      <c r="K3">
        <v>361000</v>
      </c>
      <c r="L3">
        <v>0.1</v>
      </c>
      <c r="M3">
        <v>264000</v>
      </c>
      <c r="N3">
        <f>(data[[#This Row],[unit_price]]*data[[#This Row],[quantity]]) * (1-data[[#This Row],[discount]])</f>
        <v>324900</v>
      </c>
      <c r="O3">
        <f>data[[#This Row],[sales]]-data[[#This Row],[cost]]</f>
        <v>60900</v>
      </c>
      <c r="P3" t="str">
        <f>TEXT(data[[#This Row],[order_date]],"mmm")</f>
        <v>Jan</v>
      </c>
      <c r="Q3">
        <f>YEAR(data[[#This Row],[order_date]])</f>
        <v>2023</v>
      </c>
      <c r="R3">
        <f>MONTH(data[[#This Row],[order_date]])</f>
        <v>1</v>
      </c>
      <c r="S3">
        <f>DAY(data[[#This Row],[order_date]])</f>
        <v>9</v>
      </c>
      <c r="T3">
        <f>data[[#This Row],[profit]]/data[[#This Row],[sales]]</f>
        <v>0.18744228993536471</v>
      </c>
    </row>
    <row r="4" spans="1:20" x14ac:dyDescent="0.35">
      <c r="A4" t="s">
        <v>24</v>
      </c>
      <c r="B4" s="1">
        <v>44943</v>
      </c>
      <c r="C4" t="s">
        <v>25</v>
      </c>
      <c r="D4" t="s">
        <v>26</v>
      </c>
      <c r="E4" t="s">
        <v>27</v>
      </c>
      <c r="F4" t="s">
        <v>28</v>
      </c>
      <c r="G4" t="s">
        <v>18</v>
      </c>
      <c r="H4" t="s">
        <v>19</v>
      </c>
      <c r="I4" t="s">
        <v>20</v>
      </c>
      <c r="J4">
        <v>5</v>
      </c>
      <c r="K4">
        <v>404000</v>
      </c>
      <c r="L4">
        <v>0</v>
      </c>
      <c r="M4">
        <v>294000</v>
      </c>
      <c r="N4">
        <f>(data[[#This Row],[unit_price]]*data[[#This Row],[quantity]]) * (1-data[[#This Row],[discount]])</f>
        <v>2020000</v>
      </c>
      <c r="O4">
        <f>data[[#This Row],[sales]]-data[[#This Row],[cost]]</f>
        <v>1726000</v>
      </c>
      <c r="P4" t="str">
        <f>TEXT(data[[#This Row],[order_date]],"mmm")</f>
        <v>Jan</v>
      </c>
      <c r="Q4">
        <f>YEAR(data[[#This Row],[order_date]])</f>
        <v>2023</v>
      </c>
      <c r="R4">
        <f>MONTH(data[[#This Row],[order_date]])</f>
        <v>1</v>
      </c>
      <c r="S4">
        <f>DAY(data[[#This Row],[order_date]])</f>
        <v>17</v>
      </c>
      <c r="T4">
        <f>data[[#This Row],[profit]]/data[[#This Row],[sales]]</f>
        <v>0.85445544554455444</v>
      </c>
    </row>
    <row r="5" spans="1:20" x14ac:dyDescent="0.35">
      <c r="A5" t="s">
        <v>29</v>
      </c>
      <c r="B5" s="1">
        <v>44964</v>
      </c>
      <c r="C5" t="s">
        <v>14</v>
      </c>
      <c r="D5" t="s">
        <v>15</v>
      </c>
      <c r="E5" t="s">
        <v>30</v>
      </c>
      <c r="F5" t="s">
        <v>23</v>
      </c>
      <c r="G5" t="s">
        <v>18</v>
      </c>
      <c r="H5" t="s">
        <v>19</v>
      </c>
      <c r="I5" t="s">
        <v>20</v>
      </c>
      <c r="J5">
        <v>1</v>
      </c>
      <c r="K5">
        <v>414000</v>
      </c>
      <c r="L5">
        <v>0</v>
      </c>
      <c r="M5">
        <v>298000</v>
      </c>
      <c r="N5">
        <f>(data[[#This Row],[unit_price]]*data[[#This Row],[quantity]]) * (1-data[[#This Row],[discount]])</f>
        <v>414000</v>
      </c>
      <c r="O5">
        <f>data[[#This Row],[sales]]-data[[#This Row],[cost]]</f>
        <v>116000</v>
      </c>
      <c r="P5" t="str">
        <f>TEXT(data[[#This Row],[order_date]],"mmm")</f>
        <v>Feb</v>
      </c>
      <c r="Q5">
        <f>YEAR(data[[#This Row],[order_date]])</f>
        <v>2023</v>
      </c>
      <c r="R5">
        <f>MONTH(data[[#This Row],[order_date]])</f>
        <v>2</v>
      </c>
      <c r="S5">
        <f>DAY(data[[#This Row],[order_date]])</f>
        <v>7</v>
      </c>
      <c r="T5">
        <f>data[[#This Row],[profit]]/data[[#This Row],[sales]]</f>
        <v>0.28019323671497587</v>
      </c>
    </row>
    <row r="6" spans="1:20" x14ac:dyDescent="0.35">
      <c r="A6" t="s">
        <v>31</v>
      </c>
      <c r="B6" s="1">
        <v>44985</v>
      </c>
      <c r="C6" t="s">
        <v>14</v>
      </c>
      <c r="D6" t="s">
        <v>15</v>
      </c>
      <c r="E6" t="s">
        <v>32</v>
      </c>
      <c r="F6" t="s">
        <v>23</v>
      </c>
      <c r="G6" t="s">
        <v>18</v>
      </c>
      <c r="H6" t="s">
        <v>19</v>
      </c>
      <c r="I6" t="s">
        <v>20</v>
      </c>
      <c r="J6">
        <v>2</v>
      </c>
      <c r="K6">
        <v>366000</v>
      </c>
      <c r="L6">
        <v>0</v>
      </c>
      <c r="M6">
        <v>269000</v>
      </c>
      <c r="N6">
        <f>(data[[#This Row],[unit_price]]*data[[#This Row],[quantity]]) * (1-data[[#This Row],[discount]])</f>
        <v>732000</v>
      </c>
      <c r="O6">
        <f>data[[#This Row],[sales]]-data[[#This Row],[cost]]</f>
        <v>463000</v>
      </c>
      <c r="P6" t="str">
        <f>TEXT(data[[#This Row],[order_date]],"mmm")</f>
        <v>Feb</v>
      </c>
      <c r="Q6">
        <f>YEAR(data[[#This Row],[order_date]])</f>
        <v>2023</v>
      </c>
      <c r="R6">
        <f>MONTH(data[[#This Row],[order_date]])</f>
        <v>2</v>
      </c>
      <c r="S6">
        <f>DAY(data[[#This Row],[order_date]])</f>
        <v>28</v>
      </c>
      <c r="T6">
        <f>data[[#This Row],[profit]]/data[[#This Row],[sales]]</f>
        <v>0.63251366120218577</v>
      </c>
    </row>
    <row r="7" spans="1:20" x14ac:dyDescent="0.35">
      <c r="A7" t="s">
        <v>33</v>
      </c>
      <c r="B7" s="1">
        <v>45001</v>
      </c>
      <c r="C7" t="s">
        <v>14</v>
      </c>
      <c r="D7" t="s">
        <v>15</v>
      </c>
      <c r="E7" t="s">
        <v>34</v>
      </c>
      <c r="F7" t="s">
        <v>17</v>
      </c>
      <c r="G7" t="s">
        <v>18</v>
      </c>
      <c r="H7" t="s">
        <v>19</v>
      </c>
      <c r="I7" t="s">
        <v>20</v>
      </c>
      <c r="J7">
        <v>2</v>
      </c>
      <c r="K7">
        <v>366000</v>
      </c>
      <c r="L7">
        <v>0</v>
      </c>
      <c r="M7">
        <v>275000</v>
      </c>
      <c r="N7">
        <f>(data[[#This Row],[unit_price]]*data[[#This Row],[quantity]]) * (1-data[[#This Row],[discount]])</f>
        <v>732000</v>
      </c>
      <c r="O7">
        <f>data[[#This Row],[sales]]-data[[#This Row],[cost]]</f>
        <v>457000</v>
      </c>
      <c r="P7" t="str">
        <f>TEXT(data[[#This Row],[order_date]],"mmm")</f>
        <v>Mar</v>
      </c>
      <c r="Q7">
        <f>YEAR(data[[#This Row],[order_date]])</f>
        <v>2023</v>
      </c>
      <c r="R7">
        <f>MONTH(data[[#This Row],[order_date]])</f>
        <v>3</v>
      </c>
      <c r="S7">
        <f>DAY(data[[#This Row],[order_date]])</f>
        <v>16</v>
      </c>
      <c r="T7">
        <f>data[[#This Row],[profit]]/data[[#This Row],[sales]]</f>
        <v>0.62431693989071035</v>
      </c>
    </row>
    <row r="8" spans="1:20" x14ac:dyDescent="0.35">
      <c r="A8" t="s">
        <v>35</v>
      </c>
      <c r="B8" s="1">
        <v>45011</v>
      </c>
      <c r="C8" t="s">
        <v>36</v>
      </c>
      <c r="D8" t="s">
        <v>37</v>
      </c>
      <c r="E8" t="s">
        <v>34</v>
      </c>
      <c r="F8" t="s">
        <v>17</v>
      </c>
      <c r="G8" t="s">
        <v>18</v>
      </c>
      <c r="H8" t="s">
        <v>19</v>
      </c>
      <c r="I8" t="s">
        <v>20</v>
      </c>
      <c r="J8">
        <v>2</v>
      </c>
      <c r="K8">
        <v>264000</v>
      </c>
      <c r="L8">
        <v>0.05</v>
      </c>
      <c r="M8">
        <v>201000</v>
      </c>
      <c r="N8">
        <f>(data[[#This Row],[unit_price]]*data[[#This Row],[quantity]]) * (1-data[[#This Row],[discount]])</f>
        <v>501600</v>
      </c>
      <c r="O8">
        <f>data[[#This Row],[sales]]-data[[#This Row],[cost]]</f>
        <v>300600</v>
      </c>
      <c r="P8" t="str">
        <f>TEXT(data[[#This Row],[order_date]],"mmm")</f>
        <v>Mar</v>
      </c>
      <c r="Q8">
        <f>YEAR(data[[#This Row],[order_date]])</f>
        <v>2023</v>
      </c>
      <c r="R8">
        <f>MONTH(data[[#This Row],[order_date]])</f>
        <v>3</v>
      </c>
      <c r="S8">
        <f>DAY(data[[#This Row],[order_date]])</f>
        <v>26</v>
      </c>
      <c r="T8">
        <f>data[[#This Row],[profit]]/data[[#This Row],[sales]]</f>
        <v>0.59928229665071775</v>
      </c>
    </row>
    <row r="9" spans="1:20" x14ac:dyDescent="0.35">
      <c r="A9" t="s">
        <v>38</v>
      </c>
      <c r="B9" s="1">
        <v>45014</v>
      </c>
      <c r="C9" t="s">
        <v>14</v>
      </c>
      <c r="D9" t="s">
        <v>15</v>
      </c>
      <c r="E9" t="s">
        <v>39</v>
      </c>
      <c r="F9" t="s">
        <v>23</v>
      </c>
      <c r="G9" t="s">
        <v>18</v>
      </c>
      <c r="H9" t="s">
        <v>19</v>
      </c>
      <c r="I9" t="s">
        <v>20</v>
      </c>
      <c r="J9">
        <v>1</v>
      </c>
      <c r="K9">
        <v>428000</v>
      </c>
      <c r="L9">
        <v>0</v>
      </c>
      <c r="M9">
        <v>310000</v>
      </c>
      <c r="N9">
        <f>(data[[#This Row],[unit_price]]*data[[#This Row],[quantity]]) * (1-data[[#This Row],[discount]])</f>
        <v>428000</v>
      </c>
      <c r="O9">
        <f>data[[#This Row],[sales]]-data[[#This Row],[cost]]</f>
        <v>118000</v>
      </c>
      <c r="P9" t="str">
        <f>TEXT(data[[#This Row],[order_date]],"mmm")</f>
        <v>Mar</v>
      </c>
      <c r="Q9">
        <f>YEAR(data[[#This Row],[order_date]])</f>
        <v>2023</v>
      </c>
      <c r="R9">
        <f>MONTH(data[[#This Row],[order_date]])</f>
        <v>3</v>
      </c>
      <c r="S9">
        <f>DAY(data[[#This Row],[order_date]])</f>
        <v>29</v>
      </c>
      <c r="T9">
        <f>data[[#This Row],[profit]]/data[[#This Row],[sales]]</f>
        <v>0.27570093457943923</v>
      </c>
    </row>
    <row r="10" spans="1:20" x14ac:dyDescent="0.35">
      <c r="A10" t="s">
        <v>40</v>
      </c>
      <c r="B10" s="1">
        <v>45049</v>
      </c>
      <c r="C10" t="s">
        <v>41</v>
      </c>
      <c r="D10" t="s">
        <v>42</v>
      </c>
      <c r="E10" t="s">
        <v>43</v>
      </c>
      <c r="F10" t="s">
        <v>17</v>
      </c>
      <c r="G10" t="s">
        <v>18</v>
      </c>
      <c r="H10" t="s">
        <v>19</v>
      </c>
      <c r="I10" t="s">
        <v>20</v>
      </c>
      <c r="J10">
        <v>1</v>
      </c>
      <c r="K10">
        <v>358000</v>
      </c>
      <c r="L10">
        <v>0</v>
      </c>
      <c r="M10">
        <v>268000</v>
      </c>
      <c r="N10">
        <f>(data[[#This Row],[unit_price]]*data[[#This Row],[quantity]]) * (1-data[[#This Row],[discount]])</f>
        <v>358000</v>
      </c>
      <c r="O10">
        <f>data[[#This Row],[sales]]-data[[#This Row],[cost]]</f>
        <v>90000</v>
      </c>
      <c r="P10" t="str">
        <f>TEXT(data[[#This Row],[order_date]],"mmm")</f>
        <v>May</v>
      </c>
      <c r="Q10">
        <f>YEAR(data[[#This Row],[order_date]])</f>
        <v>2023</v>
      </c>
      <c r="R10">
        <f>MONTH(data[[#This Row],[order_date]])</f>
        <v>5</v>
      </c>
      <c r="S10">
        <f>DAY(data[[#This Row],[order_date]])</f>
        <v>3</v>
      </c>
      <c r="T10">
        <f>data[[#This Row],[profit]]/data[[#This Row],[sales]]</f>
        <v>0.25139664804469275</v>
      </c>
    </row>
    <row r="11" spans="1:20" x14ac:dyDescent="0.35">
      <c r="A11" t="s">
        <v>44</v>
      </c>
      <c r="B11" s="1">
        <v>45086</v>
      </c>
      <c r="C11" t="s">
        <v>14</v>
      </c>
      <c r="D11" t="s">
        <v>15</v>
      </c>
      <c r="E11" t="s">
        <v>45</v>
      </c>
      <c r="F11" t="s">
        <v>17</v>
      </c>
      <c r="G11" t="s">
        <v>18</v>
      </c>
      <c r="H11" t="s">
        <v>19</v>
      </c>
      <c r="I11" t="s">
        <v>20</v>
      </c>
      <c r="J11">
        <v>3</v>
      </c>
      <c r="K11">
        <v>421000</v>
      </c>
      <c r="L11">
        <v>0.05</v>
      </c>
      <c r="M11">
        <v>312000</v>
      </c>
      <c r="N11">
        <f>(data[[#This Row],[unit_price]]*data[[#This Row],[quantity]]) * (1-data[[#This Row],[discount]])</f>
        <v>1199850</v>
      </c>
      <c r="O11">
        <f>data[[#This Row],[sales]]-data[[#This Row],[cost]]</f>
        <v>887850</v>
      </c>
      <c r="P11" t="str">
        <f>TEXT(data[[#This Row],[order_date]],"mmm")</f>
        <v>Jun</v>
      </c>
      <c r="Q11">
        <f>YEAR(data[[#This Row],[order_date]])</f>
        <v>2023</v>
      </c>
      <c r="R11">
        <f>MONTH(data[[#This Row],[order_date]])</f>
        <v>6</v>
      </c>
      <c r="S11">
        <f>DAY(data[[#This Row],[order_date]])</f>
        <v>9</v>
      </c>
      <c r="T11">
        <f>data[[#This Row],[profit]]/data[[#This Row],[sales]]</f>
        <v>0.73996749593699207</v>
      </c>
    </row>
    <row r="12" spans="1:20" x14ac:dyDescent="0.35">
      <c r="A12" t="s">
        <v>46</v>
      </c>
      <c r="B12" s="1">
        <v>45095</v>
      </c>
      <c r="C12" t="s">
        <v>14</v>
      </c>
      <c r="D12" t="s">
        <v>15</v>
      </c>
      <c r="E12" t="s">
        <v>47</v>
      </c>
      <c r="F12" t="s">
        <v>23</v>
      </c>
      <c r="G12" t="s">
        <v>18</v>
      </c>
      <c r="H12" t="s">
        <v>19</v>
      </c>
      <c r="I12" t="s">
        <v>20</v>
      </c>
      <c r="J12">
        <v>1</v>
      </c>
      <c r="K12">
        <v>327000</v>
      </c>
      <c r="L12">
        <v>0.05</v>
      </c>
      <c r="M12">
        <v>244000</v>
      </c>
      <c r="N12">
        <f>(data[[#This Row],[unit_price]]*data[[#This Row],[quantity]]) * (1-data[[#This Row],[discount]])</f>
        <v>310650</v>
      </c>
      <c r="O12">
        <f>data[[#This Row],[sales]]-data[[#This Row],[cost]]</f>
        <v>66650</v>
      </c>
      <c r="P12" t="str">
        <f>TEXT(data[[#This Row],[order_date]],"mmm")</f>
        <v>Jun</v>
      </c>
      <c r="Q12">
        <f>YEAR(data[[#This Row],[order_date]])</f>
        <v>2023</v>
      </c>
      <c r="R12">
        <f>MONTH(data[[#This Row],[order_date]])</f>
        <v>6</v>
      </c>
      <c r="S12">
        <f>DAY(data[[#This Row],[order_date]])</f>
        <v>18</v>
      </c>
      <c r="T12">
        <f>data[[#This Row],[profit]]/data[[#This Row],[sales]]</f>
        <v>0.21455013680991469</v>
      </c>
    </row>
    <row r="13" spans="1:20" x14ac:dyDescent="0.35">
      <c r="A13" t="s">
        <v>48</v>
      </c>
      <c r="B13" s="1">
        <v>45108</v>
      </c>
      <c r="C13" t="s">
        <v>49</v>
      </c>
      <c r="D13" t="s">
        <v>50</v>
      </c>
      <c r="E13" t="s">
        <v>51</v>
      </c>
      <c r="F13" t="s">
        <v>23</v>
      </c>
      <c r="G13" t="s">
        <v>18</v>
      </c>
      <c r="H13" t="s">
        <v>19</v>
      </c>
      <c r="I13" t="s">
        <v>20</v>
      </c>
      <c r="J13">
        <v>2</v>
      </c>
      <c r="K13">
        <v>449000</v>
      </c>
      <c r="L13">
        <v>0</v>
      </c>
      <c r="M13">
        <v>327000</v>
      </c>
      <c r="N13">
        <f>(data[[#This Row],[unit_price]]*data[[#This Row],[quantity]]) * (1-data[[#This Row],[discount]])</f>
        <v>898000</v>
      </c>
      <c r="O13">
        <f>data[[#This Row],[sales]]-data[[#This Row],[cost]]</f>
        <v>571000</v>
      </c>
      <c r="P13" t="str">
        <f>TEXT(data[[#This Row],[order_date]],"mmm")</f>
        <v>Jul</v>
      </c>
      <c r="Q13">
        <f>YEAR(data[[#This Row],[order_date]])</f>
        <v>2023</v>
      </c>
      <c r="R13">
        <f>MONTH(data[[#This Row],[order_date]])</f>
        <v>7</v>
      </c>
      <c r="S13">
        <f>DAY(data[[#This Row],[order_date]])</f>
        <v>1</v>
      </c>
      <c r="T13">
        <f>data[[#This Row],[profit]]/data[[#This Row],[sales]]</f>
        <v>0.63585746102449892</v>
      </c>
    </row>
    <row r="14" spans="1:20" x14ac:dyDescent="0.35">
      <c r="A14" t="s">
        <v>52</v>
      </c>
      <c r="B14" s="1">
        <v>45150</v>
      </c>
      <c r="C14" t="s">
        <v>14</v>
      </c>
      <c r="D14" t="s">
        <v>15</v>
      </c>
      <c r="E14" t="s">
        <v>53</v>
      </c>
      <c r="F14" t="s">
        <v>17</v>
      </c>
      <c r="G14" t="s">
        <v>18</v>
      </c>
      <c r="H14" t="s">
        <v>19</v>
      </c>
      <c r="I14" t="s">
        <v>20</v>
      </c>
      <c r="J14">
        <v>1</v>
      </c>
      <c r="K14">
        <v>379000</v>
      </c>
      <c r="L14">
        <v>0</v>
      </c>
      <c r="M14">
        <v>284000</v>
      </c>
      <c r="N14">
        <f>(data[[#This Row],[unit_price]]*data[[#This Row],[quantity]]) * (1-data[[#This Row],[discount]])</f>
        <v>379000</v>
      </c>
      <c r="O14">
        <f>data[[#This Row],[sales]]-data[[#This Row],[cost]]</f>
        <v>95000</v>
      </c>
      <c r="P14" t="str">
        <f>TEXT(data[[#This Row],[order_date]],"mmm")</f>
        <v>Aug</v>
      </c>
      <c r="Q14">
        <f>YEAR(data[[#This Row],[order_date]])</f>
        <v>2023</v>
      </c>
      <c r="R14">
        <f>MONTH(data[[#This Row],[order_date]])</f>
        <v>8</v>
      </c>
      <c r="S14">
        <f>DAY(data[[#This Row],[order_date]])</f>
        <v>12</v>
      </c>
      <c r="T14">
        <f>data[[#This Row],[profit]]/data[[#This Row],[sales]]</f>
        <v>0.25065963060686014</v>
      </c>
    </row>
    <row r="15" spans="1:20" x14ac:dyDescent="0.35">
      <c r="A15" t="s">
        <v>54</v>
      </c>
      <c r="B15" s="1">
        <v>45192</v>
      </c>
      <c r="C15" t="s">
        <v>14</v>
      </c>
      <c r="D15" t="s">
        <v>15</v>
      </c>
      <c r="E15" t="s">
        <v>55</v>
      </c>
      <c r="F15" t="s">
        <v>17</v>
      </c>
      <c r="G15" t="s">
        <v>18</v>
      </c>
      <c r="H15" t="s">
        <v>19</v>
      </c>
      <c r="I15" t="s">
        <v>20</v>
      </c>
      <c r="J15">
        <v>1</v>
      </c>
      <c r="K15">
        <v>394000</v>
      </c>
      <c r="L15">
        <v>0</v>
      </c>
      <c r="M15">
        <v>294000</v>
      </c>
      <c r="N15">
        <f>(data[[#This Row],[unit_price]]*data[[#This Row],[quantity]]) * (1-data[[#This Row],[discount]])</f>
        <v>394000</v>
      </c>
      <c r="O15">
        <f>data[[#This Row],[sales]]-data[[#This Row],[cost]]</f>
        <v>100000</v>
      </c>
      <c r="P15" t="str">
        <f>TEXT(data[[#This Row],[order_date]],"mmm")</f>
        <v>Sep</v>
      </c>
      <c r="Q15">
        <f>YEAR(data[[#This Row],[order_date]])</f>
        <v>2023</v>
      </c>
      <c r="R15">
        <f>MONTH(data[[#This Row],[order_date]])</f>
        <v>9</v>
      </c>
      <c r="S15">
        <f>DAY(data[[#This Row],[order_date]])</f>
        <v>23</v>
      </c>
      <c r="T15">
        <f>data[[#This Row],[profit]]/data[[#This Row],[sales]]</f>
        <v>0.25380710659898476</v>
      </c>
    </row>
    <row r="16" spans="1:20" x14ac:dyDescent="0.35">
      <c r="A16" t="s">
        <v>56</v>
      </c>
      <c r="B16" s="1">
        <v>45202</v>
      </c>
      <c r="C16" t="s">
        <v>41</v>
      </c>
      <c r="D16" t="s">
        <v>42</v>
      </c>
      <c r="E16" t="s">
        <v>57</v>
      </c>
      <c r="F16" t="s">
        <v>58</v>
      </c>
      <c r="G16" t="s">
        <v>18</v>
      </c>
      <c r="H16" t="s">
        <v>19</v>
      </c>
      <c r="I16" t="s">
        <v>20</v>
      </c>
      <c r="J16">
        <v>1</v>
      </c>
      <c r="K16">
        <v>274000</v>
      </c>
      <c r="L16">
        <v>0.15</v>
      </c>
      <c r="M16">
        <v>203000</v>
      </c>
      <c r="N16">
        <f>(data[[#This Row],[unit_price]]*data[[#This Row],[quantity]]) * (1-data[[#This Row],[discount]])</f>
        <v>232900</v>
      </c>
      <c r="O16">
        <f>data[[#This Row],[sales]]-data[[#This Row],[cost]]</f>
        <v>29900</v>
      </c>
      <c r="P16" t="str">
        <f>TEXT(data[[#This Row],[order_date]],"mmm")</f>
        <v>Oct</v>
      </c>
      <c r="Q16">
        <f>YEAR(data[[#This Row],[order_date]])</f>
        <v>2023</v>
      </c>
      <c r="R16">
        <f>MONTH(data[[#This Row],[order_date]])</f>
        <v>10</v>
      </c>
      <c r="S16">
        <f>DAY(data[[#This Row],[order_date]])</f>
        <v>3</v>
      </c>
      <c r="T16">
        <f>data[[#This Row],[profit]]/data[[#This Row],[sales]]</f>
        <v>0.12838127951910691</v>
      </c>
    </row>
    <row r="17" spans="1:20" x14ac:dyDescent="0.35">
      <c r="A17" t="s">
        <v>59</v>
      </c>
      <c r="B17" s="1">
        <v>45224</v>
      </c>
      <c r="C17" t="s">
        <v>36</v>
      </c>
      <c r="D17" t="s">
        <v>37</v>
      </c>
      <c r="E17" t="s">
        <v>43</v>
      </c>
      <c r="F17" t="s">
        <v>17</v>
      </c>
      <c r="G17" t="s">
        <v>18</v>
      </c>
      <c r="H17" t="s">
        <v>19</v>
      </c>
      <c r="I17" t="s">
        <v>20</v>
      </c>
      <c r="J17">
        <v>1</v>
      </c>
      <c r="K17">
        <v>365000</v>
      </c>
      <c r="L17">
        <v>0</v>
      </c>
      <c r="M17">
        <v>277000</v>
      </c>
      <c r="N17">
        <f>(data[[#This Row],[unit_price]]*data[[#This Row],[quantity]]) * (1-data[[#This Row],[discount]])</f>
        <v>365000</v>
      </c>
      <c r="O17">
        <f>data[[#This Row],[sales]]-data[[#This Row],[cost]]</f>
        <v>88000</v>
      </c>
      <c r="P17" t="str">
        <f>TEXT(data[[#This Row],[order_date]],"mmm")</f>
        <v>Oct</v>
      </c>
      <c r="Q17">
        <f>YEAR(data[[#This Row],[order_date]])</f>
        <v>2023</v>
      </c>
      <c r="R17">
        <f>MONTH(data[[#This Row],[order_date]])</f>
        <v>10</v>
      </c>
      <c r="S17">
        <f>DAY(data[[#This Row],[order_date]])</f>
        <v>25</v>
      </c>
      <c r="T17">
        <f>data[[#This Row],[profit]]/data[[#This Row],[sales]]</f>
        <v>0.24109589041095891</v>
      </c>
    </row>
    <row r="18" spans="1:20" x14ac:dyDescent="0.35">
      <c r="A18" t="s">
        <v>60</v>
      </c>
      <c r="B18" s="1">
        <v>45240</v>
      </c>
      <c r="C18" t="s">
        <v>14</v>
      </c>
      <c r="D18" t="s">
        <v>15</v>
      </c>
      <c r="E18" t="s">
        <v>61</v>
      </c>
      <c r="F18" t="s">
        <v>23</v>
      </c>
      <c r="G18" t="s">
        <v>18</v>
      </c>
      <c r="H18" t="s">
        <v>19</v>
      </c>
      <c r="I18" t="s">
        <v>20</v>
      </c>
      <c r="J18">
        <v>2</v>
      </c>
      <c r="K18">
        <v>304000</v>
      </c>
      <c r="L18">
        <v>0</v>
      </c>
      <c r="M18">
        <v>226000</v>
      </c>
      <c r="N18">
        <f>(data[[#This Row],[unit_price]]*data[[#This Row],[quantity]]) * (1-data[[#This Row],[discount]])</f>
        <v>608000</v>
      </c>
      <c r="O18">
        <f>data[[#This Row],[sales]]-data[[#This Row],[cost]]</f>
        <v>382000</v>
      </c>
      <c r="P18" t="str">
        <f>TEXT(data[[#This Row],[order_date]],"mmm")</f>
        <v>Nov</v>
      </c>
      <c r="Q18">
        <f>YEAR(data[[#This Row],[order_date]])</f>
        <v>2023</v>
      </c>
      <c r="R18">
        <f>MONTH(data[[#This Row],[order_date]])</f>
        <v>11</v>
      </c>
      <c r="S18">
        <f>DAY(data[[#This Row],[order_date]])</f>
        <v>10</v>
      </c>
      <c r="T18">
        <f>data[[#This Row],[profit]]/data[[#This Row],[sales]]</f>
        <v>0.62828947368421051</v>
      </c>
    </row>
    <row r="19" spans="1:20" x14ac:dyDescent="0.35">
      <c r="A19" t="s">
        <v>62</v>
      </c>
      <c r="B19" s="1">
        <v>45251</v>
      </c>
      <c r="C19" t="s">
        <v>14</v>
      </c>
      <c r="D19" t="s">
        <v>15</v>
      </c>
      <c r="E19" t="s">
        <v>63</v>
      </c>
      <c r="F19" t="s">
        <v>28</v>
      </c>
      <c r="G19" t="s">
        <v>18</v>
      </c>
      <c r="H19" t="s">
        <v>19</v>
      </c>
      <c r="I19" t="s">
        <v>20</v>
      </c>
      <c r="J19">
        <v>1</v>
      </c>
      <c r="K19">
        <v>362000</v>
      </c>
      <c r="L19">
        <v>0</v>
      </c>
      <c r="M19">
        <v>274000</v>
      </c>
      <c r="N19">
        <f>(data[[#This Row],[unit_price]]*data[[#This Row],[quantity]]) * (1-data[[#This Row],[discount]])</f>
        <v>362000</v>
      </c>
      <c r="O19">
        <f>data[[#This Row],[sales]]-data[[#This Row],[cost]]</f>
        <v>88000</v>
      </c>
      <c r="P19" t="str">
        <f>TEXT(data[[#This Row],[order_date]],"mmm")</f>
        <v>Nov</v>
      </c>
      <c r="Q19">
        <f>YEAR(data[[#This Row],[order_date]])</f>
        <v>2023</v>
      </c>
      <c r="R19">
        <f>MONTH(data[[#This Row],[order_date]])</f>
        <v>11</v>
      </c>
      <c r="S19">
        <f>DAY(data[[#This Row],[order_date]])</f>
        <v>21</v>
      </c>
      <c r="T19">
        <f>data[[#This Row],[profit]]/data[[#This Row],[sales]]</f>
        <v>0.24309392265193369</v>
      </c>
    </row>
    <row r="20" spans="1:20" x14ac:dyDescent="0.35">
      <c r="A20" t="s">
        <v>64</v>
      </c>
      <c r="B20" s="1">
        <v>45260</v>
      </c>
      <c r="C20" t="s">
        <v>36</v>
      </c>
      <c r="D20" t="s">
        <v>37</v>
      </c>
      <c r="E20" t="s">
        <v>65</v>
      </c>
      <c r="F20" t="s">
        <v>17</v>
      </c>
      <c r="G20" t="s">
        <v>18</v>
      </c>
      <c r="H20" t="s">
        <v>19</v>
      </c>
      <c r="I20" t="s">
        <v>20</v>
      </c>
      <c r="J20">
        <v>2</v>
      </c>
      <c r="K20">
        <v>291000</v>
      </c>
      <c r="L20">
        <v>0</v>
      </c>
      <c r="M20">
        <v>219000</v>
      </c>
      <c r="N20">
        <f>(data[[#This Row],[unit_price]]*data[[#This Row],[quantity]]) * (1-data[[#This Row],[discount]])</f>
        <v>582000</v>
      </c>
      <c r="O20">
        <f>data[[#This Row],[sales]]-data[[#This Row],[cost]]</f>
        <v>363000</v>
      </c>
      <c r="P20" t="str">
        <f>TEXT(data[[#This Row],[order_date]],"mmm")</f>
        <v>Nov</v>
      </c>
      <c r="Q20">
        <f>YEAR(data[[#This Row],[order_date]])</f>
        <v>2023</v>
      </c>
      <c r="R20">
        <f>MONTH(data[[#This Row],[order_date]])</f>
        <v>11</v>
      </c>
      <c r="S20">
        <f>DAY(data[[#This Row],[order_date]])</f>
        <v>30</v>
      </c>
      <c r="T20">
        <f>data[[#This Row],[profit]]/data[[#This Row],[sales]]</f>
        <v>0.62371134020618557</v>
      </c>
    </row>
    <row r="21" spans="1:20" x14ac:dyDescent="0.35">
      <c r="A21" t="s">
        <v>66</v>
      </c>
      <c r="B21" s="1">
        <v>45286</v>
      </c>
      <c r="C21" t="s">
        <v>41</v>
      </c>
      <c r="D21" t="s">
        <v>42</v>
      </c>
      <c r="E21" t="s">
        <v>65</v>
      </c>
      <c r="F21" t="s">
        <v>17</v>
      </c>
      <c r="G21" t="s">
        <v>18</v>
      </c>
      <c r="H21" t="s">
        <v>19</v>
      </c>
      <c r="I21" t="s">
        <v>20</v>
      </c>
      <c r="J21">
        <v>1</v>
      </c>
      <c r="K21">
        <v>320000</v>
      </c>
      <c r="L21">
        <v>0</v>
      </c>
      <c r="M21">
        <v>236000</v>
      </c>
      <c r="N21">
        <f>(data[[#This Row],[unit_price]]*data[[#This Row],[quantity]]) * (1-data[[#This Row],[discount]])</f>
        <v>320000</v>
      </c>
      <c r="O21">
        <f>data[[#This Row],[sales]]-data[[#This Row],[cost]]</f>
        <v>84000</v>
      </c>
      <c r="P21" t="str">
        <f>TEXT(data[[#This Row],[order_date]],"mmm")</f>
        <v>Dec</v>
      </c>
      <c r="Q21">
        <f>YEAR(data[[#This Row],[order_date]])</f>
        <v>2023</v>
      </c>
      <c r="R21">
        <f>MONTH(data[[#This Row],[order_date]])</f>
        <v>12</v>
      </c>
      <c r="S21">
        <f>DAY(data[[#This Row],[order_date]])</f>
        <v>26</v>
      </c>
      <c r="T21">
        <f>data[[#This Row],[profit]]/data[[#This Row],[sales]]</f>
        <v>0.26250000000000001</v>
      </c>
    </row>
    <row r="22" spans="1:20" x14ac:dyDescent="0.35">
      <c r="A22" t="s">
        <v>67</v>
      </c>
      <c r="B22" s="1">
        <v>45307</v>
      </c>
      <c r="C22" t="s">
        <v>36</v>
      </c>
      <c r="D22" t="s">
        <v>37</v>
      </c>
      <c r="E22" t="s">
        <v>27</v>
      </c>
      <c r="F22" t="s">
        <v>28</v>
      </c>
      <c r="G22" t="s">
        <v>18</v>
      </c>
      <c r="H22" t="s">
        <v>19</v>
      </c>
      <c r="I22" t="s">
        <v>20</v>
      </c>
      <c r="J22">
        <v>1</v>
      </c>
      <c r="K22">
        <v>274000</v>
      </c>
      <c r="L22">
        <v>0</v>
      </c>
      <c r="M22">
        <v>201000</v>
      </c>
      <c r="N22">
        <f>(data[[#This Row],[unit_price]]*data[[#This Row],[quantity]]) * (1-data[[#This Row],[discount]])</f>
        <v>274000</v>
      </c>
      <c r="O22">
        <f>data[[#This Row],[sales]]-data[[#This Row],[cost]]</f>
        <v>73000</v>
      </c>
      <c r="P22" t="str">
        <f>TEXT(data[[#This Row],[order_date]],"mmm")</f>
        <v>Jan</v>
      </c>
      <c r="Q22">
        <f>YEAR(data[[#This Row],[order_date]])</f>
        <v>2024</v>
      </c>
      <c r="R22">
        <f>MONTH(data[[#This Row],[order_date]])</f>
        <v>1</v>
      </c>
      <c r="S22">
        <f>DAY(data[[#This Row],[order_date]])</f>
        <v>16</v>
      </c>
      <c r="T22">
        <f>data[[#This Row],[profit]]/data[[#This Row],[sales]]</f>
        <v>0.26642335766423358</v>
      </c>
    </row>
    <row r="23" spans="1:20" x14ac:dyDescent="0.35">
      <c r="A23" t="s">
        <v>68</v>
      </c>
      <c r="B23" s="1">
        <v>45313</v>
      </c>
      <c r="C23" t="s">
        <v>49</v>
      </c>
      <c r="D23" t="s">
        <v>50</v>
      </c>
      <c r="E23" t="s">
        <v>69</v>
      </c>
      <c r="F23" t="s">
        <v>23</v>
      </c>
      <c r="G23" t="s">
        <v>18</v>
      </c>
      <c r="H23" t="s">
        <v>19</v>
      </c>
      <c r="I23" t="s">
        <v>20</v>
      </c>
      <c r="J23">
        <v>1</v>
      </c>
      <c r="K23">
        <v>333000</v>
      </c>
      <c r="L23">
        <v>0</v>
      </c>
      <c r="M23">
        <v>249000</v>
      </c>
      <c r="N23">
        <f>(data[[#This Row],[unit_price]]*data[[#This Row],[quantity]]) * (1-data[[#This Row],[discount]])</f>
        <v>333000</v>
      </c>
      <c r="O23">
        <f>data[[#This Row],[sales]]-data[[#This Row],[cost]]</f>
        <v>84000</v>
      </c>
      <c r="P23" t="str">
        <f>TEXT(data[[#This Row],[order_date]],"mmm")</f>
        <v>Jan</v>
      </c>
      <c r="Q23">
        <f>YEAR(data[[#This Row],[order_date]])</f>
        <v>2024</v>
      </c>
      <c r="R23">
        <f>MONTH(data[[#This Row],[order_date]])</f>
        <v>1</v>
      </c>
      <c r="S23">
        <f>DAY(data[[#This Row],[order_date]])</f>
        <v>22</v>
      </c>
      <c r="T23">
        <f>data[[#This Row],[profit]]/data[[#This Row],[sales]]</f>
        <v>0.25225225225225223</v>
      </c>
    </row>
    <row r="24" spans="1:20" x14ac:dyDescent="0.35">
      <c r="A24" t="s">
        <v>70</v>
      </c>
      <c r="B24" s="1">
        <v>45353</v>
      </c>
      <c r="C24" t="s">
        <v>49</v>
      </c>
      <c r="D24" t="s">
        <v>50</v>
      </c>
      <c r="E24" t="s">
        <v>71</v>
      </c>
      <c r="F24" t="s">
        <v>23</v>
      </c>
      <c r="G24" t="s">
        <v>18</v>
      </c>
      <c r="H24" t="s">
        <v>19</v>
      </c>
      <c r="I24" t="s">
        <v>20</v>
      </c>
      <c r="J24">
        <v>2</v>
      </c>
      <c r="K24">
        <v>373000</v>
      </c>
      <c r="L24">
        <v>0</v>
      </c>
      <c r="M24">
        <v>270000</v>
      </c>
      <c r="N24">
        <f>(data[[#This Row],[unit_price]]*data[[#This Row],[quantity]]) * (1-data[[#This Row],[discount]])</f>
        <v>746000</v>
      </c>
      <c r="O24">
        <f>data[[#This Row],[sales]]-data[[#This Row],[cost]]</f>
        <v>476000</v>
      </c>
      <c r="P24" t="str">
        <f>TEXT(data[[#This Row],[order_date]],"mmm")</f>
        <v>Mar</v>
      </c>
      <c r="Q24">
        <f>YEAR(data[[#This Row],[order_date]])</f>
        <v>2024</v>
      </c>
      <c r="R24">
        <f>MONTH(data[[#This Row],[order_date]])</f>
        <v>3</v>
      </c>
      <c r="S24">
        <f>DAY(data[[#This Row],[order_date]])</f>
        <v>2</v>
      </c>
      <c r="T24">
        <f>data[[#This Row],[profit]]/data[[#This Row],[sales]]</f>
        <v>0.63806970509383376</v>
      </c>
    </row>
    <row r="25" spans="1:20" x14ac:dyDescent="0.35">
      <c r="A25" t="s">
        <v>72</v>
      </c>
      <c r="B25" s="1">
        <v>45365</v>
      </c>
      <c r="C25" t="s">
        <v>14</v>
      </c>
      <c r="D25" t="s">
        <v>15</v>
      </c>
      <c r="E25" t="s">
        <v>61</v>
      </c>
      <c r="F25" t="s">
        <v>23</v>
      </c>
      <c r="G25" t="s">
        <v>18</v>
      </c>
      <c r="H25" t="s">
        <v>19</v>
      </c>
      <c r="I25" t="s">
        <v>20</v>
      </c>
      <c r="J25">
        <v>3</v>
      </c>
      <c r="K25">
        <v>463000</v>
      </c>
      <c r="L25">
        <v>0.05</v>
      </c>
      <c r="M25">
        <v>336000</v>
      </c>
      <c r="N25">
        <f>(data[[#This Row],[unit_price]]*data[[#This Row],[quantity]]) * (1-data[[#This Row],[discount]])</f>
        <v>1319550</v>
      </c>
      <c r="O25">
        <f>data[[#This Row],[sales]]-data[[#This Row],[cost]]</f>
        <v>983550</v>
      </c>
      <c r="P25" t="str">
        <f>TEXT(data[[#This Row],[order_date]],"mmm")</f>
        <v>Mar</v>
      </c>
      <c r="Q25">
        <f>YEAR(data[[#This Row],[order_date]])</f>
        <v>2024</v>
      </c>
      <c r="R25">
        <f>MONTH(data[[#This Row],[order_date]])</f>
        <v>3</v>
      </c>
      <c r="S25">
        <f>DAY(data[[#This Row],[order_date]])</f>
        <v>14</v>
      </c>
      <c r="T25">
        <f>data[[#This Row],[profit]]/data[[#This Row],[sales]]</f>
        <v>0.74536773900193243</v>
      </c>
    </row>
    <row r="26" spans="1:20" x14ac:dyDescent="0.35">
      <c r="A26" t="s">
        <v>73</v>
      </c>
      <c r="B26" s="1">
        <v>45380</v>
      </c>
      <c r="C26" t="s">
        <v>41</v>
      </c>
      <c r="D26" t="s">
        <v>42</v>
      </c>
      <c r="E26" t="s">
        <v>74</v>
      </c>
      <c r="F26" t="s">
        <v>23</v>
      </c>
      <c r="G26" t="s">
        <v>18</v>
      </c>
      <c r="H26" t="s">
        <v>19</v>
      </c>
      <c r="I26" t="s">
        <v>20</v>
      </c>
      <c r="J26">
        <v>1</v>
      </c>
      <c r="K26">
        <v>285000</v>
      </c>
      <c r="L26">
        <v>0</v>
      </c>
      <c r="M26">
        <v>207000</v>
      </c>
      <c r="N26">
        <f>(data[[#This Row],[unit_price]]*data[[#This Row],[quantity]]) * (1-data[[#This Row],[discount]])</f>
        <v>285000</v>
      </c>
      <c r="O26">
        <f>data[[#This Row],[sales]]-data[[#This Row],[cost]]</f>
        <v>78000</v>
      </c>
      <c r="P26" t="str">
        <f>TEXT(data[[#This Row],[order_date]],"mmm")</f>
        <v>Mar</v>
      </c>
      <c r="Q26">
        <f>YEAR(data[[#This Row],[order_date]])</f>
        <v>2024</v>
      </c>
      <c r="R26">
        <f>MONTH(data[[#This Row],[order_date]])</f>
        <v>3</v>
      </c>
      <c r="S26">
        <f>DAY(data[[#This Row],[order_date]])</f>
        <v>29</v>
      </c>
      <c r="T26">
        <f>data[[#This Row],[profit]]/data[[#This Row],[sales]]</f>
        <v>0.27368421052631581</v>
      </c>
    </row>
    <row r="27" spans="1:20" x14ac:dyDescent="0.35">
      <c r="A27" t="s">
        <v>75</v>
      </c>
      <c r="B27" s="1">
        <v>45381</v>
      </c>
      <c r="C27" t="s">
        <v>14</v>
      </c>
      <c r="D27" t="s">
        <v>15</v>
      </c>
      <c r="E27" t="s">
        <v>76</v>
      </c>
      <c r="F27" t="s">
        <v>23</v>
      </c>
      <c r="G27" t="s">
        <v>18</v>
      </c>
      <c r="H27" t="s">
        <v>19</v>
      </c>
      <c r="I27" t="s">
        <v>20</v>
      </c>
      <c r="J27">
        <v>3</v>
      </c>
      <c r="K27">
        <v>386785.71428571426</v>
      </c>
      <c r="L27">
        <v>0.1</v>
      </c>
      <c r="M27">
        <v>0</v>
      </c>
      <c r="N27">
        <f>(data[[#This Row],[unit_price]]*data[[#This Row],[quantity]]) * (1-data[[#This Row],[discount]])</f>
        <v>1044321.4285714285</v>
      </c>
      <c r="O27">
        <f>data[[#This Row],[sales]]-data[[#This Row],[cost]]</f>
        <v>1044321.4285714285</v>
      </c>
      <c r="P27" t="str">
        <f>TEXT(data[[#This Row],[order_date]],"mmm")</f>
        <v>Mar</v>
      </c>
      <c r="Q27">
        <f>YEAR(data[[#This Row],[order_date]])</f>
        <v>2024</v>
      </c>
      <c r="R27">
        <f>MONTH(data[[#This Row],[order_date]])</f>
        <v>3</v>
      </c>
      <c r="S27">
        <f>DAY(data[[#This Row],[order_date]])</f>
        <v>30</v>
      </c>
      <c r="T27">
        <f>data[[#This Row],[profit]]/data[[#This Row],[sales]]</f>
        <v>1</v>
      </c>
    </row>
    <row r="28" spans="1:20" x14ac:dyDescent="0.35">
      <c r="A28" t="s">
        <v>77</v>
      </c>
      <c r="B28" s="1">
        <v>45389</v>
      </c>
      <c r="C28" t="s">
        <v>41</v>
      </c>
      <c r="D28" t="s">
        <v>42</v>
      </c>
      <c r="E28" t="s">
        <v>30</v>
      </c>
      <c r="F28" t="s">
        <v>23</v>
      </c>
      <c r="G28" t="s">
        <v>18</v>
      </c>
      <c r="H28" t="s">
        <v>19</v>
      </c>
      <c r="I28" t="s">
        <v>20</v>
      </c>
      <c r="J28">
        <v>1</v>
      </c>
      <c r="K28">
        <v>399000</v>
      </c>
      <c r="L28">
        <v>0</v>
      </c>
      <c r="M28">
        <v>289000</v>
      </c>
      <c r="N28">
        <f>(data[[#This Row],[unit_price]]*data[[#This Row],[quantity]]) * (1-data[[#This Row],[discount]])</f>
        <v>399000</v>
      </c>
      <c r="O28">
        <f>data[[#This Row],[sales]]-data[[#This Row],[cost]]</f>
        <v>110000</v>
      </c>
      <c r="P28" t="str">
        <f>TEXT(data[[#This Row],[order_date]],"mmm")</f>
        <v>Apr</v>
      </c>
      <c r="Q28">
        <f>YEAR(data[[#This Row],[order_date]])</f>
        <v>2024</v>
      </c>
      <c r="R28">
        <f>MONTH(data[[#This Row],[order_date]])</f>
        <v>4</v>
      </c>
      <c r="S28">
        <f>DAY(data[[#This Row],[order_date]])</f>
        <v>7</v>
      </c>
      <c r="T28">
        <f>data[[#This Row],[profit]]/data[[#This Row],[sales]]</f>
        <v>0.27568922305764409</v>
      </c>
    </row>
    <row r="29" spans="1:20" x14ac:dyDescent="0.35">
      <c r="A29" t="s">
        <v>78</v>
      </c>
      <c r="B29" s="1">
        <v>45405</v>
      </c>
      <c r="C29" t="s">
        <v>14</v>
      </c>
      <c r="D29" t="s">
        <v>15</v>
      </c>
      <c r="E29" t="s">
        <v>79</v>
      </c>
      <c r="F29" t="s">
        <v>17</v>
      </c>
      <c r="G29" t="s">
        <v>18</v>
      </c>
      <c r="H29" t="s">
        <v>19</v>
      </c>
      <c r="I29" t="s">
        <v>20</v>
      </c>
      <c r="J29">
        <v>1</v>
      </c>
      <c r="K29">
        <v>396000</v>
      </c>
      <c r="L29">
        <v>0</v>
      </c>
      <c r="M29">
        <v>287000</v>
      </c>
      <c r="N29">
        <f>(data[[#This Row],[unit_price]]*data[[#This Row],[quantity]]) * (1-data[[#This Row],[discount]])</f>
        <v>396000</v>
      </c>
      <c r="O29">
        <f>data[[#This Row],[sales]]-data[[#This Row],[cost]]</f>
        <v>109000</v>
      </c>
      <c r="P29" t="str">
        <f>TEXT(data[[#This Row],[order_date]],"mmm")</f>
        <v>Apr</v>
      </c>
      <c r="Q29">
        <f>YEAR(data[[#This Row],[order_date]])</f>
        <v>2024</v>
      </c>
      <c r="R29">
        <f>MONTH(data[[#This Row],[order_date]])</f>
        <v>4</v>
      </c>
      <c r="S29">
        <f>DAY(data[[#This Row],[order_date]])</f>
        <v>23</v>
      </c>
      <c r="T29">
        <f>data[[#This Row],[profit]]/data[[#This Row],[sales]]</f>
        <v>0.27525252525252525</v>
      </c>
    </row>
    <row r="30" spans="1:20" x14ac:dyDescent="0.35">
      <c r="A30" t="s">
        <v>80</v>
      </c>
      <c r="B30" s="1">
        <v>45419</v>
      </c>
      <c r="C30" t="s">
        <v>14</v>
      </c>
      <c r="D30" t="s">
        <v>15</v>
      </c>
      <c r="E30" t="s">
        <v>81</v>
      </c>
      <c r="F30" t="s">
        <v>17</v>
      </c>
      <c r="G30" t="s">
        <v>18</v>
      </c>
      <c r="H30" t="s">
        <v>19</v>
      </c>
      <c r="I30" t="s">
        <v>20</v>
      </c>
      <c r="J30">
        <v>1</v>
      </c>
      <c r="K30">
        <v>314000</v>
      </c>
      <c r="L30">
        <v>0</v>
      </c>
      <c r="M30">
        <v>231000</v>
      </c>
      <c r="N30">
        <f>(data[[#This Row],[unit_price]]*data[[#This Row],[quantity]]) * (1-data[[#This Row],[discount]])</f>
        <v>314000</v>
      </c>
      <c r="O30">
        <f>data[[#This Row],[sales]]-data[[#This Row],[cost]]</f>
        <v>83000</v>
      </c>
      <c r="P30" t="str">
        <f>TEXT(data[[#This Row],[order_date]],"mmm")</f>
        <v>May</v>
      </c>
      <c r="Q30">
        <f>YEAR(data[[#This Row],[order_date]])</f>
        <v>2024</v>
      </c>
      <c r="R30">
        <f>MONTH(data[[#This Row],[order_date]])</f>
        <v>5</v>
      </c>
      <c r="S30">
        <f>DAY(data[[#This Row],[order_date]])</f>
        <v>7</v>
      </c>
      <c r="T30">
        <f>data[[#This Row],[profit]]/data[[#This Row],[sales]]</f>
        <v>0.2643312101910828</v>
      </c>
    </row>
    <row r="31" spans="1:20" x14ac:dyDescent="0.35">
      <c r="A31" t="s">
        <v>82</v>
      </c>
      <c r="B31" s="1">
        <v>45427</v>
      </c>
      <c r="C31" t="s">
        <v>41</v>
      </c>
      <c r="D31" t="s">
        <v>42</v>
      </c>
      <c r="E31" t="s">
        <v>83</v>
      </c>
      <c r="F31" t="s">
        <v>23</v>
      </c>
      <c r="G31" t="s">
        <v>18</v>
      </c>
      <c r="H31" t="s">
        <v>19</v>
      </c>
      <c r="I31" t="s">
        <v>20</v>
      </c>
      <c r="J31">
        <v>1</v>
      </c>
      <c r="K31">
        <v>343000</v>
      </c>
      <c r="L31">
        <v>0</v>
      </c>
      <c r="M31">
        <v>261000</v>
      </c>
      <c r="N31">
        <f>(data[[#This Row],[unit_price]]*data[[#This Row],[quantity]]) * (1-data[[#This Row],[discount]])</f>
        <v>343000</v>
      </c>
      <c r="O31">
        <f>data[[#This Row],[sales]]-data[[#This Row],[cost]]</f>
        <v>82000</v>
      </c>
      <c r="P31" t="str">
        <f>TEXT(data[[#This Row],[order_date]],"mmm")</f>
        <v>May</v>
      </c>
      <c r="Q31">
        <f>YEAR(data[[#This Row],[order_date]])</f>
        <v>2024</v>
      </c>
      <c r="R31">
        <f>MONTH(data[[#This Row],[order_date]])</f>
        <v>5</v>
      </c>
      <c r="S31">
        <f>DAY(data[[#This Row],[order_date]])</f>
        <v>15</v>
      </c>
      <c r="T31">
        <f>data[[#This Row],[profit]]/data[[#This Row],[sales]]</f>
        <v>0.239067055393586</v>
      </c>
    </row>
    <row r="32" spans="1:20" x14ac:dyDescent="0.35">
      <c r="A32" t="s">
        <v>84</v>
      </c>
      <c r="B32" s="1">
        <v>45434</v>
      </c>
      <c r="C32" t="s">
        <v>49</v>
      </c>
      <c r="D32" t="s">
        <v>50</v>
      </c>
      <c r="E32" t="s">
        <v>85</v>
      </c>
      <c r="F32" t="s">
        <v>23</v>
      </c>
      <c r="G32" t="s">
        <v>18</v>
      </c>
      <c r="H32" t="s">
        <v>19</v>
      </c>
      <c r="I32" t="s">
        <v>20</v>
      </c>
      <c r="J32">
        <v>1</v>
      </c>
      <c r="K32">
        <v>364000</v>
      </c>
      <c r="L32">
        <v>0</v>
      </c>
      <c r="M32">
        <v>272000</v>
      </c>
      <c r="N32">
        <f>(data[[#This Row],[unit_price]]*data[[#This Row],[quantity]]) * (1-data[[#This Row],[discount]])</f>
        <v>364000</v>
      </c>
      <c r="O32">
        <f>data[[#This Row],[sales]]-data[[#This Row],[cost]]</f>
        <v>92000</v>
      </c>
      <c r="P32" t="str">
        <f>TEXT(data[[#This Row],[order_date]],"mmm")</f>
        <v>May</v>
      </c>
      <c r="Q32">
        <f>YEAR(data[[#This Row],[order_date]])</f>
        <v>2024</v>
      </c>
      <c r="R32">
        <f>MONTH(data[[#This Row],[order_date]])</f>
        <v>5</v>
      </c>
      <c r="S32">
        <f>DAY(data[[#This Row],[order_date]])</f>
        <v>22</v>
      </c>
      <c r="T32">
        <f>data[[#This Row],[profit]]/data[[#This Row],[sales]]</f>
        <v>0.25274725274725274</v>
      </c>
    </row>
    <row r="33" spans="1:20" x14ac:dyDescent="0.35">
      <c r="A33" t="s">
        <v>86</v>
      </c>
      <c r="B33" s="1">
        <v>45447</v>
      </c>
      <c r="C33" t="s">
        <v>14</v>
      </c>
      <c r="D33" t="s">
        <v>15</v>
      </c>
      <c r="E33" t="s">
        <v>87</v>
      </c>
      <c r="F33" t="s">
        <v>17</v>
      </c>
      <c r="G33" t="s">
        <v>18</v>
      </c>
      <c r="H33" t="s">
        <v>19</v>
      </c>
      <c r="I33" t="s">
        <v>20</v>
      </c>
      <c r="J33">
        <v>1</v>
      </c>
      <c r="K33">
        <v>386785.71428571426</v>
      </c>
      <c r="L33">
        <v>0</v>
      </c>
      <c r="M33">
        <v>0</v>
      </c>
      <c r="N33">
        <f>(data[[#This Row],[unit_price]]*data[[#This Row],[quantity]]) * (1-data[[#This Row],[discount]])</f>
        <v>386785.71428571426</v>
      </c>
      <c r="O33">
        <f>data[[#This Row],[sales]]-data[[#This Row],[cost]]</f>
        <v>386785.71428571426</v>
      </c>
      <c r="P33" t="str">
        <f>TEXT(data[[#This Row],[order_date]],"mmm")</f>
        <v>Jun</v>
      </c>
      <c r="Q33">
        <f>YEAR(data[[#This Row],[order_date]])</f>
        <v>2024</v>
      </c>
      <c r="R33">
        <f>MONTH(data[[#This Row],[order_date]])</f>
        <v>6</v>
      </c>
      <c r="S33">
        <f>DAY(data[[#This Row],[order_date]])</f>
        <v>4</v>
      </c>
      <c r="T33">
        <f>data[[#This Row],[profit]]/data[[#This Row],[sales]]</f>
        <v>1</v>
      </c>
    </row>
    <row r="34" spans="1:20" x14ac:dyDescent="0.35">
      <c r="A34" t="s">
        <v>88</v>
      </c>
      <c r="B34" s="1">
        <v>45448</v>
      </c>
      <c r="C34" t="s">
        <v>25</v>
      </c>
      <c r="D34" t="s">
        <v>26</v>
      </c>
      <c r="E34" t="s">
        <v>89</v>
      </c>
      <c r="F34" t="s">
        <v>23</v>
      </c>
      <c r="G34" t="s">
        <v>18</v>
      </c>
      <c r="H34" t="s">
        <v>19</v>
      </c>
      <c r="I34" t="s">
        <v>20</v>
      </c>
      <c r="J34">
        <v>3</v>
      </c>
      <c r="K34">
        <v>386785.71428571426</v>
      </c>
      <c r="L34">
        <v>0</v>
      </c>
      <c r="M34">
        <v>0</v>
      </c>
      <c r="N34">
        <f>(data[[#This Row],[unit_price]]*data[[#This Row],[quantity]]) * (1-data[[#This Row],[discount]])</f>
        <v>1160357.1428571427</v>
      </c>
      <c r="O34">
        <f>data[[#This Row],[sales]]-data[[#This Row],[cost]]</f>
        <v>1160357.1428571427</v>
      </c>
      <c r="P34" t="str">
        <f>TEXT(data[[#This Row],[order_date]],"mmm")</f>
        <v>Jun</v>
      </c>
      <c r="Q34">
        <f>YEAR(data[[#This Row],[order_date]])</f>
        <v>2024</v>
      </c>
      <c r="R34">
        <f>MONTH(data[[#This Row],[order_date]])</f>
        <v>6</v>
      </c>
      <c r="S34">
        <f>DAY(data[[#This Row],[order_date]])</f>
        <v>5</v>
      </c>
      <c r="T34">
        <f>data[[#This Row],[profit]]/data[[#This Row],[sales]]</f>
        <v>1</v>
      </c>
    </row>
    <row r="35" spans="1:20" x14ac:dyDescent="0.35">
      <c r="A35" t="s">
        <v>90</v>
      </c>
      <c r="B35" s="1">
        <v>45471</v>
      </c>
      <c r="C35" t="s">
        <v>14</v>
      </c>
      <c r="D35" t="s">
        <v>15</v>
      </c>
      <c r="E35" t="s">
        <v>91</v>
      </c>
      <c r="F35" t="s">
        <v>23</v>
      </c>
      <c r="G35" t="s">
        <v>18</v>
      </c>
      <c r="H35" t="s">
        <v>19</v>
      </c>
      <c r="I35" t="s">
        <v>20</v>
      </c>
      <c r="J35">
        <v>1</v>
      </c>
      <c r="K35">
        <v>328000</v>
      </c>
      <c r="L35">
        <v>0</v>
      </c>
      <c r="M35">
        <v>246000</v>
      </c>
      <c r="N35">
        <f>(data[[#This Row],[unit_price]]*data[[#This Row],[quantity]]) * (1-data[[#This Row],[discount]])</f>
        <v>328000</v>
      </c>
      <c r="O35">
        <f>data[[#This Row],[sales]]-data[[#This Row],[cost]]</f>
        <v>82000</v>
      </c>
      <c r="P35" t="str">
        <f>TEXT(data[[#This Row],[order_date]],"mmm")</f>
        <v>Jun</v>
      </c>
      <c r="Q35">
        <f>YEAR(data[[#This Row],[order_date]])</f>
        <v>2024</v>
      </c>
      <c r="R35">
        <f>MONTH(data[[#This Row],[order_date]])</f>
        <v>6</v>
      </c>
      <c r="S35">
        <f>DAY(data[[#This Row],[order_date]])</f>
        <v>28</v>
      </c>
      <c r="T35">
        <f>data[[#This Row],[profit]]/data[[#This Row],[sales]]</f>
        <v>0.25</v>
      </c>
    </row>
    <row r="36" spans="1:20" x14ac:dyDescent="0.35">
      <c r="A36" t="s">
        <v>92</v>
      </c>
      <c r="B36" s="1">
        <v>45477</v>
      </c>
      <c r="C36" t="s">
        <v>36</v>
      </c>
      <c r="D36" t="s">
        <v>37</v>
      </c>
      <c r="E36" t="s">
        <v>93</v>
      </c>
      <c r="F36" t="s">
        <v>23</v>
      </c>
      <c r="G36" t="s">
        <v>18</v>
      </c>
      <c r="H36" t="s">
        <v>19</v>
      </c>
      <c r="I36" t="s">
        <v>20</v>
      </c>
      <c r="J36">
        <v>1</v>
      </c>
      <c r="K36">
        <v>460000</v>
      </c>
      <c r="L36">
        <v>0</v>
      </c>
      <c r="M36">
        <v>332000</v>
      </c>
      <c r="N36">
        <f>(data[[#This Row],[unit_price]]*data[[#This Row],[quantity]]) * (1-data[[#This Row],[discount]])</f>
        <v>460000</v>
      </c>
      <c r="O36">
        <f>data[[#This Row],[sales]]-data[[#This Row],[cost]]</f>
        <v>128000</v>
      </c>
      <c r="P36" t="str">
        <f>TEXT(data[[#This Row],[order_date]],"mmm")</f>
        <v>Jul</v>
      </c>
      <c r="Q36">
        <f>YEAR(data[[#This Row],[order_date]])</f>
        <v>2024</v>
      </c>
      <c r="R36">
        <f>MONTH(data[[#This Row],[order_date]])</f>
        <v>7</v>
      </c>
      <c r="S36">
        <f>DAY(data[[#This Row],[order_date]])</f>
        <v>4</v>
      </c>
      <c r="T36">
        <f>data[[#This Row],[profit]]/data[[#This Row],[sales]]</f>
        <v>0.27826086956521739</v>
      </c>
    </row>
    <row r="37" spans="1:20" x14ac:dyDescent="0.35">
      <c r="A37" t="s">
        <v>94</v>
      </c>
      <c r="B37" s="1">
        <v>45507</v>
      </c>
      <c r="C37" t="s">
        <v>14</v>
      </c>
      <c r="D37" t="s">
        <v>15</v>
      </c>
      <c r="E37" t="s">
        <v>95</v>
      </c>
      <c r="F37" t="s">
        <v>23</v>
      </c>
      <c r="G37" t="s">
        <v>18</v>
      </c>
      <c r="H37" t="s">
        <v>19</v>
      </c>
      <c r="I37" t="s">
        <v>20</v>
      </c>
      <c r="J37">
        <v>1</v>
      </c>
      <c r="K37">
        <v>371000</v>
      </c>
      <c r="L37">
        <v>0</v>
      </c>
      <c r="M37">
        <v>272000</v>
      </c>
      <c r="N37">
        <f>(data[[#This Row],[unit_price]]*data[[#This Row],[quantity]]) * (1-data[[#This Row],[discount]])</f>
        <v>371000</v>
      </c>
      <c r="O37">
        <f>data[[#This Row],[sales]]-data[[#This Row],[cost]]</f>
        <v>99000</v>
      </c>
      <c r="P37" t="str">
        <f>TEXT(data[[#This Row],[order_date]],"mmm")</f>
        <v>Aug</v>
      </c>
      <c r="Q37">
        <f>YEAR(data[[#This Row],[order_date]])</f>
        <v>2024</v>
      </c>
      <c r="R37">
        <f>MONTH(data[[#This Row],[order_date]])</f>
        <v>8</v>
      </c>
      <c r="S37">
        <f>DAY(data[[#This Row],[order_date]])</f>
        <v>3</v>
      </c>
      <c r="T37">
        <f>data[[#This Row],[profit]]/data[[#This Row],[sales]]</f>
        <v>0.26684636118598382</v>
      </c>
    </row>
    <row r="38" spans="1:20" x14ac:dyDescent="0.35">
      <c r="A38" t="s">
        <v>96</v>
      </c>
      <c r="B38" s="1">
        <v>45549</v>
      </c>
      <c r="C38" t="s">
        <v>41</v>
      </c>
      <c r="D38" t="s">
        <v>42</v>
      </c>
      <c r="E38" t="s">
        <v>97</v>
      </c>
      <c r="F38" t="s">
        <v>23</v>
      </c>
      <c r="G38" t="s">
        <v>18</v>
      </c>
      <c r="H38" t="s">
        <v>19</v>
      </c>
      <c r="I38" t="s">
        <v>20</v>
      </c>
      <c r="J38">
        <v>1</v>
      </c>
      <c r="K38">
        <v>470000</v>
      </c>
      <c r="L38">
        <v>0</v>
      </c>
      <c r="M38">
        <v>341000</v>
      </c>
      <c r="N38">
        <f>(data[[#This Row],[unit_price]]*data[[#This Row],[quantity]]) * (1-data[[#This Row],[discount]])</f>
        <v>470000</v>
      </c>
      <c r="O38">
        <f>data[[#This Row],[sales]]-data[[#This Row],[cost]]</f>
        <v>129000</v>
      </c>
      <c r="P38" t="str">
        <f>TEXT(data[[#This Row],[order_date]],"mmm")</f>
        <v>Sep</v>
      </c>
      <c r="Q38">
        <f>YEAR(data[[#This Row],[order_date]])</f>
        <v>2024</v>
      </c>
      <c r="R38">
        <f>MONTH(data[[#This Row],[order_date]])</f>
        <v>9</v>
      </c>
      <c r="S38">
        <f>DAY(data[[#This Row],[order_date]])</f>
        <v>14</v>
      </c>
      <c r="T38">
        <f>data[[#This Row],[profit]]/data[[#This Row],[sales]]</f>
        <v>0.27446808510638299</v>
      </c>
    </row>
    <row r="39" spans="1:20" x14ac:dyDescent="0.35">
      <c r="A39" t="s">
        <v>98</v>
      </c>
      <c r="B39" s="1">
        <v>45556</v>
      </c>
      <c r="C39" t="s">
        <v>41</v>
      </c>
      <c r="D39" t="s">
        <v>42</v>
      </c>
      <c r="E39" t="s">
        <v>99</v>
      </c>
      <c r="F39" t="s">
        <v>23</v>
      </c>
      <c r="G39" t="s">
        <v>18</v>
      </c>
      <c r="H39" t="s">
        <v>19</v>
      </c>
      <c r="I39" t="s">
        <v>20</v>
      </c>
      <c r="J39">
        <v>1</v>
      </c>
      <c r="K39">
        <v>377000</v>
      </c>
      <c r="L39">
        <v>0</v>
      </c>
      <c r="M39">
        <v>285000</v>
      </c>
      <c r="N39">
        <f>(data[[#This Row],[unit_price]]*data[[#This Row],[quantity]]) * (1-data[[#This Row],[discount]])</f>
        <v>377000</v>
      </c>
      <c r="O39">
        <f>data[[#This Row],[sales]]-data[[#This Row],[cost]]</f>
        <v>92000</v>
      </c>
      <c r="P39" t="str">
        <f>TEXT(data[[#This Row],[order_date]],"mmm")</f>
        <v>Sep</v>
      </c>
      <c r="Q39">
        <f>YEAR(data[[#This Row],[order_date]])</f>
        <v>2024</v>
      </c>
      <c r="R39">
        <f>MONTH(data[[#This Row],[order_date]])</f>
        <v>9</v>
      </c>
      <c r="S39">
        <f>DAY(data[[#This Row],[order_date]])</f>
        <v>21</v>
      </c>
      <c r="T39">
        <f>data[[#This Row],[profit]]/data[[#This Row],[sales]]</f>
        <v>0.24403183023872679</v>
      </c>
    </row>
    <row r="40" spans="1:20" x14ac:dyDescent="0.35">
      <c r="A40" t="s">
        <v>100</v>
      </c>
      <c r="B40" s="1">
        <v>45558</v>
      </c>
      <c r="C40" t="s">
        <v>41</v>
      </c>
      <c r="D40" t="s">
        <v>42</v>
      </c>
      <c r="E40" t="s">
        <v>79</v>
      </c>
      <c r="F40" t="s">
        <v>17</v>
      </c>
      <c r="G40" t="s">
        <v>18</v>
      </c>
      <c r="H40" t="s">
        <v>19</v>
      </c>
      <c r="I40" t="s">
        <v>20</v>
      </c>
      <c r="J40">
        <v>1</v>
      </c>
      <c r="K40">
        <v>288000</v>
      </c>
      <c r="L40">
        <v>0.1</v>
      </c>
      <c r="M40">
        <v>217000</v>
      </c>
      <c r="N40">
        <f>(data[[#This Row],[unit_price]]*data[[#This Row],[quantity]]) * (1-data[[#This Row],[discount]])</f>
        <v>259200</v>
      </c>
      <c r="O40">
        <f>data[[#This Row],[sales]]-data[[#This Row],[cost]]</f>
        <v>42200</v>
      </c>
      <c r="P40" t="str">
        <f>TEXT(data[[#This Row],[order_date]],"mmm")</f>
        <v>Sep</v>
      </c>
      <c r="Q40">
        <f>YEAR(data[[#This Row],[order_date]])</f>
        <v>2024</v>
      </c>
      <c r="R40">
        <f>MONTH(data[[#This Row],[order_date]])</f>
        <v>9</v>
      </c>
      <c r="S40">
        <f>DAY(data[[#This Row],[order_date]])</f>
        <v>23</v>
      </c>
      <c r="T40">
        <f>data[[#This Row],[profit]]/data[[#This Row],[sales]]</f>
        <v>0.16280864197530864</v>
      </c>
    </row>
    <row r="41" spans="1:20" x14ac:dyDescent="0.35">
      <c r="A41" t="s">
        <v>101</v>
      </c>
      <c r="B41" s="1">
        <v>45633</v>
      </c>
      <c r="C41" t="s">
        <v>41</v>
      </c>
      <c r="D41" t="s">
        <v>42</v>
      </c>
      <c r="E41" t="s">
        <v>102</v>
      </c>
      <c r="F41" t="s">
        <v>58</v>
      </c>
      <c r="G41" t="s">
        <v>18</v>
      </c>
      <c r="H41" t="s">
        <v>19</v>
      </c>
      <c r="I41" t="s">
        <v>20</v>
      </c>
      <c r="J41">
        <v>2</v>
      </c>
      <c r="K41">
        <v>469000</v>
      </c>
      <c r="L41">
        <v>0</v>
      </c>
      <c r="M41">
        <v>347000</v>
      </c>
      <c r="N41">
        <f>(data[[#This Row],[unit_price]]*data[[#This Row],[quantity]]) * (1-data[[#This Row],[discount]])</f>
        <v>938000</v>
      </c>
      <c r="O41">
        <f>data[[#This Row],[sales]]-data[[#This Row],[cost]]</f>
        <v>591000</v>
      </c>
      <c r="P41" t="str">
        <f>TEXT(data[[#This Row],[order_date]],"mmm")</f>
        <v>Dec</v>
      </c>
      <c r="Q41">
        <f>YEAR(data[[#This Row],[order_date]])</f>
        <v>2024</v>
      </c>
      <c r="R41">
        <f>MONTH(data[[#This Row],[order_date]])</f>
        <v>12</v>
      </c>
      <c r="S41">
        <f>DAY(data[[#This Row],[order_date]])</f>
        <v>7</v>
      </c>
      <c r="T41">
        <f>data[[#This Row],[profit]]/data[[#This Row],[sales]]</f>
        <v>0.63006396588486135</v>
      </c>
    </row>
    <row r="42" spans="1:20" x14ac:dyDescent="0.35">
      <c r="A42" t="s">
        <v>103</v>
      </c>
      <c r="B42" s="1">
        <v>45637</v>
      </c>
      <c r="C42" t="s">
        <v>49</v>
      </c>
      <c r="D42" t="s">
        <v>50</v>
      </c>
      <c r="E42" t="s">
        <v>104</v>
      </c>
      <c r="F42" t="s">
        <v>28</v>
      </c>
      <c r="G42" t="s">
        <v>18</v>
      </c>
      <c r="H42" t="s">
        <v>19</v>
      </c>
      <c r="I42" t="s">
        <v>20</v>
      </c>
      <c r="J42">
        <v>1</v>
      </c>
      <c r="K42">
        <v>408000</v>
      </c>
      <c r="L42">
        <v>0</v>
      </c>
      <c r="M42">
        <v>298000</v>
      </c>
      <c r="N42">
        <f>(data[[#This Row],[unit_price]]*data[[#This Row],[quantity]]) * (1-data[[#This Row],[discount]])</f>
        <v>408000</v>
      </c>
      <c r="O42">
        <f>data[[#This Row],[sales]]-data[[#This Row],[cost]]</f>
        <v>110000</v>
      </c>
      <c r="P42" t="str">
        <f>TEXT(data[[#This Row],[order_date]],"mmm")</f>
        <v>Dec</v>
      </c>
      <c r="Q42">
        <f>YEAR(data[[#This Row],[order_date]])</f>
        <v>2024</v>
      </c>
      <c r="R42">
        <f>MONTH(data[[#This Row],[order_date]])</f>
        <v>12</v>
      </c>
      <c r="S42">
        <f>DAY(data[[#This Row],[order_date]])</f>
        <v>11</v>
      </c>
      <c r="T42">
        <f>data[[#This Row],[profit]]/data[[#This Row],[sales]]</f>
        <v>0.26960784313725489</v>
      </c>
    </row>
    <row r="43" spans="1:20" x14ac:dyDescent="0.35">
      <c r="A43" t="s">
        <v>105</v>
      </c>
      <c r="B43" s="1">
        <v>45660</v>
      </c>
      <c r="C43" t="s">
        <v>14</v>
      </c>
      <c r="D43" t="s">
        <v>15</v>
      </c>
      <c r="E43" t="s">
        <v>39</v>
      </c>
      <c r="F43" t="s">
        <v>23</v>
      </c>
      <c r="G43" t="s">
        <v>18</v>
      </c>
      <c r="H43" t="s">
        <v>19</v>
      </c>
      <c r="I43" t="s">
        <v>20</v>
      </c>
      <c r="J43">
        <v>1</v>
      </c>
      <c r="K43">
        <v>446000</v>
      </c>
      <c r="L43">
        <v>0</v>
      </c>
      <c r="M43">
        <v>322000</v>
      </c>
      <c r="N43">
        <f>(data[[#This Row],[unit_price]]*data[[#This Row],[quantity]]) * (1-data[[#This Row],[discount]])</f>
        <v>446000</v>
      </c>
      <c r="O43">
        <f>data[[#This Row],[sales]]-data[[#This Row],[cost]]</f>
        <v>124000</v>
      </c>
      <c r="P43" t="str">
        <f>TEXT(data[[#This Row],[order_date]],"mmm")</f>
        <v>Jan</v>
      </c>
      <c r="Q43">
        <f>YEAR(data[[#This Row],[order_date]])</f>
        <v>2025</v>
      </c>
      <c r="R43">
        <f>MONTH(data[[#This Row],[order_date]])</f>
        <v>1</v>
      </c>
      <c r="S43">
        <f>DAY(data[[#This Row],[order_date]])</f>
        <v>3</v>
      </c>
      <c r="T43">
        <f>data[[#This Row],[profit]]/data[[#This Row],[sales]]</f>
        <v>0.27802690582959644</v>
      </c>
    </row>
    <row r="44" spans="1:20" x14ac:dyDescent="0.35">
      <c r="A44" t="s">
        <v>106</v>
      </c>
      <c r="B44" s="1">
        <v>45693</v>
      </c>
      <c r="C44" t="s">
        <v>14</v>
      </c>
      <c r="D44" t="s">
        <v>15</v>
      </c>
      <c r="E44" t="s">
        <v>83</v>
      </c>
      <c r="F44" t="s">
        <v>23</v>
      </c>
      <c r="G44" t="s">
        <v>18</v>
      </c>
      <c r="H44" t="s">
        <v>19</v>
      </c>
      <c r="I44" t="s">
        <v>20</v>
      </c>
      <c r="J44">
        <v>3</v>
      </c>
      <c r="K44">
        <v>326000</v>
      </c>
      <c r="L44">
        <v>0</v>
      </c>
      <c r="M44">
        <v>244000</v>
      </c>
      <c r="N44">
        <f>(data[[#This Row],[unit_price]]*data[[#This Row],[quantity]]) * (1-data[[#This Row],[discount]])</f>
        <v>978000</v>
      </c>
      <c r="O44">
        <f>data[[#This Row],[sales]]-data[[#This Row],[cost]]</f>
        <v>734000</v>
      </c>
      <c r="P44" t="str">
        <f>TEXT(data[[#This Row],[order_date]],"mmm")</f>
        <v>Feb</v>
      </c>
      <c r="Q44">
        <f>YEAR(data[[#This Row],[order_date]])</f>
        <v>2025</v>
      </c>
      <c r="R44">
        <f>MONTH(data[[#This Row],[order_date]])</f>
        <v>2</v>
      </c>
      <c r="S44">
        <f>DAY(data[[#This Row],[order_date]])</f>
        <v>5</v>
      </c>
      <c r="T44">
        <f>data[[#This Row],[profit]]/data[[#This Row],[sales]]</f>
        <v>0.75051124744376274</v>
      </c>
    </row>
    <row r="45" spans="1:20" x14ac:dyDescent="0.35">
      <c r="A45" t="s">
        <v>107</v>
      </c>
      <c r="B45" s="1">
        <v>45739</v>
      </c>
      <c r="C45" t="s">
        <v>14</v>
      </c>
      <c r="D45" t="s">
        <v>15</v>
      </c>
      <c r="E45" t="s">
        <v>108</v>
      </c>
      <c r="F45" t="s">
        <v>23</v>
      </c>
      <c r="G45" t="s">
        <v>18</v>
      </c>
      <c r="H45" t="s">
        <v>19</v>
      </c>
      <c r="I45" t="s">
        <v>20</v>
      </c>
      <c r="J45">
        <v>2</v>
      </c>
      <c r="K45">
        <v>464000</v>
      </c>
      <c r="L45">
        <v>0.1</v>
      </c>
      <c r="M45">
        <v>343000</v>
      </c>
      <c r="N45">
        <f>(data[[#This Row],[unit_price]]*data[[#This Row],[quantity]]) * (1-data[[#This Row],[discount]])</f>
        <v>835200</v>
      </c>
      <c r="O45">
        <f>data[[#This Row],[sales]]-data[[#This Row],[cost]]</f>
        <v>492200</v>
      </c>
      <c r="P45" t="str">
        <f>TEXT(data[[#This Row],[order_date]],"mmm")</f>
        <v>Mar</v>
      </c>
      <c r="Q45">
        <f>YEAR(data[[#This Row],[order_date]])</f>
        <v>2025</v>
      </c>
      <c r="R45">
        <f>MONTH(data[[#This Row],[order_date]])</f>
        <v>3</v>
      </c>
      <c r="S45">
        <f>DAY(data[[#This Row],[order_date]])</f>
        <v>23</v>
      </c>
      <c r="T45">
        <f>data[[#This Row],[profit]]/data[[#This Row],[sales]]</f>
        <v>0.58931992337164751</v>
      </c>
    </row>
    <row r="46" spans="1:20" x14ac:dyDescent="0.35">
      <c r="A46" t="s">
        <v>109</v>
      </c>
      <c r="B46" s="1">
        <v>45744</v>
      </c>
      <c r="C46" t="s">
        <v>41</v>
      </c>
      <c r="D46" t="s">
        <v>42</v>
      </c>
      <c r="E46" t="s">
        <v>110</v>
      </c>
      <c r="F46" t="s">
        <v>23</v>
      </c>
      <c r="G46" t="s">
        <v>18</v>
      </c>
      <c r="H46" t="s">
        <v>19</v>
      </c>
      <c r="I46" t="s">
        <v>20</v>
      </c>
      <c r="J46">
        <v>1</v>
      </c>
      <c r="K46">
        <v>422000</v>
      </c>
      <c r="L46">
        <v>0</v>
      </c>
      <c r="M46">
        <v>315000</v>
      </c>
      <c r="N46">
        <f>(data[[#This Row],[unit_price]]*data[[#This Row],[quantity]]) * (1-data[[#This Row],[discount]])</f>
        <v>422000</v>
      </c>
      <c r="O46">
        <f>data[[#This Row],[sales]]-data[[#This Row],[cost]]</f>
        <v>107000</v>
      </c>
      <c r="P46" t="str">
        <f>TEXT(data[[#This Row],[order_date]],"mmm")</f>
        <v>Mar</v>
      </c>
      <c r="Q46">
        <f>YEAR(data[[#This Row],[order_date]])</f>
        <v>2025</v>
      </c>
      <c r="R46">
        <f>MONTH(data[[#This Row],[order_date]])</f>
        <v>3</v>
      </c>
      <c r="S46">
        <f>DAY(data[[#This Row],[order_date]])</f>
        <v>28</v>
      </c>
      <c r="T46">
        <f>data[[#This Row],[profit]]/data[[#This Row],[sales]]</f>
        <v>0.25355450236966826</v>
      </c>
    </row>
    <row r="47" spans="1:20" x14ac:dyDescent="0.35">
      <c r="A47" t="s">
        <v>111</v>
      </c>
      <c r="B47" s="1">
        <v>45773</v>
      </c>
      <c r="C47" t="s">
        <v>49</v>
      </c>
      <c r="D47" t="s">
        <v>50</v>
      </c>
      <c r="E47" t="s">
        <v>108</v>
      </c>
      <c r="F47" t="s">
        <v>23</v>
      </c>
      <c r="G47" t="s">
        <v>18</v>
      </c>
      <c r="H47" t="s">
        <v>19</v>
      </c>
      <c r="I47" t="s">
        <v>20</v>
      </c>
      <c r="J47">
        <v>1</v>
      </c>
      <c r="K47">
        <v>305000</v>
      </c>
      <c r="L47">
        <v>0</v>
      </c>
      <c r="M47">
        <v>224000</v>
      </c>
      <c r="N47">
        <f>(data[[#This Row],[unit_price]]*data[[#This Row],[quantity]]) * (1-data[[#This Row],[discount]])</f>
        <v>305000</v>
      </c>
      <c r="O47">
        <f>data[[#This Row],[sales]]-data[[#This Row],[cost]]</f>
        <v>81000</v>
      </c>
      <c r="P47" t="str">
        <f>TEXT(data[[#This Row],[order_date]],"mmm")</f>
        <v>Apr</v>
      </c>
      <c r="Q47">
        <f>YEAR(data[[#This Row],[order_date]])</f>
        <v>2025</v>
      </c>
      <c r="R47">
        <f>MONTH(data[[#This Row],[order_date]])</f>
        <v>4</v>
      </c>
      <c r="S47">
        <f>DAY(data[[#This Row],[order_date]])</f>
        <v>26</v>
      </c>
      <c r="T47">
        <f>data[[#This Row],[profit]]/data[[#This Row],[sales]]</f>
        <v>0.26557377049180325</v>
      </c>
    </row>
    <row r="48" spans="1:20" x14ac:dyDescent="0.35">
      <c r="A48" t="s">
        <v>112</v>
      </c>
      <c r="B48" s="1">
        <v>45790</v>
      </c>
      <c r="C48" t="s">
        <v>36</v>
      </c>
      <c r="D48" t="s">
        <v>37</v>
      </c>
      <c r="E48" t="s">
        <v>113</v>
      </c>
      <c r="F48" t="s">
        <v>23</v>
      </c>
      <c r="G48" t="s">
        <v>18</v>
      </c>
      <c r="H48" t="s">
        <v>19</v>
      </c>
      <c r="I48" t="s">
        <v>20</v>
      </c>
      <c r="J48">
        <v>1</v>
      </c>
      <c r="K48">
        <v>390000</v>
      </c>
      <c r="L48">
        <v>0</v>
      </c>
      <c r="M48">
        <v>296000</v>
      </c>
      <c r="N48">
        <f>(data[[#This Row],[unit_price]]*data[[#This Row],[quantity]]) * (1-data[[#This Row],[discount]])</f>
        <v>390000</v>
      </c>
      <c r="O48">
        <f>data[[#This Row],[sales]]-data[[#This Row],[cost]]</f>
        <v>94000</v>
      </c>
      <c r="P48" t="str">
        <f>TEXT(data[[#This Row],[order_date]],"mmm")</f>
        <v>May</v>
      </c>
      <c r="Q48">
        <f>YEAR(data[[#This Row],[order_date]])</f>
        <v>2025</v>
      </c>
      <c r="R48">
        <f>MONTH(data[[#This Row],[order_date]])</f>
        <v>5</v>
      </c>
      <c r="S48">
        <f>DAY(data[[#This Row],[order_date]])</f>
        <v>13</v>
      </c>
      <c r="T48">
        <f>data[[#This Row],[profit]]/data[[#This Row],[sales]]</f>
        <v>0.24102564102564103</v>
      </c>
    </row>
    <row r="49" spans="1:20" x14ac:dyDescent="0.35">
      <c r="A49" t="s">
        <v>114</v>
      </c>
      <c r="B49" s="1">
        <v>45804</v>
      </c>
      <c r="C49" t="s">
        <v>41</v>
      </c>
      <c r="D49" t="s">
        <v>42</v>
      </c>
      <c r="E49" t="s">
        <v>115</v>
      </c>
      <c r="F49" t="s">
        <v>23</v>
      </c>
      <c r="G49" t="s">
        <v>18</v>
      </c>
      <c r="H49" t="s">
        <v>19</v>
      </c>
      <c r="I49" t="s">
        <v>20</v>
      </c>
      <c r="J49">
        <v>2</v>
      </c>
      <c r="K49">
        <v>386000</v>
      </c>
      <c r="L49">
        <v>0</v>
      </c>
      <c r="M49">
        <v>284000</v>
      </c>
      <c r="N49">
        <f>(data[[#This Row],[unit_price]]*data[[#This Row],[quantity]]) * (1-data[[#This Row],[discount]])</f>
        <v>772000</v>
      </c>
      <c r="O49">
        <f>data[[#This Row],[sales]]-data[[#This Row],[cost]]</f>
        <v>488000</v>
      </c>
      <c r="P49" t="str">
        <f>TEXT(data[[#This Row],[order_date]],"mmm")</f>
        <v>May</v>
      </c>
      <c r="Q49">
        <f>YEAR(data[[#This Row],[order_date]])</f>
        <v>2025</v>
      </c>
      <c r="R49">
        <f>MONTH(data[[#This Row],[order_date]])</f>
        <v>5</v>
      </c>
      <c r="S49">
        <f>DAY(data[[#This Row],[order_date]])</f>
        <v>27</v>
      </c>
      <c r="T49">
        <f>data[[#This Row],[profit]]/data[[#This Row],[sales]]</f>
        <v>0.63212435233160624</v>
      </c>
    </row>
    <row r="50" spans="1:20" x14ac:dyDescent="0.35">
      <c r="A50" t="s">
        <v>116</v>
      </c>
      <c r="B50" s="1">
        <v>45823</v>
      </c>
      <c r="C50" t="s">
        <v>14</v>
      </c>
      <c r="D50" t="s">
        <v>15</v>
      </c>
      <c r="E50" t="s">
        <v>117</v>
      </c>
      <c r="F50" t="s">
        <v>23</v>
      </c>
      <c r="G50" t="s">
        <v>18</v>
      </c>
      <c r="H50" t="s">
        <v>19</v>
      </c>
      <c r="I50" t="s">
        <v>20</v>
      </c>
      <c r="J50">
        <v>2</v>
      </c>
      <c r="K50">
        <v>452000</v>
      </c>
      <c r="L50">
        <v>0</v>
      </c>
      <c r="M50">
        <v>333000</v>
      </c>
      <c r="N50">
        <f>(data[[#This Row],[unit_price]]*data[[#This Row],[quantity]]) * (1-data[[#This Row],[discount]])</f>
        <v>904000</v>
      </c>
      <c r="O50">
        <f>data[[#This Row],[sales]]-data[[#This Row],[cost]]</f>
        <v>571000</v>
      </c>
      <c r="P50" t="str">
        <f>TEXT(data[[#This Row],[order_date]],"mmm")</f>
        <v>Jun</v>
      </c>
      <c r="Q50">
        <f>YEAR(data[[#This Row],[order_date]])</f>
        <v>2025</v>
      </c>
      <c r="R50">
        <f>MONTH(data[[#This Row],[order_date]])</f>
        <v>6</v>
      </c>
      <c r="S50">
        <f>DAY(data[[#This Row],[order_date]])</f>
        <v>15</v>
      </c>
      <c r="T50">
        <f>data[[#This Row],[profit]]/data[[#This Row],[sales]]</f>
        <v>0.63163716814159288</v>
      </c>
    </row>
    <row r="51" spans="1:20" x14ac:dyDescent="0.35">
      <c r="A51" t="s">
        <v>118</v>
      </c>
      <c r="B51" s="1">
        <v>45824</v>
      </c>
      <c r="C51" t="s">
        <v>41</v>
      </c>
      <c r="D51" t="s">
        <v>42</v>
      </c>
      <c r="E51" t="s">
        <v>119</v>
      </c>
      <c r="F51" t="s">
        <v>23</v>
      </c>
      <c r="G51" t="s">
        <v>18</v>
      </c>
      <c r="H51" t="s">
        <v>19</v>
      </c>
      <c r="I51" t="s">
        <v>20</v>
      </c>
      <c r="J51">
        <v>1</v>
      </c>
      <c r="K51">
        <v>405000</v>
      </c>
      <c r="L51">
        <v>0</v>
      </c>
      <c r="M51">
        <v>295000</v>
      </c>
      <c r="N51">
        <f>(data[[#This Row],[unit_price]]*data[[#This Row],[quantity]]) * (1-data[[#This Row],[discount]])</f>
        <v>405000</v>
      </c>
      <c r="O51">
        <f>data[[#This Row],[sales]]-data[[#This Row],[cost]]</f>
        <v>110000</v>
      </c>
      <c r="P51" t="str">
        <f>TEXT(data[[#This Row],[order_date]],"mmm")</f>
        <v>Jun</v>
      </c>
      <c r="Q51">
        <f>YEAR(data[[#This Row],[order_date]])</f>
        <v>2025</v>
      </c>
      <c r="R51">
        <f>MONTH(data[[#This Row],[order_date]])</f>
        <v>6</v>
      </c>
      <c r="S51">
        <f>DAY(data[[#This Row],[order_date]])</f>
        <v>16</v>
      </c>
      <c r="T51">
        <f>data[[#This Row],[profit]]/data[[#This Row],[sales]]</f>
        <v>0.27160493827160492</v>
      </c>
    </row>
    <row r="52" spans="1:20" x14ac:dyDescent="0.35">
      <c r="A52" t="s">
        <v>120</v>
      </c>
      <c r="B52" s="1">
        <v>45861</v>
      </c>
      <c r="C52" t="s">
        <v>14</v>
      </c>
      <c r="D52" t="s">
        <v>15</v>
      </c>
      <c r="E52" t="s">
        <v>121</v>
      </c>
      <c r="F52" t="s">
        <v>23</v>
      </c>
      <c r="G52" t="s">
        <v>18</v>
      </c>
      <c r="H52" t="s">
        <v>19</v>
      </c>
      <c r="I52" t="s">
        <v>20</v>
      </c>
      <c r="J52">
        <v>1</v>
      </c>
      <c r="K52">
        <v>451000</v>
      </c>
      <c r="L52">
        <v>0</v>
      </c>
      <c r="M52">
        <v>336000</v>
      </c>
      <c r="N52">
        <f>(data[[#This Row],[unit_price]]*data[[#This Row],[quantity]]) * (1-data[[#This Row],[discount]])</f>
        <v>451000</v>
      </c>
      <c r="O52">
        <f>data[[#This Row],[sales]]-data[[#This Row],[cost]]</f>
        <v>115000</v>
      </c>
      <c r="P52" t="str">
        <f>TEXT(data[[#This Row],[order_date]],"mmm")</f>
        <v>Jul</v>
      </c>
      <c r="Q52">
        <f>YEAR(data[[#This Row],[order_date]])</f>
        <v>2025</v>
      </c>
      <c r="R52">
        <f>MONTH(data[[#This Row],[order_date]])</f>
        <v>7</v>
      </c>
      <c r="S52">
        <f>DAY(data[[#This Row],[order_date]])</f>
        <v>23</v>
      </c>
      <c r="T52">
        <f>data[[#This Row],[profit]]/data[[#This Row],[sales]]</f>
        <v>0.25498891352549891</v>
      </c>
    </row>
    <row r="53" spans="1:20" x14ac:dyDescent="0.35">
      <c r="A53" t="s">
        <v>122</v>
      </c>
      <c r="B53" s="1">
        <v>45862</v>
      </c>
      <c r="C53" t="s">
        <v>14</v>
      </c>
      <c r="D53" t="s">
        <v>15</v>
      </c>
      <c r="E53" t="s">
        <v>123</v>
      </c>
      <c r="F53" t="s">
        <v>28</v>
      </c>
      <c r="G53" t="s">
        <v>18</v>
      </c>
      <c r="H53" t="s">
        <v>19</v>
      </c>
      <c r="I53" t="s">
        <v>20</v>
      </c>
      <c r="J53">
        <v>2</v>
      </c>
      <c r="K53">
        <v>447000</v>
      </c>
      <c r="L53">
        <v>0</v>
      </c>
      <c r="M53">
        <v>333000</v>
      </c>
      <c r="N53">
        <f>(data[[#This Row],[unit_price]]*data[[#This Row],[quantity]]) * (1-data[[#This Row],[discount]])</f>
        <v>894000</v>
      </c>
      <c r="O53">
        <f>data[[#This Row],[sales]]-data[[#This Row],[cost]]</f>
        <v>561000</v>
      </c>
      <c r="P53" t="str">
        <f>TEXT(data[[#This Row],[order_date]],"mmm")</f>
        <v>Jul</v>
      </c>
      <c r="Q53">
        <f>YEAR(data[[#This Row],[order_date]])</f>
        <v>2025</v>
      </c>
      <c r="R53">
        <f>MONTH(data[[#This Row],[order_date]])</f>
        <v>7</v>
      </c>
      <c r="S53">
        <f>DAY(data[[#This Row],[order_date]])</f>
        <v>24</v>
      </c>
      <c r="T53">
        <f>data[[#This Row],[profit]]/data[[#This Row],[sales]]</f>
        <v>0.62751677852348997</v>
      </c>
    </row>
    <row r="54" spans="1:20" x14ac:dyDescent="0.35">
      <c r="A54" t="s">
        <v>124</v>
      </c>
      <c r="B54" s="1">
        <v>45872</v>
      </c>
      <c r="C54" t="s">
        <v>49</v>
      </c>
      <c r="D54" t="s">
        <v>50</v>
      </c>
      <c r="E54" t="s">
        <v>81</v>
      </c>
      <c r="F54" t="s">
        <v>17</v>
      </c>
      <c r="G54" t="s">
        <v>18</v>
      </c>
      <c r="H54" t="s">
        <v>19</v>
      </c>
      <c r="I54" t="s">
        <v>20</v>
      </c>
      <c r="J54">
        <v>1</v>
      </c>
      <c r="K54">
        <v>351000</v>
      </c>
      <c r="L54">
        <v>0</v>
      </c>
      <c r="M54">
        <v>260000</v>
      </c>
      <c r="N54">
        <f>(data[[#This Row],[unit_price]]*data[[#This Row],[quantity]]) * (1-data[[#This Row],[discount]])</f>
        <v>351000</v>
      </c>
      <c r="O54">
        <f>data[[#This Row],[sales]]-data[[#This Row],[cost]]</f>
        <v>91000</v>
      </c>
      <c r="P54" t="str">
        <f>TEXT(data[[#This Row],[order_date]],"mmm")</f>
        <v>Aug</v>
      </c>
      <c r="Q54">
        <f>YEAR(data[[#This Row],[order_date]])</f>
        <v>2025</v>
      </c>
      <c r="R54">
        <f>MONTH(data[[#This Row],[order_date]])</f>
        <v>8</v>
      </c>
      <c r="S54">
        <f>DAY(data[[#This Row],[order_date]])</f>
        <v>3</v>
      </c>
      <c r="T54">
        <f>data[[#This Row],[profit]]/data[[#This Row],[sales]]</f>
        <v>0.25925925925925924</v>
      </c>
    </row>
    <row r="55" spans="1:20" x14ac:dyDescent="0.35">
      <c r="A55" t="s">
        <v>125</v>
      </c>
      <c r="B55" s="1">
        <v>45888</v>
      </c>
      <c r="C55" t="s">
        <v>14</v>
      </c>
      <c r="D55" t="s">
        <v>15</v>
      </c>
      <c r="E55" t="s">
        <v>126</v>
      </c>
      <c r="F55" t="s">
        <v>17</v>
      </c>
      <c r="G55" t="s">
        <v>18</v>
      </c>
      <c r="H55" t="s">
        <v>19</v>
      </c>
      <c r="I55" t="s">
        <v>20</v>
      </c>
      <c r="J55">
        <v>2</v>
      </c>
      <c r="K55">
        <v>404000</v>
      </c>
      <c r="L55">
        <v>0</v>
      </c>
      <c r="M55">
        <v>301000</v>
      </c>
      <c r="N55">
        <f>(data[[#This Row],[unit_price]]*data[[#This Row],[quantity]]) * (1-data[[#This Row],[discount]])</f>
        <v>808000</v>
      </c>
      <c r="O55">
        <f>data[[#This Row],[sales]]-data[[#This Row],[cost]]</f>
        <v>507000</v>
      </c>
      <c r="P55" t="str">
        <f>TEXT(data[[#This Row],[order_date]],"mmm")</f>
        <v>Aug</v>
      </c>
      <c r="Q55">
        <f>YEAR(data[[#This Row],[order_date]])</f>
        <v>2025</v>
      </c>
      <c r="R55">
        <f>MONTH(data[[#This Row],[order_date]])</f>
        <v>8</v>
      </c>
      <c r="S55">
        <f>DAY(data[[#This Row],[order_date]])</f>
        <v>19</v>
      </c>
      <c r="T55">
        <f>data[[#This Row],[profit]]/data[[#This Row],[sales]]</f>
        <v>0.62747524752475248</v>
      </c>
    </row>
    <row r="56" spans="1:20" x14ac:dyDescent="0.35">
      <c r="A56" t="s">
        <v>127</v>
      </c>
      <c r="B56" s="1">
        <v>45896</v>
      </c>
      <c r="C56" t="s">
        <v>41</v>
      </c>
      <c r="D56" t="s">
        <v>42</v>
      </c>
      <c r="E56" t="s">
        <v>69</v>
      </c>
      <c r="F56" t="s">
        <v>23</v>
      </c>
      <c r="G56" t="s">
        <v>18</v>
      </c>
      <c r="H56" t="s">
        <v>19</v>
      </c>
      <c r="I56" t="s">
        <v>20</v>
      </c>
      <c r="J56">
        <v>2</v>
      </c>
      <c r="K56">
        <v>381000</v>
      </c>
      <c r="L56">
        <v>0.15</v>
      </c>
      <c r="M56">
        <v>275000</v>
      </c>
      <c r="N56">
        <f>(data[[#This Row],[unit_price]]*data[[#This Row],[quantity]]) * (1-data[[#This Row],[discount]])</f>
        <v>647700</v>
      </c>
      <c r="O56">
        <f>data[[#This Row],[sales]]-data[[#This Row],[cost]]</f>
        <v>372700</v>
      </c>
      <c r="P56" t="str">
        <f>TEXT(data[[#This Row],[order_date]],"mmm")</f>
        <v>Aug</v>
      </c>
      <c r="Q56">
        <f>YEAR(data[[#This Row],[order_date]])</f>
        <v>2025</v>
      </c>
      <c r="R56">
        <f>MONTH(data[[#This Row],[order_date]])</f>
        <v>8</v>
      </c>
      <c r="S56">
        <f>DAY(data[[#This Row],[order_date]])</f>
        <v>27</v>
      </c>
      <c r="T56">
        <f>data[[#This Row],[profit]]/data[[#This Row],[sales]]</f>
        <v>0.57542071946888995</v>
      </c>
    </row>
    <row r="57" spans="1:20" x14ac:dyDescent="0.35">
      <c r="A57" t="s">
        <v>128</v>
      </c>
      <c r="B57" s="1">
        <v>45908</v>
      </c>
      <c r="C57" t="s">
        <v>25</v>
      </c>
      <c r="D57" t="s">
        <v>26</v>
      </c>
      <c r="E57" t="s">
        <v>27</v>
      </c>
      <c r="F57" t="s">
        <v>28</v>
      </c>
      <c r="G57" t="s">
        <v>18</v>
      </c>
      <c r="H57" t="s">
        <v>19</v>
      </c>
      <c r="I57" t="s">
        <v>20</v>
      </c>
      <c r="J57">
        <v>3</v>
      </c>
      <c r="K57">
        <v>330000</v>
      </c>
      <c r="L57">
        <v>0</v>
      </c>
      <c r="M57">
        <v>241000</v>
      </c>
      <c r="N57">
        <f>(data[[#This Row],[unit_price]]*data[[#This Row],[quantity]]) * (1-data[[#This Row],[discount]])</f>
        <v>990000</v>
      </c>
      <c r="O57">
        <f>data[[#This Row],[sales]]-data[[#This Row],[cost]]</f>
        <v>749000</v>
      </c>
      <c r="P57" t="str">
        <f>TEXT(data[[#This Row],[order_date]],"mmm")</f>
        <v>Sep</v>
      </c>
      <c r="Q57">
        <f>YEAR(data[[#This Row],[order_date]])</f>
        <v>2025</v>
      </c>
      <c r="R57">
        <f>MONTH(data[[#This Row],[order_date]])</f>
        <v>9</v>
      </c>
      <c r="S57">
        <f>DAY(data[[#This Row],[order_date]])</f>
        <v>8</v>
      </c>
      <c r="T57">
        <f>data[[#This Row],[profit]]/data[[#This Row],[sales]]</f>
        <v>0.75656565656565655</v>
      </c>
    </row>
    <row r="58" spans="1:20" x14ac:dyDescent="0.35">
      <c r="A58" t="s">
        <v>129</v>
      </c>
      <c r="B58" s="1">
        <v>45932</v>
      </c>
      <c r="C58" t="s">
        <v>49</v>
      </c>
      <c r="D58" t="s">
        <v>50</v>
      </c>
      <c r="E58" t="s">
        <v>130</v>
      </c>
      <c r="F58" t="s">
        <v>28</v>
      </c>
      <c r="G58" t="s">
        <v>18</v>
      </c>
      <c r="H58" t="s">
        <v>19</v>
      </c>
      <c r="I58" t="s">
        <v>20</v>
      </c>
      <c r="J58">
        <v>1</v>
      </c>
      <c r="K58">
        <v>421000</v>
      </c>
      <c r="L58">
        <v>0</v>
      </c>
      <c r="M58">
        <v>313000</v>
      </c>
      <c r="N58">
        <f>(data[[#This Row],[unit_price]]*data[[#This Row],[quantity]]) * (1-data[[#This Row],[discount]])</f>
        <v>421000</v>
      </c>
      <c r="O58">
        <f>data[[#This Row],[sales]]-data[[#This Row],[cost]]</f>
        <v>108000</v>
      </c>
      <c r="P58" t="str">
        <f>TEXT(data[[#This Row],[order_date]],"mmm")</f>
        <v>Oct</v>
      </c>
      <c r="Q58">
        <f>YEAR(data[[#This Row],[order_date]])</f>
        <v>2025</v>
      </c>
      <c r="R58">
        <f>MONTH(data[[#This Row],[order_date]])</f>
        <v>10</v>
      </c>
      <c r="S58">
        <f>DAY(data[[#This Row],[order_date]])</f>
        <v>2</v>
      </c>
      <c r="T58">
        <f>data[[#This Row],[profit]]/data[[#This Row],[sales]]</f>
        <v>0.25653206650831356</v>
      </c>
    </row>
    <row r="59" spans="1:20" x14ac:dyDescent="0.35">
      <c r="A59" t="s">
        <v>131</v>
      </c>
      <c r="B59" s="1">
        <v>45974</v>
      </c>
      <c r="C59" t="s">
        <v>36</v>
      </c>
      <c r="D59" t="s">
        <v>37</v>
      </c>
      <c r="E59" t="s">
        <v>132</v>
      </c>
      <c r="F59" t="s">
        <v>28</v>
      </c>
      <c r="G59" t="s">
        <v>18</v>
      </c>
      <c r="H59" t="s">
        <v>19</v>
      </c>
      <c r="I59" t="s">
        <v>20</v>
      </c>
      <c r="J59">
        <v>1</v>
      </c>
      <c r="K59">
        <v>395000</v>
      </c>
      <c r="L59">
        <v>0.05</v>
      </c>
      <c r="M59">
        <v>284000</v>
      </c>
      <c r="N59">
        <f>(data[[#This Row],[unit_price]]*data[[#This Row],[quantity]]) * (1-data[[#This Row],[discount]])</f>
        <v>375250</v>
      </c>
      <c r="O59">
        <f>data[[#This Row],[sales]]-data[[#This Row],[cost]]</f>
        <v>91250</v>
      </c>
      <c r="P59" t="str">
        <f>TEXT(data[[#This Row],[order_date]],"mmm")</f>
        <v>Nov</v>
      </c>
      <c r="Q59">
        <f>YEAR(data[[#This Row],[order_date]])</f>
        <v>2025</v>
      </c>
      <c r="R59">
        <f>MONTH(data[[#This Row],[order_date]])</f>
        <v>11</v>
      </c>
      <c r="S59">
        <f>DAY(data[[#This Row],[order_date]])</f>
        <v>13</v>
      </c>
      <c r="T59">
        <f>data[[#This Row],[profit]]/data[[#This Row],[sales]]</f>
        <v>0.24317121918720852</v>
      </c>
    </row>
    <row r="60" spans="1:20" x14ac:dyDescent="0.35">
      <c r="A60" t="s">
        <v>133</v>
      </c>
      <c r="B60" s="1">
        <v>45982</v>
      </c>
      <c r="C60" t="s">
        <v>41</v>
      </c>
      <c r="D60" t="s">
        <v>42</v>
      </c>
      <c r="E60" t="s">
        <v>134</v>
      </c>
      <c r="F60" t="s">
        <v>28</v>
      </c>
      <c r="G60" t="s">
        <v>18</v>
      </c>
      <c r="H60" t="s">
        <v>19</v>
      </c>
      <c r="I60" t="s">
        <v>20</v>
      </c>
      <c r="J60">
        <v>1</v>
      </c>
      <c r="K60">
        <v>468000</v>
      </c>
      <c r="L60">
        <v>0</v>
      </c>
      <c r="M60">
        <v>342000</v>
      </c>
      <c r="N60">
        <f>(data[[#This Row],[unit_price]]*data[[#This Row],[quantity]]) * (1-data[[#This Row],[discount]])</f>
        <v>468000</v>
      </c>
      <c r="O60">
        <f>data[[#This Row],[sales]]-data[[#This Row],[cost]]</f>
        <v>126000</v>
      </c>
      <c r="P60" t="str">
        <f>TEXT(data[[#This Row],[order_date]],"mmm")</f>
        <v>Nov</v>
      </c>
      <c r="Q60">
        <f>YEAR(data[[#This Row],[order_date]])</f>
        <v>2025</v>
      </c>
      <c r="R60">
        <f>MONTH(data[[#This Row],[order_date]])</f>
        <v>11</v>
      </c>
      <c r="S60">
        <f>DAY(data[[#This Row],[order_date]])</f>
        <v>21</v>
      </c>
      <c r="T60">
        <f>data[[#This Row],[profit]]/data[[#This Row],[sales]]</f>
        <v>0.26923076923076922</v>
      </c>
    </row>
    <row r="61" spans="1:20" x14ac:dyDescent="0.35">
      <c r="A61" t="s">
        <v>135</v>
      </c>
      <c r="B61" s="1">
        <v>45982</v>
      </c>
      <c r="C61" t="s">
        <v>41</v>
      </c>
      <c r="D61" t="s">
        <v>42</v>
      </c>
      <c r="E61" t="s">
        <v>136</v>
      </c>
      <c r="F61" t="s">
        <v>23</v>
      </c>
      <c r="G61" t="s">
        <v>18</v>
      </c>
      <c r="H61" t="s">
        <v>19</v>
      </c>
      <c r="I61" t="s">
        <v>20</v>
      </c>
      <c r="J61">
        <v>2</v>
      </c>
      <c r="K61">
        <v>387000</v>
      </c>
      <c r="L61">
        <v>0</v>
      </c>
      <c r="M61">
        <v>290000</v>
      </c>
      <c r="N61">
        <f>(data[[#This Row],[unit_price]]*data[[#This Row],[quantity]]) * (1-data[[#This Row],[discount]])</f>
        <v>774000</v>
      </c>
      <c r="O61">
        <f>data[[#This Row],[sales]]-data[[#This Row],[cost]]</f>
        <v>484000</v>
      </c>
      <c r="P61" t="str">
        <f>TEXT(data[[#This Row],[order_date]],"mmm")</f>
        <v>Nov</v>
      </c>
      <c r="Q61">
        <f>YEAR(data[[#This Row],[order_date]])</f>
        <v>2025</v>
      </c>
      <c r="R61">
        <f>MONTH(data[[#This Row],[order_date]])</f>
        <v>11</v>
      </c>
      <c r="S61">
        <f>DAY(data[[#This Row],[order_date]])</f>
        <v>21</v>
      </c>
      <c r="T61">
        <f>data[[#This Row],[profit]]/data[[#This Row],[sales]]</f>
        <v>0.62532299741602071</v>
      </c>
    </row>
    <row r="62" spans="1:20" x14ac:dyDescent="0.35">
      <c r="A62" t="s">
        <v>137</v>
      </c>
      <c r="B62" s="1">
        <v>46006</v>
      </c>
      <c r="C62" t="s">
        <v>14</v>
      </c>
      <c r="D62" t="s">
        <v>15</v>
      </c>
      <c r="E62" t="s">
        <v>115</v>
      </c>
      <c r="F62" t="s">
        <v>23</v>
      </c>
      <c r="G62" t="s">
        <v>18</v>
      </c>
      <c r="H62" t="s">
        <v>19</v>
      </c>
      <c r="I62" t="s">
        <v>20</v>
      </c>
      <c r="J62">
        <v>1</v>
      </c>
      <c r="K62">
        <v>406000</v>
      </c>
      <c r="L62">
        <v>0</v>
      </c>
      <c r="M62">
        <v>297000</v>
      </c>
      <c r="N62">
        <f>(data[[#This Row],[unit_price]]*data[[#This Row],[quantity]]) * (1-data[[#This Row],[discount]])</f>
        <v>406000</v>
      </c>
      <c r="O62">
        <f>data[[#This Row],[sales]]-data[[#This Row],[cost]]</f>
        <v>109000</v>
      </c>
      <c r="P62" t="str">
        <f>TEXT(data[[#This Row],[order_date]],"mmm")</f>
        <v>Dec</v>
      </c>
      <c r="Q62">
        <f>YEAR(data[[#This Row],[order_date]])</f>
        <v>2025</v>
      </c>
      <c r="R62">
        <f>MONTH(data[[#This Row],[order_date]])</f>
        <v>12</v>
      </c>
      <c r="S62">
        <f>DAY(data[[#This Row],[order_date]])</f>
        <v>15</v>
      </c>
      <c r="T62">
        <f>data[[#This Row],[profit]]/data[[#This Row],[sales]]</f>
        <v>0.26847290640394089</v>
      </c>
    </row>
    <row r="63" spans="1:20" x14ac:dyDescent="0.35">
      <c r="A63" t="s">
        <v>138</v>
      </c>
      <c r="B63" s="1">
        <v>46012</v>
      </c>
      <c r="C63" t="s">
        <v>49</v>
      </c>
      <c r="D63" t="s">
        <v>50</v>
      </c>
      <c r="E63" t="s">
        <v>113</v>
      </c>
      <c r="F63" t="s">
        <v>23</v>
      </c>
      <c r="G63" t="s">
        <v>18</v>
      </c>
      <c r="H63" t="s">
        <v>19</v>
      </c>
      <c r="I63" t="s">
        <v>20</v>
      </c>
      <c r="J63">
        <v>2</v>
      </c>
      <c r="K63">
        <v>358000</v>
      </c>
      <c r="L63">
        <v>0.05</v>
      </c>
      <c r="M63">
        <v>265000</v>
      </c>
      <c r="N63">
        <f>(data[[#This Row],[unit_price]]*data[[#This Row],[quantity]]) * (1-data[[#This Row],[discount]])</f>
        <v>680200</v>
      </c>
      <c r="O63">
        <f>data[[#This Row],[sales]]-data[[#This Row],[cost]]</f>
        <v>415200</v>
      </c>
      <c r="P63" t="str">
        <f>TEXT(data[[#This Row],[order_date]],"mmm")</f>
        <v>Dec</v>
      </c>
      <c r="Q63">
        <f>YEAR(data[[#This Row],[order_date]])</f>
        <v>2025</v>
      </c>
      <c r="R63">
        <f>MONTH(data[[#This Row],[order_date]])</f>
        <v>12</v>
      </c>
      <c r="S63">
        <f>DAY(data[[#This Row],[order_date]])</f>
        <v>21</v>
      </c>
      <c r="T63">
        <f>data[[#This Row],[profit]]/data[[#This Row],[sales]]</f>
        <v>0.61040870332255215</v>
      </c>
    </row>
    <row r="64" spans="1:20" x14ac:dyDescent="0.35">
      <c r="A64" t="s">
        <v>139</v>
      </c>
      <c r="B64" s="1">
        <v>46040</v>
      </c>
      <c r="C64" t="s">
        <v>41</v>
      </c>
      <c r="D64" t="s">
        <v>42</v>
      </c>
      <c r="E64" t="s">
        <v>76</v>
      </c>
      <c r="F64" t="s">
        <v>23</v>
      </c>
      <c r="G64" t="s">
        <v>18</v>
      </c>
      <c r="H64" t="s">
        <v>19</v>
      </c>
      <c r="I64" t="s">
        <v>20</v>
      </c>
      <c r="J64">
        <v>3</v>
      </c>
      <c r="K64">
        <v>418000</v>
      </c>
      <c r="L64">
        <v>0.05</v>
      </c>
      <c r="M64">
        <v>306000</v>
      </c>
      <c r="N64">
        <f>(data[[#This Row],[unit_price]]*data[[#This Row],[quantity]]) * (1-data[[#This Row],[discount]])</f>
        <v>1191300</v>
      </c>
      <c r="O64">
        <f>data[[#This Row],[sales]]-data[[#This Row],[cost]]</f>
        <v>885300</v>
      </c>
      <c r="P64" t="str">
        <f>TEXT(data[[#This Row],[order_date]],"mmm")</f>
        <v>Jan</v>
      </c>
      <c r="Q64">
        <f>YEAR(data[[#This Row],[order_date]])</f>
        <v>2026</v>
      </c>
      <c r="R64">
        <f>MONTH(data[[#This Row],[order_date]])</f>
        <v>1</v>
      </c>
      <c r="S64">
        <f>DAY(data[[#This Row],[order_date]])</f>
        <v>18</v>
      </c>
      <c r="T64" s="3">
        <f>data[[#This Row],[profit]]/data[[#This Row],[sales]]</f>
        <v>0.74313774867791493</v>
      </c>
    </row>
    <row r="65" spans="1:20" x14ac:dyDescent="0.35">
      <c r="A65" t="s">
        <v>140</v>
      </c>
      <c r="B65" s="1">
        <v>46041</v>
      </c>
      <c r="C65" t="s">
        <v>14</v>
      </c>
      <c r="D65" t="s">
        <v>15</v>
      </c>
      <c r="E65" t="s">
        <v>141</v>
      </c>
      <c r="F65" t="s">
        <v>17</v>
      </c>
      <c r="G65" t="s">
        <v>18</v>
      </c>
      <c r="H65" t="s">
        <v>19</v>
      </c>
      <c r="I65" t="s">
        <v>20</v>
      </c>
      <c r="J65">
        <v>2</v>
      </c>
      <c r="K65">
        <v>434000</v>
      </c>
      <c r="L65">
        <v>0</v>
      </c>
      <c r="M65">
        <v>320000</v>
      </c>
      <c r="N65">
        <f>(data[[#This Row],[unit_price]]*data[[#This Row],[quantity]]) * (1-data[[#This Row],[discount]])</f>
        <v>868000</v>
      </c>
      <c r="O65">
        <f>data[[#This Row],[sales]]-data[[#This Row],[cost]]</f>
        <v>548000</v>
      </c>
      <c r="P65" t="str">
        <f>TEXT(data[[#This Row],[order_date]],"mmm")</f>
        <v>Jan</v>
      </c>
      <c r="Q65">
        <f>YEAR(data[[#This Row],[order_date]])</f>
        <v>2026</v>
      </c>
      <c r="R65">
        <f>MONTH(data[[#This Row],[order_date]])</f>
        <v>1</v>
      </c>
      <c r="S65">
        <f>DAY(data[[#This Row],[order_date]])</f>
        <v>19</v>
      </c>
      <c r="T65">
        <f>data[[#This Row],[profit]]/data[[#This Row],[sales]]</f>
        <v>0.63133640552995396</v>
      </c>
    </row>
    <row r="66" spans="1:20" x14ac:dyDescent="0.35">
      <c r="A66" t="s">
        <v>142</v>
      </c>
      <c r="B66" s="1">
        <v>46055</v>
      </c>
      <c r="C66" t="s">
        <v>49</v>
      </c>
      <c r="D66" t="s">
        <v>50</v>
      </c>
      <c r="E66" t="s">
        <v>47</v>
      </c>
      <c r="F66" t="s">
        <v>23</v>
      </c>
      <c r="G66" t="s">
        <v>18</v>
      </c>
      <c r="H66" t="s">
        <v>19</v>
      </c>
      <c r="I66" t="s">
        <v>20</v>
      </c>
      <c r="J66">
        <v>3</v>
      </c>
      <c r="K66">
        <v>474000</v>
      </c>
      <c r="L66">
        <v>0</v>
      </c>
      <c r="M66">
        <v>345000</v>
      </c>
      <c r="N66">
        <f>(data[[#This Row],[unit_price]]*data[[#This Row],[quantity]]) * (1-data[[#This Row],[discount]])</f>
        <v>1422000</v>
      </c>
      <c r="O66">
        <f>data[[#This Row],[sales]]-data[[#This Row],[cost]]</f>
        <v>1077000</v>
      </c>
      <c r="P66" t="str">
        <f>TEXT(data[[#This Row],[order_date]],"mmm")</f>
        <v>Feb</v>
      </c>
      <c r="Q66">
        <f>YEAR(data[[#This Row],[order_date]])</f>
        <v>2026</v>
      </c>
      <c r="R66">
        <f>MONTH(data[[#This Row],[order_date]])</f>
        <v>2</v>
      </c>
      <c r="S66">
        <f>DAY(data[[#This Row],[order_date]])</f>
        <v>2</v>
      </c>
      <c r="T66">
        <f>data[[#This Row],[profit]]/data[[#This Row],[sales]]</f>
        <v>0.7573839662447257</v>
      </c>
    </row>
    <row r="67" spans="1:20" x14ac:dyDescent="0.35">
      <c r="A67" t="s">
        <v>143</v>
      </c>
      <c r="B67" s="1">
        <v>46060</v>
      </c>
      <c r="C67" t="s">
        <v>49</v>
      </c>
      <c r="D67" t="s">
        <v>50</v>
      </c>
      <c r="E67" t="s">
        <v>144</v>
      </c>
      <c r="F67" t="s">
        <v>23</v>
      </c>
      <c r="G67" t="s">
        <v>18</v>
      </c>
      <c r="H67" t="s">
        <v>19</v>
      </c>
      <c r="I67" t="s">
        <v>20</v>
      </c>
      <c r="J67">
        <v>1</v>
      </c>
      <c r="K67">
        <v>515000</v>
      </c>
      <c r="L67">
        <v>0</v>
      </c>
      <c r="M67">
        <v>376000</v>
      </c>
      <c r="N67">
        <f>(data[[#This Row],[unit_price]]*data[[#This Row],[quantity]]) * (1-data[[#This Row],[discount]])</f>
        <v>515000</v>
      </c>
      <c r="O67">
        <f>data[[#This Row],[sales]]-data[[#This Row],[cost]]</f>
        <v>139000</v>
      </c>
      <c r="P67" t="str">
        <f>TEXT(data[[#This Row],[order_date]],"mmm")</f>
        <v>Feb</v>
      </c>
      <c r="Q67">
        <f>YEAR(data[[#This Row],[order_date]])</f>
        <v>2026</v>
      </c>
      <c r="R67">
        <f>MONTH(data[[#This Row],[order_date]])</f>
        <v>2</v>
      </c>
      <c r="S67">
        <f>DAY(data[[#This Row],[order_date]])</f>
        <v>7</v>
      </c>
      <c r="T67">
        <f>data[[#This Row],[profit]]/data[[#This Row],[sales]]</f>
        <v>0.26990291262135924</v>
      </c>
    </row>
    <row r="68" spans="1:20" x14ac:dyDescent="0.35">
      <c r="A68" t="s">
        <v>145</v>
      </c>
      <c r="B68" s="1">
        <v>46083</v>
      </c>
      <c r="C68" t="s">
        <v>49</v>
      </c>
      <c r="D68" t="s">
        <v>50</v>
      </c>
      <c r="E68" t="s">
        <v>146</v>
      </c>
      <c r="F68" t="s">
        <v>17</v>
      </c>
      <c r="G68" t="s">
        <v>18</v>
      </c>
      <c r="H68" t="s">
        <v>19</v>
      </c>
      <c r="I68" t="s">
        <v>20</v>
      </c>
      <c r="J68">
        <v>3</v>
      </c>
      <c r="K68">
        <v>420000</v>
      </c>
      <c r="L68">
        <v>0</v>
      </c>
      <c r="M68">
        <v>310000</v>
      </c>
      <c r="N68">
        <f>(data[[#This Row],[unit_price]]*data[[#This Row],[quantity]]) * (1-data[[#This Row],[discount]])</f>
        <v>1260000</v>
      </c>
      <c r="O68">
        <f>data[[#This Row],[sales]]-data[[#This Row],[cost]]</f>
        <v>950000</v>
      </c>
      <c r="P68" t="str">
        <f>TEXT(data[[#This Row],[order_date]],"mmm")</f>
        <v>Mar</v>
      </c>
      <c r="Q68">
        <f>YEAR(data[[#This Row],[order_date]])</f>
        <v>2026</v>
      </c>
      <c r="R68">
        <f>MONTH(data[[#This Row],[order_date]])</f>
        <v>3</v>
      </c>
      <c r="S68">
        <f>DAY(data[[#This Row],[order_date]])</f>
        <v>2</v>
      </c>
      <c r="T68">
        <f>data[[#This Row],[profit]]/data[[#This Row],[sales]]</f>
        <v>0.75396825396825395</v>
      </c>
    </row>
    <row r="69" spans="1:20" x14ac:dyDescent="0.35">
      <c r="A69" t="s">
        <v>147</v>
      </c>
      <c r="B69" s="1">
        <v>46093</v>
      </c>
      <c r="C69" t="s">
        <v>36</v>
      </c>
      <c r="D69" t="s">
        <v>37</v>
      </c>
      <c r="E69" t="s">
        <v>146</v>
      </c>
      <c r="F69" t="s">
        <v>17</v>
      </c>
      <c r="G69" t="s">
        <v>18</v>
      </c>
      <c r="H69" t="s">
        <v>19</v>
      </c>
      <c r="I69" t="s">
        <v>20</v>
      </c>
      <c r="J69">
        <v>1</v>
      </c>
      <c r="K69">
        <v>503000</v>
      </c>
      <c r="L69">
        <v>0</v>
      </c>
      <c r="M69">
        <v>364000</v>
      </c>
      <c r="N69">
        <f>(data[[#This Row],[unit_price]]*data[[#This Row],[quantity]]) * (1-data[[#This Row],[discount]])</f>
        <v>503000</v>
      </c>
      <c r="O69">
        <f>data[[#This Row],[sales]]-data[[#This Row],[cost]]</f>
        <v>139000</v>
      </c>
      <c r="P69" t="str">
        <f>TEXT(data[[#This Row],[order_date]],"mmm")</f>
        <v>Mar</v>
      </c>
      <c r="Q69">
        <f>YEAR(data[[#This Row],[order_date]])</f>
        <v>2026</v>
      </c>
      <c r="R69">
        <f>MONTH(data[[#This Row],[order_date]])</f>
        <v>3</v>
      </c>
      <c r="S69">
        <f>DAY(data[[#This Row],[order_date]])</f>
        <v>12</v>
      </c>
      <c r="T69">
        <f>data[[#This Row],[profit]]/data[[#This Row],[sales]]</f>
        <v>0.27634194831013914</v>
      </c>
    </row>
    <row r="70" spans="1:20" x14ac:dyDescent="0.35">
      <c r="A70" t="s">
        <v>148</v>
      </c>
      <c r="B70" s="1">
        <v>46127</v>
      </c>
      <c r="C70" t="s">
        <v>41</v>
      </c>
      <c r="D70" t="s">
        <v>42</v>
      </c>
      <c r="E70" t="s">
        <v>126</v>
      </c>
      <c r="F70" t="s">
        <v>17</v>
      </c>
      <c r="G70" t="s">
        <v>18</v>
      </c>
      <c r="H70" t="s">
        <v>19</v>
      </c>
      <c r="I70" t="s">
        <v>20</v>
      </c>
      <c r="J70">
        <v>1</v>
      </c>
      <c r="K70">
        <v>326000</v>
      </c>
      <c r="L70">
        <v>0</v>
      </c>
      <c r="M70">
        <v>248000</v>
      </c>
      <c r="N70">
        <f>(data[[#This Row],[unit_price]]*data[[#This Row],[quantity]]) * (1-data[[#This Row],[discount]])</f>
        <v>326000</v>
      </c>
      <c r="O70">
        <f>data[[#This Row],[sales]]-data[[#This Row],[cost]]</f>
        <v>78000</v>
      </c>
      <c r="P70" t="str">
        <f>TEXT(data[[#This Row],[order_date]],"mmm")</f>
        <v>Apr</v>
      </c>
      <c r="Q70">
        <f>YEAR(data[[#This Row],[order_date]])</f>
        <v>2026</v>
      </c>
      <c r="R70">
        <f>MONTH(data[[#This Row],[order_date]])</f>
        <v>4</v>
      </c>
      <c r="S70">
        <f>DAY(data[[#This Row],[order_date]])</f>
        <v>15</v>
      </c>
      <c r="T70">
        <f>data[[#This Row],[profit]]/data[[#This Row],[sales]]</f>
        <v>0.2392638036809816</v>
      </c>
    </row>
    <row r="71" spans="1:20" x14ac:dyDescent="0.35">
      <c r="A71" t="s">
        <v>149</v>
      </c>
      <c r="B71" s="1">
        <v>46135</v>
      </c>
      <c r="C71" t="s">
        <v>41</v>
      </c>
      <c r="D71" t="s">
        <v>42</v>
      </c>
      <c r="E71" t="s">
        <v>150</v>
      </c>
      <c r="F71" t="s">
        <v>28</v>
      </c>
      <c r="G71" t="s">
        <v>18</v>
      </c>
      <c r="H71" t="s">
        <v>19</v>
      </c>
      <c r="I71" t="s">
        <v>20</v>
      </c>
      <c r="J71">
        <v>2</v>
      </c>
      <c r="K71">
        <v>376000</v>
      </c>
      <c r="L71">
        <v>0</v>
      </c>
      <c r="M71">
        <v>282000</v>
      </c>
      <c r="N71">
        <f>(data[[#This Row],[unit_price]]*data[[#This Row],[quantity]]) * (1-data[[#This Row],[discount]])</f>
        <v>752000</v>
      </c>
      <c r="O71">
        <f>data[[#This Row],[sales]]-data[[#This Row],[cost]]</f>
        <v>470000</v>
      </c>
      <c r="P71" t="str">
        <f>TEXT(data[[#This Row],[order_date]],"mmm")</f>
        <v>Apr</v>
      </c>
      <c r="Q71">
        <f>YEAR(data[[#This Row],[order_date]])</f>
        <v>2026</v>
      </c>
      <c r="R71">
        <f>MONTH(data[[#This Row],[order_date]])</f>
        <v>4</v>
      </c>
      <c r="S71">
        <f>DAY(data[[#This Row],[order_date]])</f>
        <v>23</v>
      </c>
      <c r="T71">
        <f>data[[#This Row],[profit]]/data[[#This Row],[sales]]</f>
        <v>0.625</v>
      </c>
    </row>
    <row r="72" spans="1:20" x14ac:dyDescent="0.35">
      <c r="A72" t="s">
        <v>151</v>
      </c>
      <c r="B72" s="1">
        <v>46153</v>
      </c>
      <c r="C72" t="s">
        <v>49</v>
      </c>
      <c r="D72" t="s">
        <v>50</v>
      </c>
      <c r="E72" t="s">
        <v>152</v>
      </c>
      <c r="F72" t="s">
        <v>23</v>
      </c>
      <c r="G72" t="s">
        <v>18</v>
      </c>
      <c r="H72" t="s">
        <v>19</v>
      </c>
      <c r="I72" t="s">
        <v>20</v>
      </c>
      <c r="J72">
        <v>1</v>
      </c>
      <c r="K72">
        <v>517000</v>
      </c>
      <c r="L72">
        <v>0.1</v>
      </c>
      <c r="M72">
        <v>379000</v>
      </c>
      <c r="N72">
        <f>(data[[#This Row],[unit_price]]*data[[#This Row],[quantity]]) * (1-data[[#This Row],[discount]])</f>
        <v>465300</v>
      </c>
      <c r="O72">
        <f>data[[#This Row],[sales]]-data[[#This Row],[cost]]</f>
        <v>86300</v>
      </c>
      <c r="P72" t="str">
        <f>TEXT(data[[#This Row],[order_date]],"mmm")</f>
        <v>May</v>
      </c>
      <c r="Q72">
        <f>YEAR(data[[#This Row],[order_date]])</f>
        <v>2026</v>
      </c>
      <c r="R72">
        <f>MONTH(data[[#This Row],[order_date]])</f>
        <v>5</v>
      </c>
      <c r="S72">
        <f>DAY(data[[#This Row],[order_date]])</f>
        <v>11</v>
      </c>
      <c r="T72">
        <f>data[[#This Row],[profit]]/data[[#This Row],[sales]]</f>
        <v>0.18547173866322803</v>
      </c>
    </row>
    <row r="73" spans="1:20" x14ac:dyDescent="0.35">
      <c r="A73" t="s">
        <v>153</v>
      </c>
      <c r="B73" s="1">
        <v>46153</v>
      </c>
      <c r="C73" t="s">
        <v>14</v>
      </c>
      <c r="D73" t="s">
        <v>15</v>
      </c>
      <c r="E73" t="s">
        <v>45</v>
      </c>
      <c r="F73" t="s">
        <v>17</v>
      </c>
      <c r="G73" t="s">
        <v>18</v>
      </c>
      <c r="H73" t="s">
        <v>19</v>
      </c>
      <c r="I73" t="s">
        <v>20</v>
      </c>
      <c r="J73">
        <v>2</v>
      </c>
      <c r="K73">
        <v>404000</v>
      </c>
      <c r="L73">
        <v>0</v>
      </c>
      <c r="M73">
        <v>299000</v>
      </c>
      <c r="N73">
        <f>(data[[#This Row],[unit_price]]*data[[#This Row],[quantity]]) * (1-data[[#This Row],[discount]])</f>
        <v>808000</v>
      </c>
      <c r="O73">
        <f>data[[#This Row],[sales]]-data[[#This Row],[cost]]</f>
        <v>509000</v>
      </c>
      <c r="P73" t="str">
        <f>TEXT(data[[#This Row],[order_date]],"mmm")</f>
        <v>May</v>
      </c>
      <c r="Q73">
        <f>YEAR(data[[#This Row],[order_date]])</f>
        <v>2026</v>
      </c>
      <c r="R73">
        <f>MONTH(data[[#This Row],[order_date]])</f>
        <v>5</v>
      </c>
      <c r="S73">
        <f>DAY(data[[#This Row],[order_date]])</f>
        <v>11</v>
      </c>
      <c r="T73">
        <f>data[[#This Row],[profit]]/data[[#This Row],[sales]]</f>
        <v>0.62995049504950495</v>
      </c>
    </row>
    <row r="74" spans="1:20" x14ac:dyDescent="0.35">
      <c r="A74" t="s">
        <v>154</v>
      </c>
      <c r="B74" s="1">
        <v>46181</v>
      </c>
      <c r="C74" t="s">
        <v>14</v>
      </c>
      <c r="D74" t="s">
        <v>15</v>
      </c>
      <c r="E74" t="s">
        <v>155</v>
      </c>
      <c r="F74" t="s">
        <v>58</v>
      </c>
      <c r="G74" t="s">
        <v>18</v>
      </c>
      <c r="H74" t="s">
        <v>19</v>
      </c>
      <c r="I74" t="s">
        <v>20</v>
      </c>
      <c r="J74">
        <v>1</v>
      </c>
      <c r="K74">
        <v>331000</v>
      </c>
      <c r="L74">
        <v>0</v>
      </c>
      <c r="M74">
        <v>248000</v>
      </c>
      <c r="N74">
        <f>(data[[#This Row],[unit_price]]*data[[#This Row],[quantity]]) * (1-data[[#This Row],[discount]])</f>
        <v>331000</v>
      </c>
      <c r="O74">
        <f>data[[#This Row],[sales]]-data[[#This Row],[cost]]</f>
        <v>83000</v>
      </c>
      <c r="P74" t="str">
        <f>TEXT(data[[#This Row],[order_date]],"mmm")</f>
        <v>Jun</v>
      </c>
      <c r="Q74">
        <f>YEAR(data[[#This Row],[order_date]])</f>
        <v>2026</v>
      </c>
      <c r="R74">
        <f>MONTH(data[[#This Row],[order_date]])</f>
        <v>6</v>
      </c>
      <c r="S74">
        <f>DAY(data[[#This Row],[order_date]])</f>
        <v>8</v>
      </c>
      <c r="T74">
        <f>data[[#This Row],[profit]]/data[[#This Row],[sales]]</f>
        <v>0.25075528700906347</v>
      </c>
    </row>
    <row r="75" spans="1:20" x14ac:dyDescent="0.35">
      <c r="A75" t="s">
        <v>156</v>
      </c>
      <c r="B75" s="1">
        <v>44927</v>
      </c>
      <c r="C75" t="s">
        <v>25</v>
      </c>
      <c r="D75" t="s">
        <v>26</v>
      </c>
      <c r="E75" t="s">
        <v>157</v>
      </c>
      <c r="F75" t="s">
        <v>23</v>
      </c>
      <c r="G75" t="s">
        <v>158</v>
      </c>
      <c r="H75" t="s">
        <v>159</v>
      </c>
      <c r="I75" t="s">
        <v>160</v>
      </c>
      <c r="J75">
        <v>1</v>
      </c>
      <c r="K75">
        <v>2395000</v>
      </c>
      <c r="L75">
        <v>0</v>
      </c>
      <c r="M75">
        <v>1726000</v>
      </c>
      <c r="N75">
        <f>(data[[#This Row],[unit_price]]*data[[#This Row],[quantity]]) * (1-data[[#This Row],[discount]])</f>
        <v>2395000</v>
      </c>
      <c r="O75">
        <f>data[[#This Row],[sales]]-data[[#This Row],[cost]]</f>
        <v>669000</v>
      </c>
      <c r="P75" t="str">
        <f>TEXT(data[[#This Row],[order_date]],"mmm")</f>
        <v>Jan</v>
      </c>
      <c r="Q75">
        <f>YEAR(data[[#This Row],[order_date]])</f>
        <v>2023</v>
      </c>
      <c r="R75">
        <f>MONTH(data[[#This Row],[order_date]])</f>
        <v>1</v>
      </c>
      <c r="S75">
        <f>DAY(data[[#This Row],[order_date]])</f>
        <v>1</v>
      </c>
      <c r="T75">
        <f>data[[#This Row],[profit]]/data[[#This Row],[sales]]</f>
        <v>0.27933194154488517</v>
      </c>
    </row>
    <row r="76" spans="1:20" x14ac:dyDescent="0.35">
      <c r="A76" t="s">
        <v>161</v>
      </c>
      <c r="B76" s="1">
        <v>45025</v>
      </c>
      <c r="C76" t="s">
        <v>36</v>
      </c>
      <c r="D76" t="s">
        <v>37</v>
      </c>
      <c r="E76" t="s">
        <v>162</v>
      </c>
      <c r="F76" t="s">
        <v>28</v>
      </c>
      <c r="G76" t="s">
        <v>158</v>
      </c>
      <c r="H76" t="s">
        <v>159</v>
      </c>
      <c r="I76" t="s">
        <v>160</v>
      </c>
      <c r="J76">
        <v>1</v>
      </c>
      <c r="K76">
        <v>2828000</v>
      </c>
      <c r="L76">
        <v>0</v>
      </c>
      <c r="M76">
        <v>2048000</v>
      </c>
      <c r="N76">
        <f>(data[[#This Row],[unit_price]]*data[[#This Row],[quantity]]) * (1-data[[#This Row],[discount]])</f>
        <v>2828000</v>
      </c>
      <c r="O76">
        <f>data[[#This Row],[sales]]-data[[#This Row],[cost]]</f>
        <v>780000</v>
      </c>
      <c r="P76" t="str">
        <f>TEXT(data[[#This Row],[order_date]],"mmm")</f>
        <v>Apr</v>
      </c>
      <c r="Q76">
        <f>YEAR(data[[#This Row],[order_date]])</f>
        <v>2023</v>
      </c>
      <c r="R76">
        <f>MONTH(data[[#This Row],[order_date]])</f>
        <v>4</v>
      </c>
      <c r="S76">
        <f>DAY(data[[#This Row],[order_date]])</f>
        <v>9</v>
      </c>
      <c r="T76">
        <f>data[[#This Row],[profit]]/data[[#This Row],[sales]]</f>
        <v>0.27581329561527579</v>
      </c>
    </row>
    <row r="77" spans="1:20" x14ac:dyDescent="0.35">
      <c r="A77" t="s">
        <v>163</v>
      </c>
      <c r="B77" s="1">
        <v>45043</v>
      </c>
      <c r="C77" t="s">
        <v>14</v>
      </c>
      <c r="D77" t="s">
        <v>15</v>
      </c>
      <c r="E77" t="s">
        <v>164</v>
      </c>
      <c r="F77" t="s">
        <v>23</v>
      </c>
      <c r="G77" t="s">
        <v>158</v>
      </c>
      <c r="H77" t="s">
        <v>159</v>
      </c>
      <c r="I77" t="s">
        <v>160</v>
      </c>
      <c r="J77">
        <v>2</v>
      </c>
      <c r="K77">
        <v>2644000</v>
      </c>
      <c r="L77">
        <v>0</v>
      </c>
      <c r="M77">
        <v>1906000</v>
      </c>
      <c r="N77">
        <f>(data[[#This Row],[unit_price]]*data[[#This Row],[quantity]]) * (1-data[[#This Row],[discount]])</f>
        <v>5288000</v>
      </c>
      <c r="O77">
        <f>data[[#This Row],[sales]]-data[[#This Row],[cost]]</f>
        <v>3382000</v>
      </c>
      <c r="P77" t="str">
        <f>TEXT(data[[#This Row],[order_date]],"mmm")</f>
        <v>Apr</v>
      </c>
      <c r="Q77">
        <f>YEAR(data[[#This Row],[order_date]])</f>
        <v>2023</v>
      </c>
      <c r="R77">
        <f>MONTH(data[[#This Row],[order_date]])</f>
        <v>4</v>
      </c>
      <c r="S77">
        <f>DAY(data[[#This Row],[order_date]])</f>
        <v>27</v>
      </c>
      <c r="T77">
        <f>data[[#This Row],[profit]]/data[[#This Row],[sales]]</f>
        <v>0.63956127080181546</v>
      </c>
    </row>
    <row r="78" spans="1:20" x14ac:dyDescent="0.35">
      <c r="A78" t="s">
        <v>165</v>
      </c>
      <c r="B78" s="1">
        <v>45045</v>
      </c>
      <c r="C78" t="s">
        <v>14</v>
      </c>
      <c r="D78" t="s">
        <v>15</v>
      </c>
      <c r="E78" t="s">
        <v>166</v>
      </c>
      <c r="F78" t="s">
        <v>28</v>
      </c>
      <c r="G78" t="s">
        <v>158</v>
      </c>
      <c r="H78" t="s">
        <v>159</v>
      </c>
      <c r="I78" t="s">
        <v>160</v>
      </c>
      <c r="J78">
        <v>1</v>
      </c>
      <c r="K78">
        <v>2647000</v>
      </c>
      <c r="L78">
        <v>0</v>
      </c>
      <c r="M78">
        <v>1954000</v>
      </c>
      <c r="N78">
        <f>(data[[#This Row],[unit_price]]*data[[#This Row],[quantity]]) * (1-data[[#This Row],[discount]])</f>
        <v>2647000</v>
      </c>
      <c r="O78">
        <f>data[[#This Row],[sales]]-data[[#This Row],[cost]]</f>
        <v>693000</v>
      </c>
      <c r="P78" t="str">
        <f>TEXT(data[[#This Row],[order_date]],"mmm")</f>
        <v>Apr</v>
      </c>
      <c r="Q78">
        <f>YEAR(data[[#This Row],[order_date]])</f>
        <v>2023</v>
      </c>
      <c r="R78">
        <f>MONTH(data[[#This Row],[order_date]])</f>
        <v>4</v>
      </c>
      <c r="S78">
        <f>DAY(data[[#This Row],[order_date]])</f>
        <v>29</v>
      </c>
      <c r="T78">
        <f>data[[#This Row],[profit]]/data[[#This Row],[sales]]</f>
        <v>0.26180581790706459</v>
      </c>
    </row>
    <row r="79" spans="1:20" x14ac:dyDescent="0.35">
      <c r="A79" t="s">
        <v>167</v>
      </c>
      <c r="B79" s="1">
        <v>45053</v>
      </c>
      <c r="C79" t="s">
        <v>14</v>
      </c>
      <c r="D79" t="s">
        <v>15</v>
      </c>
      <c r="E79" t="s">
        <v>168</v>
      </c>
      <c r="F79" t="s">
        <v>23</v>
      </c>
      <c r="G79" t="s">
        <v>158</v>
      </c>
      <c r="H79" t="s">
        <v>159</v>
      </c>
      <c r="I79" t="s">
        <v>160</v>
      </c>
      <c r="J79">
        <v>3</v>
      </c>
      <c r="K79">
        <v>2934000</v>
      </c>
      <c r="L79">
        <v>0</v>
      </c>
      <c r="M79">
        <v>2132000</v>
      </c>
      <c r="N79">
        <f>(data[[#This Row],[unit_price]]*data[[#This Row],[quantity]]) * (1-data[[#This Row],[discount]])</f>
        <v>8802000</v>
      </c>
      <c r="O79">
        <f>data[[#This Row],[sales]]-data[[#This Row],[cost]]</f>
        <v>6670000</v>
      </c>
      <c r="P79" t="str">
        <f>TEXT(data[[#This Row],[order_date]],"mmm")</f>
        <v>May</v>
      </c>
      <c r="Q79">
        <f>YEAR(data[[#This Row],[order_date]])</f>
        <v>2023</v>
      </c>
      <c r="R79">
        <f>MONTH(data[[#This Row],[order_date]])</f>
        <v>5</v>
      </c>
      <c r="S79">
        <f>DAY(data[[#This Row],[order_date]])</f>
        <v>7</v>
      </c>
      <c r="T79">
        <f>data[[#This Row],[profit]]/data[[#This Row],[sales]]</f>
        <v>0.75778232219950015</v>
      </c>
    </row>
    <row r="80" spans="1:20" x14ac:dyDescent="0.35">
      <c r="A80" t="s">
        <v>169</v>
      </c>
      <c r="B80" s="1">
        <v>45060</v>
      </c>
      <c r="C80" t="s">
        <v>49</v>
      </c>
      <c r="D80" t="s">
        <v>50</v>
      </c>
      <c r="E80" t="s">
        <v>76</v>
      </c>
      <c r="F80" t="s">
        <v>23</v>
      </c>
      <c r="G80" t="s">
        <v>158</v>
      </c>
      <c r="H80" t="s">
        <v>159</v>
      </c>
      <c r="I80" t="s">
        <v>160</v>
      </c>
      <c r="J80">
        <v>1</v>
      </c>
      <c r="K80">
        <v>2476000</v>
      </c>
      <c r="L80">
        <v>0.05</v>
      </c>
      <c r="M80">
        <v>1787000</v>
      </c>
      <c r="N80">
        <f>(data[[#This Row],[unit_price]]*data[[#This Row],[quantity]]) * (1-data[[#This Row],[discount]])</f>
        <v>2352200</v>
      </c>
      <c r="O80">
        <f>data[[#This Row],[sales]]-data[[#This Row],[cost]]</f>
        <v>565200</v>
      </c>
      <c r="P80" t="str">
        <f>TEXT(data[[#This Row],[order_date]],"mmm")</f>
        <v>May</v>
      </c>
      <c r="Q80">
        <f>YEAR(data[[#This Row],[order_date]])</f>
        <v>2023</v>
      </c>
      <c r="R80">
        <f>MONTH(data[[#This Row],[order_date]])</f>
        <v>5</v>
      </c>
      <c r="S80">
        <f>DAY(data[[#This Row],[order_date]])</f>
        <v>14</v>
      </c>
      <c r="T80">
        <f>data[[#This Row],[profit]]/data[[#This Row],[sales]]</f>
        <v>0.24028568999234759</v>
      </c>
    </row>
    <row r="81" spans="1:20" x14ac:dyDescent="0.35">
      <c r="A81" t="s">
        <v>170</v>
      </c>
      <c r="B81" s="1">
        <v>45079</v>
      </c>
      <c r="C81" t="s">
        <v>14</v>
      </c>
      <c r="D81" t="s">
        <v>15</v>
      </c>
      <c r="E81" t="s">
        <v>155</v>
      </c>
      <c r="F81" t="s">
        <v>58</v>
      </c>
      <c r="G81" t="s">
        <v>158</v>
      </c>
      <c r="H81" t="s">
        <v>159</v>
      </c>
      <c r="I81" t="s">
        <v>160</v>
      </c>
      <c r="J81">
        <v>5</v>
      </c>
      <c r="K81">
        <v>1869000</v>
      </c>
      <c r="L81">
        <v>0</v>
      </c>
      <c r="M81">
        <v>1339000</v>
      </c>
      <c r="N81">
        <f>(data[[#This Row],[unit_price]]*data[[#This Row],[quantity]]) * (1-data[[#This Row],[discount]])</f>
        <v>9345000</v>
      </c>
      <c r="O81">
        <f>data[[#This Row],[sales]]-data[[#This Row],[cost]]</f>
        <v>8006000</v>
      </c>
      <c r="P81" t="str">
        <f>TEXT(data[[#This Row],[order_date]],"mmm")</f>
        <v>Jun</v>
      </c>
      <c r="Q81">
        <f>YEAR(data[[#This Row],[order_date]])</f>
        <v>2023</v>
      </c>
      <c r="R81">
        <f>MONTH(data[[#This Row],[order_date]])</f>
        <v>6</v>
      </c>
      <c r="S81">
        <f>DAY(data[[#This Row],[order_date]])</f>
        <v>2</v>
      </c>
      <c r="T81">
        <f>data[[#This Row],[profit]]/data[[#This Row],[sales]]</f>
        <v>0.85671482075976457</v>
      </c>
    </row>
    <row r="82" spans="1:20" x14ac:dyDescent="0.35">
      <c r="A82" t="s">
        <v>171</v>
      </c>
      <c r="B82" s="1">
        <v>45133</v>
      </c>
      <c r="C82" t="s">
        <v>14</v>
      </c>
      <c r="D82" t="s">
        <v>15</v>
      </c>
      <c r="E82" t="s">
        <v>172</v>
      </c>
      <c r="F82" t="s">
        <v>23</v>
      </c>
      <c r="G82" t="s">
        <v>158</v>
      </c>
      <c r="H82" t="s">
        <v>159</v>
      </c>
      <c r="I82" t="s">
        <v>160</v>
      </c>
      <c r="J82">
        <v>1</v>
      </c>
      <c r="K82">
        <v>2789000</v>
      </c>
      <c r="L82">
        <v>0</v>
      </c>
      <c r="M82">
        <v>1961000</v>
      </c>
      <c r="N82">
        <f>(data[[#This Row],[unit_price]]*data[[#This Row],[quantity]]) * (1-data[[#This Row],[discount]])</f>
        <v>2789000</v>
      </c>
      <c r="O82">
        <f>data[[#This Row],[sales]]-data[[#This Row],[cost]]</f>
        <v>828000</v>
      </c>
      <c r="P82" t="str">
        <f>TEXT(data[[#This Row],[order_date]],"mmm")</f>
        <v>Jul</v>
      </c>
      <c r="Q82">
        <f>YEAR(data[[#This Row],[order_date]])</f>
        <v>2023</v>
      </c>
      <c r="R82">
        <f>MONTH(data[[#This Row],[order_date]])</f>
        <v>7</v>
      </c>
      <c r="S82">
        <f>DAY(data[[#This Row],[order_date]])</f>
        <v>26</v>
      </c>
      <c r="T82">
        <f>data[[#This Row],[profit]]/data[[#This Row],[sales]]</f>
        <v>0.29688060236643959</v>
      </c>
    </row>
    <row r="83" spans="1:20" x14ac:dyDescent="0.35">
      <c r="A83" t="s">
        <v>173</v>
      </c>
      <c r="B83" s="1">
        <v>45160</v>
      </c>
      <c r="C83" t="s">
        <v>41</v>
      </c>
      <c r="D83" t="s">
        <v>42</v>
      </c>
      <c r="E83" t="s">
        <v>174</v>
      </c>
      <c r="F83" t="s">
        <v>23</v>
      </c>
      <c r="G83" t="s">
        <v>158</v>
      </c>
      <c r="H83" t="s">
        <v>159</v>
      </c>
      <c r="I83" t="s">
        <v>160</v>
      </c>
      <c r="J83">
        <v>1</v>
      </c>
      <c r="K83">
        <v>2142000</v>
      </c>
      <c r="L83">
        <v>0.05</v>
      </c>
      <c r="M83">
        <v>1540000</v>
      </c>
      <c r="N83">
        <f>(data[[#This Row],[unit_price]]*data[[#This Row],[quantity]]) * (1-data[[#This Row],[discount]])</f>
        <v>2034900</v>
      </c>
      <c r="O83">
        <f>data[[#This Row],[sales]]-data[[#This Row],[cost]]</f>
        <v>494900</v>
      </c>
      <c r="P83" t="str">
        <f>TEXT(data[[#This Row],[order_date]],"mmm")</f>
        <v>Aug</v>
      </c>
      <c r="Q83">
        <f>YEAR(data[[#This Row],[order_date]])</f>
        <v>2023</v>
      </c>
      <c r="R83">
        <f>MONTH(data[[#This Row],[order_date]])</f>
        <v>8</v>
      </c>
      <c r="S83">
        <f>DAY(data[[#This Row],[order_date]])</f>
        <v>22</v>
      </c>
      <c r="T83">
        <f>data[[#This Row],[profit]]/data[[#This Row],[sales]]</f>
        <v>0.2432060543515652</v>
      </c>
    </row>
    <row r="84" spans="1:20" x14ac:dyDescent="0.35">
      <c r="A84" t="s">
        <v>175</v>
      </c>
      <c r="B84" s="1">
        <v>45166</v>
      </c>
      <c r="C84" t="s">
        <v>14</v>
      </c>
      <c r="D84" t="s">
        <v>15</v>
      </c>
      <c r="E84" t="s">
        <v>27</v>
      </c>
      <c r="F84" t="s">
        <v>28</v>
      </c>
      <c r="G84" t="s">
        <v>158</v>
      </c>
      <c r="H84" t="s">
        <v>159</v>
      </c>
      <c r="I84" t="s">
        <v>160</v>
      </c>
      <c r="J84">
        <v>2</v>
      </c>
      <c r="K84">
        <v>1882000</v>
      </c>
      <c r="L84">
        <v>0</v>
      </c>
      <c r="M84">
        <v>1321000</v>
      </c>
      <c r="N84">
        <f>(data[[#This Row],[unit_price]]*data[[#This Row],[quantity]]) * (1-data[[#This Row],[discount]])</f>
        <v>3764000</v>
      </c>
      <c r="O84">
        <f>data[[#This Row],[sales]]-data[[#This Row],[cost]]</f>
        <v>2443000</v>
      </c>
      <c r="P84" t="str">
        <f>TEXT(data[[#This Row],[order_date]],"mmm")</f>
        <v>Aug</v>
      </c>
      <c r="Q84">
        <f>YEAR(data[[#This Row],[order_date]])</f>
        <v>2023</v>
      </c>
      <c r="R84">
        <f>MONTH(data[[#This Row],[order_date]])</f>
        <v>8</v>
      </c>
      <c r="S84">
        <f>DAY(data[[#This Row],[order_date]])</f>
        <v>28</v>
      </c>
      <c r="T84">
        <f>data[[#This Row],[profit]]/data[[#This Row],[sales]]</f>
        <v>0.64904357066950058</v>
      </c>
    </row>
    <row r="85" spans="1:20" x14ac:dyDescent="0.35">
      <c r="A85" t="s">
        <v>176</v>
      </c>
      <c r="B85" s="1">
        <v>45196</v>
      </c>
      <c r="C85" t="s">
        <v>14</v>
      </c>
      <c r="D85" t="s">
        <v>15</v>
      </c>
      <c r="E85" t="s">
        <v>177</v>
      </c>
      <c r="F85" t="s">
        <v>23</v>
      </c>
      <c r="G85" t="s">
        <v>158</v>
      </c>
      <c r="H85" t="s">
        <v>159</v>
      </c>
      <c r="I85" t="s">
        <v>160</v>
      </c>
      <c r="J85">
        <v>1</v>
      </c>
      <c r="K85">
        <v>2653000</v>
      </c>
      <c r="L85">
        <v>0.1</v>
      </c>
      <c r="M85">
        <v>1903000</v>
      </c>
      <c r="N85">
        <f>(data[[#This Row],[unit_price]]*data[[#This Row],[quantity]]) * (1-data[[#This Row],[discount]])</f>
        <v>2387700</v>
      </c>
      <c r="O85">
        <f>data[[#This Row],[sales]]-data[[#This Row],[cost]]</f>
        <v>484700</v>
      </c>
      <c r="P85" t="str">
        <f>TEXT(data[[#This Row],[order_date]],"mmm")</f>
        <v>Sep</v>
      </c>
      <c r="Q85">
        <f>YEAR(data[[#This Row],[order_date]])</f>
        <v>2023</v>
      </c>
      <c r="R85">
        <f>MONTH(data[[#This Row],[order_date]])</f>
        <v>9</v>
      </c>
      <c r="S85">
        <f>DAY(data[[#This Row],[order_date]])</f>
        <v>27</v>
      </c>
      <c r="T85">
        <f>data[[#This Row],[profit]]/data[[#This Row],[sales]]</f>
        <v>0.20299870167944045</v>
      </c>
    </row>
    <row r="86" spans="1:20" x14ac:dyDescent="0.35">
      <c r="A86" t="s">
        <v>178</v>
      </c>
      <c r="B86" s="1">
        <v>45260</v>
      </c>
      <c r="C86" t="s">
        <v>49</v>
      </c>
      <c r="D86" t="s">
        <v>50</v>
      </c>
      <c r="E86" t="s">
        <v>179</v>
      </c>
      <c r="F86" t="s">
        <v>23</v>
      </c>
      <c r="G86" t="s">
        <v>158</v>
      </c>
      <c r="H86" t="s">
        <v>159</v>
      </c>
      <c r="I86" t="s">
        <v>160</v>
      </c>
      <c r="J86">
        <v>3</v>
      </c>
      <c r="K86">
        <v>1986000</v>
      </c>
      <c r="L86">
        <v>0</v>
      </c>
      <c r="M86">
        <v>1409000</v>
      </c>
      <c r="N86">
        <f>(data[[#This Row],[unit_price]]*data[[#This Row],[quantity]]) * (1-data[[#This Row],[discount]])</f>
        <v>5958000</v>
      </c>
      <c r="O86">
        <f>data[[#This Row],[sales]]-data[[#This Row],[cost]]</f>
        <v>4549000</v>
      </c>
      <c r="P86" t="str">
        <f>TEXT(data[[#This Row],[order_date]],"mmm")</f>
        <v>Nov</v>
      </c>
      <c r="Q86">
        <f>YEAR(data[[#This Row],[order_date]])</f>
        <v>2023</v>
      </c>
      <c r="R86">
        <f>MONTH(data[[#This Row],[order_date]])</f>
        <v>11</v>
      </c>
      <c r="S86">
        <f>DAY(data[[#This Row],[order_date]])</f>
        <v>30</v>
      </c>
      <c r="T86">
        <f>data[[#This Row],[profit]]/data[[#This Row],[sales]]</f>
        <v>0.76351124538435722</v>
      </c>
    </row>
    <row r="87" spans="1:20" x14ac:dyDescent="0.35">
      <c r="A87" t="s">
        <v>180</v>
      </c>
      <c r="B87" s="1">
        <v>45265</v>
      </c>
      <c r="C87" t="s">
        <v>14</v>
      </c>
      <c r="D87" t="s">
        <v>15</v>
      </c>
      <c r="E87" t="s">
        <v>39</v>
      </c>
      <c r="F87" t="s">
        <v>23</v>
      </c>
      <c r="G87" t="s">
        <v>158</v>
      </c>
      <c r="H87" t="s">
        <v>159</v>
      </c>
      <c r="I87" t="s">
        <v>160</v>
      </c>
      <c r="J87">
        <v>1</v>
      </c>
      <c r="K87">
        <v>2070000</v>
      </c>
      <c r="L87">
        <v>0.05</v>
      </c>
      <c r="M87">
        <v>1521000</v>
      </c>
      <c r="N87">
        <f>(data[[#This Row],[unit_price]]*data[[#This Row],[quantity]]) * (1-data[[#This Row],[discount]])</f>
        <v>1966500</v>
      </c>
      <c r="O87">
        <f>data[[#This Row],[sales]]-data[[#This Row],[cost]]</f>
        <v>445500</v>
      </c>
      <c r="P87" t="str">
        <f>TEXT(data[[#This Row],[order_date]],"mmm")</f>
        <v>Dec</v>
      </c>
      <c r="Q87">
        <f>YEAR(data[[#This Row],[order_date]])</f>
        <v>2023</v>
      </c>
      <c r="R87">
        <f>MONTH(data[[#This Row],[order_date]])</f>
        <v>12</v>
      </c>
      <c r="S87">
        <f>DAY(data[[#This Row],[order_date]])</f>
        <v>5</v>
      </c>
      <c r="T87">
        <f>data[[#This Row],[profit]]/data[[#This Row],[sales]]</f>
        <v>0.22654462242562928</v>
      </c>
    </row>
    <row r="88" spans="1:20" x14ac:dyDescent="0.35">
      <c r="A88" t="s">
        <v>181</v>
      </c>
      <c r="B88" s="1">
        <v>45270</v>
      </c>
      <c r="C88" t="s">
        <v>41</v>
      </c>
      <c r="D88" t="s">
        <v>42</v>
      </c>
      <c r="E88" t="s">
        <v>182</v>
      </c>
      <c r="F88" t="s">
        <v>23</v>
      </c>
      <c r="G88" t="s">
        <v>158</v>
      </c>
      <c r="H88" t="s">
        <v>159</v>
      </c>
      <c r="I88" t="s">
        <v>160</v>
      </c>
      <c r="J88">
        <v>1</v>
      </c>
      <c r="K88">
        <v>2167000</v>
      </c>
      <c r="L88">
        <v>0</v>
      </c>
      <c r="M88">
        <v>1539000</v>
      </c>
      <c r="N88">
        <f>(data[[#This Row],[unit_price]]*data[[#This Row],[quantity]]) * (1-data[[#This Row],[discount]])</f>
        <v>2167000</v>
      </c>
      <c r="O88">
        <f>data[[#This Row],[sales]]-data[[#This Row],[cost]]</f>
        <v>628000</v>
      </c>
      <c r="P88" t="str">
        <f>TEXT(data[[#This Row],[order_date]],"mmm")</f>
        <v>Dec</v>
      </c>
      <c r="Q88">
        <f>YEAR(data[[#This Row],[order_date]])</f>
        <v>2023</v>
      </c>
      <c r="R88">
        <f>MONTH(data[[#This Row],[order_date]])</f>
        <v>12</v>
      </c>
      <c r="S88">
        <f>DAY(data[[#This Row],[order_date]])</f>
        <v>10</v>
      </c>
      <c r="T88">
        <f>data[[#This Row],[profit]]/data[[#This Row],[sales]]</f>
        <v>0.28980156898938625</v>
      </c>
    </row>
    <row r="89" spans="1:20" x14ac:dyDescent="0.35">
      <c r="A89" t="s">
        <v>183</v>
      </c>
      <c r="B89" s="1">
        <v>45291</v>
      </c>
      <c r="C89" t="s">
        <v>14</v>
      </c>
      <c r="D89" t="s">
        <v>15</v>
      </c>
      <c r="E89" t="s">
        <v>166</v>
      </c>
      <c r="F89" t="s">
        <v>28</v>
      </c>
      <c r="G89" t="s">
        <v>158</v>
      </c>
      <c r="H89" t="s">
        <v>159</v>
      </c>
      <c r="I89" t="s">
        <v>160</v>
      </c>
      <c r="J89">
        <v>1</v>
      </c>
      <c r="K89">
        <v>2226000</v>
      </c>
      <c r="L89">
        <v>0</v>
      </c>
      <c r="M89">
        <v>1589000</v>
      </c>
      <c r="N89">
        <f>(data[[#This Row],[unit_price]]*data[[#This Row],[quantity]]) * (1-data[[#This Row],[discount]])</f>
        <v>2226000</v>
      </c>
      <c r="O89">
        <f>data[[#This Row],[sales]]-data[[#This Row],[cost]]</f>
        <v>637000</v>
      </c>
      <c r="P89" t="str">
        <f>TEXT(data[[#This Row],[order_date]],"mmm")</f>
        <v>Dec</v>
      </c>
      <c r="Q89">
        <f>YEAR(data[[#This Row],[order_date]])</f>
        <v>2023</v>
      </c>
      <c r="R89">
        <f>MONTH(data[[#This Row],[order_date]])</f>
        <v>12</v>
      </c>
      <c r="S89">
        <f>DAY(data[[#This Row],[order_date]])</f>
        <v>31</v>
      </c>
      <c r="T89">
        <f>data[[#This Row],[profit]]/data[[#This Row],[sales]]</f>
        <v>0.28616352201257861</v>
      </c>
    </row>
    <row r="90" spans="1:20" x14ac:dyDescent="0.35">
      <c r="A90" t="s">
        <v>184</v>
      </c>
      <c r="B90" s="1">
        <v>45312</v>
      </c>
      <c r="C90" t="s">
        <v>49</v>
      </c>
      <c r="D90" t="s">
        <v>50</v>
      </c>
      <c r="E90" t="s">
        <v>74</v>
      </c>
      <c r="F90" t="s">
        <v>23</v>
      </c>
      <c r="G90" t="s">
        <v>158</v>
      </c>
      <c r="H90" t="s">
        <v>159</v>
      </c>
      <c r="I90" t="s">
        <v>160</v>
      </c>
      <c r="J90">
        <v>1</v>
      </c>
      <c r="K90">
        <v>2260000</v>
      </c>
      <c r="L90">
        <v>0</v>
      </c>
      <c r="M90">
        <v>1618000</v>
      </c>
      <c r="N90">
        <f>(data[[#This Row],[unit_price]]*data[[#This Row],[quantity]]) * (1-data[[#This Row],[discount]])</f>
        <v>2260000</v>
      </c>
      <c r="O90">
        <f>data[[#This Row],[sales]]-data[[#This Row],[cost]]</f>
        <v>642000</v>
      </c>
      <c r="P90" t="str">
        <f>TEXT(data[[#This Row],[order_date]],"mmm")</f>
        <v>Jan</v>
      </c>
      <c r="Q90">
        <f>YEAR(data[[#This Row],[order_date]])</f>
        <v>2024</v>
      </c>
      <c r="R90">
        <f>MONTH(data[[#This Row],[order_date]])</f>
        <v>1</v>
      </c>
      <c r="S90">
        <f>DAY(data[[#This Row],[order_date]])</f>
        <v>21</v>
      </c>
      <c r="T90">
        <f>data[[#This Row],[profit]]/data[[#This Row],[sales]]</f>
        <v>0.28407079646017697</v>
      </c>
    </row>
    <row r="91" spans="1:20" x14ac:dyDescent="0.35">
      <c r="A91" t="s">
        <v>185</v>
      </c>
      <c r="B91" s="1">
        <v>45350</v>
      </c>
      <c r="C91" t="s">
        <v>41</v>
      </c>
      <c r="D91" t="s">
        <v>42</v>
      </c>
      <c r="E91" t="s">
        <v>186</v>
      </c>
      <c r="F91" t="s">
        <v>23</v>
      </c>
      <c r="G91" t="s">
        <v>158</v>
      </c>
      <c r="H91" t="s">
        <v>159</v>
      </c>
      <c r="I91" t="s">
        <v>160</v>
      </c>
      <c r="J91">
        <v>3</v>
      </c>
      <c r="K91">
        <v>2836000</v>
      </c>
      <c r="L91">
        <v>0.1</v>
      </c>
      <c r="M91">
        <v>2017000</v>
      </c>
      <c r="N91">
        <f>(data[[#This Row],[unit_price]]*data[[#This Row],[quantity]]) * (1-data[[#This Row],[discount]])</f>
        <v>7657200</v>
      </c>
      <c r="O91">
        <f>data[[#This Row],[sales]]-data[[#This Row],[cost]]</f>
        <v>5640200</v>
      </c>
      <c r="P91" t="str">
        <f>TEXT(data[[#This Row],[order_date]],"mmm")</f>
        <v>Feb</v>
      </c>
      <c r="Q91">
        <f>YEAR(data[[#This Row],[order_date]])</f>
        <v>2024</v>
      </c>
      <c r="R91">
        <f>MONTH(data[[#This Row],[order_date]])</f>
        <v>2</v>
      </c>
      <c r="S91">
        <f>DAY(data[[#This Row],[order_date]])</f>
        <v>28</v>
      </c>
      <c r="T91">
        <f>data[[#This Row],[profit]]/data[[#This Row],[sales]]</f>
        <v>0.73658778665830849</v>
      </c>
    </row>
    <row r="92" spans="1:20" x14ac:dyDescent="0.35">
      <c r="A92" t="s">
        <v>187</v>
      </c>
      <c r="B92" s="1">
        <v>45393</v>
      </c>
      <c r="C92" t="s">
        <v>14</v>
      </c>
      <c r="D92" t="s">
        <v>15</v>
      </c>
      <c r="E92" t="s">
        <v>134</v>
      </c>
      <c r="F92" t="s">
        <v>28</v>
      </c>
      <c r="G92" t="s">
        <v>158</v>
      </c>
      <c r="H92" t="s">
        <v>159</v>
      </c>
      <c r="I92" t="s">
        <v>160</v>
      </c>
      <c r="J92">
        <v>2</v>
      </c>
      <c r="K92">
        <v>2250000</v>
      </c>
      <c r="L92">
        <v>0.1</v>
      </c>
      <c r="M92">
        <v>1582000</v>
      </c>
      <c r="N92">
        <f>(data[[#This Row],[unit_price]]*data[[#This Row],[quantity]]) * (1-data[[#This Row],[discount]])</f>
        <v>4050000</v>
      </c>
      <c r="O92">
        <f>data[[#This Row],[sales]]-data[[#This Row],[cost]]</f>
        <v>2468000</v>
      </c>
      <c r="P92" t="str">
        <f>TEXT(data[[#This Row],[order_date]],"mmm")</f>
        <v>Apr</v>
      </c>
      <c r="Q92">
        <f>YEAR(data[[#This Row],[order_date]])</f>
        <v>2024</v>
      </c>
      <c r="R92">
        <f>MONTH(data[[#This Row],[order_date]])</f>
        <v>4</v>
      </c>
      <c r="S92">
        <f>DAY(data[[#This Row],[order_date]])</f>
        <v>11</v>
      </c>
      <c r="T92">
        <f>data[[#This Row],[profit]]/data[[#This Row],[sales]]</f>
        <v>0.60938271604938277</v>
      </c>
    </row>
    <row r="93" spans="1:20" x14ac:dyDescent="0.35">
      <c r="A93" t="s">
        <v>188</v>
      </c>
      <c r="B93" s="1">
        <v>45415</v>
      </c>
      <c r="C93" t="s">
        <v>14</v>
      </c>
      <c r="D93" t="s">
        <v>15</v>
      </c>
      <c r="E93" t="s">
        <v>89</v>
      </c>
      <c r="F93" t="s">
        <v>23</v>
      </c>
      <c r="G93" t="s">
        <v>158</v>
      </c>
      <c r="H93" t="s">
        <v>159</v>
      </c>
      <c r="I93" t="s">
        <v>160</v>
      </c>
      <c r="J93">
        <v>2</v>
      </c>
      <c r="K93">
        <v>2563000</v>
      </c>
      <c r="L93">
        <v>0</v>
      </c>
      <c r="M93">
        <v>1874000</v>
      </c>
      <c r="N93">
        <f>(data[[#This Row],[unit_price]]*data[[#This Row],[quantity]]) * (1-data[[#This Row],[discount]])</f>
        <v>5126000</v>
      </c>
      <c r="O93">
        <f>data[[#This Row],[sales]]-data[[#This Row],[cost]]</f>
        <v>3252000</v>
      </c>
      <c r="P93" t="str">
        <f>TEXT(data[[#This Row],[order_date]],"mmm")</f>
        <v>May</v>
      </c>
      <c r="Q93">
        <f>YEAR(data[[#This Row],[order_date]])</f>
        <v>2024</v>
      </c>
      <c r="R93">
        <f>MONTH(data[[#This Row],[order_date]])</f>
        <v>5</v>
      </c>
      <c r="S93">
        <f>DAY(data[[#This Row],[order_date]])</f>
        <v>3</v>
      </c>
      <c r="T93">
        <f>data[[#This Row],[profit]]/data[[#This Row],[sales]]</f>
        <v>0.63441279750292623</v>
      </c>
    </row>
    <row r="94" spans="1:20" x14ac:dyDescent="0.35">
      <c r="A94" t="s">
        <v>189</v>
      </c>
      <c r="B94" s="1">
        <v>45423</v>
      </c>
      <c r="C94" t="s">
        <v>14</v>
      </c>
      <c r="D94" t="s">
        <v>15</v>
      </c>
      <c r="E94" t="s">
        <v>121</v>
      </c>
      <c r="F94" t="s">
        <v>23</v>
      </c>
      <c r="G94" t="s">
        <v>158</v>
      </c>
      <c r="H94" t="s">
        <v>159</v>
      </c>
      <c r="I94" t="s">
        <v>160</v>
      </c>
      <c r="J94">
        <v>1</v>
      </c>
      <c r="K94">
        <v>2020000</v>
      </c>
      <c r="L94">
        <v>0</v>
      </c>
      <c r="M94">
        <v>1485000</v>
      </c>
      <c r="N94">
        <f>(data[[#This Row],[unit_price]]*data[[#This Row],[quantity]]) * (1-data[[#This Row],[discount]])</f>
        <v>2020000</v>
      </c>
      <c r="O94">
        <f>data[[#This Row],[sales]]-data[[#This Row],[cost]]</f>
        <v>535000</v>
      </c>
      <c r="P94" t="str">
        <f>TEXT(data[[#This Row],[order_date]],"mmm")</f>
        <v>May</v>
      </c>
      <c r="Q94">
        <f>YEAR(data[[#This Row],[order_date]])</f>
        <v>2024</v>
      </c>
      <c r="R94">
        <f>MONTH(data[[#This Row],[order_date]])</f>
        <v>5</v>
      </c>
      <c r="S94">
        <f>DAY(data[[#This Row],[order_date]])</f>
        <v>11</v>
      </c>
      <c r="T94">
        <f>data[[#This Row],[profit]]/data[[#This Row],[sales]]</f>
        <v>0.26485148514851486</v>
      </c>
    </row>
    <row r="95" spans="1:20" x14ac:dyDescent="0.35">
      <c r="A95" t="s">
        <v>190</v>
      </c>
      <c r="B95" s="1">
        <v>45448</v>
      </c>
      <c r="C95" t="s">
        <v>14</v>
      </c>
      <c r="D95" t="s">
        <v>15</v>
      </c>
      <c r="E95" t="s">
        <v>191</v>
      </c>
      <c r="F95" t="s">
        <v>23</v>
      </c>
      <c r="G95" t="s">
        <v>158</v>
      </c>
      <c r="H95" t="s">
        <v>159</v>
      </c>
      <c r="I95" t="s">
        <v>160</v>
      </c>
      <c r="J95">
        <v>1</v>
      </c>
      <c r="K95">
        <v>2060000</v>
      </c>
      <c r="L95">
        <v>0.1</v>
      </c>
      <c r="M95">
        <v>1480000</v>
      </c>
      <c r="N95">
        <f>(data[[#This Row],[unit_price]]*data[[#This Row],[quantity]]) * (1-data[[#This Row],[discount]])</f>
        <v>1854000</v>
      </c>
      <c r="O95">
        <f>data[[#This Row],[sales]]-data[[#This Row],[cost]]</f>
        <v>374000</v>
      </c>
      <c r="P95" t="str">
        <f>TEXT(data[[#This Row],[order_date]],"mmm")</f>
        <v>Jun</v>
      </c>
      <c r="Q95">
        <f>YEAR(data[[#This Row],[order_date]])</f>
        <v>2024</v>
      </c>
      <c r="R95">
        <f>MONTH(data[[#This Row],[order_date]])</f>
        <v>6</v>
      </c>
      <c r="S95">
        <f>DAY(data[[#This Row],[order_date]])</f>
        <v>5</v>
      </c>
      <c r="T95">
        <f>data[[#This Row],[profit]]/data[[#This Row],[sales]]</f>
        <v>0.2017259978425027</v>
      </c>
    </row>
    <row r="96" spans="1:20" x14ac:dyDescent="0.35">
      <c r="A96" t="s">
        <v>192</v>
      </c>
      <c r="B96" s="1">
        <v>45449</v>
      </c>
      <c r="C96" t="s">
        <v>49</v>
      </c>
      <c r="D96" t="s">
        <v>50</v>
      </c>
      <c r="E96" t="s">
        <v>193</v>
      </c>
      <c r="F96" t="s">
        <v>23</v>
      </c>
      <c r="G96" t="s">
        <v>158</v>
      </c>
      <c r="H96" t="s">
        <v>159</v>
      </c>
      <c r="I96" t="s">
        <v>160</v>
      </c>
      <c r="J96">
        <v>1</v>
      </c>
      <c r="K96">
        <v>2229000</v>
      </c>
      <c r="L96">
        <v>0</v>
      </c>
      <c r="M96">
        <v>1576000</v>
      </c>
      <c r="N96">
        <f>(data[[#This Row],[unit_price]]*data[[#This Row],[quantity]]) * (1-data[[#This Row],[discount]])</f>
        <v>2229000</v>
      </c>
      <c r="O96">
        <f>data[[#This Row],[sales]]-data[[#This Row],[cost]]</f>
        <v>653000</v>
      </c>
      <c r="P96" t="str">
        <f>TEXT(data[[#This Row],[order_date]],"mmm")</f>
        <v>Jun</v>
      </c>
      <c r="Q96">
        <f>YEAR(data[[#This Row],[order_date]])</f>
        <v>2024</v>
      </c>
      <c r="R96">
        <f>MONTH(data[[#This Row],[order_date]])</f>
        <v>6</v>
      </c>
      <c r="S96">
        <f>DAY(data[[#This Row],[order_date]])</f>
        <v>6</v>
      </c>
      <c r="T96">
        <f>data[[#This Row],[profit]]/data[[#This Row],[sales]]</f>
        <v>0.2929564827276806</v>
      </c>
    </row>
    <row r="97" spans="1:20" x14ac:dyDescent="0.35">
      <c r="A97" t="s">
        <v>194</v>
      </c>
      <c r="B97" s="1">
        <v>45484</v>
      </c>
      <c r="C97" t="s">
        <v>41</v>
      </c>
      <c r="D97" t="s">
        <v>42</v>
      </c>
      <c r="E97" t="s">
        <v>195</v>
      </c>
      <c r="F97" t="s">
        <v>23</v>
      </c>
      <c r="G97" t="s">
        <v>158</v>
      </c>
      <c r="H97" t="s">
        <v>159</v>
      </c>
      <c r="I97" t="s">
        <v>160</v>
      </c>
      <c r="J97">
        <v>2</v>
      </c>
      <c r="K97">
        <v>1947000</v>
      </c>
      <c r="L97">
        <v>0</v>
      </c>
      <c r="M97">
        <v>1397000</v>
      </c>
      <c r="N97">
        <f>(data[[#This Row],[unit_price]]*data[[#This Row],[quantity]]) * (1-data[[#This Row],[discount]])</f>
        <v>3894000</v>
      </c>
      <c r="O97">
        <f>data[[#This Row],[sales]]-data[[#This Row],[cost]]</f>
        <v>2497000</v>
      </c>
      <c r="P97" t="str">
        <f>TEXT(data[[#This Row],[order_date]],"mmm")</f>
        <v>Jul</v>
      </c>
      <c r="Q97">
        <f>YEAR(data[[#This Row],[order_date]])</f>
        <v>2024</v>
      </c>
      <c r="R97">
        <f>MONTH(data[[#This Row],[order_date]])</f>
        <v>7</v>
      </c>
      <c r="S97">
        <f>DAY(data[[#This Row],[order_date]])</f>
        <v>11</v>
      </c>
      <c r="T97">
        <f>data[[#This Row],[profit]]/data[[#This Row],[sales]]</f>
        <v>0.64124293785310738</v>
      </c>
    </row>
    <row r="98" spans="1:20" x14ac:dyDescent="0.35">
      <c r="A98" t="s">
        <v>196</v>
      </c>
      <c r="B98" s="1">
        <v>45485</v>
      </c>
      <c r="C98" t="s">
        <v>14</v>
      </c>
      <c r="D98" t="s">
        <v>15</v>
      </c>
      <c r="E98" t="s">
        <v>197</v>
      </c>
      <c r="F98" t="s">
        <v>28</v>
      </c>
      <c r="G98" t="s">
        <v>158</v>
      </c>
      <c r="H98" t="s">
        <v>159</v>
      </c>
      <c r="I98" t="s">
        <v>160</v>
      </c>
      <c r="J98">
        <v>1</v>
      </c>
      <c r="K98">
        <v>2451000</v>
      </c>
      <c r="L98">
        <v>0</v>
      </c>
      <c r="M98">
        <v>1793000</v>
      </c>
      <c r="N98">
        <f>(data[[#This Row],[unit_price]]*data[[#This Row],[quantity]]) * (1-data[[#This Row],[discount]])</f>
        <v>2451000</v>
      </c>
      <c r="O98">
        <f>data[[#This Row],[sales]]-data[[#This Row],[cost]]</f>
        <v>658000</v>
      </c>
      <c r="P98" t="str">
        <f>TEXT(data[[#This Row],[order_date]],"mmm")</f>
        <v>Jul</v>
      </c>
      <c r="Q98">
        <f>YEAR(data[[#This Row],[order_date]])</f>
        <v>2024</v>
      </c>
      <c r="R98">
        <f>MONTH(data[[#This Row],[order_date]])</f>
        <v>7</v>
      </c>
      <c r="S98">
        <f>DAY(data[[#This Row],[order_date]])</f>
        <v>12</v>
      </c>
      <c r="T98">
        <f>data[[#This Row],[profit]]/data[[#This Row],[sales]]</f>
        <v>0.26846185230518155</v>
      </c>
    </row>
    <row r="99" spans="1:20" x14ac:dyDescent="0.35">
      <c r="A99" t="s">
        <v>198</v>
      </c>
      <c r="B99" s="1">
        <v>45488</v>
      </c>
      <c r="C99" t="s">
        <v>14</v>
      </c>
      <c r="D99" t="s">
        <v>15</v>
      </c>
      <c r="E99" t="s">
        <v>83</v>
      </c>
      <c r="F99" t="s">
        <v>23</v>
      </c>
      <c r="G99" t="s">
        <v>158</v>
      </c>
      <c r="H99" t="s">
        <v>159</v>
      </c>
      <c r="I99" t="s">
        <v>160</v>
      </c>
      <c r="J99">
        <v>1</v>
      </c>
      <c r="K99">
        <v>2602000</v>
      </c>
      <c r="L99">
        <v>0</v>
      </c>
      <c r="M99">
        <v>1852000</v>
      </c>
      <c r="N99">
        <f>(data[[#This Row],[unit_price]]*data[[#This Row],[quantity]]) * (1-data[[#This Row],[discount]])</f>
        <v>2602000</v>
      </c>
      <c r="O99">
        <f>data[[#This Row],[sales]]-data[[#This Row],[cost]]</f>
        <v>750000</v>
      </c>
      <c r="P99" t="str">
        <f>TEXT(data[[#This Row],[order_date]],"mmm")</f>
        <v>Jul</v>
      </c>
      <c r="Q99">
        <f>YEAR(data[[#This Row],[order_date]])</f>
        <v>2024</v>
      </c>
      <c r="R99">
        <f>MONTH(data[[#This Row],[order_date]])</f>
        <v>7</v>
      </c>
      <c r="S99">
        <f>DAY(data[[#This Row],[order_date]])</f>
        <v>15</v>
      </c>
      <c r="T99">
        <f>data[[#This Row],[profit]]/data[[#This Row],[sales]]</f>
        <v>0.28823981552651806</v>
      </c>
    </row>
    <row r="100" spans="1:20" x14ac:dyDescent="0.35">
      <c r="A100" t="s">
        <v>199</v>
      </c>
      <c r="B100" s="1">
        <v>45510</v>
      </c>
      <c r="C100" t="s">
        <v>49</v>
      </c>
      <c r="D100" t="s">
        <v>50</v>
      </c>
      <c r="E100" t="s">
        <v>45</v>
      </c>
      <c r="F100" t="s">
        <v>17</v>
      </c>
      <c r="G100" t="s">
        <v>158</v>
      </c>
      <c r="H100" t="s">
        <v>159</v>
      </c>
      <c r="I100" t="s">
        <v>160</v>
      </c>
      <c r="J100">
        <v>1</v>
      </c>
      <c r="K100">
        <v>2372000</v>
      </c>
      <c r="L100">
        <v>0</v>
      </c>
      <c r="M100">
        <v>1699000</v>
      </c>
      <c r="N100">
        <f>(data[[#This Row],[unit_price]]*data[[#This Row],[quantity]]) * (1-data[[#This Row],[discount]])</f>
        <v>2372000</v>
      </c>
      <c r="O100">
        <f>data[[#This Row],[sales]]-data[[#This Row],[cost]]</f>
        <v>673000</v>
      </c>
      <c r="P100" t="str">
        <f>TEXT(data[[#This Row],[order_date]],"mmm")</f>
        <v>Aug</v>
      </c>
      <c r="Q100">
        <f>YEAR(data[[#This Row],[order_date]])</f>
        <v>2024</v>
      </c>
      <c r="R100">
        <f>MONTH(data[[#This Row],[order_date]])</f>
        <v>8</v>
      </c>
      <c r="S100">
        <f>DAY(data[[#This Row],[order_date]])</f>
        <v>6</v>
      </c>
      <c r="T100">
        <f>data[[#This Row],[profit]]/data[[#This Row],[sales]]</f>
        <v>0.28372681281618889</v>
      </c>
    </row>
    <row r="101" spans="1:20" x14ac:dyDescent="0.35">
      <c r="A101" t="s">
        <v>200</v>
      </c>
      <c r="B101" s="1">
        <v>45518</v>
      </c>
      <c r="C101" t="s">
        <v>14</v>
      </c>
      <c r="D101" t="s">
        <v>15</v>
      </c>
      <c r="E101" t="s">
        <v>201</v>
      </c>
      <c r="F101" t="s">
        <v>58</v>
      </c>
      <c r="G101" t="s">
        <v>158</v>
      </c>
      <c r="H101" t="s">
        <v>159</v>
      </c>
      <c r="I101" t="s">
        <v>160</v>
      </c>
      <c r="J101">
        <v>2</v>
      </c>
      <c r="K101">
        <v>2442000</v>
      </c>
      <c r="L101">
        <v>0</v>
      </c>
      <c r="M101">
        <v>1745000</v>
      </c>
      <c r="N101">
        <f>(data[[#This Row],[unit_price]]*data[[#This Row],[quantity]]) * (1-data[[#This Row],[discount]])</f>
        <v>4884000</v>
      </c>
      <c r="O101">
        <f>data[[#This Row],[sales]]-data[[#This Row],[cost]]</f>
        <v>3139000</v>
      </c>
      <c r="P101" t="str">
        <f>TEXT(data[[#This Row],[order_date]],"mmm")</f>
        <v>Aug</v>
      </c>
      <c r="Q101">
        <f>YEAR(data[[#This Row],[order_date]])</f>
        <v>2024</v>
      </c>
      <c r="R101">
        <f>MONTH(data[[#This Row],[order_date]])</f>
        <v>8</v>
      </c>
      <c r="S101">
        <f>DAY(data[[#This Row],[order_date]])</f>
        <v>14</v>
      </c>
      <c r="T101">
        <f>data[[#This Row],[profit]]/data[[#This Row],[sales]]</f>
        <v>0.64271089271089266</v>
      </c>
    </row>
    <row r="102" spans="1:20" x14ac:dyDescent="0.35">
      <c r="A102" t="s">
        <v>202</v>
      </c>
      <c r="B102" s="1">
        <v>45535</v>
      </c>
      <c r="C102" t="s">
        <v>14</v>
      </c>
      <c r="D102" t="s">
        <v>15</v>
      </c>
      <c r="E102" t="s">
        <v>203</v>
      </c>
      <c r="F102" t="s">
        <v>17</v>
      </c>
      <c r="G102" t="s">
        <v>158</v>
      </c>
      <c r="H102" t="s">
        <v>159</v>
      </c>
      <c r="I102" t="s">
        <v>160</v>
      </c>
      <c r="J102">
        <v>1</v>
      </c>
      <c r="K102">
        <v>2754000</v>
      </c>
      <c r="L102">
        <v>0</v>
      </c>
      <c r="M102">
        <v>1938000</v>
      </c>
      <c r="N102">
        <f>(data[[#This Row],[unit_price]]*data[[#This Row],[quantity]]) * (1-data[[#This Row],[discount]])</f>
        <v>2754000</v>
      </c>
      <c r="O102">
        <f>data[[#This Row],[sales]]-data[[#This Row],[cost]]</f>
        <v>816000</v>
      </c>
      <c r="P102" t="str">
        <f>TEXT(data[[#This Row],[order_date]],"mmm")</f>
        <v>Aug</v>
      </c>
      <c r="Q102">
        <f>YEAR(data[[#This Row],[order_date]])</f>
        <v>2024</v>
      </c>
      <c r="R102">
        <f>MONTH(data[[#This Row],[order_date]])</f>
        <v>8</v>
      </c>
      <c r="S102">
        <f>DAY(data[[#This Row],[order_date]])</f>
        <v>31</v>
      </c>
      <c r="T102">
        <f>data[[#This Row],[profit]]/data[[#This Row],[sales]]</f>
        <v>0.29629629629629628</v>
      </c>
    </row>
    <row r="103" spans="1:20" x14ac:dyDescent="0.35">
      <c r="A103" t="s">
        <v>204</v>
      </c>
      <c r="B103" s="1">
        <v>45553</v>
      </c>
      <c r="C103" t="s">
        <v>41</v>
      </c>
      <c r="D103" t="s">
        <v>42</v>
      </c>
      <c r="E103" t="s">
        <v>205</v>
      </c>
      <c r="F103" t="s">
        <v>17</v>
      </c>
      <c r="G103" t="s">
        <v>158</v>
      </c>
      <c r="H103" t="s">
        <v>159</v>
      </c>
      <c r="I103" t="s">
        <v>160</v>
      </c>
      <c r="J103">
        <v>2</v>
      </c>
      <c r="K103">
        <v>2388000</v>
      </c>
      <c r="L103">
        <v>0.05</v>
      </c>
      <c r="M103">
        <v>1723000</v>
      </c>
      <c r="N103">
        <f>(data[[#This Row],[unit_price]]*data[[#This Row],[quantity]]) * (1-data[[#This Row],[discount]])</f>
        <v>4537200</v>
      </c>
      <c r="O103">
        <f>data[[#This Row],[sales]]-data[[#This Row],[cost]]</f>
        <v>2814200</v>
      </c>
      <c r="P103" t="str">
        <f>TEXT(data[[#This Row],[order_date]],"mmm")</f>
        <v>Sep</v>
      </c>
      <c r="Q103">
        <f>YEAR(data[[#This Row],[order_date]])</f>
        <v>2024</v>
      </c>
      <c r="R103">
        <f>MONTH(data[[#This Row],[order_date]])</f>
        <v>9</v>
      </c>
      <c r="S103">
        <f>DAY(data[[#This Row],[order_date]])</f>
        <v>18</v>
      </c>
      <c r="T103">
        <f>data[[#This Row],[profit]]/data[[#This Row],[sales]]</f>
        <v>0.62025037468041966</v>
      </c>
    </row>
    <row r="104" spans="1:20" x14ac:dyDescent="0.35">
      <c r="A104" t="s">
        <v>206</v>
      </c>
      <c r="B104" s="1">
        <v>45607</v>
      </c>
      <c r="C104" t="s">
        <v>25</v>
      </c>
      <c r="D104" t="s">
        <v>26</v>
      </c>
      <c r="E104" t="s">
        <v>45</v>
      </c>
      <c r="F104" t="s">
        <v>17</v>
      </c>
      <c r="G104" t="s">
        <v>158</v>
      </c>
      <c r="H104" t="s">
        <v>159</v>
      </c>
      <c r="I104" t="s">
        <v>160</v>
      </c>
      <c r="J104">
        <v>1</v>
      </c>
      <c r="K104">
        <v>2155000</v>
      </c>
      <c r="L104">
        <v>0</v>
      </c>
      <c r="M104">
        <v>1570000</v>
      </c>
      <c r="N104">
        <f>(data[[#This Row],[unit_price]]*data[[#This Row],[quantity]]) * (1-data[[#This Row],[discount]])</f>
        <v>2155000</v>
      </c>
      <c r="O104">
        <f>data[[#This Row],[sales]]-data[[#This Row],[cost]]</f>
        <v>585000</v>
      </c>
      <c r="P104" t="str">
        <f>TEXT(data[[#This Row],[order_date]],"mmm")</f>
        <v>Nov</v>
      </c>
      <c r="Q104">
        <f>YEAR(data[[#This Row],[order_date]])</f>
        <v>2024</v>
      </c>
      <c r="R104">
        <f>MONTH(data[[#This Row],[order_date]])</f>
        <v>11</v>
      </c>
      <c r="S104">
        <f>DAY(data[[#This Row],[order_date]])</f>
        <v>11</v>
      </c>
      <c r="T104">
        <f>data[[#This Row],[profit]]/data[[#This Row],[sales]]</f>
        <v>0.27146171693735499</v>
      </c>
    </row>
    <row r="105" spans="1:20" x14ac:dyDescent="0.35">
      <c r="A105" t="s">
        <v>207</v>
      </c>
      <c r="B105" s="1">
        <v>45631</v>
      </c>
      <c r="C105" t="s">
        <v>14</v>
      </c>
      <c r="D105" t="s">
        <v>15</v>
      </c>
      <c r="E105" t="s">
        <v>208</v>
      </c>
      <c r="F105" t="s">
        <v>23</v>
      </c>
      <c r="G105" t="s">
        <v>158</v>
      </c>
      <c r="H105" t="s">
        <v>159</v>
      </c>
      <c r="I105" t="s">
        <v>160</v>
      </c>
      <c r="J105">
        <v>1</v>
      </c>
      <c r="K105">
        <v>2662000</v>
      </c>
      <c r="L105">
        <v>0</v>
      </c>
      <c r="M105">
        <v>1872000</v>
      </c>
      <c r="N105">
        <f>(data[[#This Row],[unit_price]]*data[[#This Row],[quantity]]) * (1-data[[#This Row],[discount]])</f>
        <v>2662000</v>
      </c>
      <c r="O105">
        <f>data[[#This Row],[sales]]-data[[#This Row],[cost]]</f>
        <v>790000</v>
      </c>
      <c r="P105" t="str">
        <f>TEXT(data[[#This Row],[order_date]],"mmm")</f>
        <v>Dec</v>
      </c>
      <c r="Q105">
        <f>YEAR(data[[#This Row],[order_date]])</f>
        <v>2024</v>
      </c>
      <c r="R105">
        <f>MONTH(data[[#This Row],[order_date]])</f>
        <v>12</v>
      </c>
      <c r="S105">
        <f>DAY(data[[#This Row],[order_date]])</f>
        <v>5</v>
      </c>
      <c r="T105">
        <f>data[[#This Row],[profit]]/data[[#This Row],[sales]]</f>
        <v>0.29676934635612323</v>
      </c>
    </row>
    <row r="106" spans="1:20" x14ac:dyDescent="0.35">
      <c r="A106" t="s">
        <v>209</v>
      </c>
      <c r="B106" s="1">
        <v>45633</v>
      </c>
      <c r="C106" t="s">
        <v>14</v>
      </c>
      <c r="D106" t="s">
        <v>15</v>
      </c>
      <c r="E106" t="s">
        <v>210</v>
      </c>
      <c r="F106" t="s">
        <v>23</v>
      </c>
      <c r="G106" t="s">
        <v>158</v>
      </c>
      <c r="H106" t="s">
        <v>159</v>
      </c>
      <c r="I106" t="s">
        <v>160</v>
      </c>
      <c r="J106">
        <v>1</v>
      </c>
      <c r="K106">
        <v>2009000</v>
      </c>
      <c r="L106">
        <v>0</v>
      </c>
      <c r="M106">
        <v>1461000</v>
      </c>
      <c r="N106">
        <f>(data[[#This Row],[unit_price]]*data[[#This Row],[quantity]]) * (1-data[[#This Row],[discount]])</f>
        <v>2009000</v>
      </c>
      <c r="O106">
        <f>data[[#This Row],[sales]]-data[[#This Row],[cost]]</f>
        <v>548000</v>
      </c>
      <c r="P106" t="str">
        <f>TEXT(data[[#This Row],[order_date]],"mmm")</f>
        <v>Dec</v>
      </c>
      <c r="Q106">
        <f>YEAR(data[[#This Row],[order_date]])</f>
        <v>2024</v>
      </c>
      <c r="R106">
        <f>MONTH(data[[#This Row],[order_date]])</f>
        <v>12</v>
      </c>
      <c r="S106">
        <f>DAY(data[[#This Row],[order_date]])</f>
        <v>7</v>
      </c>
      <c r="T106">
        <f>data[[#This Row],[profit]]/data[[#This Row],[sales]]</f>
        <v>0.27277252364360377</v>
      </c>
    </row>
    <row r="107" spans="1:20" x14ac:dyDescent="0.35">
      <c r="A107" t="s">
        <v>211</v>
      </c>
      <c r="B107" s="1">
        <v>45653</v>
      </c>
      <c r="C107" t="s">
        <v>14</v>
      </c>
      <c r="D107" t="s">
        <v>15</v>
      </c>
      <c r="E107" t="s">
        <v>212</v>
      </c>
      <c r="F107" t="s">
        <v>28</v>
      </c>
      <c r="G107" t="s">
        <v>158</v>
      </c>
      <c r="H107" t="s">
        <v>159</v>
      </c>
      <c r="I107" t="s">
        <v>160</v>
      </c>
      <c r="J107">
        <v>1</v>
      </c>
      <c r="K107">
        <v>2433000</v>
      </c>
      <c r="L107">
        <v>0</v>
      </c>
      <c r="M107">
        <v>1737000</v>
      </c>
      <c r="N107">
        <f>(data[[#This Row],[unit_price]]*data[[#This Row],[quantity]]) * (1-data[[#This Row],[discount]])</f>
        <v>2433000</v>
      </c>
      <c r="O107">
        <f>data[[#This Row],[sales]]-data[[#This Row],[cost]]</f>
        <v>696000</v>
      </c>
      <c r="P107" t="str">
        <f>TEXT(data[[#This Row],[order_date]],"mmm")</f>
        <v>Dec</v>
      </c>
      <c r="Q107">
        <f>YEAR(data[[#This Row],[order_date]])</f>
        <v>2024</v>
      </c>
      <c r="R107">
        <f>MONTH(data[[#This Row],[order_date]])</f>
        <v>12</v>
      </c>
      <c r="S107">
        <f>DAY(data[[#This Row],[order_date]])</f>
        <v>27</v>
      </c>
      <c r="T107">
        <f>data[[#This Row],[profit]]/data[[#This Row],[sales]]</f>
        <v>0.28606658446362515</v>
      </c>
    </row>
    <row r="108" spans="1:20" x14ac:dyDescent="0.35">
      <c r="A108" t="s">
        <v>213</v>
      </c>
      <c r="B108" s="1">
        <v>45654</v>
      </c>
      <c r="C108" t="s">
        <v>14</v>
      </c>
      <c r="D108" t="s">
        <v>15</v>
      </c>
      <c r="E108" t="s">
        <v>214</v>
      </c>
      <c r="F108" t="s">
        <v>23</v>
      </c>
      <c r="G108" t="s">
        <v>158</v>
      </c>
      <c r="H108" t="s">
        <v>159</v>
      </c>
      <c r="I108" t="s">
        <v>160</v>
      </c>
      <c r="J108">
        <v>1</v>
      </c>
      <c r="K108">
        <v>2672000</v>
      </c>
      <c r="L108">
        <v>0</v>
      </c>
      <c r="M108">
        <v>1883000</v>
      </c>
      <c r="N108">
        <f>(data[[#This Row],[unit_price]]*data[[#This Row],[quantity]]) * (1-data[[#This Row],[discount]])</f>
        <v>2672000</v>
      </c>
      <c r="O108">
        <f>data[[#This Row],[sales]]-data[[#This Row],[cost]]</f>
        <v>789000</v>
      </c>
      <c r="P108" t="str">
        <f>TEXT(data[[#This Row],[order_date]],"mmm")</f>
        <v>Dec</v>
      </c>
      <c r="Q108">
        <f>YEAR(data[[#This Row],[order_date]])</f>
        <v>2024</v>
      </c>
      <c r="R108">
        <f>MONTH(data[[#This Row],[order_date]])</f>
        <v>12</v>
      </c>
      <c r="S108">
        <f>DAY(data[[#This Row],[order_date]])</f>
        <v>28</v>
      </c>
      <c r="T108">
        <f>data[[#This Row],[profit]]/data[[#This Row],[sales]]</f>
        <v>0.29528443113772457</v>
      </c>
    </row>
    <row r="109" spans="1:20" x14ac:dyDescent="0.35">
      <c r="A109" t="s">
        <v>215</v>
      </c>
      <c r="B109" s="1">
        <v>45698</v>
      </c>
      <c r="C109" t="s">
        <v>49</v>
      </c>
      <c r="D109" t="s">
        <v>50</v>
      </c>
      <c r="E109" t="s">
        <v>216</v>
      </c>
      <c r="F109" t="s">
        <v>17</v>
      </c>
      <c r="G109" t="s">
        <v>158</v>
      </c>
      <c r="H109" t="s">
        <v>159</v>
      </c>
      <c r="I109" t="s">
        <v>160</v>
      </c>
      <c r="J109">
        <v>1</v>
      </c>
      <c r="K109">
        <v>2954000</v>
      </c>
      <c r="L109">
        <v>0</v>
      </c>
      <c r="M109">
        <v>2087000</v>
      </c>
      <c r="N109">
        <f>(data[[#This Row],[unit_price]]*data[[#This Row],[quantity]]) * (1-data[[#This Row],[discount]])</f>
        <v>2954000</v>
      </c>
      <c r="O109">
        <f>data[[#This Row],[sales]]-data[[#This Row],[cost]]</f>
        <v>867000</v>
      </c>
      <c r="P109" t="str">
        <f>TEXT(data[[#This Row],[order_date]],"mmm")</f>
        <v>Feb</v>
      </c>
      <c r="Q109">
        <f>YEAR(data[[#This Row],[order_date]])</f>
        <v>2025</v>
      </c>
      <c r="R109">
        <f>MONTH(data[[#This Row],[order_date]])</f>
        <v>2</v>
      </c>
      <c r="S109">
        <f>DAY(data[[#This Row],[order_date]])</f>
        <v>10</v>
      </c>
      <c r="T109">
        <f>data[[#This Row],[profit]]/data[[#This Row],[sales]]</f>
        <v>0.29350033852403523</v>
      </c>
    </row>
    <row r="110" spans="1:20" x14ac:dyDescent="0.35">
      <c r="A110" t="s">
        <v>217</v>
      </c>
      <c r="B110" s="1">
        <v>45716</v>
      </c>
      <c r="C110" t="s">
        <v>41</v>
      </c>
      <c r="D110" t="s">
        <v>42</v>
      </c>
      <c r="E110" t="s">
        <v>218</v>
      </c>
      <c r="F110" t="s">
        <v>23</v>
      </c>
      <c r="G110" t="s">
        <v>158</v>
      </c>
      <c r="H110" t="s">
        <v>159</v>
      </c>
      <c r="I110" t="s">
        <v>160</v>
      </c>
      <c r="J110">
        <v>1</v>
      </c>
      <c r="K110">
        <v>2723000</v>
      </c>
      <c r="L110">
        <v>0.1</v>
      </c>
      <c r="M110">
        <v>1932000</v>
      </c>
      <c r="N110">
        <f>(data[[#This Row],[unit_price]]*data[[#This Row],[quantity]]) * (1-data[[#This Row],[discount]])</f>
        <v>2450700</v>
      </c>
      <c r="O110">
        <f>data[[#This Row],[sales]]-data[[#This Row],[cost]]</f>
        <v>518700</v>
      </c>
      <c r="P110" t="str">
        <f>TEXT(data[[#This Row],[order_date]],"mmm")</f>
        <v>Feb</v>
      </c>
      <c r="Q110">
        <f>YEAR(data[[#This Row],[order_date]])</f>
        <v>2025</v>
      </c>
      <c r="R110">
        <f>MONTH(data[[#This Row],[order_date]])</f>
        <v>2</v>
      </c>
      <c r="S110">
        <f>DAY(data[[#This Row],[order_date]])</f>
        <v>28</v>
      </c>
      <c r="T110">
        <f>data[[#This Row],[profit]]/data[[#This Row],[sales]]</f>
        <v>0.21165381319622964</v>
      </c>
    </row>
    <row r="111" spans="1:20" x14ac:dyDescent="0.35">
      <c r="A111" t="s">
        <v>219</v>
      </c>
      <c r="B111" s="1">
        <v>45736</v>
      </c>
      <c r="C111" t="s">
        <v>41</v>
      </c>
      <c r="D111" t="s">
        <v>42</v>
      </c>
      <c r="E111" t="s">
        <v>83</v>
      </c>
      <c r="F111" t="s">
        <v>23</v>
      </c>
      <c r="G111" t="s">
        <v>158</v>
      </c>
      <c r="H111" t="s">
        <v>159</v>
      </c>
      <c r="I111" t="s">
        <v>160</v>
      </c>
      <c r="J111">
        <v>1</v>
      </c>
      <c r="K111">
        <v>2297000</v>
      </c>
      <c r="L111">
        <v>0</v>
      </c>
      <c r="M111">
        <v>1679000</v>
      </c>
      <c r="N111">
        <f>(data[[#This Row],[unit_price]]*data[[#This Row],[quantity]]) * (1-data[[#This Row],[discount]])</f>
        <v>2297000</v>
      </c>
      <c r="O111">
        <f>data[[#This Row],[sales]]-data[[#This Row],[cost]]</f>
        <v>618000</v>
      </c>
      <c r="P111" t="str">
        <f>TEXT(data[[#This Row],[order_date]],"mmm")</f>
        <v>Mar</v>
      </c>
      <c r="Q111">
        <f>YEAR(data[[#This Row],[order_date]])</f>
        <v>2025</v>
      </c>
      <c r="R111">
        <f>MONTH(data[[#This Row],[order_date]])</f>
        <v>3</v>
      </c>
      <c r="S111">
        <f>DAY(data[[#This Row],[order_date]])</f>
        <v>20</v>
      </c>
      <c r="T111">
        <f>data[[#This Row],[profit]]/data[[#This Row],[sales]]</f>
        <v>0.26904658249891161</v>
      </c>
    </row>
    <row r="112" spans="1:20" x14ac:dyDescent="0.35">
      <c r="A112" t="s">
        <v>220</v>
      </c>
      <c r="B112" s="1">
        <v>45738</v>
      </c>
      <c r="C112" t="s">
        <v>14</v>
      </c>
      <c r="D112" t="s">
        <v>15</v>
      </c>
      <c r="E112" t="s">
        <v>221</v>
      </c>
      <c r="F112" t="s">
        <v>17</v>
      </c>
      <c r="G112" t="s">
        <v>158</v>
      </c>
      <c r="H112" t="s">
        <v>159</v>
      </c>
      <c r="I112" t="s">
        <v>160</v>
      </c>
      <c r="J112">
        <v>2</v>
      </c>
      <c r="K112">
        <v>2004000</v>
      </c>
      <c r="L112">
        <v>0</v>
      </c>
      <c r="M112">
        <v>1439000</v>
      </c>
      <c r="N112">
        <f>(data[[#This Row],[unit_price]]*data[[#This Row],[quantity]]) * (1-data[[#This Row],[discount]])</f>
        <v>4008000</v>
      </c>
      <c r="O112">
        <f>data[[#This Row],[sales]]-data[[#This Row],[cost]]</f>
        <v>2569000</v>
      </c>
      <c r="P112" t="str">
        <f>TEXT(data[[#This Row],[order_date]],"mmm")</f>
        <v>Mar</v>
      </c>
      <c r="Q112">
        <f>YEAR(data[[#This Row],[order_date]])</f>
        <v>2025</v>
      </c>
      <c r="R112">
        <f>MONTH(data[[#This Row],[order_date]])</f>
        <v>3</v>
      </c>
      <c r="S112">
        <f>DAY(data[[#This Row],[order_date]])</f>
        <v>22</v>
      </c>
      <c r="T112">
        <f>data[[#This Row],[profit]]/data[[#This Row],[sales]]</f>
        <v>0.64096806387225547</v>
      </c>
    </row>
    <row r="113" spans="1:20" x14ac:dyDescent="0.35">
      <c r="A113" t="s">
        <v>222</v>
      </c>
      <c r="B113" s="1">
        <v>45743</v>
      </c>
      <c r="C113" t="s">
        <v>14</v>
      </c>
      <c r="D113" t="s">
        <v>15</v>
      </c>
      <c r="E113" t="s">
        <v>91</v>
      </c>
      <c r="F113" t="s">
        <v>23</v>
      </c>
      <c r="G113" t="s">
        <v>158</v>
      </c>
      <c r="H113" t="s">
        <v>159</v>
      </c>
      <c r="I113" t="s">
        <v>160</v>
      </c>
      <c r="J113">
        <v>1</v>
      </c>
      <c r="K113">
        <v>2139000</v>
      </c>
      <c r="L113">
        <v>0</v>
      </c>
      <c r="M113">
        <v>1520000</v>
      </c>
      <c r="N113">
        <f>(data[[#This Row],[unit_price]]*data[[#This Row],[quantity]]) * (1-data[[#This Row],[discount]])</f>
        <v>2139000</v>
      </c>
      <c r="O113">
        <f>data[[#This Row],[sales]]-data[[#This Row],[cost]]</f>
        <v>619000</v>
      </c>
      <c r="P113" t="str">
        <f>TEXT(data[[#This Row],[order_date]],"mmm")</f>
        <v>Mar</v>
      </c>
      <c r="Q113">
        <f>YEAR(data[[#This Row],[order_date]])</f>
        <v>2025</v>
      </c>
      <c r="R113">
        <f>MONTH(data[[#This Row],[order_date]])</f>
        <v>3</v>
      </c>
      <c r="S113">
        <f>DAY(data[[#This Row],[order_date]])</f>
        <v>27</v>
      </c>
      <c r="T113">
        <f>data[[#This Row],[profit]]/data[[#This Row],[sales]]</f>
        <v>0.28938756428237494</v>
      </c>
    </row>
    <row r="114" spans="1:20" x14ac:dyDescent="0.35">
      <c r="A114" t="s">
        <v>223</v>
      </c>
      <c r="B114" s="1">
        <v>45764</v>
      </c>
      <c r="C114" t="s">
        <v>14</v>
      </c>
      <c r="D114" t="s">
        <v>15</v>
      </c>
      <c r="E114" t="s">
        <v>224</v>
      </c>
      <c r="F114" t="s">
        <v>23</v>
      </c>
      <c r="G114" t="s">
        <v>158</v>
      </c>
      <c r="H114" t="s">
        <v>159</v>
      </c>
      <c r="I114" t="s">
        <v>160</v>
      </c>
      <c r="J114">
        <v>1</v>
      </c>
      <c r="K114">
        <v>2318000</v>
      </c>
      <c r="L114">
        <v>0</v>
      </c>
      <c r="M114">
        <v>1710000</v>
      </c>
      <c r="N114">
        <f>(data[[#This Row],[unit_price]]*data[[#This Row],[quantity]]) * (1-data[[#This Row],[discount]])</f>
        <v>2318000</v>
      </c>
      <c r="O114">
        <f>data[[#This Row],[sales]]-data[[#This Row],[cost]]</f>
        <v>608000</v>
      </c>
      <c r="P114" t="str">
        <f>TEXT(data[[#This Row],[order_date]],"mmm")</f>
        <v>Apr</v>
      </c>
      <c r="Q114">
        <f>YEAR(data[[#This Row],[order_date]])</f>
        <v>2025</v>
      </c>
      <c r="R114">
        <f>MONTH(data[[#This Row],[order_date]])</f>
        <v>4</v>
      </c>
      <c r="S114">
        <f>DAY(data[[#This Row],[order_date]])</f>
        <v>17</v>
      </c>
      <c r="T114">
        <f>data[[#This Row],[profit]]/data[[#This Row],[sales]]</f>
        <v>0.26229508196721313</v>
      </c>
    </row>
    <row r="115" spans="1:20" x14ac:dyDescent="0.35">
      <c r="A115" t="s">
        <v>225</v>
      </c>
      <c r="B115" s="1">
        <v>45770</v>
      </c>
      <c r="C115" t="s">
        <v>14</v>
      </c>
      <c r="D115" t="s">
        <v>15</v>
      </c>
      <c r="E115" t="s">
        <v>226</v>
      </c>
      <c r="F115" t="s">
        <v>17</v>
      </c>
      <c r="G115" t="s">
        <v>158</v>
      </c>
      <c r="H115" t="s">
        <v>159</v>
      </c>
      <c r="I115" t="s">
        <v>160</v>
      </c>
      <c r="J115">
        <v>1</v>
      </c>
      <c r="K115">
        <v>2816000</v>
      </c>
      <c r="L115">
        <v>0</v>
      </c>
      <c r="M115">
        <v>2009000</v>
      </c>
      <c r="N115">
        <f>(data[[#This Row],[unit_price]]*data[[#This Row],[quantity]]) * (1-data[[#This Row],[discount]])</f>
        <v>2816000</v>
      </c>
      <c r="O115">
        <f>data[[#This Row],[sales]]-data[[#This Row],[cost]]</f>
        <v>807000</v>
      </c>
      <c r="P115" t="str">
        <f>TEXT(data[[#This Row],[order_date]],"mmm")</f>
        <v>Apr</v>
      </c>
      <c r="Q115">
        <f>YEAR(data[[#This Row],[order_date]])</f>
        <v>2025</v>
      </c>
      <c r="R115">
        <f>MONTH(data[[#This Row],[order_date]])</f>
        <v>4</v>
      </c>
      <c r="S115">
        <f>DAY(data[[#This Row],[order_date]])</f>
        <v>23</v>
      </c>
      <c r="T115">
        <f>data[[#This Row],[profit]]/data[[#This Row],[sales]]</f>
        <v>0.28657670454545453</v>
      </c>
    </row>
    <row r="116" spans="1:20" x14ac:dyDescent="0.35">
      <c r="A116" t="s">
        <v>227</v>
      </c>
      <c r="B116" s="1">
        <v>45775</v>
      </c>
      <c r="C116" t="s">
        <v>25</v>
      </c>
      <c r="D116" t="s">
        <v>26</v>
      </c>
      <c r="E116" t="s">
        <v>228</v>
      </c>
      <c r="F116" t="s">
        <v>17</v>
      </c>
      <c r="G116" t="s">
        <v>158</v>
      </c>
      <c r="H116" t="s">
        <v>159</v>
      </c>
      <c r="I116" t="s">
        <v>160</v>
      </c>
      <c r="J116">
        <v>3</v>
      </c>
      <c r="K116">
        <v>2473000</v>
      </c>
      <c r="L116">
        <v>0</v>
      </c>
      <c r="M116">
        <v>1803000</v>
      </c>
      <c r="N116">
        <f>(data[[#This Row],[unit_price]]*data[[#This Row],[quantity]]) * (1-data[[#This Row],[discount]])</f>
        <v>7419000</v>
      </c>
      <c r="O116">
        <f>data[[#This Row],[sales]]-data[[#This Row],[cost]]</f>
        <v>5616000</v>
      </c>
      <c r="P116" t="str">
        <f>TEXT(data[[#This Row],[order_date]],"mmm")</f>
        <v>Apr</v>
      </c>
      <c r="Q116">
        <f>YEAR(data[[#This Row],[order_date]])</f>
        <v>2025</v>
      </c>
      <c r="R116">
        <f>MONTH(data[[#This Row],[order_date]])</f>
        <v>4</v>
      </c>
      <c r="S116">
        <f>DAY(data[[#This Row],[order_date]])</f>
        <v>28</v>
      </c>
      <c r="T116">
        <f>data[[#This Row],[profit]]/data[[#This Row],[sales]]</f>
        <v>0.75697533360291147</v>
      </c>
    </row>
    <row r="117" spans="1:20" x14ac:dyDescent="0.35">
      <c r="A117" t="s">
        <v>229</v>
      </c>
      <c r="B117" s="1">
        <v>45780</v>
      </c>
      <c r="C117" t="s">
        <v>14</v>
      </c>
      <c r="D117" t="s">
        <v>15</v>
      </c>
      <c r="E117" t="s">
        <v>230</v>
      </c>
      <c r="F117" t="s">
        <v>23</v>
      </c>
      <c r="G117" t="s">
        <v>158</v>
      </c>
      <c r="H117" t="s">
        <v>159</v>
      </c>
      <c r="I117" t="s">
        <v>160</v>
      </c>
      <c r="J117">
        <v>3</v>
      </c>
      <c r="K117">
        <v>2590000</v>
      </c>
      <c r="L117">
        <v>0</v>
      </c>
      <c r="M117">
        <v>1858000</v>
      </c>
      <c r="N117">
        <f>(data[[#This Row],[unit_price]]*data[[#This Row],[quantity]]) * (1-data[[#This Row],[discount]])</f>
        <v>7770000</v>
      </c>
      <c r="O117">
        <f>data[[#This Row],[sales]]-data[[#This Row],[cost]]</f>
        <v>5912000</v>
      </c>
      <c r="P117" t="str">
        <f>TEXT(data[[#This Row],[order_date]],"mmm")</f>
        <v>May</v>
      </c>
      <c r="Q117">
        <f>YEAR(data[[#This Row],[order_date]])</f>
        <v>2025</v>
      </c>
      <c r="R117">
        <f>MONTH(data[[#This Row],[order_date]])</f>
        <v>5</v>
      </c>
      <c r="S117">
        <f>DAY(data[[#This Row],[order_date]])</f>
        <v>3</v>
      </c>
      <c r="T117">
        <f>data[[#This Row],[profit]]/data[[#This Row],[sales]]</f>
        <v>0.76087516087516083</v>
      </c>
    </row>
    <row r="118" spans="1:20" x14ac:dyDescent="0.35">
      <c r="A118" t="s">
        <v>231</v>
      </c>
      <c r="B118" s="1">
        <v>45785</v>
      </c>
      <c r="C118" t="s">
        <v>14</v>
      </c>
      <c r="D118" t="s">
        <v>15</v>
      </c>
      <c r="E118" t="s">
        <v>102</v>
      </c>
      <c r="F118" t="s">
        <v>58</v>
      </c>
      <c r="G118" t="s">
        <v>158</v>
      </c>
      <c r="H118" t="s">
        <v>159</v>
      </c>
      <c r="I118" t="s">
        <v>160</v>
      </c>
      <c r="J118">
        <v>1</v>
      </c>
      <c r="K118">
        <v>2170000</v>
      </c>
      <c r="L118">
        <v>0.15</v>
      </c>
      <c r="M118">
        <v>1528000</v>
      </c>
      <c r="N118">
        <f>(data[[#This Row],[unit_price]]*data[[#This Row],[quantity]]) * (1-data[[#This Row],[discount]])</f>
        <v>1844500</v>
      </c>
      <c r="O118">
        <f>data[[#This Row],[sales]]-data[[#This Row],[cost]]</f>
        <v>316500</v>
      </c>
      <c r="P118" t="str">
        <f>TEXT(data[[#This Row],[order_date]],"mmm")</f>
        <v>May</v>
      </c>
      <c r="Q118">
        <f>YEAR(data[[#This Row],[order_date]])</f>
        <v>2025</v>
      </c>
      <c r="R118">
        <f>MONTH(data[[#This Row],[order_date]])</f>
        <v>5</v>
      </c>
      <c r="S118">
        <f>DAY(data[[#This Row],[order_date]])</f>
        <v>8</v>
      </c>
      <c r="T118">
        <f>data[[#This Row],[profit]]/data[[#This Row],[sales]]</f>
        <v>0.17159121713201408</v>
      </c>
    </row>
    <row r="119" spans="1:20" x14ac:dyDescent="0.35">
      <c r="A119" t="s">
        <v>232</v>
      </c>
      <c r="B119" s="1">
        <v>45797</v>
      </c>
      <c r="C119" t="s">
        <v>41</v>
      </c>
      <c r="D119" t="s">
        <v>42</v>
      </c>
      <c r="E119" t="s">
        <v>174</v>
      </c>
      <c r="F119" t="s">
        <v>23</v>
      </c>
      <c r="G119" t="s">
        <v>158</v>
      </c>
      <c r="H119" t="s">
        <v>159</v>
      </c>
      <c r="I119" t="s">
        <v>160</v>
      </c>
      <c r="J119">
        <v>1</v>
      </c>
      <c r="K119">
        <v>2928000</v>
      </c>
      <c r="L119">
        <v>0.1</v>
      </c>
      <c r="M119">
        <v>2061000</v>
      </c>
      <c r="N119">
        <f>(data[[#This Row],[unit_price]]*data[[#This Row],[quantity]]) * (1-data[[#This Row],[discount]])</f>
        <v>2635200</v>
      </c>
      <c r="O119">
        <f>data[[#This Row],[sales]]-data[[#This Row],[cost]]</f>
        <v>574200</v>
      </c>
      <c r="P119" t="str">
        <f>TEXT(data[[#This Row],[order_date]],"mmm")</f>
        <v>May</v>
      </c>
      <c r="Q119">
        <f>YEAR(data[[#This Row],[order_date]])</f>
        <v>2025</v>
      </c>
      <c r="R119">
        <f>MONTH(data[[#This Row],[order_date]])</f>
        <v>5</v>
      </c>
      <c r="S119">
        <f>DAY(data[[#This Row],[order_date]])</f>
        <v>20</v>
      </c>
      <c r="T119">
        <f>data[[#This Row],[profit]]/data[[#This Row],[sales]]</f>
        <v>0.21789617486338797</v>
      </c>
    </row>
    <row r="120" spans="1:20" x14ac:dyDescent="0.35">
      <c r="A120" t="s">
        <v>233</v>
      </c>
      <c r="B120" s="1">
        <v>45818</v>
      </c>
      <c r="C120" t="s">
        <v>41</v>
      </c>
      <c r="D120" t="s">
        <v>42</v>
      </c>
      <c r="E120" t="s">
        <v>234</v>
      </c>
      <c r="F120" t="s">
        <v>23</v>
      </c>
      <c r="G120" t="s">
        <v>158</v>
      </c>
      <c r="H120" t="s">
        <v>159</v>
      </c>
      <c r="I120" t="s">
        <v>160</v>
      </c>
      <c r="J120">
        <v>3</v>
      </c>
      <c r="K120">
        <v>2013000</v>
      </c>
      <c r="L120">
        <v>0</v>
      </c>
      <c r="M120">
        <v>1481000</v>
      </c>
      <c r="N120">
        <f>(data[[#This Row],[unit_price]]*data[[#This Row],[quantity]]) * (1-data[[#This Row],[discount]])</f>
        <v>6039000</v>
      </c>
      <c r="O120">
        <f>data[[#This Row],[sales]]-data[[#This Row],[cost]]</f>
        <v>4558000</v>
      </c>
      <c r="P120" t="str">
        <f>TEXT(data[[#This Row],[order_date]],"mmm")</f>
        <v>Jun</v>
      </c>
      <c r="Q120">
        <f>YEAR(data[[#This Row],[order_date]])</f>
        <v>2025</v>
      </c>
      <c r="R120">
        <f>MONTH(data[[#This Row],[order_date]])</f>
        <v>6</v>
      </c>
      <c r="S120">
        <f>DAY(data[[#This Row],[order_date]])</f>
        <v>10</v>
      </c>
      <c r="T120">
        <f>data[[#This Row],[profit]]/data[[#This Row],[sales]]</f>
        <v>0.7547607219738367</v>
      </c>
    </row>
    <row r="121" spans="1:20" x14ac:dyDescent="0.35">
      <c r="A121" t="s">
        <v>235</v>
      </c>
      <c r="B121" s="1">
        <v>45819</v>
      </c>
      <c r="C121" t="s">
        <v>14</v>
      </c>
      <c r="D121" t="s">
        <v>15</v>
      </c>
      <c r="E121" t="s">
        <v>236</v>
      </c>
      <c r="F121" t="s">
        <v>28</v>
      </c>
      <c r="G121" t="s">
        <v>158</v>
      </c>
      <c r="H121" t="s">
        <v>159</v>
      </c>
      <c r="I121" t="s">
        <v>160</v>
      </c>
      <c r="J121">
        <v>1</v>
      </c>
      <c r="K121">
        <v>3151000</v>
      </c>
      <c r="L121">
        <v>0</v>
      </c>
      <c r="M121">
        <v>2227000</v>
      </c>
      <c r="N121">
        <f>(data[[#This Row],[unit_price]]*data[[#This Row],[quantity]]) * (1-data[[#This Row],[discount]])</f>
        <v>3151000</v>
      </c>
      <c r="O121">
        <f>data[[#This Row],[sales]]-data[[#This Row],[cost]]</f>
        <v>924000</v>
      </c>
      <c r="P121" t="str">
        <f>TEXT(data[[#This Row],[order_date]],"mmm")</f>
        <v>Jun</v>
      </c>
      <c r="Q121">
        <f>YEAR(data[[#This Row],[order_date]])</f>
        <v>2025</v>
      </c>
      <c r="R121">
        <f>MONTH(data[[#This Row],[order_date]])</f>
        <v>6</v>
      </c>
      <c r="S121">
        <f>DAY(data[[#This Row],[order_date]])</f>
        <v>11</v>
      </c>
      <c r="T121">
        <f>data[[#This Row],[profit]]/data[[#This Row],[sales]]</f>
        <v>0.29324024119327197</v>
      </c>
    </row>
    <row r="122" spans="1:20" x14ac:dyDescent="0.35">
      <c r="A122" t="s">
        <v>237</v>
      </c>
      <c r="B122" s="1">
        <v>45843</v>
      </c>
      <c r="C122" t="s">
        <v>14</v>
      </c>
      <c r="D122" t="s">
        <v>15</v>
      </c>
      <c r="E122" t="s">
        <v>117</v>
      </c>
      <c r="F122" t="s">
        <v>23</v>
      </c>
      <c r="G122" t="s">
        <v>158</v>
      </c>
      <c r="H122" t="s">
        <v>159</v>
      </c>
      <c r="I122" t="s">
        <v>160</v>
      </c>
      <c r="J122">
        <v>1</v>
      </c>
      <c r="K122">
        <v>3039000</v>
      </c>
      <c r="L122">
        <v>0.1</v>
      </c>
      <c r="M122">
        <v>2179000</v>
      </c>
      <c r="N122">
        <f>(data[[#This Row],[unit_price]]*data[[#This Row],[quantity]]) * (1-data[[#This Row],[discount]])</f>
        <v>2735100</v>
      </c>
      <c r="O122">
        <f>data[[#This Row],[sales]]-data[[#This Row],[cost]]</f>
        <v>556100</v>
      </c>
      <c r="P122" t="str">
        <f>TEXT(data[[#This Row],[order_date]],"mmm")</f>
        <v>Jul</v>
      </c>
      <c r="Q122">
        <f>YEAR(data[[#This Row],[order_date]])</f>
        <v>2025</v>
      </c>
      <c r="R122">
        <f>MONTH(data[[#This Row],[order_date]])</f>
        <v>7</v>
      </c>
      <c r="S122">
        <f>DAY(data[[#This Row],[order_date]])</f>
        <v>5</v>
      </c>
      <c r="T122">
        <f>data[[#This Row],[profit]]/data[[#This Row],[sales]]</f>
        <v>0.20331980549157253</v>
      </c>
    </row>
    <row r="123" spans="1:20" x14ac:dyDescent="0.35">
      <c r="A123" t="s">
        <v>238</v>
      </c>
      <c r="B123" s="1">
        <v>45844</v>
      </c>
      <c r="C123" t="s">
        <v>14</v>
      </c>
      <c r="D123" t="s">
        <v>15</v>
      </c>
      <c r="E123" t="s">
        <v>239</v>
      </c>
      <c r="F123" t="s">
        <v>23</v>
      </c>
      <c r="G123" t="s">
        <v>158</v>
      </c>
      <c r="H123" t="s">
        <v>159</v>
      </c>
      <c r="I123" t="s">
        <v>160</v>
      </c>
      <c r="J123">
        <v>1</v>
      </c>
      <c r="K123">
        <v>2085000</v>
      </c>
      <c r="L123">
        <v>0</v>
      </c>
      <c r="M123">
        <v>1490000</v>
      </c>
      <c r="N123">
        <f>(data[[#This Row],[unit_price]]*data[[#This Row],[quantity]]) * (1-data[[#This Row],[discount]])</f>
        <v>2085000</v>
      </c>
      <c r="O123">
        <f>data[[#This Row],[sales]]-data[[#This Row],[cost]]</f>
        <v>595000</v>
      </c>
      <c r="P123" t="str">
        <f>TEXT(data[[#This Row],[order_date]],"mmm")</f>
        <v>Jul</v>
      </c>
      <c r="Q123">
        <f>YEAR(data[[#This Row],[order_date]])</f>
        <v>2025</v>
      </c>
      <c r="R123">
        <f>MONTH(data[[#This Row],[order_date]])</f>
        <v>7</v>
      </c>
      <c r="S123">
        <f>DAY(data[[#This Row],[order_date]])</f>
        <v>6</v>
      </c>
      <c r="T123">
        <f>data[[#This Row],[profit]]/data[[#This Row],[sales]]</f>
        <v>0.28537170263788969</v>
      </c>
    </row>
    <row r="124" spans="1:20" x14ac:dyDescent="0.35">
      <c r="A124" t="s">
        <v>240</v>
      </c>
      <c r="B124" s="1">
        <v>45846</v>
      </c>
      <c r="C124" t="s">
        <v>14</v>
      </c>
      <c r="D124" t="s">
        <v>15</v>
      </c>
      <c r="E124" t="s">
        <v>47</v>
      </c>
      <c r="F124" t="s">
        <v>23</v>
      </c>
      <c r="G124" t="s">
        <v>158</v>
      </c>
      <c r="H124" t="s">
        <v>159</v>
      </c>
      <c r="I124" t="s">
        <v>160</v>
      </c>
      <c r="J124">
        <v>1</v>
      </c>
      <c r="K124">
        <v>2646000</v>
      </c>
      <c r="L124">
        <v>0.15</v>
      </c>
      <c r="M124">
        <v>1872000</v>
      </c>
      <c r="N124">
        <f>(data[[#This Row],[unit_price]]*data[[#This Row],[quantity]]) * (1-data[[#This Row],[discount]])</f>
        <v>2249100</v>
      </c>
      <c r="O124">
        <f>data[[#This Row],[sales]]-data[[#This Row],[cost]]</f>
        <v>377100</v>
      </c>
      <c r="P124" t="str">
        <f>TEXT(data[[#This Row],[order_date]],"mmm")</f>
        <v>Jul</v>
      </c>
      <c r="Q124">
        <f>YEAR(data[[#This Row],[order_date]])</f>
        <v>2025</v>
      </c>
      <c r="R124">
        <f>MONTH(data[[#This Row],[order_date]])</f>
        <v>7</v>
      </c>
      <c r="S124">
        <f>DAY(data[[#This Row],[order_date]])</f>
        <v>8</v>
      </c>
      <c r="T124">
        <f>data[[#This Row],[profit]]/data[[#This Row],[sales]]</f>
        <v>0.16766706682673069</v>
      </c>
    </row>
    <row r="125" spans="1:20" x14ac:dyDescent="0.35">
      <c r="A125" t="s">
        <v>241</v>
      </c>
      <c r="B125" s="1">
        <v>45858</v>
      </c>
      <c r="C125" t="s">
        <v>14</v>
      </c>
      <c r="D125" t="s">
        <v>15</v>
      </c>
      <c r="E125" t="s">
        <v>242</v>
      </c>
      <c r="F125" t="s">
        <v>17</v>
      </c>
      <c r="G125" t="s">
        <v>158</v>
      </c>
      <c r="H125" t="s">
        <v>159</v>
      </c>
      <c r="I125" t="s">
        <v>160</v>
      </c>
      <c r="J125">
        <v>1</v>
      </c>
      <c r="K125">
        <v>2723000</v>
      </c>
      <c r="L125">
        <v>0</v>
      </c>
      <c r="M125">
        <v>1951000</v>
      </c>
      <c r="N125">
        <f>(data[[#This Row],[unit_price]]*data[[#This Row],[quantity]]) * (1-data[[#This Row],[discount]])</f>
        <v>2723000</v>
      </c>
      <c r="O125">
        <f>data[[#This Row],[sales]]-data[[#This Row],[cost]]</f>
        <v>772000</v>
      </c>
      <c r="P125" t="str">
        <f>TEXT(data[[#This Row],[order_date]],"mmm")</f>
        <v>Jul</v>
      </c>
      <c r="Q125">
        <f>YEAR(data[[#This Row],[order_date]])</f>
        <v>2025</v>
      </c>
      <c r="R125">
        <f>MONTH(data[[#This Row],[order_date]])</f>
        <v>7</v>
      </c>
      <c r="S125">
        <f>DAY(data[[#This Row],[order_date]])</f>
        <v>20</v>
      </c>
      <c r="T125">
        <f>data[[#This Row],[profit]]/data[[#This Row],[sales]]</f>
        <v>0.28351083363936835</v>
      </c>
    </row>
    <row r="126" spans="1:20" x14ac:dyDescent="0.35">
      <c r="A126" t="s">
        <v>243</v>
      </c>
      <c r="B126" s="1">
        <v>45859</v>
      </c>
      <c r="C126" t="s">
        <v>49</v>
      </c>
      <c r="D126" t="s">
        <v>50</v>
      </c>
      <c r="E126" t="s">
        <v>244</v>
      </c>
      <c r="F126" t="s">
        <v>17</v>
      </c>
      <c r="G126" t="s">
        <v>158</v>
      </c>
      <c r="H126" t="s">
        <v>159</v>
      </c>
      <c r="I126" t="s">
        <v>160</v>
      </c>
      <c r="J126">
        <v>1</v>
      </c>
      <c r="K126">
        <v>3080000</v>
      </c>
      <c r="L126">
        <v>0</v>
      </c>
      <c r="M126">
        <v>2268000</v>
      </c>
      <c r="N126">
        <f>(data[[#This Row],[unit_price]]*data[[#This Row],[quantity]]) * (1-data[[#This Row],[discount]])</f>
        <v>3080000</v>
      </c>
      <c r="O126">
        <f>data[[#This Row],[sales]]-data[[#This Row],[cost]]</f>
        <v>812000</v>
      </c>
      <c r="P126" t="str">
        <f>TEXT(data[[#This Row],[order_date]],"mmm")</f>
        <v>Jul</v>
      </c>
      <c r="Q126">
        <f>YEAR(data[[#This Row],[order_date]])</f>
        <v>2025</v>
      </c>
      <c r="R126">
        <f>MONTH(data[[#This Row],[order_date]])</f>
        <v>7</v>
      </c>
      <c r="S126">
        <f>DAY(data[[#This Row],[order_date]])</f>
        <v>21</v>
      </c>
      <c r="T126">
        <f>data[[#This Row],[profit]]/data[[#This Row],[sales]]</f>
        <v>0.26363636363636361</v>
      </c>
    </row>
    <row r="127" spans="1:20" x14ac:dyDescent="0.35">
      <c r="A127" t="s">
        <v>245</v>
      </c>
      <c r="B127" s="1">
        <v>45865</v>
      </c>
      <c r="C127" t="s">
        <v>14</v>
      </c>
      <c r="D127" t="s">
        <v>15</v>
      </c>
      <c r="E127" t="s">
        <v>30</v>
      </c>
      <c r="F127" t="s">
        <v>23</v>
      </c>
      <c r="G127" t="s">
        <v>158</v>
      </c>
      <c r="H127" t="s">
        <v>159</v>
      </c>
      <c r="I127" t="s">
        <v>160</v>
      </c>
      <c r="J127">
        <v>1</v>
      </c>
      <c r="K127">
        <v>2267000</v>
      </c>
      <c r="L127">
        <v>0</v>
      </c>
      <c r="M127">
        <v>1667000</v>
      </c>
      <c r="N127">
        <f>(data[[#This Row],[unit_price]]*data[[#This Row],[quantity]]) * (1-data[[#This Row],[discount]])</f>
        <v>2267000</v>
      </c>
      <c r="O127">
        <f>data[[#This Row],[sales]]-data[[#This Row],[cost]]</f>
        <v>600000</v>
      </c>
      <c r="P127" t="str">
        <f>TEXT(data[[#This Row],[order_date]],"mmm")</f>
        <v>Jul</v>
      </c>
      <c r="Q127">
        <f>YEAR(data[[#This Row],[order_date]])</f>
        <v>2025</v>
      </c>
      <c r="R127">
        <f>MONTH(data[[#This Row],[order_date]])</f>
        <v>7</v>
      </c>
      <c r="S127">
        <f>DAY(data[[#This Row],[order_date]])</f>
        <v>27</v>
      </c>
      <c r="T127">
        <f>data[[#This Row],[profit]]/data[[#This Row],[sales]]</f>
        <v>0.26466696074106749</v>
      </c>
    </row>
    <row r="128" spans="1:20" x14ac:dyDescent="0.35">
      <c r="A128" t="s">
        <v>246</v>
      </c>
      <c r="B128" s="1">
        <v>45870</v>
      </c>
      <c r="C128" t="s">
        <v>49</v>
      </c>
      <c r="D128" t="s">
        <v>50</v>
      </c>
      <c r="E128" t="s">
        <v>247</v>
      </c>
      <c r="F128" t="s">
        <v>17</v>
      </c>
      <c r="G128" t="s">
        <v>158</v>
      </c>
      <c r="H128" t="s">
        <v>159</v>
      </c>
      <c r="I128" t="s">
        <v>160</v>
      </c>
      <c r="J128">
        <v>1</v>
      </c>
      <c r="K128">
        <v>3046000</v>
      </c>
      <c r="L128">
        <v>0.15</v>
      </c>
      <c r="M128">
        <v>2180000</v>
      </c>
      <c r="N128">
        <f>(data[[#This Row],[unit_price]]*data[[#This Row],[quantity]]) * (1-data[[#This Row],[discount]])</f>
        <v>2589100</v>
      </c>
      <c r="O128">
        <f>data[[#This Row],[sales]]-data[[#This Row],[cost]]</f>
        <v>409100</v>
      </c>
      <c r="P128" t="str">
        <f>TEXT(data[[#This Row],[order_date]],"mmm")</f>
        <v>Aug</v>
      </c>
      <c r="Q128">
        <f>YEAR(data[[#This Row],[order_date]])</f>
        <v>2025</v>
      </c>
      <c r="R128">
        <f>MONTH(data[[#This Row],[order_date]])</f>
        <v>8</v>
      </c>
      <c r="S128">
        <f>DAY(data[[#This Row],[order_date]])</f>
        <v>1</v>
      </c>
      <c r="T128">
        <f>data[[#This Row],[profit]]/data[[#This Row],[sales]]</f>
        <v>0.15800857440809549</v>
      </c>
    </row>
    <row r="129" spans="1:20" x14ac:dyDescent="0.35">
      <c r="A129" t="s">
        <v>248</v>
      </c>
      <c r="B129" s="1">
        <v>45891</v>
      </c>
      <c r="C129" t="s">
        <v>36</v>
      </c>
      <c r="D129" t="s">
        <v>37</v>
      </c>
      <c r="E129" t="s">
        <v>93</v>
      </c>
      <c r="F129" t="s">
        <v>23</v>
      </c>
      <c r="G129" t="s">
        <v>158</v>
      </c>
      <c r="H129" t="s">
        <v>159</v>
      </c>
      <c r="I129" t="s">
        <v>160</v>
      </c>
      <c r="J129">
        <v>2</v>
      </c>
      <c r="K129">
        <v>2111000</v>
      </c>
      <c r="L129">
        <v>0</v>
      </c>
      <c r="M129">
        <v>1488000</v>
      </c>
      <c r="N129">
        <f>(data[[#This Row],[unit_price]]*data[[#This Row],[quantity]]) * (1-data[[#This Row],[discount]])</f>
        <v>4222000</v>
      </c>
      <c r="O129">
        <f>data[[#This Row],[sales]]-data[[#This Row],[cost]]</f>
        <v>2734000</v>
      </c>
      <c r="P129" t="str">
        <f>TEXT(data[[#This Row],[order_date]],"mmm")</f>
        <v>Aug</v>
      </c>
      <c r="Q129">
        <f>YEAR(data[[#This Row],[order_date]])</f>
        <v>2025</v>
      </c>
      <c r="R129">
        <f>MONTH(data[[#This Row],[order_date]])</f>
        <v>8</v>
      </c>
      <c r="S129">
        <f>DAY(data[[#This Row],[order_date]])</f>
        <v>22</v>
      </c>
      <c r="T129">
        <f>data[[#This Row],[profit]]/data[[#This Row],[sales]]</f>
        <v>0.64756039791567976</v>
      </c>
    </row>
    <row r="130" spans="1:20" x14ac:dyDescent="0.35">
      <c r="A130" t="s">
        <v>249</v>
      </c>
      <c r="B130" s="1">
        <v>45893</v>
      </c>
      <c r="C130" t="s">
        <v>14</v>
      </c>
      <c r="D130" t="s">
        <v>15</v>
      </c>
      <c r="E130" t="s">
        <v>244</v>
      </c>
      <c r="F130" t="s">
        <v>17</v>
      </c>
      <c r="G130" t="s">
        <v>158</v>
      </c>
      <c r="H130" t="s">
        <v>159</v>
      </c>
      <c r="I130" t="s">
        <v>160</v>
      </c>
      <c r="J130">
        <v>1</v>
      </c>
      <c r="K130">
        <v>2449000</v>
      </c>
      <c r="L130">
        <v>0</v>
      </c>
      <c r="M130">
        <v>1788000</v>
      </c>
      <c r="N130">
        <f>(data[[#This Row],[unit_price]]*data[[#This Row],[quantity]]) * (1-data[[#This Row],[discount]])</f>
        <v>2449000</v>
      </c>
      <c r="O130">
        <f>data[[#This Row],[sales]]-data[[#This Row],[cost]]</f>
        <v>661000</v>
      </c>
      <c r="P130" t="str">
        <f>TEXT(data[[#This Row],[order_date]],"mmm")</f>
        <v>Aug</v>
      </c>
      <c r="Q130">
        <f>YEAR(data[[#This Row],[order_date]])</f>
        <v>2025</v>
      </c>
      <c r="R130">
        <f>MONTH(data[[#This Row],[order_date]])</f>
        <v>8</v>
      </c>
      <c r="S130">
        <f>DAY(data[[#This Row],[order_date]])</f>
        <v>24</v>
      </c>
      <c r="T130">
        <f>data[[#This Row],[profit]]/data[[#This Row],[sales]]</f>
        <v>0.26990608411596573</v>
      </c>
    </row>
    <row r="131" spans="1:20" x14ac:dyDescent="0.35">
      <c r="A131" t="s">
        <v>250</v>
      </c>
      <c r="B131" s="1">
        <v>45902</v>
      </c>
      <c r="C131" t="s">
        <v>49</v>
      </c>
      <c r="D131" t="s">
        <v>50</v>
      </c>
      <c r="E131" t="s">
        <v>205</v>
      </c>
      <c r="F131" t="s">
        <v>17</v>
      </c>
      <c r="G131" t="s">
        <v>158</v>
      </c>
      <c r="H131" t="s">
        <v>159</v>
      </c>
      <c r="I131" t="s">
        <v>160</v>
      </c>
      <c r="J131">
        <v>1</v>
      </c>
      <c r="K131">
        <v>2664000</v>
      </c>
      <c r="L131">
        <v>0</v>
      </c>
      <c r="M131">
        <v>1959000</v>
      </c>
      <c r="N131">
        <f>(data[[#This Row],[unit_price]]*data[[#This Row],[quantity]]) * (1-data[[#This Row],[discount]])</f>
        <v>2664000</v>
      </c>
      <c r="O131">
        <f>data[[#This Row],[sales]]-data[[#This Row],[cost]]</f>
        <v>705000</v>
      </c>
      <c r="P131" t="str">
        <f>TEXT(data[[#This Row],[order_date]],"mmm")</f>
        <v>Sep</v>
      </c>
      <c r="Q131">
        <f>YEAR(data[[#This Row],[order_date]])</f>
        <v>2025</v>
      </c>
      <c r="R131">
        <f>MONTH(data[[#This Row],[order_date]])</f>
        <v>9</v>
      </c>
      <c r="S131">
        <f>DAY(data[[#This Row],[order_date]])</f>
        <v>2</v>
      </c>
      <c r="T131">
        <f>data[[#This Row],[profit]]/data[[#This Row],[sales]]</f>
        <v>0.26463963963963966</v>
      </c>
    </row>
    <row r="132" spans="1:20" x14ac:dyDescent="0.35">
      <c r="A132" t="s">
        <v>251</v>
      </c>
      <c r="B132" s="1">
        <v>45907</v>
      </c>
      <c r="C132" t="s">
        <v>41</v>
      </c>
      <c r="D132" t="s">
        <v>42</v>
      </c>
      <c r="E132" t="s">
        <v>99</v>
      </c>
      <c r="F132" t="s">
        <v>23</v>
      </c>
      <c r="G132" t="s">
        <v>158</v>
      </c>
      <c r="H132" t="s">
        <v>159</v>
      </c>
      <c r="I132" t="s">
        <v>160</v>
      </c>
      <c r="J132">
        <v>1</v>
      </c>
      <c r="K132">
        <v>2858000</v>
      </c>
      <c r="L132">
        <v>0</v>
      </c>
      <c r="M132">
        <v>2062000</v>
      </c>
      <c r="N132">
        <f>(data[[#This Row],[unit_price]]*data[[#This Row],[quantity]]) * (1-data[[#This Row],[discount]])</f>
        <v>2858000</v>
      </c>
      <c r="O132">
        <f>data[[#This Row],[sales]]-data[[#This Row],[cost]]</f>
        <v>796000</v>
      </c>
      <c r="P132" t="str">
        <f>TEXT(data[[#This Row],[order_date]],"mmm")</f>
        <v>Sep</v>
      </c>
      <c r="Q132">
        <f>YEAR(data[[#This Row],[order_date]])</f>
        <v>2025</v>
      </c>
      <c r="R132">
        <f>MONTH(data[[#This Row],[order_date]])</f>
        <v>9</v>
      </c>
      <c r="S132">
        <f>DAY(data[[#This Row],[order_date]])</f>
        <v>7</v>
      </c>
      <c r="T132">
        <f>data[[#This Row],[profit]]/data[[#This Row],[sales]]</f>
        <v>0.27851644506648005</v>
      </c>
    </row>
    <row r="133" spans="1:20" x14ac:dyDescent="0.35">
      <c r="A133" t="s">
        <v>252</v>
      </c>
      <c r="B133" s="1">
        <v>45921</v>
      </c>
      <c r="C133" t="s">
        <v>49</v>
      </c>
      <c r="D133" t="s">
        <v>50</v>
      </c>
      <c r="E133" t="s">
        <v>162</v>
      </c>
      <c r="F133" t="s">
        <v>28</v>
      </c>
      <c r="G133" t="s">
        <v>158</v>
      </c>
      <c r="H133" t="s">
        <v>159</v>
      </c>
      <c r="I133" t="s">
        <v>160</v>
      </c>
      <c r="J133">
        <v>1</v>
      </c>
      <c r="K133">
        <v>3259000</v>
      </c>
      <c r="L133">
        <v>0.1</v>
      </c>
      <c r="M133">
        <v>2366000</v>
      </c>
      <c r="N133">
        <f>(data[[#This Row],[unit_price]]*data[[#This Row],[quantity]]) * (1-data[[#This Row],[discount]])</f>
        <v>2933100</v>
      </c>
      <c r="O133">
        <f>data[[#This Row],[sales]]-data[[#This Row],[cost]]</f>
        <v>567100</v>
      </c>
      <c r="P133" t="str">
        <f>TEXT(data[[#This Row],[order_date]],"mmm")</f>
        <v>Sep</v>
      </c>
      <c r="Q133">
        <f>YEAR(data[[#This Row],[order_date]])</f>
        <v>2025</v>
      </c>
      <c r="R133">
        <f>MONTH(data[[#This Row],[order_date]])</f>
        <v>9</v>
      </c>
      <c r="S133">
        <f>DAY(data[[#This Row],[order_date]])</f>
        <v>21</v>
      </c>
      <c r="T133">
        <f>data[[#This Row],[profit]]/data[[#This Row],[sales]]</f>
        <v>0.19334492516450172</v>
      </c>
    </row>
    <row r="134" spans="1:20" x14ac:dyDescent="0.35">
      <c r="A134" t="s">
        <v>253</v>
      </c>
      <c r="B134" s="1">
        <v>45922</v>
      </c>
      <c r="C134" t="s">
        <v>36</v>
      </c>
      <c r="D134" t="s">
        <v>37</v>
      </c>
      <c r="E134" t="s">
        <v>95</v>
      </c>
      <c r="F134" t="s">
        <v>23</v>
      </c>
      <c r="G134" t="s">
        <v>158</v>
      </c>
      <c r="H134" t="s">
        <v>159</v>
      </c>
      <c r="I134" t="s">
        <v>160</v>
      </c>
      <c r="J134">
        <v>1</v>
      </c>
      <c r="K134">
        <v>2623000</v>
      </c>
      <c r="L134">
        <v>0</v>
      </c>
      <c r="M134">
        <v>1910000</v>
      </c>
      <c r="N134">
        <f>(data[[#This Row],[unit_price]]*data[[#This Row],[quantity]]) * (1-data[[#This Row],[discount]])</f>
        <v>2623000</v>
      </c>
      <c r="O134">
        <f>data[[#This Row],[sales]]-data[[#This Row],[cost]]</f>
        <v>713000</v>
      </c>
      <c r="P134" t="str">
        <f>TEXT(data[[#This Row],[order_date]],"mmm")</f>
        <v>Sep</v>
      </c>
      <c r="Q134">
        <f>YEAR(data[[#This Row],[order_date]])</f>
        <v>2025</v>
      </c>
      <c r="R134">
        <f>MONTH(data[[#This Row],[order_date]])</f>
        <v>9</v>
      </c>
      <c r="S134">
        <f>DAY(data[[#This Row],[order_date]])</f>
        <v>22</v>
      </c>
      <c r="T134">
        <f>data[[#This Row],[profit]]/data[[#This Row],[sales]]</f>
        <v>0.27182615325962639</v>
      </c>
    </row>
    <row r="135" spans="1:20" x14ac:dyDescent="0.35">
      <c r="A135" t="s">
        <v>254</v>
      </c>
      <c r="B135" s="1">
        <v>45928</v>
      </c>
      <c r="C135" t="s">
        <v>14</v>
      </c>
      <c r="D135" t="s">
        <v>15</v>
      </c>
      <c r="E135" t="s">
        <v>255</v>
      </c>
      <c r="F135" t="s">
        <v>17</v>
      </c>
      <c r="G135" t="s">
        <v>158</v>
      </c>
      <c r="H135" t="s">
        <v>159</v>
      </c>
      <c r="I135" t="s">
        <v>160</v>
      </c>
      <c r="J135">
        <v>1</v>
      </c>
      <c r="K135">
        <v>2720000</v>
      </c>
      <c r="L135">
        <v>0</v>
      </c>
      <c r="M135">
        <v>1944000</v>
      </c>
      <c r="N135">
        <f>(data[[#This Row],[unit_price]]*data[[#This Row],[quantity]]) * (1-data[[#This Row],[discount]])</f>
        <v>2720000</v>
      </c>
      <c r="O135">
        <f>data[[#This Row],[sales]]-data[[#This Row],[cost]]</f>
        <v>776000</v>
      </c>
      <c r="P135" t="str">
        <f>TEXT(data[[#This Row],[order_date]],"mmm")</f>
        <v>Sep</v>
      </c>
      <c r="Q135">
        <f>YEAR(data[[#This Row],[order_date]])</f>
        <v>2025</v>
      </c>
      <c r="R135">
        <f>MONTH(data[[#This Row],[order_date]])</f>
        <v>9</v>
      </c>
      <c r="S135">
        <f>DAY(data[[#This Row],[order_date]])</f>
        <v>28</v>
      </c>
      <c r="T135">
        <f>data[[#This Row],[profit]]/data[[#This Row],[sales]]</f>
        <v>0.28529411764705881</v>
      </c>
    </row>
    <row r="136" spans="1:20" x14ac:dyDescent="0.35">
      <c r="A136" t="s">
        <v>256</v>
      </c>
      <c r="B136" s="1">
        <v>45929</v>
      </c>
      <c r="C136" t="s">
        <v>36</v>
      </c>
      <c r="D136" t="s">
        <v>37</v>
      </c>
      <c r="E136" t="s">
        <v>132</v>
      </c>
      <c r="F136" t="s">
        <v>28</v>
      </c>
      <c r="G136" t="s">
        <v>158</v>
      </c>
      <c r="H136" t="s">
        <v>159</v>
      </c>
      <c r="I136" t="s">
        <v>160</v>
      </c>
      <c r="J136">
        <v>1</v>
      </c>
      <c r="K136">
        <v>2485000</v>
      </c>
      <c r="L136">
        <v>0</v>
      </c>
      <c r="M136">
        <v>1839000</v>
      </c>
      <c r="N136">
        <f>(data[[#This Row],[unit_price]]*data[[#This Row],[quantity]]) * (1-data[[#This Row],[discount]])</f>
        <v>2485000</v>
      </c>
      <c r="O136">
        <f>data[[#This Row],[sales]]-data[[#This Row],[cost]]</f>
        <v>646000</v>
      </c>
      <c r="P136" t="str">
        <f>TEXT(data[[#This Row],[order_date]],"mmm")</f>
        <v>Sep</v>
      </c>
      <c r="Q136">
        <f>YEAR(data[[#This Row],[order_date]])</f>
        <v>2025</v>
      </c>
      <c r="R136">
        <f>MONTH(data[[#This Row],[order_date]])</f>
        <v>9</v>
      </c>
      <c r="S136">
        <f>DAY(data[[#This Row],[order_date]])</f>
        <v>29</v>
      </c>
      <c r="T136">
        <f>data[[#This Row],[profit]]/data[[#This Row],[sales]]</f>
        <v>0.25995975855130787</v>
      </c>
    </row>
    <row r="137" spans="1:20" x14ac:dyDescent="0.35">
      <c r="A137" t="s">
        <v>257</v>
      </c>
      <c r="B137" s="1">
        <v>45962</v>
      </c>
      <c r="C137" t="s">
        <v>14</v>
      </c>
      <c r="D137" t="s">
        <v>15</v>
      </c>
      <c r="E137" t="s">
        <v>258</v>
      </c>
      <c r="F137" t="s">
        <v>23</v>
      </c>
      <c r="G137" t="s">
        <v>158</v>
      </c>
      <c r="H137" t="s">
        <v>159</v>
      </c>
      <c r="I137" t="s">
        <v>160</v>
      </c>
      <c r="J137">
        <v>2</v>
      </c>
      <c r="K137">
        <v>3227000</v>
      </c>
      <c r="L137">
        <v>0</v>
      </c>
      <c r="M137">
        <v>2300000</v>
      </c>
      <c r="N137">
        <f>(data[[#This Row],[unit_price]]*data[[#This Row],[quantity]]) * (1-data[[#This Row],[discount]])</f>
        <v>6454000</v>
      </c>
      <c r="O137">
        <f>data[[#This Row],[sales]]-data[[#This Row],[cost]]</f>
        <v>4154000</v>
      </c>
      <c r="P137" t="str">
        <f>TEXT(data[[#This Row],[order_date]],"mmm")</f>
        <v>Nov</v>
      </c>
      <c r="Q137">
        <f>YEAR(data[[#This Row],[order_date]])</f>
        <v>2025</v>
      </c>
      <c r="R137">
        <f>MONTH(data[[#This Row],[order_date]])</f>
        <v>11</v>
      </c>
      <c r="S137">
        <f>DAY(data[[#This Row],[order_date]])</f>
        <v>1</v>
      </c>
      <c r="T137">
        <f>data[[#This Row],[profit]]/data[[#This Row],[sales]]</f>
        <v>0.64363185621320107</v>
      </c>
    </row>
    <row r="138" spans="1:20" x14ac:dyDescent="0.35">
      <c r="A138" t="s">
        <v>259</v>
      </c>
      <c r="B138" s="1">
        <v>45990</v>
      </c>
      <c r="C138" t="s">
        <v>14</v>
      </c>
      <c r="D138" t="s">
        <v>15</v>
      </c>
      <c r="E138" t="s">
        <v>260</v>
      </c>
      <c r="F138" t="s">
        <v>23</v>
      </c>
      <c r="G138" t="s">
        <v>158</v>
      </c>
      <c r="H138" t="s">
        <v>159</v>
      </c>
      <c r="I138" t="s">
        <v>160</v>
      </c>
      <c r="J138">
        <v>3</v>
      </c>
      <c r="K138">
        <v>2573000</v>
      </c>
      <c r="L138">
        <v>0.05</v>
      </c>
      <c r="M138">
        <v>1889000</v>
      </c>
      <c r="N138">
        <f>(data[[#This Row],[unit_price]]*data[[#This Row],[quantity]]) * (1-data[[#This Row],[discount]])</f>
        <v>7333050</v>
      </c>
      <c r="O138">
        <f>data[[#This Row],[sales]]-data[[#This Row],[cost]]</f>
        <v>5444050</v>
      </c>
      <c r="P138" t="str">
        <f>TEXT(data[[#This Row],[order_date]],"mmm")</f>
        <v>Nov</v>
      </c>
      <c r="Q138">
        <f>YEAR(data[[#This Row],[order_date]])</f>
        <v>2025</v>
      </c>
      <c r="R138">
        <f>MONTH(data[[#This Row],[order_date]])</f>
        <v>11</v>
      </c>
      <c r="S138">
        <f>DAY(data[[#This Row],[order_date]])</f>
        <v>29</v>
      </c>
      <c r="T138">
        <f>data[[#This Row],[profit]]/data[[#This Row],[sales]]</f>
        <v>0.74239913814851932</v>
      </c>
    </row>
    <row r="139" spans="1:20" x14ac:dyDescent="0.35">
      <c r="A139" t="s">
        <v>261</v>
      </c>
      <c r="B139" s="1">
        <v>46015</v>
      </c>
      <c r="C139" t="s">
        <v>36</v>
      </c>
      <c r="D139" t="s">
        <v>37</v>
      </c>
      <c r="E139" t="s">
        <v>262</v>
      </c>
      <c r="F139" t="s">
        <v>23</v>
      </c>
      <c r="G139" t="s">
        <v>158</v>
      </c>
      <c r="H139" t="s">
        <v>159</v>
      </c>
      <c r="I139" t="s">
        <v>160</v>
      </c>
      <c r="J139">
        <v>1</v>
      </c>
      <c r="K139">
        <v>2511291.6666666665</v>
      </c>
      <c r="L139">
        <v>0</v>
      </c>
      <c r="M139">
        <v>1728000</v>
      </c>
      <c r="N139">
        <f>(data[[#This Row],[unit_price]]*data[[#This Row],[quantity]]) * (1-data[[#This Row],[discount]])</f>
        <v>2511291.6666666665</v>
      </c>
      <c r="O139">
        <f>data[[#This Row],[sales]]-data[[#This Row],[cost]]</f>
        <v>783291.66666666651</v>
      </c>
      <c r="P139" t="str">
        <f>TEXT(data[[#This Row],[order_date]],"mmm")</f>
        <v>Dec</v>
      </c>
      <c r="Q139">
        <f>YEAR(data[[#This Row],[order_date]])</f>
        <v>2025</v>
      </c>
      <c r="R139">
        <f>MONTH(data[[#This Row],[order_date]])</f>
        <v>12</v>
      </c>
      <c r="S139">
        <f>DAY(data[[#This Row],[order_date]])</f>
        <v>24</v>
      </c>
      <c r="T139">
        <f>data[[#This Row],[profit]]/data[[#This Row],[sales]]</f>
        <v>0.31190788272967096</v>
      </c>
    </row>
    <row r="140" spans="1:20" x14ac:dyDescent="0.35">
      <c r="A140" t="s">
        <v>263</v>
      </c>
      <c r="B140" s="1">
        <v>46017</v>
      </c>
      <c r="C140" t="s">
        <v>14</v>
      </c>
      <c r="D140" t="s">
        <v>15</v>
      </c>
      <c r="E140" t="s">
        <v>117</v>
      </c>
      <c r="F140" t="s">
        <v>23</v>
      </c>
      <c r="G140" t="s">
        <v>158</v>
      </c>
      <c r="H140" t="s">
        <v>159</v>
      </c>
      <c r="I140" t="s">
        <v>160</v>
      </c>
      <c r="J140">
        <v>1</v>
      </c>
      <c r="K140">
        <v>2241000</v>
      </c>
      <c r="L140">
        <v>0</v>
      </c>
      <c r="M140">
        <v>1620000</v>
      </c>
      <c r="N140">
        <f>(data[[#This Row],[unit_price]]*data[[#This Row],[quantity]]) * (1-data[[#This Row],[discount]])</f>
        <v>2241000</v>
      </c>
      <c r="O140">
        <f>data[[#This Row],[sales]]-data[[#This Row],[cost]]</f>
        <v>621000</v>
      </c>
      <c r="P140" t="str">
        <f>TEXT(data[[#This Row],[order_date]],"mmm")</f>
        <v>Dec</v>
      </c>
      <c r="Q140">
        <f>YEAR(data[[#This Row],[order_date]])</f>
        <v>2025</v>
      </c>
      <c r="R140">
        <f>MONTH(data[[#This Row],[order_date]])</f>
        <v>12</v>
      </c>
      <c r="S140">
        <f>DAY(data[[#This Row],[order_date]])</f>
        <v>26</v>
      </c>
      <c r="T140">
        <f>data[[#This Row],[profit]]/data[[#This Row],[sales]]</f>
        <v>0.27710843373493976</v>
      </c>
    </row>
    <row r="141" spans="1:20" x14ac:dyDescent="0.35">
      <c r="A141" t="s">
        <v>264</v>
      </c>
      <c r="B141" s="1">
        <v>46028</v>
      </c>
      <c r="C141" t="s">
        <v>14</v>
      </c>
      <c r="D141" t="s">
        <v>15</v>
      </c>
      <c r="E141" t="s">
        <v>265</v>
      </c>
      <c r="F141" t="s">
        <v>23</v>
      </c>
      <c r="G141" t="s">
        <v>158</v>
      </c>
      <c r="H141" t="s">
        <v>159</v>
      </c>
      <c r="I141" t="s">
        <v>160</v>
      </c>
      <c r="J141">
        <v>1</v>
      </c>
      <c r="K141">
        <v>2745000</v>
      </c>
      <c r="L141">
        <v>0</v>
      </c>
      <c r="M141">
        <v>1995000</v>
      </c>
      <c r="N141">
        <f>(data[[#This Row],[unit_price]]*data[[#This Row],[quantity]]) * (1-data[[#This Row],[discount]])</f>
        <v>2745000</v>
      </c>
      <c r="O141">
        <f>data[[#This Row],[sales]]-data[[#This Row],[cost]]</f>
        <v>750000</v>
      </c>
      <c r="P141" t="str">
        <f>TEXT(data[[#This Row],[order_date]],"mmm")</f>
        <v>Jan</v>
      </c>
      <c r="Q141">
        <f>YEAR(data[[#This Row],[order_date]])</f>
        <v>2026</v>
      </c>
      <c r="R141">
        <f>MONTH(data[[#This Row],[order_date]])</f>
        <v>1</v>
      </c>
      <c r="S141">
        <f>DAY(data[[#This Row],[order_date]])</f>
        <v>6</v>
      </c>
      <c r="T141">
        <f>data[[#This Row],[profit]]/data[[#This Row],[sales]]</f>
        <v>0.27322404371584702</v>
      </c>
    </row>
    <row r="142" spans="1:20" x14ac:dyDescent="0.35">
      <c r="A142" t="s">
        <v>266</v>
      </c>
      <c r="B142" s="1">
        <v>46082</v>
      </c>
      <c r="C142" t="s">
        <v>14</v>
      </c>
      <c r="D142" t="s">
        <v>15</v>
      </c>
      <c r="E142" t="s">
        <v>155</v>
      </c>
      <c r="F142" t="s">
        <v>58</v>
      </c>
      <c r="G142" t="s">
        <v>158</v>
      </c>
      <c r="H142" t="s">
        <v>159</v>
      </c>
      <c r="I142" t="s">
        <v>160</v>
      </c>
      <c r="J142">
        <v>1</v>
      </c>
      <c r="K142">
        <v>2865000</v>
      </c>
      <c r="L142">
        <v>0.1</v>
      </c>
      <c r="M142">
        <v>2057000</v>
      </c>
      <c r="N142">
        <f>(data[[#This Row],[unit_price]]*data[[#This Row],[quantity]]) * (1-data[[#This Row],[discount]])</f>
        <v>2578500</v>
      </c>
      <c r="O142">
        <f>data[[#This Row],[sales]]-data[[#This Row],[cost]]</f>
        <v>521500</v>
      </c>
      <c r="P142" t="str">
        <f>TEXT(data[[#This Row],[order_date]],"mmm")</f>
        <v>Mar</v>
      </c>
      <c r="Q142">
        <f>YEAR(data[[#This Row],[order_date]])</f>
        <v>2026</v>
      </c>
      <c r="R142">
        <f>MONTH(data[[#This Row],[order_date]])</f>
        <v>3</v>
      </c>
      <c r="S142">
        <f>DAY(data[[#This Row],[order_date]])</f>
        <v>1</v>
      </c>
      <c r="T142">
        <f>data[[#This Row],[profit]]/data[[#This Row],[sales]]</f>
        <v>0.20224936978863681</v>
      </c>
    </row>
    <row r="143" spans="1:20" x14ac:dyDescent="0.35">
      <c r="A143" t="s">
        <v>267</v>
      </c>
      <c r="B143" s="1">
        <v>46090</v>
      </c>
      <c r="C143" t="s">
        <v>49</v>
      </c>
      <c r="D143" t="s">
        <v>50</v>
      </c>
      <c r="E143" t="s">
        <v>182</v>
      </c>
      <c r="F143" t="s">
        <v>23</v>
      </c>
      <c r="G143" t="s">
        <v>158</v>
      </c>
      <c r="H143" t="s">
        <v>159</v>
      </c>
      <c r="I143" t="s">
        <v>160</v>
      </c>
      <c r="J143">
        <v>1</v>
      </c>
      <c r="K143">
        <v>2976000</v>
      </c>
      <c r="L143">
        <v>0.1</v>
      </c>
      <c r="M143">
        <v>2195000</v>
      </c>
      <c r="N143">
        <f>(data[[#This Row],[unit_price]]*data[[#This Row],[quantity]]) * (1-data[[#This Row],[discount]])</f>
        <v>2678400</v>
      </c>
      <c r="O143">
        <f>data[[#This Row],[sales]]-data[[#This Row],[cost]]</f>
        <v>483400</v>
      </c>
      <c r="P143" t="str">
        <f>TEXT(data[[#This Row],[order_date]],"mmm")</f>
        <v>Mar</v>
      </c>
      <c r="Q143">
        <f>YEAR(data[[#This Row],[order_date]])</f>
        <v>2026</v>
      </c>
      <c r="R143">
        <f>MONTH(data[[#This Row],[order_date]])</f>
        <v>3</v>
      </c>
      <c r="S143">
        <f>DAY(data[[#This Row],[order_date]])</f>
        <v>9</v>
      </c>
      <c r="T143">
        <f>data[[#This Row],[profit]]/data[[#This Row],[sales]]</f>
        <v>0.18048088410991636</v>
      </c>
    </row>
    <row r="144" spans="1:20" x14ac:dyDescent="0.35">
      <c r="A144" t="s">
        <v>268</v>
      </c>
      <c r="B144" s="1">
        <v>46108</v>
      </c>
      <c r="C144" t="s">
        <v>49</v>
      </c>
      <c r="D144" t="s">
        <v>50</v>
      </c>
      <c r="E144" t="s">
        <v>201</v>
      </c>
      <c r="F144" t="s">
        <v>58</v>
      </c>
      <c r="G144" t="s">
        <v>158</v>
      </c>
      <c r="H144" t="s">
        <v>159</v>
      </c>
      <c r="I144" t="s">
        <v>160</v>
      </c>
      <c r="J144">
        <v>1</v>
      </c>
      <c r="K144">
        <v>2625000</v>
      </c>
      <c r="L144">
        <v>0</v>
      </c>
      <c r="M144">
        <v>1937000</v>
      </c>
      <c r="N144">
        <f>(data[[#This Row],[unit_price]]*data[[#This Row],[quantity]]) * (1-data[[#This Row],[discount]])</f>
        <v>2625000</v>
      </c>
      <c r="O144">
        <f>data[[#This Row],[sales]]-data[[#This Row],[cost]]</f>
        <v>688000</v>
      </c>
      <c r="P144" t="str">
        <f>TEXT(data[[#This Row],[order_date]],"mmm")</f>
        <v>Mar</v>
      </c>
      <c r="Q144">
        <f>YEAR(data[[#This Row],[order_date]])</f>
        <v>2026</v>
      </c>
      <c r="R144">
        <f>MONTH(data[[#This Row],[order_date]])</f>
        <v>3</v>
      </c>
      <c r="S144">
        <f>DAY(data[[#This Row],[order_date]])</f>
        <v>27</v>
      </c>
      <c r="T144">
        <f>data[[#This Row],[profit]]/data[[#This Row],[sales]]</f>
        <v>0.2620952380952381</v>
      </c>
    </row>
    <row r="145" spans="1:20" x14ac:dyDescent="0.35">
      <c r="A145" t="s">
        <v>269</v>
      </c>
      <c r="B145" s="1">
        <v>46137</v>
      </c>
      <c r="C145" t="s">
        <v>14</v>
      </c>
      <c r="D145" t="s">
        <v>15</v>
      </c>
      <c r="E145" t="s">
        <v>270</v>
      </c>
      <c r="F145" t="s">
        <v>23</v>
      </c>
      <c r="G145" t="s">
        <v>158</v>
      </c>
      <c r="H145" t="s">
        <v>159</v>
      </c>
      <c r="I145" t="s">
        <v>160</v>
      </c>
      <c r="J145">
        <v>1</v>
      </c>
      <c r="K145">
        <v>2109000</v>
      </c>
      <c r="L145">
        <v>0.05</v>
      </c>
      <c r="M145">
        <v>1521000</v>
      </c>
      <c r="N145">
        <f>(data[[#This Row],[unit_price]]*data[[#This Row],[quantity]]) * (1-data[[#This Row],[discount]])</f>
        <v>2003550</v>
      </c>
      <c r="O145">
        <f>data[[#This Row],[sales]]-data[[#This Row],[cost]]</f>
        <v>482550</v>
      </c>
      <c r="P145" t="str">
        <f>TEXT(data[[#This Row],[order_date]],"mmm")</f>
        <v>Apr</v>
      </c>
      <c r="Q145">
        <f>YEAR(data[[#This Row],[order_date]])</f>
        <v>2026</v>
      </c>
      <c r="R145">
        <f>MONTH(data[[#This Row],[order_date]])</f>
        <v>4</v>
      </c>
      <c r="S145">
        <f>DAY(data[[#This Row],[order_date]])</f>
        <v>25</v>
      </c>
      <c r="T145">
        <f>data[[#This Row],[profit]]/data[[#This Row],[sales]]</f>
        <v>0.24084749569514113</v>
      </c>
    </row>
    <row r="146" spans="1:20" x14ac:dyDescent="0.35">
      <c r="A146" t="s">
        <v>271</v>
      </c>
      <c r="B146" s="1">
        <v>46144</v>
      </c>
      <c r="C146" t="s">
        <v>14</v>
      </c>
      <c r="D146" t="s">
        <v>15</v>
      </c>
      <c r="E146" t="s">
        <v>141</v>
      </c>
      <c r="F146" t="s">
        <v>17</v>
      </c>
      <c r="G146" t="s">
        <v>158</v>
      </c>
      <c r="H146" t="s">
        <v>159</v>
      </c>
      <c r="I146" t="s">
        <v>160</v>
      </c>
      <c r="J146">
        <v>3</v>
      </c>
      <c r="K146">
        <v>3067000</v>
      </c>
      <c r="L146">
        <v>0</v>
      </c>
      <c r="M146">
        <v>2217000</v>
      </c>
      <c r="N146">
        <f>(data[[#This Row],[unit_price]]*data[[#This Row],[quantity]]) * (1-data[[#This Row],[discount]])</f>
        <v>9201000</v>
      </c>
      <c r="O146">
        <f>data[[#This Row],[sales]]-data[[#This Row],[cost]]</f>
        <v>6984000</v>
      </c>
      <c r="P146" t="str">
        <f>TEXT(data[[#This Row],[order_date]],"mmm")</f>
        <v>May</v>
      </c>
      <c r="Q146">
        <f>YEAR(data[[#This Row],[order_date]])</f>
        <v>2026</v>
      </c>
      <c r="R146">
        <f>MONTH(data[[#This Row],[order_date]])</f>
        <v>5</v>
      </c>
      <c r="S146">
        <f>DAY(data[[#This Row],[order_date]])</f>
        <v>2</v>
      </c>
      <c r="T146">
        <f>data[[#This Row],[profit]]/data[[#This Row],[sales]]</f>
        <v>0.75904792957287248</v>
      </c>
    </row>
    <row r="147" spans="1:20" x14ac:dyDescent="0.35">
      <c r="A147" t="s">
        <v>272</v>
      </c>
      <c r="B147" s="1">
        <v>46180</v>
      </c>
      <c r="C147" t="s">
        <v>14</v>
      </c>
      <c r="D147" t="s">
        <v>15</v>
      </c>
      <c r="E147" t="s">
        <v>197</v>
      </c>
      <c r="F147" t="s">
        <v>28</v>
      </c>
      <c r="G147" t="s">
        <v>158</v>
      </c>
      <c r="H147" t="s">
        <v>159</v>
      </c>
      <c r="I147" t="s">
        <v>160</v>
      </c>
      <c r="J147">
        <v>1</v>
      </c>
      <c r="K147">
        <v>2941000</v>
      </c>
      <c r="L147">
        <v>0</v>
      </c>
      <c r="M147">
        <v>2173000</v>
      </c>
      <c r="N147">
        <f>(data[[#This Row],[unit_price]]*data[[#This Row],[quantity]]) * (1-data[[#This Row],[discount]])</f>
        <v>2941000</v>
      </c>
      <c r="O147">
        <f>data[[#This Row],[sales]]-data[[#This Row],[cost]]</f>
        <v>768000</v>
      </c>
      <c r="P147" t="str">
        <f>TEXT(data[[#This Row],[order_date]],"mmm")</f>
        <v>Jun</v>
      </c>
      <c r="Q147">
        <f>YEAR(data[[#This Row],[order_date]])</f>
        <v>2026</v>
      </c>
      <c r="R147">
        <f>MONTH(data[[#This Row],[order_date]])</f>
        <v>6</v>
      </c>
      <c r="S147">
        <f>DAY(data[[#This Row],[order_date]])</f>
        <v>7</v>
      </c>
      <c r="T147">
        <f>data[[#This Row],[profit]]/data[[#This Row],[sales]]</f>
        <v>0.26113566814008843</v>
      </c>
    </row>
    <row r="148" spans="1:20" x14ac:dyDescent="0.35">
      <c r="A148" t="s">
        <v>273</v>
      </c>
      <c r="B148" s="1">
        <v>44929</v>
      </c>
      <c r="C148" t="s">
        <v>49</v>
      </c>
      <c r="D148" t="s">
        <v>50</v>
      </c>
      <c r="E148" t="s">
        <v>274</v>
      </c>
      <c r="F148" t="s">
        <v>58</v>
      </c>
      <c r="G148" t="s">
        <v>275</v>
      </c>
      <c r="H148" t="s">
        <v>276</v>
      </c>
      <c r="I148" t="s">
        <v>20</v>
      </c>
      <c r="J148">
        <v>1</v>
      </c>
      <c r="K148">
        <v>302000</v>
      </c>
      <c r="L148">
        <v>0</v>
      </c>
      <c r="M148">
        <v>222000</v>
      </c>
      <c r="N148">
        <f>(data[[#This Row],[unit_price]]*data[[#This Row],[quantity]]) * (1-data[[#This Row],[discount]])</f>
        <v>302000</v>
      </c>
      <c r="O148">
        <f>data[[#This Row],[sales]]-data[[#This Row],[cost]]</f>
        <v>80000</v>
      </c>
      <c r="P148" t="str">
        <f>TEXT(data[[#This Row],[order_date]],"mmm")</f>
        <v>Jan</v>
      </c>
      <c r="Q148">
        <f>YEAR(data[[#This Row],[order_date]])</f>
        <v>2023</v>
      </c>
      <c r="R148">
        <f>MONTH(data[[#This Row],[order_date]])</f>
        <v>1</v>
      </c>
      <c r="S148">
        <f>DAY(data[[#This Row],[order_date]])</f>
        <v>3</v>
      </c>
      <c r="T148">
        <f>data[[#This Row],[profit]]/data[[#This Row],[sales]]</f>
        <v>0.26490066225165565</v>
      </c>
    </row>
    <row r="149" spans="1:20" x14ac:dyDescent="0.35">
      <c r="A149" t="s">
        <v>277</v>
      </c>
      <c r="B149" s="1">
        <v>44963</v>
      </c>
      <c r="C149" t="s">
        <v>41</v>
      </c>
      <c r="D149" t="s">
        <v>42</v>
      </c>
      <c r="E149" t="s">
        <v>79</v>
      </c>
      <c r="F149" t="s">
        <v>17</v>
      </c>
      <c r="G149" t="s">
        <v>275</v>
      </c>
      <c r="H149" t="s">
        <v>276</v>
      </c>
      <c r="I149" t="s">
        <v>20</v>
      </c>
      <c r="J149">
        <v>3</v>
      </c>
      <c r="K149">
        <v>487000</v>
      </c>
      <c r="L149">
        <v>0.15</v>
      </c>
      <c r="M149">
        <v>349000</v>
      </c>
      <c r="N149">
        <f>(data[[#This Row],[unit_price]]*data[[#This Row],[quantity]]) * (1-data[[#This Row],[discount]])</f>
        <v>1241850</v>
      </c>
      <c r="O149">
        <f>data[[#This Row],[sales]]-data[[#This Row],[cost]]</f>
        <v>892850</v>
      </c>
      <c r="P149" t="str">
        <f>TEXT(data[[#This Row],[order_date]],"mmm")</f>
        <v>Feb</v>
      </c>
      <c r="Q149">
        <f>YEAR(data[[#This Row],[order_date]])</f>
        <v>2023</v>
      </c>
      <c r="R149">
        <f>MONTH(data[[#This Row],[order_date]])</f>
        <v>2</v>
      </c>
      <c r="S149">
        <f>DAY(data[[#This Row],[order_date]])</f>
        <v>6</v>
      </c>
      <c r="T149">
        <f>data[[#This Row],[profit]]/data[[#This Row],[sales]]</f>
        <v>0.71896766920320487</v>
      </c>
    </row>
    <row r="150" spans="1:20" x14ac:dyDescent="0.35">
      <c r="A150" t="s">
        <v>278</v>
      </c>
      <c r="B150" s="1">
        <v>44978</v>
      </c>
      <c r="C150" t="s">
        <v>14</v>
      </c>
      <c r="D150" t="s">
        <v>15</v>
      </c>
      <c r="E150" t="s">
        <v>182</v>
      </c>
      <c r="F150" t="s">
        <v>23</v>
      </c>
      <c r="G150" t="s">
        <v>275</v>
      </c>
      <c r="H150" t="s">
        <v>276</v>
      </c>
      <c r="I150" t="s">
        <v>20</v>
      </c>
      <c r="J150">
        <v>1</v>
      </c>
      <c r="K150">
        <v>434000</v>
      </c>
      <c r="L150">
        <v>0</v>
      </c>
      <c r="M150">
        <v>321000</v>
      </c>
      <c r="N150">
        <f>(data[[#This Row],[unit_price]]*data[[#This Row],[quantity]]) * (1-data[[#This Row],[discount]])</f>
        <v>434000</v>
      </c>
      <c r="O150">
        <f>data[[#This Row],[sales]]-data[[#This Row],[cost]]</f>
        <v>113000</v>
      </c>
      <c r="P150" t="str">
        <f>TEXT(data[[#This Row],[order_date]],"mmm")</f>
        <v>Feb</v>
      </c>
      <c r="Q150">
        <f>YEAR(data[[#This Row],[order_date]])</f>
        <v>2023</v>
      </c>
      <c r="R150">
        <f>MONTH(data[[#This Row],[order_date]])</f>
        <v>2</v>
      </c>
      <c r="S150">
        <f>DAY(data[[#This Row],[order_date]])</f>
        <v>21</v>
      </c>
      <c r="T150">
        <f>data[[#This Row],[profit]]/data[[#This Row],[sales]]</f>
        <v>0.26036866359447003</v>
      </c>
    </row>
    <row r="151" spans="1:20" x14ac:dyDescent="0.35">
      <c r="A151" t="s">
        <v>279</v>
      </c>
      <c r="B151" s="1">
        <v>44983</v>
      </c>
      <c r="C151" t="s">
        <v>36</v>
      </c>
      <c r="D151" t="s">
        <v>37</v>
      </c>
      <c r="E151" t="s">
        <v>157</v>
      </c>
      <c r="F151" t="s">
        <v>23</v>
      </c>
      <c r="G151" t="s">
        <v>275</v>
      </c>
      <c r="H151" t="s">
        <v>276</v>
      </c>
      <c r="I151" t="s">
        <v>20</v>
      </c>
      <c r="J151">
        <v>1</v>
      </c>
      <c r="K151">
        <v>229000</v>
      </c>
      <c r="L151">
        <v>0.05</v>
      </c>
      <c r="M151">
        <v>170000</v>
      </c>
      <c r="N151">
        <f>(data[[#This Row],[unit_price]]*data[[#This Row],[quantity]]) * (1-data[[#This Row],[discount]])</f>
        <v>217550</v>
      </c>
      <c r="O151">
        <f>data[[#This Row],[sales]]-data[[#This Row],[cost]]</f>
        <v>47550</v>
      </c>
      <c r="P151" t="str">
        <f>TEXT(data[[#This Row],[order_date]],"mmm")</f>
        <v>Feb</v>
      </c>
      <c r="Q151">
        <f>YEAR(data[[#This Row],[order_date]])</f>
        <v>2023</v>
      </c>
      <c r="R151">
        <f>MONTH(data[[#This Row],[order_date]])</f>
        <v>2</v>
      </c>
      <c r="S151">
        <f>DAY(data[[#This Row],[order_date]])</f>
        <v>26</v>
      </c>
      <c r="T151">
        <f>data[[#This Row],[profit]]/data[[#This Row],[sales]]</f>
        <v>0.21857044357618938</v>
      </c>
    </row>
    <row r="152" spans="1:20" x14ac:dyDescent="0.35">
      <c r="A152" t="s">
        <v>280</v>
      </c>
      <c r="B152" s="1">
        <v>45007</v>
      </c>
      <c r="C152" t="s">
        <v>41</v>
      </c>
      <c r="D152" t="s">
        <v>42</v>
      </c>
      <c r="E152" t="s">
        <v>55</v>
      </c>
      <c r="F152" t="s">
        <v>17</v>
      </c>
      <c r="G152" t="s">
        <v>275</v>
      </c>
      <c r="H152" t="s">
        <v>276</v>
      </c>
      <c r="I152" t="s">
        <v>20</v>
      </c>
      <c r="J152">
        <v>1</v>
      </c>
      <c r="K152">
        <v>481000</v>
      </c>
      <c r="L152">
        <v>0</v>
      </c>
      <c r="M152">
        <v>361000</v>
      </c>
      <c r="N152">
        <f>(data[[#This Row],[unit_price]]*data[[#This Row],[quantity]]) * (1-data[[#This Row],[discount]])</f>
        <v>481000</v>
      </c>
      <c r="O152">
        <f>data[[#This Row],[sales]]-data[[#This Row],[cost]]</f>
        <v>120000</v>
      </c>
      <c r="P152" t="str">
        <f>TEXT(data[[#This Row],[order_date]],"mmm")</f>
        <v>Mar</v>
      </c>
      <c r="Q152">
        <f>YEAR(data[[#This Row],[order_date]])</f>
        <v>2023</v>
      </c>
      <c r="R152">
        <f>MONTH(data[[#This Row],[order_date]])</f>
        <v>3</v>
      </c>
      <c r="S152">
        <f>DAY(data[[#This Row],[order_date]])</f>
        <v>22</v>
      </c>
      <c r="T152">
        <f>data[[#This Row],[profit]]/data[[#This Row],[sales]]</f>
        <v>0.24948024948024949</v>
      </c>
    </row>
    <row r="153" spans="1:20" x14ac:dyDescent="0.35">
      <c r="A153" t="s">
        <v>281</v>
      </c>
      <c r="B153" s="1">
        <v>45039</v>
      </c>
      <c r="C153" t="s">
        <v>14</v>
      </c>
      <c r="D153" t="s">
        <v>15</v>
      </c>
      <c r="E153" t="s">
        <v>119</v>
      </c>
      <c r="F153" t="s">
        <v>23</v>
      </c>
      <c r="G153" t="s">
        <v>275</v>
      </c>
      <c r="H153" t="s">
        <v>276</v>
      </c>
      <c r="I153" t="s">
        <v>20</v>
      </c>
      <c r="J153">
        <v>1</v>
      </c>
      <c r="K153">
        <v>429000</v>
      </c>
      <c r="L153">
        <v>0</v>
      </c>
      <c r="M153">
        <v>314000</v>
      </c>
      <c r="N153">
        <f>(data[[#This Row],[unit_price]]*data[[#This Row],[quantity]]) * (1-data[[#This Row],[discount]])</f>
        <v>429000</v>
      </c>
      <c r="O153">
        <f>data[[#This Row],[sales]]-data[[#This Row],[cost]]</f>
        <v>115000</v>
      </c>
      <c r="P153" t="str">
        <f>TEXT(data[[#This Row],[order_date]],"mmm")</f>
        <v>Apr</v>
      </c>
      <c r="Q153">
        <f>YEAR(data[[#This Row],[order_date]])</f>
        <v>2023</v>
      </c>
      <c r="R153">
        <f>MONTH(data[[#This Row],[order_date]])</f>
        <v>4</v>
      </c>
      <c r="S153">
        <f>DAY(data[[#This Row],[order_date]])</f>
        <v>23</v>
      </c>
      <c r="T153">
        <f>data[[#This Row],[profit]]/data[[#This Row],[sales]]</f>
        <v>0.26806526806526809</v>
      </c>
    </row>
    <row r="154" spans="1:20" x14ac:dyDescent="0.35">
      <c r="A154" t="s">
        <v>282</v>
      </c>
      <c r="B154" s="1">
        <v>45047</v>
      </c>
      <c r="C154" t="s">
        <v>14</v>
      </c>
      <c r="D154" t="s">
        <v>15</v>
      </c>
      <c r="E154" t="s">
        <v>132</v>
      </c>
      <c r="F154" t="s">
        <v>28</v>
      </c>
      <c r="G154" t="s">
        <v>275</v>
      </c>
      <c r="H154" t="s">
        <v>276</v>
      </c>
      <c r="I154" t="s">
        <v>20</v>
      </c>
      <c r="J154">
        <v>1</v>
      </c>
      <c r="K154">
        <v>499000</v>
      </c>
      <c r="L154">
        <v>0</v>
      </c>
      <c r="M154">
        <v>357000</v>
      </c>
      <c r="N154">
        <f>(data[[#This Row],[unit_price]]*data[[#This Row],[quantity]]) * (1-data[[#This Row],[discount]])</f>
        <v>499000</v>
      </c>
      <c r="O154">
        <f>data[[#This Row],[sales]]-data[[#This Row],[cost]]</f>
        <v>142000</v>
      </c>
      <c r="P154" t="str">
        <f>TEXT(data[[#This Row],[order_date]],"mmm")</f>
        <v>May</v>
      </c>
      <c r="Q154">
        <f>YEAR(data[[#This Row],[order_date]])</f>
        <v>2023</v>
      </c>
      <c r="R154">
        <f>MONTH(data[[#This Row],[order_date]])</f>
        <v>5</v>
      </c>
      <c r="S154">
        <f>DAY(data[[#This Row],[order_date]])</f>
        <v>1</v>
      </c>
      <c r="T154">
        <f>data[[#This Row],[profit]]/data[[#This Row],[sales]]</f>
        <v>0.28456913827655311</v>
      </c>
    </row>
    <row r="155" spans="1:20" x14ac:dyDescent="0.35">
      <c r="A155" t="s">
        <v>283</v>
      </c>
      <c r="B155" s="1">
        <v>45064</v>
      </c>
      <c r="C155" t="s">
        <v>41</v>
      </c>
      <c r="D155" t="s">
        <v>42</v>
      </c>
      <c r="E155" t="s">
        <v>74</v>
      </c>
      <c r="F155" t="s">
        <v>23</v>
      </c>
      <c r="G155" t="s">
        <v>275</v>
      </c>
      <c r="H155" t="s">
        <v>276</v>
      </c>
      <c r="I155" t="s">
        <v>20</v>
      </c>
      <c r="J155">
        <v>1</v>
      </c>
      <c r="K155">
        <v>499000</v>
      </c>
      <c r="L155">
        <v>0</v>
      </c>
      <c r="M155">
        <v>356000</v>
      </c>
      <c r="N155">
        <f>(data[[#This Row],[unit_price]]*data[[#This Row],[quantity]]) * (1-data[[#This Row],[discount]])</f>
        <v>499000</v>
      </c>
      <c r="O155">
        <f>data[[#This Row],[sales]]-data[[#This Row],[cost]]</f>
        <v>143000</v>
      </c>
      <c r="P155" t="str">
        <f>TEXT(data[[#This Row],[order_date]],"mmm")</f>
        <v>May</v>
      </c>
      <c r="Q155">
        <f>YEAR(data[[#This Row],[order_date]])</f>
        <v>2023</v>
      </c>
      <c r="R155">
        <f>MONTH(data[[#This Row],[order_date]])</f>
        <v>5</v>
      </c>
      <c r="S155">
        <f>DAY(data[[#This Row],[order_date]])</f>
        <v>18</v>
      </c>
      <c r="T155">
        <f>data[[#This Row],[profit]]/data[[#This Row],[sales]]</f>
        <v>0.28657314629258518</v>
      </c>
    </row>
    <row r="156" spans="1:20" x14ac:dyDescent="0.35">
      <c r="A156" t="s">
        <v>284</v>
      </c>
      <c r="B156" s="1">
        <v>45096</v>
      </c>
      <c r="C156" t="s">
        <v>14</v>
      </c>
      <c r="D156" t="s">
        <v>15</v>
      </c>
      <c r="E156" t="s">
        <v>242</v>
      </c>
      <c r="F156" t="s">
        <v>17</v>
      </c>
      <c r="G156" t="s">
        <v>275</v>
      </c>
      <c r="H156" t="s">
        <v>276</v>
      </c>
      <c r="I156" t="s">
        <v>20</v>
      </c>
      <c r="J156">
        <v>2</v>
      </c>
      <c r="K156">
        <v>488000</v>
      </c>
      <c r="L156">
        <v>0</v>
      </c>
      <c r="M156">
        <v>363000</v>
      </c>
      <c r="N156">
        <f>(data[[#This Row],[unit_price]]*data[[#This Row],[quantity]]) * (1-data[[#This Row],[discount]])</f>
        <v>976000</v>
      </c>
      <c r="O156">
        <f>data[[#This Row],[sales]]-data[[#This Row],[cost]]</f>
        <v>613000</v>
      </c>
      <c r="P156" t="str">
        <f>TEXT(data[[#This Row],[order_date]],"mmm")</f>
        <v>Jun</v>
      </c>
      <c r="Q156">
        <f>YEAR(data[[#This Row],[order_date]])</f>
        <v>2023</v>
      </c>
      <c r="R156">
        <f>MONTH(data[[#This Row],[order_date]])</f>
        <v>6</v>
      </c>
      <c r="S156">
        <f>DAY(data[[#This Row],[order_date]])</f>
        <v>19</v>
      </c>
      <c r="T156">
        <f>data[[#This Row],[profit]]/data[[#This Row],[sales]]</f>
        <v>0.62807377049180324</v>
      </c>
    </row>
    <row r="157" spans="1:20" x14ac:dyDescent="0.35">
      <c r="A157" t="s">
        <v>285</v>
      </c>
      <c r="B157" s="1">
        <v>45107</v>
      </c>
      <c r="C157" t="s">
        <v>41</v>
      </c>
      <c r="D157" t="s">
        <v>42</v>
      </c>
      <c r="E157" t="s">
        <v>104</v>
      </c>
      <c r="F157" t="s">
        <v>28</v>
      </c>
      <c r="G157" t="s">
        <v>275</v>
      </c>
      <c r="H157" t="s">
        <v>276</v>
      </c>
      <c r="I157" t="s">
        <v>20</v>
      </c>
      <c r="J157">
        <v>1</v>
      </c>
      <c r="K157">
        <v>434000</v>
      </c>
      <c r="L157">
        <v>0</v>
      </c>
      <c r="M157">
        <v>323000</v>
      </c>
      <c r="N157">
        <f>(data[[#This Row],[unit_price]]*data[[#This Row],[quantity]]) * (1-data[[#This Row],[discount]])</f>
        <v>434000</v>
      </c>
      <c r="O157">
        <f>data[[#This Row],[sales]]-data[[#This Row],[cost]]</f>
        <v>111000</v>
      </c>
      <c r="P157" t="str">
        <f>TEXT(data[[#This Row],[order_date]],"mmm")</f>
        <v>Jun</v>
      </c>
      <c r="Q157">
        <f>YEAR(data[[#This Row],[order_date]])</f>
        <v>2023</v>
      </c>
      <c r="R157">
        <f>MONTH(data[[#This Row],[order_date]])</f>
        <v>6</v>
      </c>
      <c r="S157">
        <f>DAY(data[[#This Row],[order_date]])</f>
        <v>30</v>
      </c>
      <c r="T157">
        <f>data[[#This Row],[profit]]/data[[#This Row],[sales]]</f>
        <v>0.25576036866359447</v>
      </c>
    </row>
    <row r="158" spans="1:20" x14ac:dyDescent="0.35">
      <c r="A158" t="s">
        <v>286</v>
      </c>
      <c r="B158" s="1">
        <v>45121</v>
      </c>
      <c r="C158" t="s">
        <v>36</v>
      </c>
      <c r="D158" t="s">
        <v>37</v>
      </c>
      <c r="E158" t="s">
        <v>287</v>
      </c>
      <c r="F158" t="s">
        <v>28</v>
      </c>
      <c r="G158" t="s">
        <v>275</v>
      </c>
      <c r="H158" t="s">
        <v>276</v>
      </c>
      <c r="I158" t="s">
        <v>20</v>
      </c>
      <c r="J158">
        <v>1</v>
      </c>
      <c r="K158">
        <v>327000</v>
      </c>
      <c r="L158">
        <v>0</v>
      </c>
      <c r="M158">
        <v>238000</v>
      </c>
      <c r="N158">
        <f>(data[[#This Row],[unit_price]]*data[[#This Row],[quantity]]) * (1-data[[#This Row],[discount]])</f>
        <v>327000</v>
      </c>
      <c r="O158">
        <f>data[[#This Row],[sales]]-data[[#This Row],[cost]]</f>
        <v>89000</v>
      </c>
      <c r="P158" t="str">
        <f>TEXT(data[[#This Row],[order_date]],"mmm")</f>
        <v>Jul</v>
      </c>
      <c r="Q158">
        <f>YEAR(data[[#This Row],[order_date]])</f>
        <v>2023</v>
      </c>
      <c r="R158">
        <f>MONTH(data[[#This Row],[order_date]])</f>
        <v>7</v>
      </c>
      <c r="S158">
        <f>DAY(data[[#This Row],[order_date]])</f>
        <v>14</v>
      </c>
      <c r="T158">
        <f>data[[#This Row],[profit]]/data[[#This Row],[sales]]</f>
        <v>0.27217125382262997</v>
      </c>
    </row>
    <row r="159" spans="1:20" x14ac:dyDescent="0.35">
      <c r="A159" t="s">
        <v>288</v>
      </c>
      <c r="B159" s="1">
        <v>45131</v>
      </c>
      <c r="C159" t="s">
        <v>14</v>
      </c>
      <c r="D159" t="s">
        <v>15</v>
      </c>
      <c r="E159" t="s">
        <v>45</v>
      </c>
      <c r="F159" t="s">
        <v>17</v>
      </c>
      <c r="G159" t="s">
        <v>275</v>
      </c>
      <c r="H159" t="s">
        <v>276</v>
      </c>
      <c r="I159" t="s">
        <v>20</v>
      </c>
      <c r="J159">
        <v>1</v>
      </c>
      <c r="K159">
        <v>326000</v>
      </c>
      <c r="L159">
        <v>0</v>
      </c>
      <c r="M159">
        <v>243000</v>
      </c>
      <c r="N159">
        <f>(data[[#This Row],[unit_price]]*data[[#This Row],[quantity]]) * (1-data[[#This Row],[discount]])</f>
        <v>326000</v>
      </c>
      <c r="O159">
        <f>data[[#This Row],[sales]]-data[[#This Row],[cost]]</f>
        <v>83000</v>
      </c>
      <c r="P159" t="str">
        <f>TEXT(data[[#This Row],[order_date]],"mmm")</f>
        <v>Jul</v>
      </c>
      <c r="Q159">
        <f>YEAR(data[[#This Row],[order_date]])</f>
        <v>2023</v>
      </c>
      <c r="R159">
        <f>MONTH(data[[#This Row],[order_date]])</f>
        <v>7</v>
      </c>
      <c r="S159">
        <f>DAY(data[[#This Row],[order_date]])</f>
        <v>24</v>
      </c>
      <c r="T159">
        <f>data[[#This Row],[profit]]/data[[#This Row],[sales]]</f>
        <v>0.254601226993865</v>
      </c>
    </row>
    <row r="160" spans="1:20" x14ac:dyDescent="0.35">
      <c r="A160" t="s">
        <v>289</v>
      </c>
      <c r="B160" s="1">
        <v>45136</v>
      </c>
      <c r="C160" t="s">
        <v>49</v>
      </c>
      <c r="D160" t="s">
        <v>50</v>
      </c>
      <c r="E160" t="s">
        <v>136</v>
      </c>
      <c r="F160" t="s">
        <v>23</v>
      </c>
      <c r="G160" t="s">
        <v>275</v>
      </c>
      <c r="H160" t="s">
        <v>276</v>
      </c>
      <c r="I160" t="s">
        <v>20</v>
      </c>
      <c r="J160">
        <v>2</v>
      </c>
      <c r="K160">
        <v>370000</v>
      </c>
      <c r="L160">
        <v>0</v>
      </c>
      <c r="M160">
        <v>270000</v>
      </c>
      <c r="N160">
        <f>(data[[#This Row],[unit_price]]*data[[#This Row],[quantity]]) * (1-data[[#This Row],[discount]])</f>
        <v>740000</v>
      </c>
      <c r="O160">
        <f>data[[#This Row],[sales]]-data[[#This Row],[cost]]</f>
        <v>470000</v>
      </c>
      <c r="P160" t="str">
        <f>TEXT(data[[#This Row],[order_date]],"mmm")</f>
        <v>Jul</v>
      </c>
      <c r="Q160">
        <f>YEAR(data[[#This Row],[order_date]])</f>
        <v>2023</v>
      </c>
      <c r="R160">
        <f>MONTH(data[[#This Row],[order_date]])</f>
        <v>7</v>
      </c>
      <c r="S160">
        <f>DAY(data[[#This Row],[order_date]])</f>
        <v>29</v>
      </c>
      <c r="T160">
        <f>data[[#This Row],[profit]]/data[[#This Row],[sales]]</f>
        <v>0.63513513513513509</v>
      </c>
    </row>
    <row r="161" spans="1:20" x14ac:dyDescent="0.35">
      <c r="A161" t="s">
        <v>290</v>
      </c>
      <c r="B161" s="1">
        <v>45144</v>
      </c>
      <c r="C161" t="s">
        <v>41</v>
      </c>
      <c r="D161" t="s">
        <v>42</v>
      </c>
      <c r="E161" t="s">
        <v>291</v>
      </c>
      <c r="F161" t="s">
        <v>17</v>
      </c>
      <c r="G161" t="s">
        <v>275</v>
      </c>
      <c r="H161" t="s">
        <v>276</v>
      </c>
      <c r="I161" t="s">
        <v>20</v>
      </c>
      <c r="J161">
        <v>1</v>
      </c>
      <c r="K161">
        <v>235000</v>
      </c>
      <c r="L161">
        <v>0</v>
      </c>
      <c r="M161">
        <v>173000</v>
      </c>
      <c r="N161">
        <f>(data[[#This Row],[unit_price]]*data[[#This Row],[quantity]]) * (1-data[[#This Row],[discount]])</f>
        <v>235000</v>
      </c>
      <c r="O161">
        <f>data[[#This Row],[sales]]-data[[#This Row],[cost]]</f>
        <v>62000</v>
      </c>
      <c r="P161" t="str">
        <f>TEXT(data[[#This Row],[order_date]],"mmm")</f>
        <v>Aug</v>
      </c>
      <c r="Q161">
        <f>YEAR(data[[#This Row],[order_date]])</f>
        <v>2023</v>
      </c>
      <c r="R161">
        <f>MONTH(data[[#This Row],[order_date]])</f>
        <v>8</v>
      </c>
      <c r="S161">
        <f>DAY(data[[#This Row],[order_date]])</f>
        <v>6</v>
      </c>
      <c r="T161">
        <f>data[[#This Row],[profit]]/data[[#This Row],[sales]]</f>
        <v>0.26382978723404255</v>
      </c>
    </row>
    <row r="162" spans="1:20" x14ac:dyDescent="0.35">
      <c r="A162" t="s">
        <v>292</v>
      </c>
      <c r="B162" s="1">
        <v>45145</v>
      </c>
      <c r="C162" t="s">
        <v>14</v>
      </c>
      <c r="D162" t="s">
        <v>15</v>
      </c>
      <c r="E162" t="s">
        <v>119</v>
      </c>
      <c r="F162" t="s">
        <v>23</v>
      </c>
      <c r="G162" t="s">
        <v>275</v>
      </c>
      <c r="H162" t="s">
        <v>276</v>
      </c>
      <c r="I162" t="s">
        <v>20</v>
      </c>
      <c r="J162">
        <v>1</v>
      </c>
      <c r="K162">
        <v>483000</v>
      </c>
      <c r="L162">
        <v>0.05</v>
      </c>
      <c r="M162">
        <v>348000</v>
      </c>
      <c r="N162">
        <f>(data[[#This Row],[unit_price]]*data[[#This Row],[quantity]]) * (1-data[[#This Row],[discount]])</f>
        <v>458850</v>
      </c>
      <c r="O162">
        <f>data[[#This Row],[sales]]-data[[#This Row],[cost]]</f>
        <v>110850</v>
      </c>
      <c r="P162" t="str">
        <f>TEXT(data[[#This Row],[order_date]],"mmm")</f>
        <v>Aug</v>
      </c>
      <c r="Q162">
        <f>YEAR(data[[#This Row],[order_date]])</f>
        <v>2023</v>
      </c>
      <c r="R162">
        <f>MONTH(data[[#This Row],[order_date]])</f>
        <v>8</v>
      </c>
      <c r="S162">
        <f>DAY(data[[#This Row],[order_date]])</f>
        <v>7</v>
      </c>
      <c r="T162">
        <f>data[[#This Row],[profit]]/data[[#This Row],[sales]]</f>
        <v>0.24158221641059169</v>
      </c>
    </row>
    <row r="163" spans="1:20" x14ac:dyDescent="0.35">
      <c r="A163" t="s">
        <v>293</v>
      </c>
      <c r="B163" s="1">
        <v>45148</v>
      </c>
      <c r="C163" t="s">
        <v>14</v>
      </c>
      <c r="D163" t="s">
        <v>15</v>
      </c>
      <c r="E163" t="s">
        <v>63</v>
      </c>
      <c r="F163" t="s">
        <v>28</v>
      </c>
      <c r="G163" t="s">
        <v>275</v>
      </c>
      <c r="H163" t="s">
        <v>276</v>
      </c>
      <c r="I163" t="s">
        <v>20</v>
      </c>
      <c r="J163">
        <v>1</v>
      </c>
      <c r="K163">
        <v>263000</v>
      </c>
      <c r="L163">
        <v>0</v>
      </c>
      <c r="M163">
        <v>196000</v>
      </c>
      <c r="N163">
        <f>(data[[#This Row],[unit_price]]*data[[#This Row],[quantity]]) * (1-data[[#This Row],[discount]])</f>
        <v>263000</v>
      </c>
      <c r="O163">
        <f>data[[#This Row],[sales]]-data[[#This Row],[cost]]</f>
        <v>67000</v>
      </c>
      <c r="P163" t="str">
        <f>TEXT(data[[#This Row],[order_date]],"mmm")</f>
        <v>Aug</v>
      </c>
      <c r="Q163">
        <f>YEAR(data[[#This Row],[order_date]])</f>
        <v>2023</v>
      </c>
      <c r="R163">
        <f>MONTH(data[[#This Row],[order_date]])</f>
        <v>8</v>
      </c>
      <c r="S163">
        <f>DAY(data[[#This Row],[order_date]])</f>
        <v>10</v>
      </c>
      <c r="T163">
        <f>data[[#This Row],[profit]]/data[[#This Row],[sales]]</f>
        <v>0.25475285171102663</v>
      </c>
    </row>
    <row r="164" spans="1:20" x14ac:dyDescent="0.35">
      <c r="A164" t="s">
        <v>294</v>
      </c>
      <c r="B164" s="1">
        <v>45154</v>
      </c>
      <c r="C164" t="s">
        <v>49</v>
      </c>
      <c r="D164" t="s">
        <v>50</v>
      </c>
      <c r="E164" t="s">
        <v>295</v>
      </c>
      <c r="F164" t="s">
        <v>23</v>
      </c>
      <c r="G164" t="s">
        <v>275</v>
      </c>
      <c r="H164" t="s">
        <v>276</v>
      </c>
      <c r="I164" t="s">
        <v>20</v>
      </c>
      <c r="J164">
        <v>3</v>
      </c>
      <c r="K164">
        <v>368000</v>
      </c>
      <c r="L164">
        <v>0</v>
      </c>
      <c r="M164">
        <v>262000</v>
      </c>
      <c r="N164">
        <f>(data[[#This Row],[unit_price]]*data[[#This Row],[quantity]]) * (1-data[[#This Row],[discount]])</f>
        <v>1104000</v>
      </c>
      <c r="O164">
        <f>data[[#This Row],[sales]]-data[[#This Row],[cost]]</f>
        <v>842000</v>
      </c>
      <c r="P164" t="str">
        <f>TEXT(data[[#This Row],[order_date]],"mmm")</f>
        <v>Aug</v>
      </c>
      <c r="Q164">
        <f>YEAR(data[[#This Row],[order_date]])</f>
        <v>2023</v>
      </c>
      <c r="R164">
        <f>MONTH(data[[#This Row],[order_date]])</f>
        <v>8</v>
      </c>
      <c r="S164">
        <f>DAY(data[[#This Row],[order_date]])</f>
        <v>16</v>
      </c>
      <c r="T164">
        <f>data[[#This Row],[profit]]/data[[#This Row],[sales]]</f>
        <v>0.7626811594202898</v>
      </c>
    </row>
    <row r="165" spans="1:20" x14ac:dyDescent="0.35">
      <c r="A165" t="s">
        <v>296</v>
      </c>
      <c r="B165" s="1">
        <v>45198</v>
      </c>
      <c r="C165" t="s">
        <v>14</v>
      </c>
      <c r="D165" t="s">
        <v>15</v>
      </c>
      <c r="E165" t="s">
        <v>104</v>
      </c>
      <c r="F165" t="s">
        <v>28</v>
      </c>
      <c r="G165" t="s">
        <v>275</v>
      </c>
      <c r="H165" t="s">
        <v>276</v>
      </c>
      <c r="I165" t="s">
        <v>20</v>
      </c>
      <c r="J165">
        <v>1</v>
      </c>
      <c r="K165">
        <v>358000</v>
      </c>
      <c r="L165">
        <v>0</v>
      </c>
      <c r="M165">
        <v>255000</v>
      </c>
      <c r="N165">
        <f>(data[[#This Row],[unit_price]]*data[[#This Row],[quantity]]) * (1-data[[#This Row],[discount]])</f>
        <v>358000</v>
      </c>
      <c r="O165">
        <f>data[[#This Row],[sales]]-data[[#This Row],[cost]]</f>
        <v>103000</v>
      </c>
      <c r="P165" t="str">
        <f>TEXT(data[[#This Row],[order_date]],"mmm")</f>
        <v>Sep</v>
      </c>
      <c r="Q165">
        <f>YEAR(data[[#This Row],[order_date]])</f>
        <v>2023</v>
      </c>
      <c r="R165">
        <f>MONTH(data[[#This Row],[order_date]])</f>
        <v>9</v>
      </c>
      <c r="S165">
        <f>DAY(data[[#This Row],[order_date]])</f>
        <v>29</v>
      </c>
      <c r="T165">
        <f>data[[#This Row],[profit]]/data[[#This Row],[sales]]</f>
        <v>0.28770949720670391</v>
      </c>
    </row>
    <row r="166" spans="1:20" x14ac:dyDescent="0.35">
      <c r="A166" t="s">
        <v>297</v>
      </c>
      <c r="B166" s="1">
        <v>45235</v>
      </c>
      <c r="C166" t="s">
        <v>36</v>
      </c>
      <c r="D166" t="s">
        <v>37</v>
      </c>
      <c r="E166" t="s">
        <v>197</v>
      </c>
      <c r="F166" t="s">
        <v>28</v>
      </c>
      <c r="G166" t="s">
        <v>275</v>
      </c>
      <c r="H166" t="s">
        <v>276</v>
      </c>
      <c r="I166" t="s">
        <v>20</v>
      </c>
      <c r="J166">
        <v>1</v>
      </c>
      <c r="K166">
        <v>337000</v>
      </c>
      <c r="L166">
        <v>0</v>
      </c>
      <c r="M166">
        <v>244000</v>
      </c>
      <c r="N166">
        <f>(data[[#This Row],[unit_price]]*data[[#This Row],[quantity]]) * (1-data[[#This Row],[discount]])</f>
        <v>337000</v>
      </c>
      <c r="O166">
        <f>data[[#This Row],[sales]]-data[[#This Row],[cost]]</f>
        <v>93000</v>
      </c>
      <c r="P166" t="str">
        <f>TEXT(data[[#This Row],[order_date]],"mmm")</f>
        <v>Nov</v>
      </c>
      <c r="Q166">
        <f>YEAR(data[[#This Row],[order_date]])</f>
        <v>2023</v>
      </c>
      <c r="R166">
        <f>MONTH(data[[#This Row],[order_date]])</f>
        <v>11</v>
      </c>
      <c r="S166">
        <f>DAY(data[[#This Row],[order_date]])</f>
        <v>5</v>
      </c>
      <c r="T166">
        <f>data[[#This Row],[profit]]/data[[#This Row],[sales]]</f>
        <v>0.27596439169139464</v>
      </c>
    </row>
    <row r="167" spans="1:20" x14ac:dyDescent="0.35">
      <c r="A167" t="s">
        <v>298</v>
      </c>
      <c r="B167" s="1">
        <v>45238</v>
      </c>
      <c r="C167" t="s">
        <v>49</v>
      </c>
      <c r="D167" t="s">
        <v>50</v>
      </c>
      <c r="E167" t="s">
        <v>208</v>
      </c>
      <c r="F167" t="s">
        <v>23</v>
      </c>
      <c r="G167" t="s">
        <v>275</v>
      </c>
      <c r="H167" t="s">
        <v>276</v>
      </c>
      <c r="I167" t="s">
        <v>20</v>
      </c>
      <c r="J167">
        <v>1</v>
      </c>
      <c r="K167">
        <v>496000</v>
      </c>
      <c r="L167">
        <v>0</v>
      </c>
      <c r="M167">
        <v>364000</v>
      </c>
      <c r="N167">
        <f>(data[[#This Row],[unit_price]]*data[[#This Row],[quantity]]) * (1-data[[#This Row],[discount]])</f>
        <v>496000</v>
      </c>
      <c r="O167">
        <f>data[[#This Row],[sales]]-data[[#This Row],[cost]]</f>
        <v>132000</v>
      </c>
      <c r="P167" t="str">
        <f>TEXT(data[[#This Row],[order_date]],"mmm")</f>
        <v>Nov</v>
      </c>
      <c r="Q167">
        <f>YEAR(data[[#This Row],[order_date]])</f>
        <v>2023</v>
      </c>
      <c r="R167">
        <f>MONTH(data[[#This Row],[order_date]])</f>
        <v>11</v>
      </c>
      <c r="S167">
        <f>DAY(data[[#This Row],[order_date]])</f>
        <v>8</v>
      </c>
      <c r="T167">
        <f>data[[#This Row],[profit]]/data[[#This Row],[sales]]</f>
        <v>0.2661290322580645</v>
      </c>
    </row>
    <row r="168" spans="1:20" x14ac:dyDescent="0.35">
      <c r="A168" t="s">
        <v>299</v>
      </c>
      <c r="B168" s="1">
        <v>45278</v>
      </c>
      <c r="C168" t="s">
        <v>41</v>
      </c>
      <c r="D168" t="s">
        <v>42</v>
      </c>
      <c r="E168" t="s">
        <v>168</v>
      </c>
      <c r="F168" t="s">
        <v>23</v>
      </c>
      <c r="G168" t="s">
        <v>275</v>
      </c>
      <c r="H168" t="s">
        <v>276</v>
      </c>
      <c r="I168" t="s">
        <v>20</v>
      </c>
      <c r="J168">
        <v>1</v>
      </c>
      <c r="K168">
        <v>283000</v>
      </c>
      <c r="L168">
        <v>0.1</v>
      </c>
      <c r="M168">
        <v>212000</v>
      </c>
      <c r="N168">
        <f>(data[[#This Row],[unit_price]]*data[[#This Row],[quantity]]) * (1-data[[#This Row],[discount]])</f>
        <v>254700</v>
      </c>
      <c r="O168">
        <f>data[[#This Row],[sales]]-data[[#This Row],[cost]]</f>
        <v>42700</v>
      </c>
      <c r="P168" t="str">
        <f>TEXT(data[[#This Row],[order_date]],"mmm")</f>
        <v>Dec</v>
      </c>
      <c r="Q168">
        <f>YEAR(data[[#This Row],[order_date]])</f>
        <v>2023</v>
      </c>
      <c r="R168">
        <f>MONTH(data[[#This Row],[order_date]])</f>
        <v>12</v>
      </c>
      <c r="S168">
        <f>DAY(data[[#This Row],[order_date]])</f>
        <v>18</v>
      </c>
      <c r="T168">
        <f>data[[#This Row],[profit]]/data[[#This Row],[sales]]</f>
        <v>0.16764821358460935</v>
      </c>
    </row>
    <row r="169" spans="1:20" x14ac:dyDescent="0.35">
      <c r="A169" t="s">
        <v>300</v>
      </c>
      <c r="B169" s="1">
        <v>45288</v>
      </c>
      <c r="C169" t="s">
        <v>49</v>
      </c>
      <c r="D169" t="s">
        <v>50</v>
      </c>
      <c r="E169" t="s">
        <v>301</v>
      </c>
      <c r="F169" t="s">
        <v>28</v>
      </c>
      <c r="G169" t="s">
        <v>275</v>
      </c>
      <c r="H169" t="s">
        <v>276</v>
      </c>
      <c r="I169" t="s">
        <v>20</v>
      </c>
      <c r="J169">
        <v>1</v>
      </c>
      <c r="K169">
        <v>207000</v>
      </c>
      <c r="L169">
        <v>0</v>
      </c>
      <c r="M169">
        <v>151000</v>
      </c>
      <c r="N169">
        <f>(data[[#This Row],[unit_price]]*data[[#This Row],[quantity]]) * (1-data[[#This Row],[discount]])</f>
        <v>207000</v>
      </c>
      <c r="O169">
        <f>data[[#This Row],[sales]]-data[[#This Row],[cost]]</f>
        <v>56000</v>
      </c>
      <c r="P169" t="str">
        <f>TEXT(data[[#This Row],[order_date]],"mmm")</f>
        <v>Dec</v>
      </c>
      <c r="Q169">
        <f>YEAR(data[[#This Row],[order_date]])</f>
        <v>2023</v>
      </c>
      <c r="R169">
        <f>MONTH(data[[#This Row],[order_date]])</f>
        <v>12</v>
      </c>
      <c r="S169">
        <f>DAY(data[[#This Row],[order_date]])</f>
        <v>28</v>
      </c>
      <c r="T169">
        <f>data[[#This Row],[profit]]/data[[#This Row],[sales]]</f>
        <v>0.27053140096618356</v>
      </c>
    </row>
    <row r="170" spans="1:20" x14ac:dyDescent="0.35">
      <c r="A170" t="s">
        <v>302</v>
      </c>
      <c r="B170" s="1">
        <v>45299</v>
      </c>
      <c r="C170" t="s">
        <v>36</v>
      </c>
      <c r="D170" t="s">
        <v>37</v>
      </c>
      <c r="E170" t="s">
        <v>182</v>
      </c>
      <c r="F170" t="s">
        <v>23</v>
      </c>
      <c r="G170" t="s">
        <v>275</v>
      </c>
      <c r="H170" t="s">
        <v>276</v>
      </c>
      <c r="I170" t="s">
        <v>20</v>
      </c>
      <c r="J170">
        <v>2</v>
      </c>
      <c r="K170">
        <v>407183.33333333331</v>
      </c>
      <c r="L170">
        <v>0.1</v>
      </c>
      <c r="M170">
        <v>256000</v>
      </c>
      <c r="N170">
        <f>(data[[#This Row],[unit_price]]*data[[#This Row],[quantity]]) * (1-data[[#This Row],[discount]])</f>
        <v>732930</v>
      </c>
      <c r="O170">
        <f>data[[#This Row],[sales]]-data[[#This Row],[cost]]</f>
        <v>476930</v>
      </c>
      <c r="P170" t="str">
        <f>TEXT(data[[#This Row],[order_date]],"mmm")</f>
        <v>Jan</v>
      </c>
      <c r="Q170">
        <f>YEAR(data[[#This Row],[order_date]])</f>
        <v>2024</v>
      </c>
      <c r="R170">
        <f>MONTH(data[[#This Row],[order_date]])</f>
        <v>1</v>
      </c>
      <c r="S170">
        <f>DAY(data[[#This Row],[order_date]])</f>
        <v>8</v>
      </c>
      <c r="T170">
        <f>data[[#This Row],[profit]]/data[[#This Row],[sales]]</f>
        <v>0.65071698525097899</v>
      </c>
    </row>
    <row r="171" spans="1:20" x14ac:dyDescent="0.35">
      <c r="A171" t="s">
        <v>303</v>
      </c>
      <c r="B171" s="1">
        <v>45322</v>
      </c>
      <c r="C171" t="s">
        <v>49</v>
      </c>
      <c r="D171" t="s">
        <v>50</v>
      </c>
      <c r="E171" t="s">
        <v>193</v>
      </c>
      <c r="F171" t="s">
        <v>23</v>
      </c>
      <c r="G171" t="s">
        <v>275</v>
      </c>
      <c r="H171" t="s">
        <v>276</v>
      </c>
      <c r="I171" t="s">
        <v>20</v>
      </c>
      <c r="J171">
        <v>1</v>
      </c>
      <c r="K171">
        <v>441000</v>
      </c>
      <c r="L171">
        <v>0</v>
      </c>
      <c r="M171">
        <v>323000</v>
      </c>
      <c r="N171">
        <f>(data[[#This Row],[unit_price]]*data[[#This Row],[quantity]]) * (1-data[[#This Row],[discount]])</f>
        <v>441000</v>
      </c>
      <c r="O171">
        <f>data[[#This Row],[sales]]-data[[#This Row],[cost]]</f>
        <v>118000</v>
      </c>
      <c r="P171" t="str">
        <f>TEXT(data[[#This Row],[order_date]],"mmm")</f>
        <v>Jan</v>
      </c>
      <c r="Q171">
        <f>YEAR(data[[#This Row],[order_date]])</f>
        <v>2024</v>
      </c>
      <c r="R171">
        <f>MONTH(data[[#This Row],[order_date]])</f>
        <v>1</v>
      </c>
      <c r="S171">
        <f>DAY(data[[#This Row],[order_date]])</f>
        <v>31</v>
      </c>
      <c r="T171">
        <f>data[[#This Row],[profit]]/data[[#This Row],[sales]]</f>
        <v>0.26757369614512472</v>
      </c>
    </row>
    <row r="172" spans="1:20" x14ac:dyDescent="0.35">
      <c r="A172" t="s">
        <v>304</v>
      </c>
      <c r="B172" s="1">
        <v>45364</v>
      </c>
      <c r="C172" t="s">
        <v>14</v>
      </c>
      <c r="D172" t="s">
        <v>15</v>
      </c>
      <c r="E172" t="s">
        <v>108</v>
      </c>
      <c r="F172" t="s">
        <v>23</v>
      </c>
      <c r="G172" t="s">
        <v>275</v>
      </c>
      <c r="H172" t="s">
        <v>276</v>
      </c>
      <c r="I172" t="s">
        <v>20</v>
      </c>
      <c r="J172">
        <v>1</v>
      </c>
      <c r="K172">
        <v>352000</v>
      </c>
      <c r="L172">
        <v>0</v>
      </c>
      <c r="M172">
        <v>257000</v>
      </c>
      <c r="N172">
        <f>(data[[#This Row],[unit_price]]*data[[#This Row],[quantity]]) * (1-data[[#This Row],[discount]])</f>
        <v>352000</v>
      </c>
      <c r="O172">
        <f>data[[#This Row],[sales]]-data[[#This Row],[cost]]</f>
        <v>95000</v>
      </c>
      <c r="P172" t="str">
        <f>TEXT(data[[#This Row],[order_date]],"mmm")</f>
        <v>Mar</v>
      </c>
      <c r="Q172">
        <f>YEAR(data[[#This Row],[order_date]])</f>
        <v>2024</v>
      </c>
      <c r="R172">
        <f>MONTH(data[[#This Row],[order_date]])</f>
        <v>3</v>
      </c>
      <c r="S172">
        <f>DAY(data[[#This Row],[order_date]])</f>
        <v>13</v>
      </c>
      <c r="T172">
        <f>data[[#This Row],[profit]]/data[[#This Row],[sales]]</f>
        <v>0.26988636363636365</v>
      </c>
    </row>
    <row r="173" spans="1:20" x14ac:dyDescent="0.35">
      <c r="A173" t="s">
        <v>305</v>
      </c>
      <c r="B173" s="1">
        <v>45409</v>
      </c>
      <c r="C173" t="s">
        <v>14</v>
      </c>
      <c r="D173" t="s">
        <v>15</v>
      </c>
      <c r="E173" t="s">
        <v>136</v>
      </c>
      <c r="F173" t="s">
        <v>23</v>
      </c>
      <c r="G173" t="s">
        <v>275</v>
      </c>
      <c r="H173" t="s">
        <v>276</v>
      </c>
      <c r="I173" t="s">
        <v>20</v>
      </c>
      <c r="J173">
        <v>1</v>
      </c>
      <c r="K173">
        <v>387000</v>
      </c>
      <c r="L173">
        <v>0</v>
      </c>
      <c r="M173">
        <v>288000</v>
      </c>
      <c r="N173">
        <f>(data[[#This Row],[unit_price]]*data[[#This Row],[quantity]]) * (1-data[[#This Row],[discount]])</f>
        <v>387000</v>
      </c>
      <c r="O173">
        <f>data[[#This Row],[sales]]-data[[#This Row],[cost]]</f>
        <v>99000</v>
      </c>
      <c r="P173" t="str">
        <f>TEXT(data[[#This Row],[order_date]],"mmm")</f>
        <v>Apr</v>
      </c>
      <c r="Q173">
        <f>YEAR(data[[#This Row],[order_date]])</f>
        <v>2024</v>
      </c>
      <c r="R173">
        <f>MONTH(data[[#This Row],[order_date]])</f>
        <v>4</v>
      </c>
      <c r="S173">
        <f>DAY(data[[#This Row],[order_date]])</f>
        <v>27</v>
      </c>
      <c r="T173">
        <f>data[[#This Row],[profit]]/data[[#This Row],[sales]]</f>
        <v>0.2558139534883721</v>
      </c>
    </row>
    <row r="174" spans="1:20" x14ac:dyDescent="0.35">
      <c r="A174" t="s">
        <v>306</v>
      </c>
      <c r="B174" s="1">
        <v>45426</v>
      </c>
      <c r="C174" t="s">
        <v>14</v>
      </c>
      <c r="D174" t="s">
        <v>15</v>
      </c>
      <c r="E174" t="s">
        <v>307</v>
      </c>
      <c r="F174" t="s">
        <v>28</v>
      </c>
      <c r="G174" t="s">
        <v>275</v>
      </c>
      <c r="H174" t="s">
        <v>276</v>
      </c>
      <c r="I174" t="s">
        <v>20</v>
      </c>
      <c r="J174">
        <v>1</v>
      </c>
      <c r="K174">
        <v>377000</v>
      </c>
      <c r="L174">
        <v>0.1</v>
      </c>
      <c r="M174">
        <v>282000</v>
      </c>
      <c r="N174">
        <f>(data[[#This Row],[unit_price]]*data[[#This Row],[quantity]]) * (1-data[[#This Row],[discount]])</f>
        <v>339300</v>
      </c>
      <c r="O174">
        <f>data[[#This Row],[sales]]-data[[#This Row],[cost]]</f>
        <v>57300</v>
      </c>
      <c r="P174" t="str">
        <f>TEXT(data[[#This Row],[order_date]],"mmm")</f>
        <v>May</v>
      </c>
      <c r="Q174">
        <f>YEAR(data[[#This Row],[order_date]])</f>
        <v>2024</v>
      </c>
      <c r="R174">
        <f>MONTH(data[[#This Row],[order_date]])</f>
        <v>5</v>
      </c>
      <c r="S174">
        <f>DAY(data[[#This Row],[order_date]])</f>
        <v>14</v>
      </c>
      <c r="T174">
        <f>data[[#This Row],[profit]]/data[[#This Row],[sales]]</f>
        <v>0.16887709991158267</v>
      </c>
    </row>
    <row r="175" spans="1:20" x14ac:dyDescent="0.35">
      <c r="A175" t="s">
        <v>308</v>
      </c>
      <c r="B175" s="1">
        <v>45444</v>
      </c>
      <c r="C175" t="s">
        <v>41</v>
      </c>
      <c r="D175" t="s">
        <v>42</v>
      </c>
      <c r="E175" t="s">
        <v>309</v>
      </c>
      <c r="F175" t="s">
        <v>23</v>
      </c>
      <c r="G175" t="s">
        <v>275</v>
      </c>
      <c r="H175" t="s">
        <v>276</v>
      </c>
      <c r="I175" t="s">
        <v>20</v>
      </c>
      <c r="J175">
        <v>1</v>
      </c>
      <c r="K175">
        <v>506000</v>
      </c>
      <c r="L175">
        <v>0</v>
      </c>
      <c r="M175">
        <v>374000</v>
      </c>
      <c r="N175">
        <f>(data[[#This Row],[unit_price]]*data[[#This Row],[quantity]]) * (1-data[[#This Row],[discount]])</f>
        <v>506000</v>
      </c>
      <c r="O175">
        <f>data[[#This Row],[sales]]-data[[#This Row],[cost]]</f>
        <v>132000</v>
      </c>
      <c r="P175" t="str">
        <f>TEXT(data[[#This Row],[order_date]],"mmm")</f>
        <v>Jun</v>
      </c>
      <c r="Q175">
        <f>YEAR(data[[#This Row],[order_date]])</f>
        <v>2024</v>
      </c>
      <c r="R175">
        <f>MONTH(data[[#This Row],[order_date]])</f>
        <v>6</v>
      </c>
      <c r="S175">
        <f>DAY(data[[#This Row],[order_date]])</f>
        <v>1</v>
      </c>
      <c r="T175">
        <f>data[[#This Row],[profit]]/data[[#This Row],[sales]]</f>
        <v>0.2608695652173913</v>
      </c>
    </row>
    <row r="176" spans="1:20" x14ac:dyDescent="0.35">
      <c r="A176" t="s">
        <v>310</v>
      </c>
      <c r="B176" s="1">
        <v>45450</v>
      </c>
      <c r="C176" t="s">
        <v>14</v>
      </c>
      <c r="D176" t="s">
        <v>15</v>
      </c>
      <c r="E176" t="s">
        <v>311</v>
      </c>
      <c r="F176" t="s">
        <v>17</v>
      </c>
      <c r="G176" t="s">
        <v>275</v>
      </c>
      <c r="H176" t="s">
        <v>276</v>
      </c>
      <c r="I176" t="s">
        <v>20</v>
      </c>
      <c r="J176">
        <v>1</v>
      </c>
      <c r="K176">
        <v>493000</v>
      </c>
      <c r="L176">
        <v>0</v>
      </c>
      <c r="M176">
        <v>365000</v>
      </c>
      <c r="N176">
        <f>(data[[#This Row],[unit_price]]*data[[#This Row],[quantity]]) * (1-data[[#This Row],[discount]])</f>
        <v>493000</v>
      </c>
      <c r="O176">
        <f>data[[#This Row],[sales]]-data[[#This Row],[cost]]</f>
        <v>128000</v>
      </c>
      <c r="P176" t="str">
        <f>TEXT(data[[#This Row],[order_date]],"mmm")</f>
        <v>Jun</v>
      </c>
      <c r="Q176">
        <f>YEAR(data[[#This Row],[order_date]])</f>
        <v>2024</v>
      </c>
      <c r="R176">
        <f>MONTH(data[[#This Row],[order_date]])</f>
        <v>6</v>
      </c>
      <c r="S176">
        <f>DAY(data[[#This Row],[order_date]])</f>
        <v>7</v>
      </c>
      <c r="T176">
        <f>data[[#This Row],[profit]]/data[[#This Row],[sales]]</f>
        <v>0.25963488843813387</v>
      </c>
    </row>
    <row r="177" spans="1:20" x14ac:dyDescent="0.35">
      <c r="A177" t="s">
        <v>312</v>
      </c>
      <c r="B177" s="1">
        <v>45475</v>
      </c>
      <c r="C177" t="s">
        <v>36</v>
      </c>
      <c r="D177" t="s">
        <v>37</v>
      </c>
      <c r="E177" t="s">
        <v>313</v>
      </c>
      <c r="F177" t="s">
        <v>17</v>
      </c>
      <c r="G177" t="s">
        <v>275</v>
      </c>
      <c r="H177" t="s">
        <v>276</v>
      </c>
      <c r="I177" t="s">
        <v>20</v>
      </c>
      <c r="J177">
        <v>3</v>
      </c>
      <c r="K177">
        <v>266000</v>
      </c>
      <c r="L177">
        <v>0</v>
      </c>
      <c r="M177">
        <v>193000</v>
      </c>
      <c r="N177">
        <f>(data[[#This Row],[unit_price]]*data[[#This Row],[quantity]]) * (1-data[[#This Row],[discount]])</f>
        <v>798000</v>
      </c>
      <c r="O177">
        <f>data[[#This Row],[sales]]-data[[#This Row],[cost]]</f>
        <v>605000</v>
      </c>
      <c r="P177" t="str">
        <f>TEXT(data[[#This Row],[order_date]],"mmm")</f>
        <v>Jul</v>
      </c>
      <c r="Q177">
        <f>YEAR(data[[#This Row],[order_date]])</f>
        <v>2024</v>
      </c>
      <c r="R177">
        <f>MONTH(data[[#This Row],[order_date]])</f>
        <v>7</v>
      </c>
      <c r="S177">
        <f>DAY(data[[#This Row],[order_date]])</f>
        <v>2</v>
      </c>
      <c r="T177">
        <f>data[[#This Row],[profit]]/data[[#This Row],[sales]]</f>
        <v>0.75814536340852134</v>
      </c>
    </row>
    <row r="178" spans="1:20" x14ac:dyDescent="0.35">
      <c r="A178" t="s">
        <v>314</v>
      </c>
      <c r="B178" s="1">
        <v>45484</v>
      </c>
      <c r="C178" t="s">
        <v>14</v>
      </c>
      <c r="D178" t="s">
        <v>15</v>
      </c>
      <c r="E178" t="s">
        <v>315</v>
      </c>
      <c r="F178" t="s">
        <v>23</v>
      </c>
      <c r="G178" t="s">
        <v>275</v>
      </c>
      <c r="H178" t="s">
        <v>276</v>
      </c>
      <c r="I178" t="s">
        <v>20</v>
      </c>
      <c r="J178">
        <v>1</v>
      </c>
      <c r="K178">
        <v>338000</v>
      </c>
      <c r="L178">
        <v>0</v>
      </c>
      <c r="M178">
        <v>241000</v>
      </c>
      <c r="N178">
        <f>(data[[#This Row],[unit_price]]*data[[#This Row],[quantity]]) * (1-data[[#This Row],[discount]])</f>
        <v>338000</v>
      </c>
      <c r="O178">
        <f>data[[#This Row],[sales]]-data[[#This Row],[cost]]</f>
        <v>97000</v>
      </c>
      <c r="P178" t="str">
        <f>TEXT(data[[#This Row],[order_date]],"mmm")</f>
        <v>Jul</v>
      </c>
      <c r="Q178">
        <f>YEAR(data[[#This Row],[order_date]])</f>
        <v>2024</v>
      </c>
      <c r="R178">
        <f>MONTH(data[[#This Row],[order_date]])</f>
        <v>7</v>
      </c>
      <c r="S178">
        <f>DAY(data[[#This Row],[order_date]])</f>
        <v>11</v>
      </c>
      <c r="T178">
        <f>data[[#This Row],[profit]]/data[[#This Row],[sales]]</f>
        <v>0.28698224852071008</v>
      </c>
    </row>
    <row r="179" spans="1:20" x14ac:dyDescent="0.35">
      <c r="A179" t="s">
        <v>316</v>
      </c>
      <c r="B179" s="1">
        <v>45518</v>
      </c>
      <c r="C179" t="s">
        <v>14</v>
      </c>
      <c r="D179" t="s">
        <v>15</v>
      </c>
      <c r="E179" t="s">
        <v>309</v>
      </c>
      <c r="F179" t="s">
        <v>23</v>
      </c>
      <c r="G179" t="s">
        <v>275</v>
      </c>
      <c r="H179" t="s">
        <v>276</v>
      </c>
      <c r="I179" t="s">
        <v>20</v>
      </c>
      <c r="J179">
        <v>1</v>
      </c>
      <c r="K179">
        <v>366000</v>
      </c>
      <c r="L179">
        <v>0</v>
      </c>
      <c r="M179">
        <v>264000</v>
      </c>
      <c r="N179">
        <f>(data[[#This Row],[unit_price]]*data[[#This Row],[quantity]]) * (1-data[[#This Row],[discount]])</f>
        <v>366000</v>
      </c>
      <c r="O179">
        <f>data[[#This Row],[sales]]-data[[#This Row],[cost]]</f>
        <v>102000</v>
      </c>
      <c r="P179" t="str">
        <f>TEXT(data[[#This Row],[order_date]],"mmm")</f>
        <v>Aug</v>
      </c>
      <c r="Q179">
        <f>YEAR(data[[#This Row],[order_date]])</f>
        <v>2024</v>
      </c>
      <c r="R179">
        <f>MONTH(data[[#This Row],[order_date]])</f>
        <v>8</v>
      </c>
      <c r="S179">
        <f>DAY(data[[#This Row],[order_date]])</f>
        <v>14</v>
      </c>
      <c r="T179">
        <f>data[[#This Row],[profit]]/data[[#This Row],[sales]]</f>
        <v>0.27868852459016391</v>
      </c>
    </row>
    <row r="180" spans="1:20" x14ac:dyDescent="0.35">
      <c r="A180" t="s">
        <v>317</v>
      </c>
      <c r="B180" s="1">
        <v>45521</v>
      </c>
      <c r="C180" t="s">
        <v>36</v>
      </c>
      <c r="D180" t="s">
        <v>37</v>
      </c>
      <c r="E180" t="s">
        <v>99</v>
      </c>
      <c r="F180" t="s">
        <v>23</v>
      </c>
      <c r="G180" t="s">
        <v>275</v>
      </c>
      <c r="H180" t="s">
        <v>276</v>
      </c>
      <c r="I180" t="s">
        <v>20</v>
      </c>
      <c r="J180">
        <v>5</v>
      </c>
      <c r="K180">
        <v>398000</v>
      </c>
      <c r="L180">
        <v>0</v>
      </c>
      <c r="M180">
        <v>297000</v>
      </c>
      <c r="N180">
        <f>(data[[#This Row],[unit_price]]*data[[#This Row],[quantity]]) * (1-data[[#This Row],[discount]])</f>
        <v>1990000</v>
      </c>
      <c r="O180">
        <f>data[[#This Row],[sales]]-data[[#This Row],[cost]]</f>
        <v>1693000</v>
      </c>
      <c r="P180" t="str">
        <f>TEXT(data[[#This Row],[order_date]],"mmm")</f>
        <v>Aug</v>
      </c>
      <c r="Q180">
        <f>YEAR(data[[#This Row],[order_date]])</f>
        <v>2024</v>
      </c>
      <c r="R180">
        <f>MONTH(data[[#This Row],[order_date]])</f>
        <v>8</v>
      </c>
      <c r="S180">
        <f>DAY(data[[#This Row],[order_date]])</f>
        <v>17</v>
      </c>
      <c r="T180">
        <f>data[[#This Row],[profit]]/data[[#This Row],[sales]]</f>
        <v>0.85075376884422116</v>
      </c>
    </row>
    <row r="181" spans="1:20" x14ac:dyDescent="0.35">
      <c r="A181" t="s">
        <v>318</v>
      </c>
      <c r="B181" s="1">
        <v>45528</v>
      </c>
      <c r="C181" t="s">
        <v>14</v>
      </c>
      <c r="D181" t="s">
        <v>15</v>
      </c>
      <c r="E181" t="s">
        <v>319</v>
      </c>
      <c r="F181" t="s">
        <v>23</v>
      </c>
      <c r="G181" t="s">
        <v>275</v>
      </c>
      <c r="H181" t="s">
        <v>276</v>
      </c>
      <c r="I181" t="s">
        <v>20</v>
      </c>
      <c r="J181">
        <v>1</v>
      </c>
      <c r="K181">
        <v>271000</v>
      </c>
      <c r="L181">
        <v>0</v>
      </c>
      <c r="M181">
        <v>194000</v>
      </c>
      <c r="N181">
        <f>(data[[#This Row],[unit_price]]*data[[#This Row],[quantity]]) * (1-data[[#This Row],[discount]])</f>
        <v>271000</v>
      </c>
      <c r="O181">
        <f>data[[#This Row],[sales]]-data[[#This Row],[cost]]</f>
        <v>77000</v>
      </c>
      <c r="P181" t="str">
        <f>TEXT(data[[#This Row],[order_date]],"mmm")</f>
        <v>Aug</v>
      </c>
      <c r="Q181">
        <f>YEAR(data[[#This Row],[order_date]])</f>
        <v>2024</v>
      </c>
      <c r="R181">
        <f>MONTH(data[[#This Row],[order_date]])</f>
        <v>8</v>
      </c>
      <c r="S181">
        <f>DAY(data[[#This Row],[order_date]])</f>
        <v>24</v>
      </c>
      <c r="T181">
        <f>data[[#This Row],[profit]]/data[[#This Row],[sales]]</f>
        <v>0.28413284132841327</v>
      </c>
    </row>
    <row r="182" spans="1:20" x14ac:dyDescent="0.35">
      <c r="A182" t="s">
        <v>320</v>
      </c>
      <c r="B182" s="1">
        <v>45529</v>
      </c>
      <c r="C182" t="s">
        <v>25</v>
      </c>
      <c r="D182" t="s">
        <v>26</v>
      </c>
      <c r="E182" t="s">
        <v>76</v>
      </c>
      <c r="F182" t="s">
        <v>23</v>
      </c>
      <c r="G182" t="s">
        <v>275</v>
      </c>
      <c r="H182" t="s">
        <v>276</v>
      </c>
      <c r="I182" t="s">
        <v>20</v>
      </c>
      <c r="J182">
        <v>1</v>
      </c>
      <c r="K182">
        <v>431000</v>
      </c>
      <c r="L182">
        <v>0</v>
      </c>
      <c r="M182">
        <v>316000</v>
      </c>
      <c r="N182">
        <f>(data[[#This Row],[unit_price]]*data[[#This Row],[quantity]]) * (1-data[[#This Row],[discount]])</f>
        <v>431000</v>
      </c>
      <c r="O182">
        <f>data[[#This Row],[sales]]-data[[#This Row],[cost]]</f>
        <v>115000</v>
      </c>
      <c r="P182" t="str">
        <f>TEXT(data[[#This Row],[order_date]],"mmm")</f>
        <v>Aug</v>
      </c>
      <c r="Q182">
        <f>YEAR(data[[#This Row],[order_date]])</f>
        <v>2024</v>
      </c>
      <c r="R182">
        <f>MONTH(data[[#This Row],[order_date]])</f>
        <v>8</v>
      </c>
      <c r="S182">
        <f>DAY(data[[#This Row],[order_date]])</f>
        <v>25</v>
      </c>
      <c r="T182">
        <f>data[[#This Row],[profit]]/data[[#This Row],[sales]]</f>
        <v>0.26682134570765659</v>
      </c>
    </row>
    <row r="183" spans="1:20" x14ac:dyDescent="0.35">
      <c r="A183" t="s">
        <v>321</v>
      </c>
      <c r="B183" s="1">
        <v>45541</v>
      </c>
      <c r="C183" t="s">
        <v>14</v>
      </c>
      <c r="D183" t="s">
        <v>15</v>
      </c>
      <c r="E183" t="s">
        <v>230</v>
      </c>
      <c r="F183" t="s">
        <v>23</v>
      </c>
      <c r="G183" t="s">
        <v>275</v>
      </c>
      <c r="H183" t="s">
        <v>276</v>
      </c>
      <c r="I183" t="s">
        <v>20</v>
      </c>
      <c r="J183">
        <v>1</v>
      </c>
      <c r="K183">
        <v>407183.33333333331</v>
      </c>
      <c r="L183">
        <v>0</v>
      </c>
      <c r="M183">
        <v>0</v>
      </c>
      <c r="N183">
        <f>(data[[#This Row],[unit_price]]*data[[#This Row],[quantity]]) * (1-data[[#This Row],[discount]])</f>
        <v>407183.33333333331</v>
      </c>
      <c r="O183">
        <f>data[[#This Row],[sales]]-data[[#This Row],[cost]]</f>
        <v>407183.33333333331</v>
      </c>
      <c r="P183" t="str">
        <f>TEXT(data[[#This Row],[order_date]],"mmm")</f>
        <v>Sep</v>
      </c>
      <c r="Q183">
        <f>YEAR(data[[#This Row],[order_date]])</f>
        <v>2024</v>
      </c>
      <c r="R183">
        <f>MONTH(data[[#This Row],[order_date]])</f>
        <v>9</v>
      </c>
      <c r="S183">
        <f>DAY(data[[#This Row],[order_date]])</f>
        <v>6</v>
      </c>
      <c r="T183">
        <f>data[[#This Row],[profit]]/data[[#This Row],[sales]]</f>
        <v>1</v>
      </c>
    </row>
    <row r="184" spans="1:20" x14ac:dyDescent="0.35">
      <c r="A184" t="s">
        <v>322</v>
      </c>
      <c r="B184" s="1">
        <v>45567</v>
      </c>
      <c r="C184" t="s">
        <v>14</v>
      </c>
      <c r="D184" t="s">
        <v>15</v>
      </c>
      <c r="E184" t="s">
        <v>323</v>
      </c>
      <c r="F184" t="s">
        <v>28</v>
      </c>
      <c r="G184" t="s">
        <v>275</v>
      </c>
      <c r="H184" t="s">
        <v>276</v>
      </c>
      <c r="I184" t="s">
        <v>20</v>
      </c>
      <c r="J184">
        <v>2</v>
      </c>
      <c r="K184">
        <v>366000</v>
      </c>
      <c r="L184">
        <v>0</v>
      </c>
      <c r="M184">
        <v>260000</v>
      </c>
      <c r="N184">
        <f>(data[[#This Row],[unit_price]]*data[[#This Row],[quantity]]) * (1-data[[#This Row],[discount]])</f>
        <v>732000</v>
      </c>
      <c r="O184">
        <f>data[[#This Row],[sales]]-data[[#This Row],[cost]]</f>
        <v>472000</v>
      </c>
      <c r="P184" t="str">
        <f>TEXT(data[[#This Row],[order_date]],"mmm")</f>
        <v>Oct</v>
      </c>
      <c r="Q184">
        <f>YEAR(data[[#This Row],[order_date]])</f>
        <v>2024</v>
      </c>
      <c r="R184">
        <f>MONTH(data[[#This Row],[order_date]])</f>
        <v>10</v>
      </c>
      <c r="S184">
        <f>DAY(data[[#This Row],[order_date]])</f>
        <v>2</v>
      </c>
      <c r="T184">
        <f>data[[#This Row],[profit]]/data[[#This Row],[sales]]</f>
        <v>0.64480874316939896</v>
      </c>
    </row>
    <row r="185" spans="1:20" x14ac:dyDescent="0.35">
      <c r="A185" t="s">
        <v>324</v>
      </c>
      <c r="B185" s="1">
        <v>45605</v>
      </c>
      <c r="C185" t="s">
        <v>14</v>
      </c>
      <c r="D185" t="s">
        <v>15</v>
      </c>
      <c r="E185" t="s">
        <v>119</v>
      </c>
      <c r="F185" t="s">
        <v>23</v>
      </c>
      <c r="G185" t="s">
        <v>275</v>
      </c>
      <c r="H185" t="s">
        <v>276</v>
      </c>
      <c r="I185" t="s">
        <v>20</v>
      </c>
      <c r="J185">
        <v>2</v>
      </c>
      <c r="K185">
        <v>482000</v>
      </c>
      <c r="L185">
        <v>0</v>
      </c>
      <c r="M185">
        <v>345000</v>
      </c>
      <c r="N185">
        <f>(data[[#This Row],[unit_price]]*data[[#This Row],[quantity]]) * (1-data[[#This Row],[discount]])</f>
        <v>964000</v>
      </c>
      <c r="O185">
        <f>data[[#This Row],[sales]]-data[[#This Row],[cost]]</f>
        <v>619000</v>
      </c>
      <c r="P185" t="str">
        <f>TEXT(data[[#This Row],[order_date]],"mmm")</f>
        <v>Nov</v>
      </c>
      <c r="Q185">
        <f>YEAR(data[[#This Row],[order_date]])</f>
        <v>2024</v>
      </c>
      <c r="R185">
        <f>MONTH(data[[#This Row],[order_date]])</f>
        <v>11</v>
      </c>
      <c r="S185">
        <f>DAY(data[[#This Row],[order_date]])</f>
        <v>9</v>
      </c>
      <c r="T185">
        <f>data[[#This Row],[profit]]/data[[#This Row],[sales]]</f>
        <v>0.64211618257261416</v>
      </c>
    </row>
    <row r="186" spans="1:20" x14ac:dyDescent="0.35">
      <c r="A186" t="s">
        <v>325</v>
      </c>
      <c r="B186" s="1">
        <v>45610</v>
      </c>
      <c r="C186" t="s">
        <v>49</v>
      </c>
      <c r="D186" t="s">
        <v>50</v>
      </c>
      <c r="E186" t="s">
        <v>295</v>
      </c>
      <c r="F186" t="s">
        <v>23</v>
      </c>
      <c r="G186" t="s">
        <v>275</v>
      </c>
      <c r="H186" t="s">
        <v>276</v>
      </c>
      <c r="I186" t="s">
        <v>20</v>
      </c>
      <c r="J186">
        <v>2</v>
      </c>
      <c r="K186">
        <v>512000</v>
      </c>
      <c r="L186">
        <v>0</v>
      </c>
      <c r="M186">
        <v>371000</v>
      </c>
      <c r="N186">
        <f>(data[[#This Row],[unit_price]]*data[[#This Row],[quantity]]) * (1-data[[#This Row],[discount]])</f>
        <v>1024000</v>
      </c>
      <c r="O186">
        <f>data[[#This Row],[sales]]-data[[#This Row],[cost]]</f>
        <v>653000</v>
      </c>
      <c r="P186" t="str">
        <f>TEXT(data[[#This Row],[order_date]],"mmm")</f>
        <v>Nov</v>
      </c>
      <c r="Q186">
        <f>YEAR(data[[#This Row],[order_date]])</f>
        <v>2024</v>
      </c>
      <c r="R186">
        <f>MONTH(data[[#This Row],[order_date]])</f>
        <v>11</v>
      </c>
      <c r="S186">
        <f>DAY(data[[#This Row],[order_date]])</f>
        <v>14</v>
      </c>
      <c r="T186">
        <f>data[[#This Row],[profit]]/data[[#This Row],[sales]]</f>
        <v>0.6376953125</v>
      </c>
    </row>
    <row r="187" spans="1:20" x14ac:dyDescent="0.35">
      <c r="A187" t="s">
        <v>326</v>
      </c>
      <c r="B187" s="1">
        <v>45619</v>
      </c>
      <c r="C187" t="s">
        <v>41</v>
      </c>
      <c r="D187" t="s">
        <v>42</v>
      </c>
      <c r="E187" t="s">
        <v>327</v>
      </c>
      <c r="F187" t="s">
        <v>23</v>
      </c>
      <c r="G187" t="s">
        <v>275</v>
      </c>
      <c r="H187" t="s">
        <v>276</v>
      </c>
      <c r="I187" t="s">
        <v>20</v>
      </c>
      <c r="J187">
        <v>1</v>
      </c>
      <c r="K187">
        <v>403000</v>
      </c>
      <c r="L187">
        <v>0</v>
      </c>
      <c r="M187">
        <v>291000</v>
      </c>
      <c r="N187">
        <f>(data[[#This Row],[unit_price]]*data[[#This Row],[quantity]]) * (1-data[[#This Row],[discount]])</f>
        <v>403000</v>
      </c>
      <c r="O187">
        <f>data[[#This Row],[sales]]-data[[#This Row],[cost]]</f>
        <v>112000</v>
      </c>
      <c r="P187" t="str">
        <f>TEXT(data[[#This Row],[order_date]],"mmm")</f>
        <v>Nov</v>
      </c>
      <c r="Q187">
        <f>YEAR(data[[#This Row],[order_date]])</f>
        <v>2024</v>
      </c>
      <c r="R187">
        <f>MONTH(data[[#This Row],[order_date]])</f>
        <v>11</v>
      </c>
      <c r="S187">
        <f>DAY(data[[#This Row],[order_date]])</f>
        <v>23</v>
      </c>
      <c r="T187">
        <f>data[[#This Row],[profit]]/data[[#This Row],[sales]]</f>
        <v>0.27791563275434245</v>
      </c>
    </row>
    <row r="188" spans="1:20" x14ac:dyDescent="0.35">
      <c r="A188" t="s">
        <v>328</v>
      </c>
      <c r="B188" s="1">
        <v>45688</v>
      </c>
      <c r="C188" t="s">
        <v>14</v>
      </c>
      <c r="D188" t="s">
        <v>15</v>
      </c>
      <c r="E188" t="s">
        <v>329</v>
      </c>
      <c r="F188" t="s">
        <v>28</v>
      </c>
      <c r="G188" t="s">
        <v>275</v>
      </c>
      <c r="H188" t="s">
        <v>276</v>
      </c>
      <c r="I188" t="s">
        <v>20</v>
      </c>
      <c r="J188">
        <v>1</v>
      </c>
      <c r="K188">
        <v>405000</v>
      </c>
      <c r="L188">
        <v>0</v>
      </c>
      <c r="M188">
        <v>302000</v>
      </c>
      <c r="N188">
        <f>(data[[#This Row],[unit_price]]*data[[#This Row],[quantity]]) * (1-data[[#This Row],[discount]])</f>
        <v>405000</v>
      </c>
      <c r="O188">
        <f>data[[#This Row],[sales]]-data[[#This Row],[cost]]</f>
        <v>103000</v>
      </c>
      <c r="P188" t="str">
        <f>TEXT(data[[#This Row],[order_date]],"mmm")</f>
        <v>Jan</v>
      </c>
      <c r="Q188">
        <f>YEAR(data[[#This Row],[order_date]])</f>
        <v>2025</v>
      </c>
      <c r="R188">
        <f>MONTH(data[[#This Row],[order_date]])</f>
        <v>1</v>
      </c>
      <c r="S188">
        <f>DAY(data[[#This Row],[order_date]])</f>
        <v>31</v>
      </c>
      <c r="T188">
        <f>data[[#This Row],[profit]]/data[[#This Row],[sales]]</f>
        <v>0.25432098765432098</v>
      </c>
    </row>
    <row r="189" spans="1:20" x14ac:dyDescent="0.35">
      <c r="A189" t="s">
        <v>330</v>
      </c>
      <c r="B189" s="1">
        <v>45689</v>
      </c>
      <c r="C189" t="s">
        <v>41</v>
      </c>
      <c r="D189" t="s">
        <v>42</v>
      </c>
      <c r="E189" t="s">
        <v>97</v>
      </c>
      <c r="F189" t="s">
        <v>23</v>
      </c>
      <c r="G189" t="s">
        <v>275</v>
      </c>
      <c r="H189" t="s">
        <v>276</v>
      </c>
      <c r="I189" t="s">
        <v>20</v>
      </c>
      <c r="J189">
        <v>2</v>
      </c>
      <c r="K189">
        <v>517000</v>
      </c>
      <c r="L189">
        <v>0</v>
      </c>
      <c r="M189">
        <v>369000</v>
      </c>
      <c r="N189">
        <f>(data[[#This Row],[unit_price]]*data[[#This Row],[quantity]]) * (1-data[[#This Row],[discount]])</f>
        <v>1034000</v>
      </c>
      <c r="O189">
        <f>data[[#This Row],[sales]]-data[[#This Row],[cost]]</f>
        <v>665000</v>
      </c>
      <c r="P189" t="str">
        <f>TEXT(data[[#This Row],[order_date]],"mmm")</f>
        <v>Feb</v>
      </c>
      <c r="Q189">
        <f>YEAR(data[[#This Row],[order_date]])</f>
        <v>2025</v>
      </c>
      <c r="R189">
        <f>MONTH(data[[#This Row],[order_date]])</f>
        <v>2</v>
      </c>
      <c r="S189">
        <f>DAY(data[[#This Row],[order_date]])</f>
        <v>1</v>
      </c>
      <c r="T189">
        <f>data[[#This Row],[profit]]/data[[#This Row],[sales]]</f>
        <v>0.64313346228239843</v>
      </c>
    </row>
    <row r="190" spans="1:20" x14ac:dyDescent="0.35">
      <c r="A190" t="s">
        <v>331</v>
      </c>
      <c r="B190" s="1">
        <v>45742</v>
      </c>
      <c r="C190" t="s">
        <v>14</v>
      </c>
      <c r="D190" t="s">
        <v>15</v>
      </c>
      <c r="E190" t="s">
        <v>132</v>
      </c>
      <c r="F190" t="s">
        <v>28</v>
      </c>
      <c r="G190" t="s">
        <v>275</v>
      </c>
      <c r="H190" t="s">
        <v>276</v>
      </c>
      <c r="I190" t="s">
        <v>20</v>
      </c>
      <c r="J190">
        <v>2</v>
      </c>
      <c r="K190">
        <v>519000</v>
      </c>
      <c r="L190">
        <v>0</v>
      </c>
      <c r="M190">
        <v>388000</v>
      </c>
      <c r="N190">
        <f>(data[[#This Row],[unit_price]]*data[[#This Row],[quantity]]) * (1-data[[#This Row],[discount]])</f>
        <v>1038000</v>
      </c>
      <c r="O190">
        <f>data[[#This Row],[sales]]-data[[#This Row],[cost]]</f>
        <v>650000</v>
      </c>
      <c r="P190" t="str">
        <f>TEXT(data[[#This Row],[order_date]],"mmm")</f>
        <v>Mar</v>
      </c>
      <c r="Q190">
        <f>YEAR(data[[#This Row],[order_date]])</f>
        <v>2025</v>
      </c>
      <c r="R190">
        <f>MONTH(data[[#This Row],[order_date]])</f>
        <v>3</v>
      </c>
      <c r="S190">
        <f>DAY(data[[#This Row],[order_date]])</f>
        <v>26</v>
      </c>
      <c r="T190">
        <f>data[[#This Row],[profit]]/data[[#This Row],[sales]]</f>
        <v>0.62620423892100197</v>
      </c>
    </row>
    <row r="191" spans="1:20" x14ac:dyDescent="0.35">
      <c r="A191" t="s">
        <v>332</v>
      </c>
      <c r="B191" s="1">
        <v>45748</v>
      </c>
      <c r="C191" t="s">
        <v>41</v>
      </c>
      <c r="D191" t="s">
        <v>42</v>
      </c>
      <c r="E191" t="s">
        <v>333</v>
      </c>
      <c r="F191" t="s">
        <v>17</v>
      </c>
      <c r="G191" t="s">
        <v>275</v>
      </c>
      <c r="H191" t="s">
        <v>276</v>
      </c>
      <c r="I191" t="s">
        <v>20</v>
      </c>
      <c r="J191">
        <v>1</v>
      </c>
      <c r="K191">
        <v>377000</v>
      </c>
      <c r="L191">
        <v>0.15</v>
      </c>
      <c r="M191">
        <v>274000</v>
      </c>
      <c r="N191">
        <f>(data[[#This Row],[unit_price]]*data[[#This Row],[quantity]]) * (1-data[[#This Row],[discount]])</f>
        <v>320450</v>
      </c>
      <c r="O191">
        <f>data[[#This Row],[sales]]-data[[#This Row],[cost]]</f>
        <v>46450</v>
      </c>
      <c r="P191" t="str">
        <f>TEXT(data[[#This Row],[order_date]],"mmm")</f>
        <v>Apr</v>
      </c>
      <c r="Q191">
        <f>YEAR(data[[#This Row],[order_date]])</f>
        <v>2025</v>
      </c>
      <c r="R191">
        <f>MONTH(data[[#This Row],[order_date]])</f>
        <v>4</v>
      </c>
      <c r="S191">
        <f>DAY(data[[#This Row],[order_date]])</f>
        <v>1</v>
      </c>
      <c r="T191">
        <f>data[[#This Row],[profit]]/data[[#This Row],[sales]]</f>
        <v>0.14495241067249182</v>
      </c>
    </row>
    <row r="192" spans="1:20" x14ac:dyDescent="0.35">
      <c r="A192" t="s">
        <v>334</v>
      </c>
      <c r="B192" s="1">
        <v>45749</v>
      </c>
      <c r="C192" t="s">
        <v>14</v>
      </c>
      <c r="D192" t="s">
        <v>15</v>
      </c>
      <c r="E192" t="s">
        <v>335</v>
      </c>
      <c r="F192" t="s">
        <v>23</v>
      </c>
      <c r="G192" t="s">
        <v>275</v>
      </c>
      <c r="H192" t="s">
        <v>276</v>
      </c>
      <c r="I192" t="s">
        <v>20</v>
      </c>
      <c r="J192">
        <v>1</v>
      </c>
      <c r="K192">
        <v>512000</v>
      </c>
      <c r="L192">
        <v>0</v>
      </c>
      <c r="M192">
        <v>368000</v>
      </c>
      <c r="N192">
        <f>(data[[#This Row],[unit_price]]*data[[#This Row],[quantity]]) * (1-data[[#This Row],[discount]])</f>
        <v>512000</v>
      </c>
      <c r="O192">
        <f>data[[#This Row],[sales]]-data[[#This Row],[cost]]</f>
        <v>144000</v>
      </c>
      <c r="P192" t="str">
        <f>TEXT(data[[#This Row],[order_date]],"mmm")</f>
        <v>Apr</v>
      </c>
      <c r="Q192">
        <f>YEAR(data[[#This Row],[order_date]])</f>
        <v>2025</v>
      </c>
      <c r="R192">
        <f>MONTH(data[[#This Row],[order_date]])</f>
        <v>4</v>
      </c>
      <c r="S192">
        <f>DAY(data[[#This Row],[order_date]])</f>
        <v>2</v>
      </c>
      <c r="T192">
        <f>data[[#This Row],[profit]]/data[[#This Row],[sales]]</f>
        <v>0.28125</v>
      </c>
    </row>
    <row r="193" spans="1:20" x14ac:dyDescent="0.35">
      <c r="A193" t="s">
        <v>336</v>
      </c>
      <c r="B193" s="1">
        <v>45785</v>
      </c>
      <c r="C193" t="s">
        <v>14</v>
      </c>
      <c r="D193" t="s">
        <v>15</v>
      </c>
      <c r="E193" t="s">
        <v>337</v>
      </c>
      <c r="F193" t="s">
        <v>23</v>
      </c>
      <c r="G193" t="s">
        <v>275</v>
      </c>
      <c r="H193" t="s">
        <v>276</v>
      </c>
      <c r="I193" t="s">
        <v>20</v>
      </c>
      <c r="J193">
        <v>1</v>
      </c>
      <c r="K193">
        <v>534000</v>
      </c>
      <c r="L193">
        <v>0</v>
      </c>
      <c r="M193">
        <v>384000</v>
      </c>
      <c r="N193">
        <f>(data[[#This Row],[unit_price]]*data[[#This Row],[quantity]]) * (1-data[[#This Row],[discount]])</f>
        <v>534000</v>
      </c>
      <c r="O193">
        <f>data[[#This Row],[sales]]-data[[#This Row],[cost]]</f>
        <v>150000</v>
      </c>
      <c r="P193" t="str">
        <f>TEXT(data[[#This Row],[order_date]],"mmm")</f>
        <v>May</v>
      </c>
      <c r="Q193">
        <f>YEAR(data[[#This Row],[order_date]])</f>
        <v>2025</v>
      </c>
      <c r="R193">
        <f>MONTH(data[[#This Row],[order_date]])</f>
        <v>5</v>
      </c>
      <c r="S193">
        <f>DAY(data[[#This Row],[order_date]])</f>
        <v>8</v>
      </c>
      <c r="T193">
        <f>data[[#This Row],[profit]]/data[[#This Row],[sales]]</f>
        <v>0.2808988764044944</v>
      </c>
    </row>
    <row r="194" spans="1:20" x14ac:dyDescent="0.35">
      <c r="A194" t="s">
        <v>338</v>
      </c>
      <c r="B194" s="1">
        <v>45798</v>
      </c>
      <c r="C194" t="s">
        <v>14</v>
      </c>
      <c r="D194" t="s">
        <v>15</v>
      </c>
      <c r="E194" t="s">
        <v>95</v>
      </c>
      <c r="F194" t="s">
        <v>23</v>
      </c>
      <c r="G194" t="s">
        <v>275</v>
      </c>
      <c r="H194" t="s">
        <v>276</v>
      </c>
      <c r="I194" t="s">
        <v>20</v>
      </c>
      <c r="J194">
        <v>1</v>
      </c>
      <c r="K194">
        <v>407183.33333333331</v>
      </c>
      <c r="L194">
        <v>0.05</v>
      </c>
      <c r="M194">
        <v>0</v>
      </c>
      <c r="N194">
        <f>(data[[#This Row],[unit_price]]*data[[#This Row],[quantity]]) * (1-data[[#This Row],[discount]])</f>
        <v>386824.16666666663</v>
      </c>
      <c r="O194">
        <f>data[[#This Row],[sales]]-data[[#This Row],[cost]]</f>
        <v>386824.16666666663</v>
      </c>
      <c r="P194" t="str">
        <f>TEXT(data[[#This Row],[order_date]],"mmm")</f>
        <v>May</v>
      </c>
      <c r="Q194">
        <f>YEAR(data[[#This Row],[order_date]])</f>
        <v>2025</v>
      </c>
      <c r="R194">
        <f>MONTH(data[[#This Row],[order_date]])</f>
        <v>5</v>
      </c>
      <c r="S194">
        <f>DAY(data[[#This Row],[order_date]])</f>
        <v>21</v>
      </c>
      <c r="T194">
        <f>data[[#This Row],[profit]]/data[[#This Row],[sales]]</f>
        <v>1</v>
      </c>
    </row>
    <row r="195" spans="1:20" x14ac:dyDescent="0.35">
      <c r="A195" t="s">
        <v>339</v>
      </c>
      <c r="B195" s="1">
        <v>45805</v>
      </c>
      <c r="C195" t="s">
        <v>41</v>
      </c>
      <c r="D195" t="s">
        <v>42</v>
      </c>
      <c r="E195" t="s">
        <v>340</v>
      </c>
      <c r="F195" t="s">
        <v>23</v>
      </c>
      <c r="G195" t="s">
        <v>275</v>
      </c>
      <c r="H195" t="s">
        <v>276</v>
      </c>
      <c r="I195" t="s">
        <v>20</v>
      </c>
      <c r="J195">
        <v>1</v>
      </c>
      <c r="K195">
        <v>342000</v>
      </c>
      <c r="L195">
        <v>0</v>
      </c>
      <c r="M195">
        <v>246000</v>
      </c>
      <c r="N195">
        <f>(data[[#This Row],[unit_price]]*data[[#This Row],[quantity]]) * (1-data[[#This Row],[discount]])</f>
        <v>342000</v>
      </c>
      <c r="O195">
        <f>data[[#This Row],[sales]]-data[[#This Row],[cost]]</f>
        <v>96000</v>
      </c>
      <c r="P195" t="str">
        <f>TEXT(data[[#This Row],[order_date]],"mmm")</f>
        <v>May</v>
      </c>
      <c r="Q195">
        <f>YEAR(data[[#This Row],[order_date]])</f>
        <v>2025</v>
      </c>
      <c r="R195">
        <f>MONTH(data[[#This Row],[order_date]])</f>
        <v>5</v>
      </c>
      <c r="S195">
        <f>DAY(data[[#This Row],[order_date]])</f>
        <v>28</v>
      </c>
      <c r="T195">
        <f>data[[#This Row],[profit]]/data[[#This Row],[sales]]</f>
        <v>0.2807017543859649</v>
      </c>
    </row>
    <row r="196" spans="1:20" x14ac:dyDescent="0.35">
      <c r="A196" t="s">
        <v>341</v>
      </c>
      <c r="B196" s="1">
        <v>45823</v>
      </c>
      <c r="C196" t="s">
        <v>41</v>
      </c>
      <c r="D196" t="s">
        <v>42</v>
      </c>
      <c r="E196" t="s">
        <v>201</v>
      </c>
      <c r="F196" t="s">
        <v>58</v>
      </c>
      <c r="G196" t="s">
        <v>275</v>
      </c>
      <c r="H196" t="s">
        <v>276</v>
      </c>
      <c r="I196" t="s">
        <v>20</v>
      </c>
      <c r="J196">
        <v>3</v>
      </c>
      <c r="K196">
        <v>510000</v>
      </c>
      <c r="L196">
        <v>0</v>
      </c>
      <c r="M196">
        <v>380000</v>
      </c>
      <c r="N196">
        <f>(data[[#This Row],[unit_price]]*data[[#This Row],[quantity]]) * (1-data[[#This Row],[discount]])</f>
        <v>1530000</v>
      </c>
      <c r="O196">
        <f>data[[#This Row],[sales]]-data[[#This Row],[cost]]</f>
        <v>1150000</v>
      </c>
      <c r="P196" t="str">
        <f>TEXT(data[[#This Row],[order_date]],"mmm")</f>
        <v>Jun</v>
      </c>
      <c r="Q196">
        <f>YEAR(data[[#This Row],[order_date]])</f>
        <v>2025</v>
      </c>
      <c r="R196">
        <f>MONTH(data[[#This Row],[order_date]])</f>
        <v>6</v>
      </c>
      <c r="S196">
        <f>DAY(data[[#This Row],[order_date]])</f>
        <v>15</v>
      </c>
      <c r="T196">
        <f>data[[#This Row],[profit]]/data[[#This Row],[sales]]</f>
        <v>0.75163398692810457</v>
      </c>
    </row>
    <row r="197" spans="1:20" x14ac:dyDescent="0.35">
      <c r="A197" t="s">
        <v>342</v>
      </c>
      <c r="B197" s="1">
        <v>45833</v>
      </c>
      <c r="C197" t="s">
        <v>14</v>
      </c>
      <c r="D197" t="s">
        <v>15</v>
      </c>
      <c r="E197" t="s">
        <v>91</v>
      </c>
      <c r="F197" t="s">
        <v>23</v>
      </c>
      <c r="G197" t="s">
        <v>275</v>
      </c>
      <c r="H197" t="s">
        <v>276</v>
      </c>
      <c r="I197" t="s">
        <v>20</v>
      </c>
      <c r="J197">
        <v>1</v>
      </c>
      <c r="K197">
        <v>477000</v>
      </c>
      <c r="L197">
        <v>0</v>
      </c>
      <c r="M197">
        <v>342000</v>
      </c>
      <c r="N197">
        <f>(data[[#This Row],[unit_price]]*data[[#This Row],[quantity]]) * (1-data[[#This Row],[discount]])</f>
        <v>477000</v>
      </c>
      <c r="O197">
        <f>data[[#This Row],[sales]]-data[[#This Row],[cost]]</f>
        <v>135000</v>
      </c>
      <c r="P197" t="str">
        <f>TEXT(data[[#This Row],[order_date]],"mmm")</f>
        <v>Jun</v>
      </c>
      <c r="Q197">
        <f>YEAR(data[[#This Row],[order_date]])</f>
        <v>2025</v>
      </c>
      <c r="R197">
        <f>MONTH(data[[#This Row],[order_date]])</f>
        <v>6</v>
      </c>
      <c r="S197">
        <f>DAY(data[[#This Row],[order_date]])</f>
        <v>25</v>
      </c>
      <c r="T197">
        <f>data[[#This Row],[profit]]/data[[#This Row],[sales]]</f>
        <v>0.28301886792452829</v>
      </c>
    </row>
    <row r="198" spans="1:20" x14ac:dyDescent="0.35">
      <c r="A198" t="s">
        <v>343</v>
      </c>
      <c r="B198" s="1">
        <v>45835</v>
      </c>
      <c r="C198" t="s">
        <v>49</v>
      </c>
      <c r="D198" t="s">
        <v>50</v>
      </c>
      <c r="E198" t="s">
        <v>91</v>
      </c>
      <c r="F198" t="s">
        <v>23</v>
      </c>
      <c r="G198" t="s">
        <v>275</v>
      </c>
      <c r="H198" t="s">
        <v>276</v>
      </c>
      <c r="I198" t="s">
        <v>20</v>
      </c>
      <c r="J198">
        <v>5</v>
      </c>
      <c r="K198">
        <v>305000</v>
      </c>
      <c r="L198">
        <v>0</v>
      </c>
      <c r="M198">
        <v>223000</v>
      </c>
      <c r="N198">
        <f>(data[[#This Row],[unit_price]]*data[[#This Row],[quantity]]) * (1-data[[#This Row],[discount]])</f>
        <v>1525000</v>
      </c>
      <c r="O198">
        <f>data[[#This Row],[sales]]-data[[#This Row],[cost]]</f>
        <v>1302000</v>
      </c>
      <c r="P198" t="str">
        <f>TEXT(data[[#This Row],[order_date]],"mmm")</f>
        <v>Jun</v>
      </c>
      <c r="Q198">
        <f>YEAR(data[[#This Row],[order_date]])</f>
        <v>2025</v>
      </c>
      <c r="R198">
        <f>MONTH(data[[#This Row],[order_date]])</f>
        <v>6</v>
      </c>
      <c r="S198">
        <f>DAY(data[[#This Row],[order_date]])</f>
        <v>27</v>
      </c>
      <c r="T198">
        <f>data[[#This Row],[profit]]/data[[#This Row],[sales]]</f>
        <v>0.85377049180327869</v>
      </c>
    </row>
    <row r="199" spans="1:20" x14ac:dyDescent="0.35">
      <c r="A199" t="s">
        <v>344</v>
      </c>
      <c r="B199" s="1">
        <v>45877</v>
      </c>
      <c r="C199" t="s">
        <v>49</v>
      </c>
      <c r="D199" t="s">
        <v>50</v>
      </c>
      <c r="E199" t="s">
        <v>71</v>
      </c>
      <c r="F199" t="s">
        <v>23</v>
      </c>
      <c r="G199" t="s">
        <v>275</v>
      </c>
      <c r="H199" t="s">
        <v>276</v>
      </c>
      <c r="I199" t="s">
        <v>20</v>
      </c>
      <c r="J199">
        <v>2</v>
      </c>
      <c r="K199">
        <v>456000</v>
      </c>
      <c r="L199">
        <v>0</v>
      </c>
      <c r="M199">
        <v>342000</v>
      </c>
      <c r="N199">
        <f>(data[[#This Row],[unit_price]]*data[[#This Row],[quantity]]) * (1-data[[#This Row],[discount]])</f>
        <v>912000</v>
      </c>
      <c r="O199">
        <f>data[[#This Row],[sales]]-data[[#This Row],[cost]]</f>
        <v>570000</v>
      </c>
      <c r="P199" t="str">
        <f>TEXT(data[[#This Row],[order_date]],"mmm")</f>
        <v>Aug</v>
      </c>
      <c r="Q199">
        <f>YEAR(data[[#This Row],[order_date]])</f>
        <v>2025</v>
      </c>
      <c r="R199">
        <f>MONTH(data[[#This Row],[order_date]])</f>
        <v>8</v>
      </c>
      <c r="S199">
        <f>DAY(data[[#This Row],[order_date]])</f>
        <v>8</v>
      </c>
      <c r="T199">
        <f>data[[#This Row],[profit]]/data[[#This Row],[sales]]</f>
        <v>0.625</v>
      </c>
    </row>
    <row r="200" spans="1:20" x14ac:dyDescent="0.35">
      <c r="A200" t="s">
        <v>345</v>
      </c>
      <c r="B200" s="1">
        <v>45899</v>
      </c>
      <c r="C200" t="s">
        <v>25</v>
      </c>
      <c r="D200" t="s">
        <v>26</v>
      </c>
      <c r="E200" t="s">
        <v>83</v>
      </c>
      <c r="F200" t="s">
        <v>23</v>
      </c>
      <c r="G200" t="s">
        <v>275</v>
      </c>
      <c r="H200" t="s">
        <v>276</v>
      </c>
      <c r="I200" t="s">
        <v>20</v>
      </c>
      <c r="J200">
        <v>1</v>
      </c>
      <c r="K200">
        <v>372000</v>
      </c>
      <c r="L200">
        <v>0</v>
      </c>
      <c r="M200">
        <v>266000</v>
      </c>
      <c r="N200">
        <f>(data[[#This Row],[unit_price]]*data[[#This Row],[quantity]]) * (1-data[[#This Row],[discount]])</f>
        <v>372000</v>
      </c>
      <c r="O200">
        <f>data[[#This Row],[sales]]-data[[#This Row],[cost]]</f>
        <v>106000</v>
      </c>
      <c r="P200" t="str">
        <f>TEXT(data[[#This Row],[order_date]],"mmm")</f>
        <v>Aug</v>
      </c>
      <c r="Q200">
        <f>YEAR(data[[#This Row],[order_date]])</f>
        <v>2025</v>
      </c>
      <c r="R200">
        <f>MONTH(data[[#This Row],[order_date]])</f>
        <v>8</v>
      </c>
      <c r="S200">
        <f>DAY(data[[#This Row],[order_date]])</f>
        <v>30</v>
      </c>
      <c r="T200">
        <f>data[[#This Row],[profit]]/data[[#This Row],[sales]]</f>
        <v>0.28494623655913981</v>
      </c>
    </row>
    <row r="201" spans="1:20" x14ac:dyDescent="0.35">
      <c r="A201" t="s">
        <v>346</v>
      </c>
      <c r="B201" s="1">
        <v>45907</v>
      </c>
      <c r="C201" t="s">
        <v>49</v>
      </c>
      <c r="D201" t="s">
        <v>50</v>
      </c>
      <c r="E201" t="s">
        <v>262</v>
      </c>
      <c r="F201" t="s">
        <v>23</v>
      </c>
      <c r="G201" t="s">
        <v>275</v>
      </c>
      <c r="H201" t="s">
        <v>276</v>
      </c>
      <c r="I201" t="s">
        <v>20</v>
      </c>
      <c r="J201">
        <v>1</v>
      </c>
      <c r="K201">
        <v>377000</v>
      </c>
      <c r="L201">
        <v>0</v>
      </c>
      <c r="M201">
        <v>271000</v>
      </c>
      <c r="N201">
        <f>(data[[#This Row],[unit_price]]*data[[#This Row],[quantity]]) * (1-data[[#This Row],[discount]])</f>
        <v>377000</v>
      </c>
      <c r="O201">
        <f>data[[#This Row],[sales]]-data[[#This Row],[cost]]</f>
        <v>106000</v>
      </c>
      <c r="P201" t="str">
        <f>TEXT(data[[#This Row],[order_date]],"mmm")</f>
        <v>Sep</v>
      </c>
      <c r="Q201">
        <f>YEAR(data[[#This Row],[order_date]])</f>
        <v>2025</v>
      </c>
      <c r="R201">
        <f>MONTH(data[[#This Row],[order_date]])</f>
        <v>9</v>
      </c>
      <c r="S201">
        <f>DAY(data[[#This Row],[order_date]])</f>
        <v>7</v>
      </c>
      <c r="T201">
        <f>data[[#This Row],[profit]]/data[[#This Row],[sales]]</f>
        <v>0.28116710875331563</v>
      </c>
    </row>
    <row r="202" spans="1:20" x14ac:dyDescent="0.35">
      <c r="A202" t="s">
        <v>347</v>
      </c>
      <c r="B202" s="1">
        <v>45912</v>
      </c>
      <c r="C202" t="s">
        <v>14</v>
      </c>
      <c r="D202" t="s">
        <v>15</v>
      </c>
      <c r="E202" t="s">
        <v>99</v>
      </c>
      <c r="F202" t="s">
        <v>23</v>
      </c>
      <c r="G202" t="s">
        <v>275</v>
      </c>
      <c r="H202" t="s">
        <v>276</v>
      </c>
      <c r="I202" t="s">
        <v>20</v>
      </c>
      <c r="J202">
        <v>1</v>
      </c>
      <c r="K202">
        <v>441000</v>
      </c>
      <c r="L202">
        <v>0</v>
      </c>
      <c r="M202">
        <v>317000</v>
      </c>
      <c r="N202">
        <f>(data[[#This Row],[unit_price]]*data[[#This Row],[quantity]]) * (1-data[[#This Row],[discount]])</f>
        <v>441000</v>
      </c>
      <c r="O202">
        <f>data[[#This Row],[sales]]-data[[#This Row],[cost]]</f>
        <v>124000</v>
      </c>
      <c r="P202" t="str">
        <f>TEXT(data[[#This Row],[order_date]],"mmm")</f>
        <v>Sep</v>
      </c>
      <c r="Q202">
        <f>YEAR(data[[#This Row],[order_date]])</f>
        <v>2025</v>
      </c>
      <c r="R202">
        <f>MONTH(data[[#This Row],[order_date]])</f>
        <v>9</v>
      </c>
      <c r="S202">
        <f>DAY(data[[#This Row],[order_date]])</f>
        <v>12</v>
      </c>
      <c r="T202">
        <f>data[[#This Row],[profit]]/data[[#This Row],[sales]]</f>
        <v>0.28117913832199548</v>
      </c>
    </row>
    <row r="203" spans="1:20" x14ac:dyDescent="0.35">
      <c r="A203" t="s">
        <v>348</v>
      </c>
      <c r="B203" s="1">
        <v>45918</v>
      </c>
      <c r="C203" t="s">
        <v>14</v>
      </c>
      <c r="D203" t="s">
        <v>15</v>
      </c>
      <c r="E203" t="s">
        <v>349</v>
      </c>
      <c r="F203" t="s">
        <v>23</v>
      </c>
      <c r="G203" t="s">
        <v>275</v>
      </c>
      <c r="H203" t="s">
        <v>276</v>
      </c>
      <c r="I203" t="s">
        <v>20</v>
      </c>
      <c r="J203">
        <v>2</v>
      </c>
      <c r="K203">
        <v>465000</v>
      </c>
      <c r="L203">
        <v>0</v>
      </c>
      <c r="M203">
        <v>331000</v>
      </c>
      <c r="N203">
        <f>(data[[#This Row],[unit_price]]*data[[#This Row],[quantity]]) * (1-data[[#This Row],[discount]])</f>
        <v>930000</v>
      </c>
      <c r="O203">
        <f>data[[#This Row],[sales]]-data[[#This Row],[cost]]</f>
        <v>599000</v>
      </c>
      <c r="P203" t="str">
        <f>TEXT(data[[#This Row],[order_date]],"mmm")</f>
        <v>Sep</v>
      </c>
      <c r="Q203">
        <f>YEAR(data[[#This Row],[order_date]])</f>
        <v>2025</v>
      </c>
      <c r="R203">
        <f>MONTH(data[[#This Row],[order_date]])</f>
        <v>9</v>
      </c>
      <c r="S203">
        <f>DAY(data[[#This Row],[order_date]])</f>
        <v>18</v>
      </c>
      <c r="T203">
        <f>data[[#This Row],[profit]]/data[[#This Row],[sales]]</f>
        <v>0.6440860215053763</v>
      </c>
    </row>
    <row r="204" spans="1:20" x14ac:dyDescent="0.35">
      <c r="A204" t="s">
        <v>350</v>
      </c>
      <c r="B204" s="1">
        <v>45935</v>
      </c>
      <c r="C204" t="s">
        <v>41</v>
      </c>
      <c r="D204" t="s">
        <v>42</v>
      </c>
      <c r="E204" t="s">
        <v>43</v>
      </c>
      <c r="F204" t="s">
        <v>17</v>
      </c>
      <c r="G204" t="s">
        <v>275</v>
      </c>
      <c r="H204" t="s">
        <v>276</v>
      </c>
      <c r="I204" t="s">
        <v>20</v>
      </c>
      <c r="J204">
        <v>2</v>
      </c>
      <c r="K204">
        <v>412000</v>
      </c>
      <c r="L204">
        <v>0</v>
      </c>
      <c r="M204">
        <v>294000</v>
      </c>
      <c r="N204">
        <f>(data[[#This Row],[unit_price]]*data[[#This Row],[quantity]]) * (1-data[[#This Row],[discount]])</f>
        <v>824000</v>
      </c>
      <c r="O204">
        <f>data[[#This Row],[sales]]-data[[#This Row],[cost]]</f>
        <v>530000</v>
      </c>
      <c r="P204" t="str">
        <f>TEXT(data[[#This Row],[order_date]],"mmm")</f>
        <v>Oct</v>
      </c>
      <c r="Q204">
        <f>YEAR(data[[#This Row],[order_date]])</f>
        <v>2025</v>
      </c>
      <c r="R204">
        <f>MONTH(data[[#This Row],[order_date]])</f>
        <v>10</v>
      </c>
      <c r="S204">
        <f>DAY(data[[#This Row],[order_date]])</f>
        <v>5</v>
      </c>
      <c r="T204">
        <f>data[[#This Row],[profit]]/data[[#This Row],[sales]]</f>
        <v>0.64320388349514568</v>
      </c>
    </row>
    <row r="205" spans="1:20" x14ac:dyDescent="0.35">
      <c r="A205" t="s">
        <v>351</v>
      </c>
      <c r="B205" s="1">
        <v>45936</v>
      </c>
      <c r="C205" t="s">
        <v>36</v>
      </c>
      <c r="D205" t="s">
        <v>37</v>
      </c>
      <c r="E205" t="s">
        <v>352</v>
      </c>
      <c r="F205" t="s">
        <v>23</v>
      </c>
      <c r="G205" t="s">
        <v>275</v>
      </c>
      <c r="H205" t="s">
        <v>276</v>
      </c>
      <c r="I205" t="s">
        <v>20</v>
      </c>
      <c r="J205">
        <v>1</v>
      </c>
      <c r="K205">
        <v>334000</v>
      </c>
      <c r="L205">
        <v>0</v>
      </c>
      <c r="M205">
        <v>246000</v>
      </c>
      <c r="N205">
        <f>(data[[#This Row],[unit_price]]*data[[#This Row],[quantity]]) * (1-data[[#This Row],[discount]])</f>
        <v>334000</v>
      </c>
      <c r="O205">
        <f>data[[#This Row],[sales]]-data[[#This Row],[cost]]</f>
        <v>88000</v>
      </c>
      <c r="P205" t="str">
        <f>TEXT(data[[#This Row],[order_date]],"mmm")</f>
        <v>Oct</v>
      </c>
      <c r="Q205">
        <f>YEAR(data[[#This Row],[order_date]])</f>
        <v>2025</v>
      </c>
      <c r="R205">
        <f>MONTH(data[[#This Row],[order_date]])</f>
        <v>10</v>
      </c>
      <c r="S205">
        <f>DAY(data[[#This Row],[order_date]])</f>
        <v>6</v>
      </c>
      <c r="T205">
        <f>data[[#This Row],[profit]]/data[[#This Row],[sales]]</f>
        <v>0.26347305389221559</v>
      </c>
    </row>
    <row r="206" spans="1:20" x14ac:dyDescent="0.35">
      <c r="A206" t="s">
        <v>353</v>
      </c>
      <c r="B206" s="1">
        <v>46066</v>
      </c>
      <c r="C206" t="s">
        <v>49</v>
      </c>
      <c r="D206" t="s">
        <v>50</v>
      </c>
      <c r="E206" t="s">
        <v>242</v>
      </c>
      <c r="F206" t="s">
        <v>17</v>
      </c>
      <c r="G206" t="s">
        <v>275</v>
      </c>
      <c r="H206" t="s">
        <v>276</v>
      </c>
      <c r="I206" t="s">
        <v>20</v>
      </c>
      <c r="J206">
        <v>1</v>
      </c>
      <c r="K206">
        <v>269000</v>
      </c>
      <c r="L206">
        <v>0</v>
      </c>
      <c r="M206">
        <v>196000</v>
      </c>
      <c r="N206">
        <f>(data[[#This Row],[unit_price]]*data[[#This Row],[quantity]]) * (1-data[[#This Row],[discount]])</f>
        <v>269000</v>
      </c>
      <c r="O206">
        <f>data[[#This Row],[sales]]-data[[#This Row],[cost]]</f>
        <v>73000</v>
      </c>
      <c r="P206" t="str">
        <f>TEXT(data[[#This Row],[order_date]],"mmm")</f>
        <v>Feb</v>
      </c>
      <c r="Q206">
        <f>YEAR(data[[#This Row],[order_date]])</f>
        <v>2026</v>
      </c>
      <c r="R206">
        <f>MONTH(data[[#This Row],[order_date]])</f>
        <v>2</v>
      </c>
      <c r="S206">
        <f>DAY(data[[#This Row],[order_date]])</f>
        <v>13</v>
      </c>
      <c r="T206">
        <f>data[[#This Row],[profit]]/data[[#This Row],[sales]]</f>
        <v>0.27137546468401486</v>
      </c>
    </row>
    <row r="207" spans="1:20" x14ac:dyDescent="0.35">
      <c r="A207" t="s">
        <v>354</v>
      </c>
      <c r="B207" s="1">
        <v>46068</v>
      </c>
      <c r="C207" t="s">
        <v>41</v>
      </c>
      <c r="D207" t="s">
        <v>42</v>
      </c>
      <c r="E207" t="s">
        <v>108</v>
      </c>
      <c r="F207" t="s">
        <v>23</v>
      </c>
      <c r="G207" t="s">
        <v>275</v>
      </c>
      <c r="H207" t="s">
        <v>276</v>
      </c>
      <c r="I207" t="s">
        <v>20</v>
      </c>
      <c r="J207">
        <v>2</v>
      </c>
      <c r="K207">
        <v>407183.33333333331</v>
      </c>
      <c r="L207">
        <v>0</v>
      </c>
      <c r="M207">
        <v>256000</v>
      </c>
      <c r="N207">
        <f>(data[[#This Row],[unit_price]]*data[[#This Row],[quantity]]) * (1-data[[#This Row],[discount]])</f>
        <v>814366.66666666663</v>
      </c>
      <c r="O207">
        <f>data[[#This Row],[sales]]-data[[#This Row],[cost]]</f>
        <v>558366.66666666663</v>
      </c>
      <c r="P207" t="str">
        <f>TEXT(data[[#This Row],[order_date]],"mmm")</f>
        <v>Feb</v>
      </c>
      <c r="Q207">
        <f>YEAR(data[[#This Row],[order_date]])</f>
        <v>2026</v>
      </c>
      <c r="R207">
        <f>MONTH(data[[#This Row],[order_date]])</f>
        <v>2</v>
      </c>
      <c r="S207">
        <f>DAY(data[[#This Row],[order_date]])</f>
        <v>15</v>
      </c>
      <c r="T207">
        <f>data[[#This Row],[profit]]/data[[#This Row],[sales]]</f>
        <v>0.68564528672588099</v>
      </c>
    </row>
    <row r="208" spans="1:20" x14ac:dyDescent="0.35">
      <c r="A208" t="s">
        <v>355</v>
      </c>
      <c r="B208" s="1">
        <v>46068</v>
      </c>
      <c r="C208" t="s">
        <v>49</v>
      </c>
      <c r="D208" t="s">
        <v>50</v>
      </c>
      <c r="E208" t="s">
        <v>193</v>
      </c>
      <c r="F208" t="s">
        <v>23</v>
      </c>
      <c r="G208" t="s">
        <v>275</v>
      </c>
      <c r="H208" t="s">
        <v>276</v>
      </c>
      <c r="I208" t="s">
        <v>20</v>
      </c>
      <c r="J208">
        <v>1</v>
      </c>
      <c r="K208">
        <v>441000</v>
      </c>
      <c r="L208">
        <v>0</v>
      </c>
      <c r="M208">
        <v>316000</v>
      </c>
      <c r="N208">
        <f>(data[[#This Row],[unit_price]]*data[[#This Row],[quantity]]) * (1-data[[#This Row],[discount]])</f>
        <v>441000</v>
      </c>
      <c r="O208">
        <f>data[[#This Row],[sales]]-data[[#This Row],[cost]]</f>
        <v>125000</v>
      </c>
      <c r="P208" t="str">
        <f>TEXT(data[[#This Row],[order_date]],"mmm")</f>
        <v>Feb</v>
      </c>
      <c r="Q208">
        <f>YEAR(data[[#This Row],[order_date]])</f>
        <v>2026</v>
      </c>
      <c r="R208">
        <f>MONTH(data[[#This Row],[order_date]])</f>
        <v>2</v>
      </c>
      <c r="S208">
        <f>DAY(data[[#This Row],[order_date]])</f>
        <v>15</v>
      </c>
      <c r="T208">
        <f>data[[#This Row],[profit]]/data[[#This Row],[sales]]</f>
        <v>0.28344671201814059</v>
      </c>
    </row>
    <row r="209" spans="1:20" x14ac:dyDescent="0.35">
      <c r="A209" t="s">
        <v>356</v>
      </c>
      <c r="B209" s="1">
        <v>46167</v>
      </c>
      <c r="C209" t="s">
        <v>36</v>
      </c>
      <c r="D209" t="s">
        <v>37</v>
      </c>
      <c r="E209" t="s">
        <v>168</v>
      </c>
      <c r="F209" t="s">
        <v>23</v>
      </c>
      <c r="G209" t="s">
        <v>275</v>
      </c>
      <c r="H209" t="s">
        <v>276</v>
      </c>
      <c r="I209" t="s">
        <v>20</v>
      </c>
      <c r="J209">
        <v>1</v>
      </c>
      <c r="K209">
        <v>552000</v>
      </c>
      <c r="L209">
        <v>0</v>
      </c>
      <c r="M209">
        <v>407000</v>
      </c>
      <c r="N209">
        <f>(data[[#This Row],[unit_price]]*data[[#This Row],[quantity]]) * (1-data[[#This Row],[discount]])</f>
        <v>552000</v>
      </c>
      <c r="O209">
        <f>data[[#This Row],[sales]]-data[[#This Row],[cost]]</f>
        <v>145000</v>
      </c>
      <c r="P209" t="str">
        <f>TEXT(data[[#This Row],[order_date]],"mmm")</f>
        <v>May</v>
      </c>
      <c r="Q209">
        <f>YEAR(data[[#This Row],[order_date]])</f>
        <v>2026</v>
      </c>
      <c r="R209">
        <f>MONTH(data[[#This Row],[order_date]])</f>
        <v>5</v>
      </c>
      <c r="S209">
        <f>DAY(data[[#This Row],[order_date]])</f>
        <v>25</v>
      </c>
      <c r="T209">
        <f>data[[#This Row],[profit]]/data[[#This Row],[sales]]</f>
        <v>0.26268115942028986</v>
      </c>
    </row>
    <row r="210" spans="1:20" x14ac:dyDescent="0.35">
      <c r="A210" t="s">
        <v>357</v>
      </c>
      <c r="B210" s="1">
        <v>46168</v>
      </c>
      <c r="C210" t="s">
        <v>14</v>
      </c>
      <c r="D210" t="s">
        <v>15</v>
      </c>
      <c r="E210" t="s">
        <v>47</v>
      </c>
      <c r="F210" t="s">
        <v>23</v>
      </c>
      <c r="G210" t="s">
        <v>275</v>
      </c>
      <c r="H210" t="s">
        <v>276</v>
      </c>
      <c r="I210" t="s">
        <v>20</v>
      </c>
      <c r="J210">
        <v>1</v>
      </c>
      <c r="K210">
        <v>573000</v>
      </c>
      <c r="L210">
        <v>0</v>
      </c>
      <c r="M210">
        <v>415000</v>
      </c>
      <c r="N210">
        <f>(data[[#This Row],[unit_price]]*data[[#This Row],[quantity]]) * (1-data[[#This Row],[discount]])</f>
        <v>573000</v>
      </c>
      <c r="O210">
        <f>data[[#This Row],[sales]]-data[[#This Row],[cost]]</f>
        <v>158000</v>
      </c>
      <c r="P210" t="str">
        <f>TEXT(data[[#This Row],[order_date]],"mmm")</f>
        <v>May</v>
      </c>
      <c r="Q210">
        <f>YEAR(data[[#This Row],[order_date]])</f>
        <v>2026</v>
      </c>
      <c r="R210">
        <f>MONTH(data[[#This Row],[order_date]])</f>
        <v>5</v>
      </c>
      <c r="S210">
        <f>DAY(data[[#This Row],[order_date]])</f>
        <v>26</v>
      </c>
      <c r="T210">
        <f>data[[#This Row],[profit]]/data[[#This Row],[sales]]</f>
        <v>0.27574171029668409</v>
      </c>
    </row>
    <row r="211" spans="1:20" x14ac:dyDescent="0.35">
      <c r="A211" t="s">
        <v>358</v>
      </c>
      <c r="B211" s="1">
        <v>46170</v>
      </c>
      <c r="C211" t="s">
        <v>36</v>
      </c>
      <c r="D211" t="s">
        <v>37</v>
      </c>
      <c r="E211" t="s">
        <v>359</v>
      </c>
      <c r="F211" t="s">
        <v>23</v>
      </c>
      <c r="G211" t="s">
        <v>275</v>
      </c>
      <c r="H211" t="s">
        <v>276</v>
      </c>
      <c r="I211" t="s">
        <v>20</v>
      </c>
      <c r="J211">
        <v>1</v>
      </c>
      <c r="K211">
        <v>517000</v>
      </c>
      <c r="L211">
        <v>0</v>
      </c>
      <c r="M211">
        <v>374000</v>
      </c>
      <c r="N211">
        <f>(data[[#This Row],[unit_price]]*data[[#This Row],[quantity]]) * (1-data[[#This Row],[discount]])</f>
        <v>517000</v>
      </c>
      <c r="O211">
        <f>data[[#This Row],[sales]]-data[[#This Row],[cost]]</f>
        <v>143000</v>
      </c>
      <c r="P211" t="str">
        <f>TEXT(data[[#This Row],[order_date]],"mmm")</f>
        <v>May</v>
      </c>
      <c r="Q211">
        <f>YEAR(data[[#This Row],[order_date]])</f>
        <v>2026</v>
      </c>
      <c r="R211">
        <f>MONTH(data[[#This Row],[order_date]])</f>
        <v>5</v>
      </c>
      <c r="S211">
        <f>DAY(data[[#This Row],[order_date]])</f>
        <v>28</v>
      </c>
      <c r="T211">
        <f>data[[#This Row],[profit]]/data[[#This Row],[sales]]</f>
        <v>0.27659574468085107</v>
      </c>
    </row>
    <row r="212" spans="1:20" x14ac:dyDescent="0.35">
      <c r="A212" t="s">
        <v>360</v>
      </c>
      <c r="B212" s="1">
        <v>44929</v>
      </c>
      <c r="C212" t="s">
        <v>41</v>
      </c>
      <c r="D212" t="s">
        <v>42</v>
      </c>
      <c r="E212" t="s">
        <v>301</v>
      </c>
      <c r="F212" t="s">
        <v>28</v>
      </c>
      <c r="G212" t="s">
        <v>361</v>
      </c>
      <c r="H212" t="s">
        <v>362</v>
      </c>
      <c r="I212" t="s">
        <v>363</v>
      </c>
      <c r="J212">
        <v>1</v>
      </c>
      <c r="K212">
        <v>322000</v>
      </c>
      <c r="L212">
        <v>0</v>
      </c>
      <c r="M212">
        <v>229000</v>
      </c>
      <c r="N212">
        <f>(data[[#This Row],[unit_price]]*data[[#This Row],[quantity]]) * (1-data[[#This Row],[discount]])</f>
        <v>322000</v>
      </c>
      <c r="O212">
        <f>data[[#This Row],[sales]]-data[[#This Row],[cost]]</f>
        <v>93000</v>
      </c>
      <c r="P212" t="str">
        <f>TEXT(data[[#This Row],[order_date]],"mmm")</f>
        <v>Jan</v>
      </c>
      <c r="Q212">
        <f>YEAR(data[[#This Row],[order_date]])</f>
        <v>2023</v>
      </c>
      <c r="R212">
        <f>MONTH(data[[#This Row],[order_date]])</f>
        <v>1</v>
      </c>
      <c r="S212">
        <f>DAY(data[[#This Row],[order_date]])</f>
        <v>3</v>
      </c>
      <c r="T212">
        <f>data[[#This Row],[profit]]/data[[#This Row],[sales]]</f>
        <v>0.28881987577639751</v>
      </c>
    </row>
    <row r="213" spans="1:20" x14ac:dyDescent="0.35">
      <c r="A213" t="s">
        <v>364</v>
      </c>
      <c r="B213" s="1">
        <v>44930</v>
      </c>
      <c r="C213" t="s">
        <v>49</v>
      </c>
      <c r="D213" t="s">
        <v>50</v>
      </c>
      <c r="E213" t="s">
        <v>329</v>
      </c>
      <c r="F213" t="s">
        <v>28</v>
      </c>
      <c r="G213" t="s">
        <v>361</v>
      </c>
      <c r="H213" t="s">
        <v>362</v>
      </c>
      <c r="I213" t="s">
        <v>363</v>
      </c>
      <c r="J213">
        <v>1</v>
      </c>
      <c r="K213">
        <v>318000</v>
      </c>
      <c r="L213">
        <v>0</v>
      </c>
      <c r="M213">
        <v>229000</v>
      </c>
      <c r="N213">
        <f>(data[[#This Row],[unit_price]]*data[[#This Row],[quantity]]) * (1-data[[#This Row],[discount]])</f>
        <v>318000</v>
      </c>
      <c r="O213">
        <f>data[[#This Row],[sales]]-data[[#This Row],[cost]]</f>
        <v>89000</v>
      </c>
      <c r="P213" t="str">
        <f>TEXT(data[[#This Row],[order_date]],"mmm")</f>
        <v>Jan</v>
      </c>
      <c r="Q213">
        <f>YEAR(data[[#This Row],[order_date]])</f>
        <v>2023</v>
      </c>
      <c r="R213">
        <f>MONTH(data[[#This Row],[order_date]])</f>
        <v>1</v>
      </c>
      <c r="S213">
        <f>DAY(data[[#This Row],[order_date]])</f>
        <v>4</v>
      </c>
      <c r="T213">
        <f>data[[#This Row],[profit]]/data[[#This Row],[sales]]</f>
        <v>0.27987421383647798</v>
      </c>
    </row>
    <row r="214" spans="1:20" x14ac:dyDescent="0.35">
      <c r="A214" t="s">
        <v>365</v>
      </c>
      <c r="B214" s="1">
        <v>44931</v>
      </c>
      <c r="C214" t="s">
        <v>41</v>
      </c>
      <c r="D214" t="s">
        <v>42</v>
      </c>
      <c r="E214" t="s">
        <v>366</v>
      </c>
      <c r="F214" t="s">
        <v>58</v>
      </c>
      <c r="G214" t="s">
        <v>361</v>
      </c>
      <c r="H214" t="s">
        <v>362</v>
      </c>
      <c r="I214" t="s">
        <v>363</v>
      </c>
      <c r="J214">
        <v>1</v>
      </c>
      <c r="K214">
        <v>520000</v>
      </c>
      <c r="L214">
        <v>0</v>
      </c>
      <c r="M214">
        <v>365000</v>
      </c>
      <c r="N214">
        <f>(data[[#This Row],[unit_price]]*data[[#This Row],[quantity]]) * (1-data[[#This Row],[discount]])</f>
        <v>520000</v>
      </c>
      <c r="O214">
        <f>data[[#This Row],[sales]]-data[[#This Row],[cost]]</f>
        <v>155000</v>
      </c>
      <c r="P214" t="str">
        <f>TEXT(data[[#This Row],[order_date]],"mmm")</f>
        <v>Jan</v>
      </c>
      <c r="Q214">
        <f>YEAR(data[[#This Row],[order_date]])</f>
        <v>2023</v>
      </c>
      <c r="R214">
        <f>MONTH(data[[#This Row],[order_date]])</f>
        <v>1</v>
      </c>
      <c r="S214">
        <f>DAY(data[[#This Row],[order_date]])</f>
        <v>5</v>
      </c>
      <c r="T214">
        <f>data[[#This Row],[profit]]/data[[#This Row],[sales]]</f>
        <v>0.29807692307692307</v>
      </c>
    </row>
    <row r="215" spans="1:20" x14ac:dyDescent="0.35">
      <c r="A215" t="s">
        <v>367</v>
      </c>
      <c r="B215" s="1">
        <v>44938</v>
      </c>
      <c r="C215" t="s">
        <v>14</v>
      </c>
      <c r="D215" t="s">
        <v>15</v>
      </c>
      <c r="E215" t="s">
        <v>368</v>
      </c>
      <c r="F215" t="s">
        <v>23</v>
      </c>
      <c r="G215" t="s">
        <v>361</v>
      </c>
      <c r="H215" t="s">
        <v>362</v>
      </c>
      <c r="I215" t="s">
        <v>363</v>
      </c>
      <c r="J215">
        <v>1</v>
      </c>
      <c r="K215">
        <v>489024.69135802472</v>
      </c>
      <c r="L215">
        <v>0</v>
      </c>
      <c r="M215">
        <v>324000</v>
      </c>
      <c r="N215">
        <f>(data[[#This Row],[unit_price]]*data[[#This Row],[quantity]]) * (1-data[[#This Row],[discount]])</f>
        <v>489024.69135802472</v>
      </c>
      <c r="O215">
        <f>data[[#This Row],[sales]]-data[[#This Row],[cost]]</f>
        <v>165024.69135802472</v>
      </c>
      <c r="P215" t="str">
        <f>TEXT(data[[#This Row],[order_date]],"mmm")</f>
        <v>Jan</v>
      </c>
      <c r="Q215">
        <f>YEAR(data[[#This Row],[order_date]])</f>
        <v>2023</v>
      </c>
      <c r="R215">
        <f>MONTH(data[[#This Row],[order_date]])</f>
        <v>1</v>
      </c>
      <c r="S215">
        <f>DAY(data[[#This Row],[order_date]])</f>
        <v>12</v>
      </c>
      <c r="T215">
        <f>data[[#This Row],[profit]]/data[[#This Row],[sales]]</f>
        <v>0.33745676705965516</v>
      </c>
    </row>
    <row r="216" spans="1:20" x14ac:dyDescent="0.35">
      <c r="A216" t="s">
        <v>369</v>
      </c>
      <c r="B216" s="1">
        <v>44984</v>
      </c>
      <c r="C216" t="s">
        <v>14</v>
      </c>
      <c r="D216" t="s">
        <v>15</v>
      </c>
      <c r="E216" t="s">
        <v>309</v>
      </c>
      <c r="F216" t="s">
        <v>23</v>
      </c>
      <c r="G216" t="s">
        <v>361</v>
      </c>
      <c r="H216" t="s">
        <v>362</v>
      </c>
      <c r="I216" t="s">
        <v>363</v>
      </c>
      <c r="J216">
        <v>1</v>
      </c>
      <c r="K216">
        <v>381000</v>
      </c>
      <c r="L216">
        <v>0</v>
      </c>
      <c r="M216">
        <v>279000</v>
      </c>
      <c r="N216">
        <f>(data[[#This Row],[unit_price]]*data[[#This Row],[quantity]]) * (1-data[[#This Row],[discount]])</f>
        <v>381000</v>
      </c>
      <c r="O216">
        <f>data[[#This Row],[sales]]-data[[#This Row],[cost]]</f>
        <v>102000</v>
      </c>
      <c r="P216" t="str">
        <f>TEXT(data[[#This Row],[order_date]],"mmm")</f>
        <v>Feb</v>
      </c>
      <c r="Q216">
        <f>YEAR(data[[#This Row],[order_date]])</f>
        <v>2023</v>
      </c>
      <c r="R216">
        <f>MONTH(data[[#This Row],[order_date]])</f>
        <v>2</v>
      </c>
      <c r="S216">
        <f>DAY(data[[#This Row],[order_date]])</f>
        <v>27</v>
      </c>
      <c r="T216">
        <f>data[[#This Row],[profit]]/data[[#This Row],[sales]]</f>
        <v>0.26771653543307089</v>
      </c>
    </row>
    <row r="217" spans="1:20" x14ac:dyDescent="0.35">
      <c r="A217" t="s">
        <v>370</v>
      </c>
      <c r="B217" s="1">
        <v>45060</v>
      </c>
      <c r="C217" t="s">
        <v>14</v>
      </c>
      <c r="D217" t="s">
        <v>15</v>
      </c>
      <c r="E217" t="s">
        <v>99</v>
      </c>
      <c r="F217" t="s">
        <v>23</v>
      </c>
      <c r="G217" t="s">
        <v>361</v>
      </c>
      <c r="H217" t="s">
        <v>362</v>
      </c>
      <c r="I217" t="s">
        <v>363</v>
      </c>
      <c r="J217">
        <v>1</v>
      </c>
      <c r="K217">
        <v>410000</v>
      </c>
      <c r="L217">
        <v>0</v>
      </c>
      <c r="M217">
        <v>302000</v>
      </c>
      <c r="N217">
        <f>(data[[#This Row],[unit_price]]*data[[#This Row],[quantity]]) * (1-data[[#This Row],[discount]])</f>
        <v>410000</v>
      </c>
      <c r="O217">
        <f>data[[#This Row],[sales]]-data[[#This Row],[cost]]</f>
        <v>108000</v>
      </c>
      <c r="P217" t="str">
        <f>TEXT(data[[#This Row],[order_date]],"mmm")</f>
        <v>May</v>
      </c>
      <c r="Q217">
        <f>YEAR(data[[#This Row],[order_date]])</f>
        <v>2023</v>
      </c>
      <c r="R217">
        <f>MONTH(data[[#This Row],[order_date]])</f>
        <v>5</v>
      </c>
      <c r="S217">
        <f>DAY(data[[#This Row],[order_date]])</f>
        <v>14</v>
      </c>
      <c r="T217">
        <f>data[[#This Row],[profit]]/data[[#This Row],[sales]]</f>
        <v>0.26341463414634148</v>
      </c>
    </row>
    <row r="218" spans="1:20" x14ac:dyDescent="0.35">
      <c r="A218" t="s">
        <v>371</v>
      </c>
      <c r="B218" s="1">
        <v>45078</v>
      </c>
      <c r="C218" t="s">
        <v>14</v>
      </c>
      <c r="D218" t="s">
        <v>15</v>
      </c>
      <c r="E218" t="s">
        <v>141</v>
      </c>
      <c r="F218" t="s">
        <v>17</v>
      </c>
      <c r="G218" t="s">
        <v>361</v>
      </c>
      <c r="H218" t="s">
        <v>362</v>
      </c>
      <c r="I218" t="s">
        <v>363</v>
      </c>
      <c r="J218">
        <v>1</v>
      </c>
      <c r="K218">
        <v>586000</v>
      </c>
      <c r="L218">
        <v>0</v>
      </c>
      <c r="M218">
        <v>430000</v>
      </c>
      <c r="N218">
        <f>(data[[#This Row],[unit_price]]*data[[#This Row],[quantity]]) * (1-data[[#This Row],[discount]])</f>
        <v>586000</v>
      </c>
      <c r="O218">
        <f>data[[#This Row],[sales]]-data[[#This Row],[cost]]</f>
        <v>156000</v>
      </c>
      <c r="P218" t="str">
        <f>TEXT(data[[#This Row],[order_date]],"mmm")</f>
        <v>Jun</v>
      </c>
      <c r="Q218">
        <f>YEAR(data[[#This Row],[order_date]])</f>
        <v>2023</v>
      </c>
      <c r="R218">
        <f>MONTH(data[[#This Row],[order_date]])</f>
        <v>6</v>
      </c>
      <c r="S218">
        <f>DAY(data[[#This Row],[order_date]])</f>
        <v>1</v>
      </c>
      <c r="T218">
        <f>data[[#This Row],[profit]]/data[[#This Row],[sales]]</f>
        <v>0.26621160409556316</v>
      </c>
    </row>
    <row r="219" spans="1:20" x14ac:dyDescent="0.35">
      <c r="A219" t="s">
        <v>372</v>
      </c>
      <c r="B219" s="1">
        <v>45117</v>
      </c>
      <c r="C219" t="s">
        <v>36</v>
      </c>
      <c r="D219" t="s">
        <v>37</v>
      </c>
      <c r="E219" t="s">
        <v>373</v>
      </c>
      <c r="F219" t="s">
        <v>23</v>
      </c>
      <c r="G219" t="s">
        <v>361</v>
      </c>
      <c r="H219" t="s">
        <v>362</v>
      </c>
      <c r="I219" t="s">
        <v>363</v>
      </c>
      <c r="J219">
        <v>1</v>
      </c>
      <c r="K219">
        <v>528000</v>
      </c>
      <c r="L219">
        <v>0.1</v>
      </c>
      <c r="M219">
        <v>386000</v>
      </c>
      <c r="N219">
        <f>(data[[#This Row],[unit_price]]*data[[#This Row],[quantity]]) * (1-data[[#This Row],[discount]])</f>
        <v>475200</v>
      </c>
      <c r="O219">
        <f>data[[#This Row],[sales]]-data[[#This Row],[cost]]</f>
        <v>89200</v>
      </c>
      <c r="P219" t="str">
        <f>TEXT(data[[#This Row],[order_date]],"mmm")</f>
        <v>Jul</v>
      </c>
      <c r="Q219">
        <f>YEAR(data[[#This Row],[order_date]])</f>
        <v>2023</v>
      </c>
      <c r="R219">
        <f>MONTH(data[[#This Row],[order_date]])</f>
        <v>7</v>
      </c>
      <c r="S219">
        <f>DAY(data[[#This Row],[order_date]])</f>
        <v>10</v>
      </c>
      <c r="T219">
        <f>data[[#This Row],[profit]]/data[[#This Row],[sales]]</f>
        <v>0.18771043771043772</v>
      </c>
    </row>
    <row r="220" spans="1:20" x14ac:dyDescent="0.35">
      <c r="A220" t="s">
        <v>374</v>
      </c>
      <c r="B220" s="1">
        <v>45117</v>
      </c>
      <c r="C220" t="s">
        <v>14</v>
      </c>
      <c r="D220" t="s">
        <v>15</v>
      </c>
      <c r="E220" t="s">
        <v>205</v>
      </c>
      <c r="F220" t="s">
        <v>17</v>
      </c>
      <c r="G220" t="s">
        <v>361</v>
      </c>
      <c r="H220" t="s">
        <v>362</v>
      </c>
      <c r="I220" t="s">
        <v>363</v>
      </c>
      <c r="J220">
        <v>1</v>
      </c>
      <c r="K220">
        <v>346000</v>
      </c>
      <c r="L220">
        <v>0</v>
      </c>
      <c r="M220">
        <v>251000</v>
      </c>
      <c r="N220">
        <f>(data[[#This Row],[unit_price]]*data[[#This Row],[quantity]]) * (1-data[[#This Row],[discount]])</f>
        <v>346000</v>
      </c>
      <c r="O220">
        <f>data[[#This Row],[sales]]-data[[#This Row],[cost]]</f>
        <v>95000</v>
      </c>
      <c r="P220" t="str">
        <f>TEXT(data[[#This Row],[order_date]],"mmm")</f>
        <v>Jul</v>
      </c>
      <c r="Q220">
        <f>YEAR(data[[#This Row],[order_date]])</f>
        <v>2023</v>
      </c>
      <c r="R220">
        <f>MONTH(data[[#This Row],[order_date]])</f>
        <v>7</v>
      </c>
      <c r="S220">
        <f>DAY(data[[#This Row],[order_date]])</f>
        <v>10</v>
      </c>
      <c r="T220">
        <f>data[[#This Row],[profit]]/data[[#This Row],[sales]]</f>
        <v>0.27456647398843931</v>
      </c>
    </row>
    <row r="221" spans="1:20" x14ac:dyDescent="0.35">
      <c r="A221" t="s">
        <v>375</v>
      </c>
      <c r="B221" s="1">
        <v>45120</v>
      </c>
      <c r="C221" t="s">
        <v>14</v>
      </c>
      <c r="D221" t="s">
        <v>15</v>
      </c>
      <c r="E221" t="s">
        <v>157</v>
      </c>
      <c r="F221" t="s">
        <v>23</v>
      </c>
      <c r="G221" t="s">
        <v>361</v>
      </c>
      <c r="H221" t="s">
        <v>362</v>
      </c>
      <c r="I221" t="s">
        <v>363</v>
      </c>
      <c r="J221">
        <v>1</v>
      </c>
      <c r="K221">
        <v>454000</v>
      </c>
      <c r="L221">
        <v>0</v>
      </c>
      <c r="M221">
        <v>321000</v>
      </c>
      <c r="N221">
        <f>(data[[#This Row],[unit_price]]*data[[#This Row],[quantity]]) * (1-data[[#This Row],[discount]])</f>
        <v>454000</v>
      </c>
      <c r="O221">
        <f>data[[#This Row],[sales]]-data[[#This Row],[cost]]</f>
        <v>133000</v>
      </c>
      <c r="P221" t="str">
        <f>TEXT(data[[#This Row],[order_date]],"mmm")</f>
        <v>Jul</v>
      </c>
      <c r="Q221">
        <f>YEAR(data[[#This Row],[order_date]])</f>
        <v>2023</v>
      </c>
      <c r="R221">
        <f>MONTH(data[[#This Row],[order_date]])</f>
        <v>7</v>
      </c>
      <c r="S221">
        <f>DAY(data[[#This Row],[order_date]])</f>
        <v>13</v>
      </c>
      <c r="T221">
        <f>data[[#This Row],[profit]]/data[[#This Row],[sales]]</f>
        <v>0.29295154185022027</v>
      </c>
    </row>
    <row r="222" spans="1:20" x14ac:dyDescent="0.35">
      <c r="A222" t="s">
        <v>376</v>
      </c>
      <c r="B222" s="1">
        <v>45127</v>
      </c>
      <c r="C222" t="s">
        <v>41</v>
      </c>
      <c r="D222" t="s">
        <v>42</v>
      </c>
      <c r="E222" t="s">
        <v>119</v>
      </c>
      <c r="F222" t="s">
        <v>23</v>
      </c>
      <c r="G222" t="s">
        <v>361</v>
      </c>
      <c r="H222" t="s">
        <v>362</v>
      </c>
      <c r="I222" t="s">
        <v>363</v>
      </c>
      <c r="J222">
        <v>5</v>
      </c>
      <c r="K222">
        <v>518000</v>
      </c>
      <c r="L222">
        <v>0.15</v>
      </c>
      <c r="M222">
        <v>367000</v>
      </c>
      <c r="N222">
        <f>(data[[#This Row],[unit_price]]*data[[#This Row],[quantity]]) * (1-data[[#This Row],[discount]])</f>
        <v>2201500</v>
      </c>
      <c r="O222">
        <f>data[[#This Row],[sales]]-data[[#This Row],[cost]]</f>
        <v>1834500</v>
      </c>
      <c r="P222" t="str">
        <f>TEXT(data[[#This Row],[order_date]],"mmm")</f>
        <v>Jul</v>
      </c>
      <c r="Q222">
        <f>YEAR(data[[#This Row],[order_date]])</f>
        <v>2023</v>
      </c>
      <c r="R222">
        <f>MONTH(data[[#This Row],[order_date]])</f>
        <v>7</v>
      </c>
      <c r="S222">
        <f>DAY(data[[#This Row],[order_date]])</f>
        <v>20</v>
      </c>
      <c r="T222">
        <f>data[[#This Row],[profit]]/data[[#This Row],[sales]]</f>
        <v>0.8332954803543039</v>
      </c>
    </row>
    <row r="223" spans="1:20" x14ac:dyDescent="0.35">
      <c r="A223" t="s">
        <v>377</v>
      </c>
      <c r="B223" s="1">
        <v>45136</v>
      </c>
      <c r="C223" t="s">
        <v>41</v>
      </c>
      <c r="D223" t="s">
        <v>42</v>
      </c>
      <c r="E223" t="s">
        <v>378</v>
      </c>
      <c r="F223" t="s">
        <v>23</v>
      </c>
      <c r="G223" t="s">
        <v>361</v>
      </c>
      <c r="H223" t="s">
        <v>362</v>
      </c>
      <c r="I223" t="s">
        <v>363</v>
      </c>
      <c r="J223">
        <v>1</v>
      </c>
      <c r="K223">
        <v>305000</v>
      </c>
      <c r="L223">
        <v>0.05</v>
      </c>
      <c r="M223">
        <v>222000</v>
      </c>
      <c r="N223">
        <f>(data[[#This Row],[unit_price]]*data[[#This Row],[quantity]]) * (1-data[[#This Row],[discount]])</f>
        <v>289750</v>
      </c>
      <c r="O223">
        <f>data[[#This Row],[sales]]-data[[#This Row],[cost]]</f>
        <v>67750</v>
      </c>
      <c r="P223" t="str">
        <f>TEXT(data[[#This Row],[order_date]],"mmm")</f>
        <v>Jul</v>
      </c>
      <c r="Q223">
        <f>YEAR(data[[#This Row],[order_date]])</f>
        <v>2023</v>
      </c>
      <c r="R223">
        <f>MONTH(data[[#This Row],[order_date]])</f>
        <v>7</v>
      </c>
      <c r="S223">
        <f>DAY(data[[#This Row],[order_date]])</f>
        <v>29</v>
      </c>
      <c r="T223">
        <f>data[[#This Row],[profit]]/data[[#This Row],[sales]]</f>
        <v>0.23382226056945643</v>
      </c>
    </row>
    <row r="224" spans="1:20" x14ac:dyDescent="0.35">
      <c r="A224" t="s">
        <v>379</v>
      </c>
      <c r="B224" s="1">
        <v>45151</v>
      </c>
      <c r="C224" t="s">
        <v>14</v>
      </c>
      <c r="D224" t="s">
        <v>15</v>
      </c>
      <c r="E224" t="s">
        <v>95</v>
      </c>
      <c r="F224" t="s">
        <v>23</v>
      </c>
      <c r="G224" t="s">
        <v>361</v>
      </c>
      <c r="H224" t="s">
        <v>362</v>
      </c>
      <c r="I224" t="s">
        <v>363</v>
      </c>
      <c r="J224">
        <v>1</v>
      </c>
      <c r="K224">
        <v>519000</v>
      </c>
      <c r="L224">
        <v>0</v>
      </c>
      <c r="M224">
        <v>366000</v>
      </c>
      <c r="N224">
        <f>(data[[#This Row],[unit_price]]*data[[#This Row],[quantity]]) * (1-data[[#This Row],[discount]])</f>
        <v>519000</v>
      </c>
      <c r="O224">
        <f>data[[#This Row],[sales]]-data[[#This Row],[cost]]</f>
        <v>153000</v>
      </c>
      <c r="P224" t="str">
        <f>TEXT(data[[#This Row],[order_date]],"mmm")</f>
        <v>Aug</v>
      </c>
      <c r="Q224">
        <f>YEAR(data[[#This Row],[order_date]])</f>
        <v>2023</v>
      </c>
      <c r="R224">
        <f>MONTH(data[[#This Row],[order_date]])</f>
        <v>8</v>
      </c>
      <c r="S224">
        <f>DAY(data[[#This Row],[order_date]])</f>
        <v>13</v>
      </c>
      <c r="T224">
        <f>data[[#This Row],[profit]]/data[[#This Row],[sales]]</f>
        <v>0.2947976878612717</v>
      </c>
    </row>
    <row r="225" spans="1:20" x14ac:dyDescent="0.35">
      <c r="A225" t="s">
        <v>380</v>
      </c>
      <c r="B225" s="1">
        <v>45151</v>
      </c>
      <c r="C225" t="s">
        <v>14</v>
      </c>
      <c r="D225" t="s">
        <v>15</v>
      </c>
      <c r="E225" t="s">
        <v>179</v>
      </c>
      <c r="F225" t="s">
        <v>23</v>
      </c>
      <c r="G225" t="s">
        <v>361</v>
      </c>
      <c r="H225" t="s">
        <v>362</v>
      </c>
      <c r="I225" t="s">
        <v>363</v>
      </c>
      <c r="J225">
        <v>1</v>
      </c>
      <c r="K225">
        <v>317000</v>
      </c>
      <c r="L225">
        <v>0</v>
      </c>
      <c r="M225">
        <v>225000</v>
      </c>
      <c r="N225">
        <f>(data[[#This Row],[unit_price]]*data[[#This Row],[quantity]]) * (1-data[[#This Row],[discount]])</f>
        <v>317000</v>
      </c>
      <c r="O225">
        <f>data[[#This Row],[sales]]-data[[#This Row],[cost]]</f>
        <v>92000</v>
      </c>
      <c r="P225" t="str">
        <f>TEXT(data[[#This Row],[order_date]],"mmm")</f>
        <v>Aug</v>
      </c>
      <c r="Q225">
        <f>YEAR(data[[#This Row],[order_date]])</f>
        <v>2023</v>
      </c>
      <c r="R225">
        <f>MONTH(data[[#This Row],[order_date]])</f>
        <v>8</v>
      </c>
      <c r="S225">
        <f>DAY(data[[#This Row],[order_date]])</f>
        <v>13</v>
      </c>
      <c r="T225">
        <f>data[[#This Row],[profit]]/data[[#This Row],[sales]]</f>
        <v>0.29022082018927448</v>
      </c>
    </row>
    <row r="226" spans="1:20" x14ac:dyDescent="0.35">
      <c r="A226" t="s">
        <v>381</v>
      </c>
      <c r="B226" s="1">
        <v>45179</v>
      </c>
      <c r="C226" t="s">
        <v>41</v>
      </c>
      <c r="D226" t="s">
        <v>42</v>
      </c>
      <c r="E226" t="s">
        <v>212</v>
      </c>
      <c r="F226" t="s">
        <v>28</v>
      </c>
      <c r="G226" t="s">
        <v>361</v>
      </c>
      <c r="H226" t="s">
        <v>362</v>
      </c>
      <c r="I226" t="s">
        <v>363</v>
      </c>
      <c r="J226">
        <v>1</v>
      </c>
      <c r="K226">
        <v>550000</v>
      </c>
      <c r="L226">
        <v>0</v>
      </c>
      <c r="M226">
        <v>390000</v>
      </c>
      <c r="N226">
        <f>(data[[#This Row],[unit_price]]*data[[#This Row],[quantity]]) * (1-data[[#This Row],[discount]])</f>
        <v>550000</v>
      </c>
      <c r="O226">
        <f>data[[#This Row],[sales]]-data[[#This Row],[cost]]</f>
        <v>160000</v>
      </c>
      <c r="P226" t="str">
        <f>TEXT(data[[#This Row],[order_date]],"mmm")</f>
        <v>Sep</v>
      </c>
      <c r="Q226">
        <f>YEAR(data[[#This Row],[order_date]])</f>
        <v>2023</v>
      </c>
      <c r="R226">
        <f>MONTH(data[[#This Row],[order_date]])</f>
        <v>9</v>
      </c>
      <c r="S226">
        <f>DAY(data[[#This Row],[order_date]])</f>
        <v>10</v>
      </c>
      <c r="T226">
        <f>data[[#This Row],[profit]]/data[[#This Row],[sales]]</f>
        <v>0.29090909090909089</v>
      </c>
    </row>
    <row r="227" spans="1:20" x14ac:dyDescent="0.35">
      <c r="A227" t="s">
        <v>382</v>
      </c>
      <c r="B227" s="1">
        <v>45190</v>
      </c>
      <c r="C227" t="s">
        <v>14</v>
      </c>
      <c r="D227" t="s">
        <v>15</v>
      </c>
      <c r="E227" t="s">
        <v>230</v>
      </c>
      <c r="F227" t="s">
        <v>23</v>
      </c>
      <c r="G227" t="s">
        <v>361</v>
      </c>
      <c r="H227" t="s">
        <v>362</v>
      </c>
      <c r="I227" t="s">
        <v>363</v>
      </c>
      <c r="J227">
        <v>2</v>
      </c>
      <c r="K227">
        <v>344000</v>
      </c>
      <c r="L227">
        <v>0</v>
      </c>
      <c r="M227">
        <v>242000</v>
      </c>
      <c r="N227">
        <f>(data[[#This Row],[unit_price]]*data[[#This Row],[quantity]]) * (1-data[[#This Row],[discount]])</f>
        <v>688000</v>
      </c>
      <c r="O227">
        <f>data[[#This Row],[sales]]-data[[#This Row],[cost]]</f>
        <v>446000</v>
      </c>
      <c r="P227" t="str">
        <f>TEXT(data[[#This Row],[order_date]],"mmm")</f>
        <v>Sep</v>
      </c>
      <c r="Q227">
        <f>YEAR(data[[#This Row],[order_date]])</f>
        <v>2023</v>
      </c>
      <c r="R227">
        <f>MONTH(data[[#This Row],[order_date]])</f>
        <v>9</v>
      </c>
      <c r="S227">
        <f>DAY(data[[#This Row],[order_date]])</f>
        <v>21</v>
      </c>
      <c r="T227">
        <f>data[[#This Row],[profit]]/data[[#This Row],[sales]]</f>
        <v>0.64825581395348841</v>
      </c>
    </row>
    <row r="228" spans="1:20" x14ac:dyDescent="0.35">
      <c r="A228" t="s">
        <v>383</v>
      </c>
      <c r="B228" s="1">
        <v>45197</v>
      </c>
      <c r="C228" t="s">
        <v>14</v>
      </c>
      <c r="D228" t="s">
        <v>15</v>
      </c>
      <c r="E228" t="s">
        <v>384</v>
      </c>
      <c r="F228" t="s">
        <v>23</v>
      </c>
      <c r="G228" t="s">
        <v>361</v>
      </c>
      <c r="H228" t="s">
        <v>362</v>
      </c>
      <c r="I228" t="s">
        <v>363</v>
      </c>
      <c r="J228">
        <v>1</v>
      </c>
      <c r="K228">
        <v>560000</v>
      </c>
      <c r="L228">
        <v>0.1</v>
      </c>
      <c r="M228">
        <v>409000</v>
      </c>
      <c r="N228">
        <f>(data[[#This Row],[unit_price]]*data[[#This Row],[quantity]]) * (1-data[[#This Row],[discount]])</f>
        <v>504000</v>
      </c>
      <c r="O228">
        <f>data[[#This Row],[sales]]-data[[#This Row],[cost]]</f>
        <v>95000</v>
      </c>
      <c r="P228" t="str">
        <f>TEXT(data[[#This Row],[order_date]],"mmm")</f>
        <v>Sep</v>
      </c>
      <c r="Q228">
        <f>YEAR(data[[#This Row],[order_date]])</f>
        <v>2023</v>
      </c>
      <c r="R228">
        <f>MONTH(data[[#This Row],[order_date]])</f>
        <v>9</v>
      </c>
      <c r="S228">
        <f>DAY(data[[#This Row],[order_date]])</f>
        <v>28</v>
      </c>
      <c r="T228">
        <f>data[[#This Row],[profit]]/data[[#This Row],[sales]]</f>
        <v>0.18849206349206349</v>
      </c>
    </row>
    <row r="229" spans="1:20" x14ac:dyDescent="0.35">
      <c r="A229" t="s">
        <v>385</v>
      </c>
      <c r="B229" s="1">
        <v>45206</v>
      </c>
      <c r="C229" t="s">
        <v>49</v>
      </c>
      <c r="D229" t="s">
        <v>50</v>
      </c>
      <c r="E229" t="s">
        <v>197</v>
      </c>
      <c r="F229" t="s">
        <v>28</v>
      </c>
      <c r="G229" t="s">
        <v>361</v>
      </c>
      <c r="H229" t="s">
        <v>362</v>
      </c>
      <c r="I229" t="s">
        <v>363</v>
      </c>
      <c r="J229">
        <v>1</v>
      </c>
      <c r="K229">
        <v>543000</v>
      </c>
      <c r="L229">
        <v>0</v>
      </c>
      <c r="M229">
        <v>390000</v>
      </c>
      <c r="N229">
        <f>(data[[#This Row],[unit_price]]*data[[#This Row],[quantity]]) * (1-data[[#This Row],[discount]])</f>
        <v>543000</v>
      </c>
      <c r="O229">
        <f>data[[#This Row],[sales]]-data[[#This Row],[cost]]</f>
        <v>153000</v>
      </c>
      <c r="P229" t="str">
        <f>TEXT(data[[#This Row],[order_date]],"mmm")</f>
        <v>Oct</v>
      </c>
      <c r="Q229">
        <f>YEAR(data[[#This Row],[order_date]])</f>
        <v>2023</v>
      </c>
      <c r="R229">
        <f>MONTH(data[[#This Row],[order_date]])</f>
        <v>10</v>
      </c>
      <c r="S229">
        <f>DAY(data[[#This Row],[order_date]])</f>
        <v>7</v>
      </c>
      <c r="T229">
        <f>data[[#This Row],[profit]]/data[[#This Row],[sales]]</f>
        <v>0.28176795580110497</v>
      </c>
    </row>
    <row r="230" spans="1:20" x14ac:dyDescent="0.35">
      <c r="A230" t="s">
        <v>386</v>
      </c>
      <c r="B230" s="1">
        <v>45214</v>
      </c>
      <c r="C230" t="s">
        <v>14</v>
      </c>
      <c r="D230" t="s">
        <v>15</v>
      </c>
      <c r="E230" t="s">
        <v>166</v>
      </c>
      <c r="F230" t="s">
        <v>28</v>
      </c>
      <c r="G230" t="s">
        <v>361</v>
      </c>
      <c r="H230" t="s">
        <v>362</v>
      </c>
      <c r="I230" t="s">
        <v>363</v>
      </c>
      <c r="J230">
        <v>1</v>
      </c>
      <c r="K230">
        <v>556000</v>
      </c>
      <c r="L230">
        <v>0.05</v>
      </c>
      <c r="M230">
        <v>405000</v>
      </c>
      <c r="N230">
        <f>(data[[#This Row],[unit_price]]*data[[#This Row],[quantity]]) * (1-data[[#This Row],[discount]])</f>
        <v>528200</v>
      </c>
      <c r="O230">
        <f>data[[#This Row],[sales]]-data[[#This Row],[cost]]</f>
        <v>123200</v>
      </c>
      <c r="P230" t="str">
        <f>TEXT(data[[#This Row],[order_date]],"mmm")</f>
        <v>Oct</v>
      </c>
      <c r="Q230">
        <f>YEAR(data[[#This Row],[order_date]])</f>
        <v>2023</v>
      </c>
      <c r="R230">
        <f>MONTH(data[[#This Row],[order_date]])</f>
        <v>10</v>
      </c>
      <c r="S230">
        <f>DAY(data[[#This Row],[order_date]])</f>
        <v>15</v>
      </c>
      <c r="T230">
        <f>data[[#This Row],[profit]]/data[[#This Row],[sales]]</f>
        <v>0.23324498296099963</v>
      </c>
    </row>
    <row r="231" spans="1:20" x14ac:dyDescent="0.35">
      <c r="A231" t="s">
        <v>387</v>
      </c>
      <c r="B231" s="1">
        <v>45258</v>
      </c>
      <c r="C231" t="s">
        <v>14</v>
      </c>
      <c r="D231" t="s">
        <v>15</v>
      </c>
      <c r="E231" t="s">
        <v>218</v>
      </c>
      <c r="F231" t="s">
        <v>23</v>
      </c>
      <c r="G231" t="s">
        <v>361</v>
      </c>
      <c r="H231" t="s">
        <v>362</v>
      </c>
      <c r="I231" t="s">
        <v>363</v>
      </c>
      <c r="J231">
        <v>1</v>
      </c>
      <c r="K231">
        <v>589000</v>
      </c>
      <c r="L231">
        <v>0</v>
      </c>
      <c r="M231">
        <v>427000</v>
      </c>
      <c r="N231">
        <f>(data[[#This Row],[unit_price]]*data[[#This Row],[quantity]]) * (1-data[[#This Row],[discount]])</f>
        <v>589000</v>
      </c>
      <c r="O231">
        <f>data[[#This Row],[sales]]-data[[#This Row],[cost]]</f>
        <v>162000</v>
      </c>
      <c r="P231" t="str">
        <f>TEXT(data[[#This Row],[order_date]],"mmm")</f>
        <v>Nov</v>
      </c>
      <c r="Q231">
        <f>YEAR(data[[#This Row],[order_date]])</f>
        <v>2023</v>
      </c>
      <c r="R231">
        <f>MONTH(data[[#This Row],[order_date]])</f>
        <v>11</v>
      </c>
      <c r="S231">
        <f>DAY(data[[#This Row],[order_date]])</f>
        <v>28</v>
      </c>
      <c r="T231">
        <f>data[[#This Row],[profit]]/data[[#This Row],[sales]]</f>
        <v>0.27504244482173174</v>
      </c>
    </row>
    <row r="232" spans="1:20" x14ac:dyDescent="0.35">
      <c r="A232" t="s">
        <v>388</v>
      </c>
      <c r="B232" s="1">
        <v>45271</v>
      </c>
      <c r="C232" t="s">
        <v>41</v>
      </c>
      <c r="D232" t="s">
        <v>42</v>
      </c>
      <c r="E232" t="s">
        <v>208</v>
      </c>
      <c r="F232" t="s">
        <v>23</v>
      </c>
      <c r="G232" t="s">
        <v>361</v>
      </c>
      <c r="H232" t="s">
        <v>362</v>
      </c>
      <c r="I232" t="s">
        <v>363</v>
      </c>
      <c r="J232">
        <v>1</v>
      </c>
      <c r="K232">
        <v>377000</v>
      </c>
      <c r="L232">
        <v>0</v>
      </c>
      <c r="M232">
        <v>271000</v>
      </c>
      <c r="N232">
        <f>(data[[#This Row],[unit_price]]*data[[#This Row],[quantity]]) * (1-data[[#This Row],[discount]])</f>
        <v>377000</v>
      </c>
      <c r="O232">
        <f>data[[#This Row],[sales]]-data[[#This Row],[cost]]</f>
        <v>106000</v>
      </c>
      <c r="P232" t="str">
        <f>TEXT(data[[#This Row],[order_date]],"mmm")</f>
        <v>Dec</v>
      </c>
      <c r="Q232">
        <f>YEAR(data[[#This Row],[order_date]])</f>
        <v>2023</v>
      </c>
      <c r="R232">
        <f>MONTH(data[[#This Row],[order_date]])</f>
        <v>12</v>
      </c>
      <c r="S232">
        <f>DAY(data[[#This Row],[order_date]])</f>
        <v>11</v>
      </c>
      <c r="T232">
        <f>data[[#This Row],[profit]]/data[[#This Row],[sales]]</f>
        <v>0.28116710875331563</v>
      </c>
    </row>
    <row r="233" spans="1:20" x14ac:dyDescent="0.35">
      <c r="A233" t="s">
        <v>389</v>
      </c>
      <c r="B233" s="1">
        <v>45294</v>
      </c>
      <c r="C233" t="s">
        <v>14</v>
      </c>
      <c r="D233" t="s">
        <v>15</v>
      </c>
      <c r="E233" t="s">
        <v>244</v>
      </c>
      <c r="F233" t="s">
        <v>17</v>
      </c>
      <c r="G233" t="s">
        <v>361</v>
      </c>
      <c r="H233" t="s">
        <v>362</v>
      </c>
      <c r="I233" t="s">
        <v>363</v>
      </c>
      <c r="J233">
        <v>1</v>
      </c>
      <c r="K233">
        <v>432000</v>
      </c>
      <c r="L233">
        <v>0.1</v>
      </c>
      <c r="M233">
        <v>312000</v>
      </c>
      <c r="N233">
        <f>(data[[#This Row],[unit_price]]*data[[#This Row],[quantity]]) * (1-data[[#This Row],[discount]])</f>
        <v>388800</v>
      </c>
      <c r="O233">
        <f>data[[#This Row],[sales]]-data[[#This Row],[cost]]</f>
        <v>76800</v>
      </c>
      <c r="P233" t="str">
        <f>TEXT(data[[#This Row],[order_date]],"mmm")</f>
        <v>Jan</v>
      </c>
      <c r="Q233">
        <f>YEAR(data[[#This Row],[order_date]])</f>
        <v>2024</v>
      </c>
      <c r="R233">
        <f>MONTH(data[[#This Row],[order_date]])</f>
        <v>1</v>
      </c>
      <c r="S233">
        <f>DAY(data[[#This Row],[order_date]])</f>
        <v>3</v>
      </c>
      <c r="T233">
        <f>data[[#This Row],[profit]]/data[[#This Row],[sales]]</f>
        <v>0.19753086419753085</v>
      </c>
    </row>
    <row r="234" spans="1:20" x14ac:dyDescent="0.35">
      <c r="A234" t="s">
        <v>390</v>
      </c>
      <c r="B234" s="1">
        <v>45308</v>
      </c>
      <c r="C234" t="s">
        <v>14</v>
      </c>
      <c r="D234" t="s">
        <v>15</v>
      </c>
      <c r="E234" t="s">
        <v>205</v>
      </c>
      <c r="F234" t="s">
        <v>17</v>
      </c>
      <c r="G234" t="s">
        <v>361</v>
      </c>
      <c r="H234" t="s">
        <v>362</v>
      </c>
      <c r="I234" t="s">
        <v>363</v>
      </c>
      <c r="J234">
        <v>1</v>
      </c>
      <c r="K234">
        <v>372000</v>
      </c>
      <c r="L234">
        <v>0.1</v>
      </c>
      <c r="M234">
        <v>268000</v>
      </c>
      <c r="N234">
        <f>(data[[#This Row],[unit_price]]*data[[#This Row],[quantity]]) * (1-data[[#This Row],[discount]])</f>
        <v>334800</v>
      </c>
      <c r="O234">
        <f>data[[#This Row],[sales]]-data[[#This Row],[cost]]</f>
        <v>66800</v>
      </c>
      <c r="P234" t="str">
        <f>TEXT(data[[#This Row],[order_date]],"mmm")</f>
        <v>Jan</v>
      </c>
      <c r="Q234">
        <f>YEAR(data[[#This Row],[order_date]])</f>
        <v>2024</v>
      </c>
      <c r="R234">
        <f>MONTH(data[[#This Row],[order_date]])</f>
        <v>1</v>
      </c>
      <c r="S234">
        <f>DAY(data[[#This Row],[order_date]])</f>
        <v>17</v>
      </c>
      <c r="T234">
        <f>data[[#This Row],[profit]]/data[[#This Row],[sales]]</f>
        <v>0.19952210274790919</v>
      </c>
    </row>
    <row r="235" spans="1:20" x14ac:dyDescent="0.35">
      <c r="A235" t="s">
        <v>391</v>
      </c>
      <c r="B235" s="1">
        <v>45352</v>
      </c>
      <c r="C235" t="s">
        <v>41</v>
      </c>
      <c r="D235" t="s">
        <v>42</v>
      </c>
      <c r="E235" t="s">
        <v>150</v>
      </c>
      <c r="F235" t="s">
        <v>28</v>
      </c>
      <c r="G235" t="s">
        <v>361</v>
      </c>
      <c r="H235" t="s">
        <v>362</v>
      </c>
      <c r="I235" t="s">
        <v>363</v>
      </c>
      <c r="J235">
        <v>1</v>
      </c>
      <c r="K235">
        <v>580000</v>
      </c>
      <c r="L235">
        <v>0</v>
      </c>
      <c r="M235">
        <v>426000</v>
      </c>
      <c r="N235">
        <f>(data[[#This Row],[unit_price]]*data[[#This Row],[quantity]]) * (1-data[[#This Row],[discount]])</f>
        <v>580000</v>
      </c>
      <c r="O235">
        <f>data[[#This Row],[sales]]-data[[#This Row],[cost]]</f>
        <v>154000</v>
      </c>
      <c r="P235" t="str">
        <f>TEXT(data[[#This Row],[order_date]],"mmm")</f>
        <v>Mar</v>
      </c>
      <c r="Q235">
        <f>YEAR(data[[#This Row],[order_date]])</f>
        <v>2024</v>
      </c>
      <c r="R235">
        <f>MONTH(data[[#This Row],[order_date]])</f>
        <v>3</v>
      </c>
      <c r="S235">
        <f>DAY(data[[#This Row],[order_date]])</f>
        <v>1</v>
      </c>
      <c r="T235">
        <f>data[[#This Row],[profit]]/data[[#This Row],[sales]]</f>
        <v>0.26551724137931032</v>
      </c>
    </row>
    <row r="236" spans="1:20" x14ac:dyDescent="0.35">
      <c r="A236" t="s">
        <v>392</v>
      </c>
      <c r="B236" s="1">
        <v>45357</v>
      </c>
      <c r="C236" t="s">
        <v>49</v>
      </c>
      <c r="D236" t="s">
        <v>50</v>
      </c>
      <c r="E236" t="s">
        <v>155</v>
      </c>
      <c r="F236" t="s">
        <v>58</v>
      </c>
      <c r="G236" t="s">
        <v>361</v>
      </c>
      <c r="H236" t="s">
        <v>362</v>
      </c>
      <c r="I236" t="s">
        <v>363</v>
      </c>
      <c r="J236">
        <v>1</v>
      </c>
      <c r="K236">
        <v>427000</v>
      </c>
      <c r="L236">
        <v>0.15</v>
      </c>
      <c r="M236">
        <v>311000</v>
      </c>
      <c r="N236">
        <f>(data[[#This Row],[unit_price]]*data[[#This Row],[quantity]]) * (1-data[[#This Row],[discount]])</f>
        <v>362950</v>
      </c>
      <c r="O236">
        <f>data[[#This Row],[sales]]-data[[#This Row],[cost]]</f>
        <v>51950</v>
      </c>
      <c r="P236" t="str">
        <f>TEXT(data[[#This Row],[order_date]],"mmm")</f>
        <v>Mar</v>
      </c>
      <c r="Q236">
        <f>YEAR(data[[#This Row],[order_date]])</f>
        <v>2024</v>
      </c>
      <c r="R236">
        <f>MONTH(data[[#This Row],[order_date]])</f>
        <v>3</v>
      </c>
      <c r="S236">
        <f>DAY(data[[#This Row],[order_date]])</f>
        <v>6</v>
      </c>
      <c r="T236">
        <f>data[[#This Row],[profit]]/data[[#This Row],[sales]]</f>
        <v>0.14313266290122606</v>
      </c>
    </row>
    <row r="237" spans="1:20" x14ac:dyDescent="0.35">
      <c r="A237" t="s">
        <v>393</v>
      </c>
      <c r="B237" s="1">
        <v>45372</v>
      </c>
      <c r="C237" t="s">
        <v>49</v>
      </c>
      <c r="D237" t="s">
        <v>50</v>
      </c>
      <c r="E237" t="s">
        <v>394</v>
      </c>
      <c r="F237" t="s">
        <v>23</v>
      </c>
      <c r="G237" t="s">
        <v>361</v>
      </c>
      <c r="H237" t="s">
        <v>362</v>
      </c>
      <c r="I237" t="s">
        <v>363</v>
      </c>
      <c r="J237">
        <v>1</v>
      </c>
      <c r="K237">
        <v>515000</v>
      </c>
      <c r="L237">
        <v>0</v>
      </c>
      <c r="M237">
        <v>377000</v>
      </c>
      <c r="N237">
        <f>(data[[#This Row],[unit_price]]*data[[#This Row],[quantity]]) * (1-data[[#This Row],[discount]])</f>
        <v>515000</v>
      </c>
      <c r="O237">
        <f>data[[#This Row],[sales]]-data[[#This Row],[cost]]</f>
        <v>138000</v>
      </c>
      <c r="P237" t="str">
        <f>TEXT(data[[#This Row],[order_date]],"mmm")</f>
        <v>Mar</v>
      </c>
      <c r="Q237">
        <f>YEAR(data[[#This Row],[order_date]])</f>
        <v>2024</v>
      </c>
      <c r="R237">
        <f>MONTH(data[[#This Row],[order_date]])</f>
        <v>3</v>
      </c>
      <c r="S237">
        <f>DAY(data[[#This Row],[order_date]])</f>
        <v>21</v>
      </c>
      <c r="T237">
        <f>data[[#This Row],[profit]]/data[[#This Row],[sales]]</f>
        <v>0.26796116504854367</v>
      </c>
    </row>
    <row r="238" spans="1:20" x14ac:dyDescent="0.35">
      <c r="A238" t="s">
        <v>395</v>
      </c>
      <c r="B238" s="1">
        <v>45373</v>
      </c>
      <c r="C238" t="s">
        <v>14</v>
      </c>
      <c r="D238" t="s">
        <v>15</v>
      </c>
      <c r="E238" t="s">
        <v>274</v>
      </c>
      <c r="F238" t="s">
        <v>58</v>
      </c>
      <c r="G238" t="s">
        <v>361</v>
      </c>
      <c r="H238" t="s">
        <v>362</v>
      </c>
      <c r="I238" t="s">
        <v>363</v>
      </c>
      <c r="J238">
        <v>1</v>
      </c>
      <c r="K238">
        <v>598000</v>
      </c>
      <c r="L238">
        <v>0</v>
      </c>
      <c r="M238">
        <v>437000</v>
      </c>
      <c r="N238">
        <f>(data[[#This Row],[unit_price]]*data[[#This Row],[quantity]]) * (1-data[[#This Row],[discount]])</f>
        <v>598000</v>
      </c>
      <c r="O238">
        <f>data[[#This Row],[sales]]-data[[#This Row],[cost]]</f>
        <v>161000</v>
      </c>
      <c r="P238" t="str">
        <f>TEXT(data[[#This Row],[order_date]],"mmm")</f>
        <v>Mar</v>
      </c>
      <c r="Q238">
        <f>YEAR(data[[#This Row],[order_date]])</f>
        <v>2024</v>
      </c>
      <c r="R238">
        <f>MONTH(data[[#This Row],[order_date]])</f>
        <v>3</v>
      </c>
      <c r="S238">
        <f>DAY(data[[#This Row],[order_date]])</f>
        <v>22</v>
      </c>
      <c r="T238">
        <f>data[[#This Row],[profit]]/data[[#This Row],[sales]]</f>
        <v>0.26923076923076922</v>
      </c>
    </row>
    <row r="239" spans="1:20" x14ac:dyDescent="0.35">
      <c r="A239" t="s">
        <v>396</v>
      </c>
      <c r="B239" s="1">
        <v>45408</v>
      </c>
      <c r="C239" t="s">
        <v>14</v>
      </c>
      <c r="D239" t="s">
        <v>15</v>
      </c>
      <c r="E239" t="s">
        <v>179</v>
      </c>
      <c r="F239" t="s">
        <v>23</v>
      </c>
      <c r="G239" t="s">
        <v>361</v>
      </c>
      <c r="H239" t="s">
        <v>362</v>
      </c>
      <c r="I239" t="s">
        <v>363</v>
      </c>
      <c r="J239">
        <v>2</v>
      </c>
      <c r="K239">
        <v>388000</v>
      </c>
      <c r="L239">
        <v>0</v>
      </c>
      <c r="M239">
        <v>284000</v>
      </c>
      <c r="N239">
        <f>(data[[#This Row],[unit_price]]*data[[#This Row],[quantity]]) * (1-data[[#This Row],[discount]])</f>
        <v>776000</v>
      </c>
      <c r="O239">
        <f>data[[#This Row],[sales]]-data[[#This Row],[cost]]</f>
        <v>492000</v>
      </c>
      <c r="P239" t="str">
        <f>TEXT(data[[#This Row],[order_date]],"mmm")</f>
        <v>Apr</v>
      </c>
      <c r="Q239">
        <f>YEAR(data[[#This Row],[order_date]])</f>
        <v>2024</v>
      </c>
      <c r="R239">
        <f>MONTH(data[[#This Row],[order_date]])</f>
        <v>4</v>
      </c>
      <c r="S239">
        <f>DAY(data[[#This Row],[order_date]])</f>
        <v>26</v>
      </c>
      <c r="T239">
        <f>data[[#This Row],[profit]]/data[[#This Row],[sales]]</f>
        <v>0.634020618556701</v>
      </c>
    </row>
    <row r="240" spans="1:20" x14ac:dyDescent="0.35">
      <c r="A240" t="s">
        <v>397</v>
      </c>
      <c r="B240" s="1">
        <v>45410</v>
      </c>
      <c r="C240" t="s">
        <v>14</v>
      </c>
      <c r="D240" t="s">
        <v>15</v>
      </c>
      <c r="E240" t="s">
        <v>39</v>
      </c>
      <c r="F240" t="s">
        <v>23</v>
      </c>
      <c r="G240" t="s">
        <v>361</v>
      </c>
      <c r="H240" t="s">
        <v>362</v>
      </c>
      <c r="I240" t="s">
        <v>363</v>
      </c>
      <c r="J240">
        <v>1</v>
      </c>
      <c r="K240">
        <v>612000</v>
      </c>
      <c r="L240">
        <v>0.05</v>
      </c>
      <c r="M240">
        <v>450000</v>
      </c>
      <c r="N240">
        <f>(data[[#This Row],[unit_price]]*data[[#This Row],[quantity]]) * (1-data[[#This Row],[discount]])</f>
        <v>581400</v>
      </c>
      <c r="O240">
        <f>data[[#This Row],[sales]]-data[[#This Row],[cost]]</f>
        <v>131400</v>
      </c>
      <c r="P240" t="str">
        <f>TEXT(data[[#This Row],[order_date]],"mmm")</f>
        <v>Apr</v>
      </c>
      <c r="Q240">
        <f>YEAR(data[[#This Row],[order_date]])</f>
        <v>2024</v>
      </c>
      <c r="R240">
        <f>MONTH(data[[#This Row],[order_date]])</f>
        <v>4</v>
      </c>
      <c r="S240">
        <f>DAY(data[[#This Row],[order_date]])</f>
        <v>28</v>
      </c>
      <c r="T240">
        <f>data[[#This Row],[profit]]/data[[#This Row],[sales]]</f>
        <v>0.2260061919504644</v>
      </c>
    </row>
    <row r="241" spans="1:20" x14ac:dyDescent="0.35">
      <c r="A241" t="s">
        <v>398</v>
      </c>
      <c r="B241" s="1">
        <v>45424</v>
      </c>
      <c r="C241" t="s">
        <v>14</v>
      </c>
      <c r="D241" t="s">
        <v>15</v>
      </c>
      <c r="E241" t="s">
        <v>315</v>
      </c>
      <c r="F241" t="s">
        <v>23</v>
      </c>
      <c r="G241" t="s">
        <v>361</v>
      </c>
      <c r="H241" t="s">
        <v>362</v>
      </c>
      <c r="I241" t="s">
        <v>363</v>
      </c>
      <c r="J241">
        <v>1</v>
      </c>
      <c r="K241">
        <v>479000</v>
      </c>
      <c r="L241">
        <v>0</v>
      </c>
      <c r="M241">
        <v>343000</v>
      </c>
      <c r="N241">
        <f>(data[[#This Row],[unit_price]]*data[[#This Row],[quantity]]) * (1-data[[#This Row],[discount]])</f>
        <v>479000</v>
      </c>
      <c r="O241">
        <f>data[[#This Row],[sales]]-data[[#This Row],[cost]]</f>
        <v>136000</v>
      </c>
      <c r="P241" t="str">
        <f>TEXT(data[[#This Row],[order_date]],"mmm")</f>
        <v>May</v>
      </c>
      <c r="Q241">
        <f>YEAR(data[[#This Row],[order_date]])</f>
        <v>2024</v>
      </c>
      <c r="R241">
        <f>MONTH(data[[#This Row],[order_date]])</f>
        <v>5</v>
      </c>
      <c r="S241">
        <f>DAY(data[[#This Row],[order_date]])</f>
        <v>12</v>
      </c>
      <c r="T241">
        <f>data[[#This Row],[profit]]/data[[#This Row],[sales]]</f>
        <v>0.28392484342379959</v>
      </c>
    </row>
    <row r="242" spans="1:20" x14ac:dyDescent="0.35">
      <c r="A242" t="s">
        <v>399</v>
      </c>
      <c r="B242" s="1">
        <v>45424</v>
      </c>
      <c r="C242" t="s">
        <v>49</v>
      </c>
      <c r="D242" t="s">
        <v>50</v>
      </c>
      <c r="E242" t="s">
        <v>146</v>
      </c>
      <c r="F242" t="s">
        <v>17</v>
      </c>
      <c r="G242" t="s">
        <v>361</v>
      </c>
      <c r="H242" t="s">
        <v>362</v>
      </c>
      <c r="I242" t="s">
        <v>363</v>
      </c>
      <c r="J242">
        <v>1</v>
      </c>
      <c r="K242">
        <v>372000</v>
      </c>
      <c r="L242">
        <v>0</v>
      </c>
      <c r="M242">
        <v>265000</v>
      </c>
      <c r="N242">
        <f>(data[[#This Row],[unit_price]]*data[[#This Row],[quantity]]) * (1-data[[#This Row],[discount]])</f>
        <v>372000</v>
      </c>
      <c r="O242">
        <f>data[[#This Row],[sales]]-data[[#This Row],[cost]]</f>
        <v>107000</v>
      </c>
      <c r="P242" t="str">
        <f>TEXT(data[[#This Row],[order_date]],"mmm")</f>
        <v>May</v>
      </c>
      <c r="Q242">
        <f>YEAR(data[[#This Row],[order_date]])</f>
        <v>2024</v>
      </c>
      <c r="R242">
        <f>MONTH(data[[#This Row],[order_date]])</f>
        <v>5</v>
      </c>
      <c r="S242">
        <f>DAY(data[[#This Row],[order_date]])</f>
        <v>12</v>
      </c>
      <c r="T242">
        <f>data[[#This Row],[profit]]/data[[#This Row],[sales]]</f>
        <v>0.28763440860215056</v>
      </c>
    </row>
    <row r="243" spans="1:20" x14ac:dyDescent="0.35">
      <c r="A243" t="s">
        <v>400</v>
      </c>
      <c r="B243" s="1">
        <v>45450</v>
      </c>
      <c r="C243" t="s">
        <v>14</v>
      </c>
      <c r="D243" t="s">
        <v>15</v>
      </c>
      <c r="E243" t="s">
        <v>359</v>
      </c>
      <c r="F243" t="s">
        <v>23</v>
      </c>
      <c r="G243" t="s">
        <v>361</v>
      </c>
      <c r="H243" t="s">
        <v>362</v>
      </c>
      <c r="I243" t="s">
        <v>363</v>
      </c>
      <c r="J243">
        <v>1</v>
      </c>
      <c r="K243">
        <v>489024.69135802472</v>
      </c>
      <c r="L243">
        <v>0</v>
      </c>
      <c r="M243">
        <v>324000</v>
      </c>
      <c r="N243">
        <f>(data[[#This Row],[unit_price]]*data[[#This Row],[quantity]]) * (1-data[[#This Row],[discount]])</f>
        <v>489024.69135802472</v>
      </c>
      <c r="O243">
        <f>data[[#This Row],[sales]]-data[[#This Row],[cost]]</f>
        <v>165024.69135802472</v>
      </c>
      <c r="P243" t="str">
        <f>TEXT(data[[#This Row],[order_date]],"mmm")</f>
        <v>Jun</v>
      </c>
      <c r="Q243">
        <f>YEAR(data[[#This Row],[order_date]])</f>
        <v>2024</v>
      </c>
      <c r="R243">
        <f>MONTH(data[[#This Row],[order_date]])</f>
        <v>6</v>
      </c>
      <c r="S243">
        <f>DAY(data[[#This Row],[order_date]])</f>
        <v>7</v>
      </c>
      <c r="T243">
        <f>data[[#This Row],[profit]]/data[[#This Row],[sales]]</f>
        <v>0.33745676705965516</v>
      </c>
    </row>
    <row r="244" spans="1:20" x14ac:dyDescent="0.35">
      <c r="A244" t="s">
        <v>401</v>
      </c>
      <c r="B244" s="1">
        <v>45466</v>
      </c>
      <c r="C244" t="s">
        <v>14</v>
      </c>
      <c r="D244" t="s">
        <v>15</v>
      </c>
      <c r="E244" t="s">
        <v>402</v>
      </c>
      <c r="F244" t="s">
        <v>23</v>
      </c>
      <c r="G244" t="s">
        <v>361</v>
      </c>
      <c r="H244" t="s">
        <v>362</v>
      </c>
      <c r="I244" t="s">
        <v>363</v>
      </c>
      <c r="J244">
        <v>2</v>
      </c>
      <c r="K244">
        <v>500000</v>
      </c>
      <c r="L244">
        <v>0</v>
      </c>
      <c r="M244">
        <v>361000</v>
      </c>
      <c r="N244">
        <f>(data[[#This Row],[unit_price]]*data[[#This Row],[quantity]]) * (1-data[[#This Row],[discount]])</f>
        <v>1000000</v>
      </c>
      <c r="O244">
        <f>data[[#This Row],[sales]]-data[[#This Row],[cost]]</f>
        <v>639000</v>
      </c>
      <c r="P244" t="str">
        <f>TEXT(data[[#This Row],[order_date]],"mmm")</f>
        <v>Jun</v>
      </c>
      <c r="Q244">
        <f>YEAR(data[[#This Row],[order_date]])</f>
        <v>2024</v>
      </c>
      <c r="R244">
        <f>MONTH(data[[#This Row],[order_date]])</f>
        <v>6</v>
      </c>
      <c r="S244">
        <f>DAY(data[[#This Row],[order_date]])</f>
        <v>23</v>
      </c>
      <c r="T244">
        <f>data[[#This Row],[profit]]/data[[#This Row],[sales]]</f>
        <v>0.63900000000000001</v>
      </c>
    </row>
    <row r="245" spans="1:20" x14ac:dyDescent="0.35">
      <c r="A245" t="s">
        <v>403</v>
      </c>
      <c r="B245" s="1">
        <v>45482</v>
      </c>
      <c r="C245" t="s">
        <v>41</v>
      </c>
      <c r="D245" t="s">
        <v>42</v>
      </c>
      <c r="E245" t="s">
        <v>172</v>
      </c>
      <c r="F245" t="s">
        <v>23</v>
      </c>
      <c r="G245" t="s">
        <v>361</v>
      </c>
      <c r="H245" t="s">
        <v>362</v>
      </c>
      <c r="I245" t="s">
        <v>363</v>
      </c>
      <c r="J245">
        <v>1</v>
      </c>
      <c r="K245">
        <v>608000</v>
      </c>
      <c r="L245">
        <v>0</v>
      </c>
      <c r="M245">
        <v>440000</v>
      </c>
      <c r="N245">
        <f>(data[[#This Row],[unit_price]]*data[[#This Row],[quantity]]) * (1-data[[#This Row],[discount]])</f>
        <v>608000</v>
      </c>
      <c r="O245">
        <f>data[[#This Row],[sales]]-data[[#This Row],[cost]]</f>
        <v>168000</v>
      </c>
      <c r="P245" t="str">
        <f>TEXT(data[[#This Row],[order_date]],"mmm")</f>
        <v>Jul</v>
      </c>
      <c r="Q245">
        <f>YEAR(data[[#This Row],[order_date]])</f>
        <v>2024</v>
      </c>
      <c r="R245">
        <f>MONTH(data[[#This Row],[order_date]])</f>
        <v>7</v>
      </c>
      <c r="S245">
        <f>DAY(data[[#This Row],[order_date]])</f>
        <v>9</v>
      </c>
      <c r="T245">
        <f>data[[#This Row],[profit]]/data[[#This Row],[sales]]</f>
        <v>0.27631578947368424</v>
      </c>
    </row>
    <row r="246" spans="1:20" x14ac:dyDescent="0.35">
      <c r="A246" t="s">
        <v>404</v>
      </c>
      <c r="B246" s="1">
        <v>45485</v>
      </c>
      <c r="C246" t="s">
        <v>41</v>
      </c>
      <c r="D246" t="s">
        <v>42</v>
      </c>
      <c r="E246" t="s">
        <v>45</v>
      </c>
      <c r="F246" t="s">
        <v>17</v>
      </c>
      <c r="G246" t="s">
        <v>361</v>
      </c>
      <c r="H246" t="s">
        <v>362</v>
      </c>
      <c r="I246" t="s">
        <v>363</v>
      </c>
      <c r="J246">
        <v>1</v>
      </c>
      <c r="K246">
        <v>566000</v>
      </c>
      <c r="L246">
        <v>0</v>
      </c>
      <c r="M246">
        <v>406000</v>
      </c>
      <c r="N246">
        <f>(data[[#This Row],[unit_price]]*data[[#This Row],[quantity]]) * (1-data[[#This Row],[discount]])</f>
        <v>566000</v>
      </c>
      <c r="O246">
        <f>data[[#This Row],[sales]]-data[[#This Row],[cost]]</f>
        <v>160000</v>
      </c>
      <c r="P246" t="str">
        <f>TEXT(data[[#This Row],[order_date]],"mmm")</f>
        <v>Jul</v>
      </c>
      <c r="Q246">
        <f>YEAR(data[[#This Row],[order_date]])</f>
        <v>2024</v>
      </c>
      <c r="R246">
        <f>MONTH(data[[#This Row],[order_date]])</f>
        <v>7</v>
      </c>
      <c r="S246">
        <f>DAY(data[[#This Row],[order_date]])</f>
        <v>12</v>
      </c>
      <c r="T246">
        <f>data[[#This Row],[profit]]/data[[#This Row],[sales]]</f>
        <v>0.28268551236749118</v>
      </c>
    </row>
    <row r="247" spans="1:20" x14ac:dyDescent="0.35">
      <c r="A247" t="s">
        <v>405</v>
      </c>
      <c r="B247" s="1">
        <v>45488</v>
      </c>
      <c r="C247" t="s">
        <v>25</v>
      </c>
      <c r="D247" t="s">
        <v>26</v>
      </c>
      <c r="E247" t="s">
        <v>349</v>
      </c>
      <c r="F247" t="s">
        <v>23</v>
      </c>
      <c r="G247" t="s">
        <v>361</v>
      </c>
      <c r="H247" t="s">
        <v>362</v>
      </c>
      <c r="I247" t="s">
        <v>363</v>
      </c>
      <c r="J247">
        <v>1</v>
      </c>
      <c r="K247">
        <v>565000</v>
      </c>
      <c r="L247">
        <v>0</v>
      </c>
      <c r="M247">
        <v>402000</v>
      </c>
      <c r="N247">
        <f>(data[[#This Row],[unit_price]]*data[[#This Row],[quantity]]) * (1-data[[#This Row],[discount]])</f>
        <v>565000</v>
      </c>
      <c r="O247">
        <f>data[[#This Row],[sales]]-data[[#This Row],[cost]]</f>
        <v>163000</v>
      </c>
      <c r="P247" t="str">
        <f>TEXT(data[[#This Row],[order_date]],"mmm")</f>
        <v>Jul</v>
      </c>
      <c r="Q247">
        <f>YEAR(data[[#This Row],[order_date]])</f>
        <v>2024</v>
      </c>
      <c r="R247">
        <f>MONTH(data[[#This Row],[order_date]])</f>
        <v>7</v>
      </c>
      <c r="S247">
        <f>DAY(data[[#This Row],[order_date]])</f>
        <v>15</v>
      </c>
      <c r="T247">
        <f>data[[#This Row],[profit]]/data[[#This Row],[sales]]</f>
        <v>0.28849557522123892</v>
      </c>
    </row>
    <row r="248" spans="1:20" x14ac:dyDescent="0.35">
      <c r="A248" t="s">
        <v>406</v>
      </c>
      <c r="B248" s="1">
        <v>45509</v>
      </c>
      <c r="C248" t="s">
        <v>49</v>
      </c>
      <c r="D248" t="s">
        <v>50</v>
      </c>
      <c r="E248" t="s">
        <v>186</v>
      </c>
      <c r="F248" t="s">
        <v>23</v>
      </c>
      <c r="G248" t="s">
        <v>361</v>
      </c>
      <c r="H248" t="s">
        <v>362</v>
      </c>
      <c r="I248" t="s">
        <v>363</v>
      </c>
      <c r="J248">
        <v>5</v>
      </c>
      <c r="K248">
        <v>517000</v>
      </c>
      <c r="L248">
        <v>0</v>
      </c>
      <c r="M248">
        <v>373000</v>
      </c>
      <c r="N248">
        <f>(data[[#This Row],[unit_price]]*data[[#This Row],[quantity]]) * (1-data[[#This Row],[discount]])</f>
        <v>2585000</v>
      </c>
      <c r="O248">
        <f>data[[#This Row],[sales]]-data[[#This Row],[cost]]</f>
        <v>2212000</v>
      </c>
      <c r="P248" t="str">
        <f>TEXT(data[[#This Row],[order_date]],"mmm")</f>
        <v>Aug</v>
      </c>
      <c r="Q248">
        <f>YEAR(data[[#This Row],[order_date]])</f>
        <v>2024</v>
      </c>
      <c r="R248">
        <f>MONTH(data[[#This Row],[order_date]])</f>
        <v>8</v>
      </c>
      <c r="S248">
        <f>DAY(data[[#This Row],[order_date]])</f>
        <v>5</v>
      </c>
      <c r="T248">
        <f>data[[#This Row],[profit]]/data[[#This Row],[sales]]</f>
        <v>0.85570599613152809</v>
      </c>
    </row>
    <row r="249" spans="1:20" x14ac:dyDescent="0.35">
      <c r="A249" t="s">
        <v>407</v>
      </c>
      <c r="B249" s="1">
        <v>45515</v>
      </c>
      <c r="C249" t="s">
        <v>41</v>
      </c>
      <c r="D249" t="s">
        <v>42</v>
      </c>
      <c r="E249" t="s">
        <v>315</v>
      </c>
      <c r="F249" t="s">
        <v>23</v>
      </c>
      <c r="G249" t="s">
        <v>361</v>
      </c>
      <c r="H249" t="s">
        <v>362</v>
      </c>
      <c r="I249" t="s">
        <v>363</v>
      </c>
      <c r="J249">
        <v>2</v>
      </c>
      <c r="K249">
        <v>385000</v>
      </c>
      <c r="L249">
        <v>0</v>
      </c>
      <c r="M249">
        <v>276000</v>
      </c>
      <c r="N249">
        <f>(data[[#This Row],[unit_price]]*data[[#This Row],[quantity]]) * (1-data[[#This Row],[discount]])</f>
        <v>770000</v>
      </c>
      <c r="O249">
        <f>data[[#This Row],[sales]]-data[[#This Row],[cost]]</f>
        <v>494000</v>
      </c>
      <c r="P249" t="str">
        <f>TEXT(data[[#This Row],[order_date]],"mmm")</f>
        <v>Aug</v>
      </c>
      <c r="Q249">
        <f>YEAR(data[[#This Row],[order_date]])</f>
        <v>2024</v>
      </c>
      <c r="R249">
        <f>MONTH(data[[#This Row],[order_date]])</f>
        <v>8</v>
      </c>
      <c r="S249">
        <f>DAY(data[[#This Row],[order_date]])</f>
        <v>11</v>
      </c>
      <c r="T249">
        <f>data[[#This Row],[profit]]/data[[#This Row],[sales]]</f>
        <v>0.64155844155844155</v>
      </c>
    </row>
    <row r="250" spans="1:20" x14ac:dyDescent="0.35">
      <c r="A250" t="s">
        <v>408</v>
      </c>
      <c r="B250" s="1">
        <v>45538</v>
      </c>
      <c r="C250" t="s">
        <v>41</v>
      </c>
      <c r="D250" t="s">
        <v>42</v>
      </c>
      <c r="E250" t="s">
        <v>384</v>
      </c>
      <c r="F250" t="s">
        <v>23</v>
      </c>
      <c r="G250" t="s">
        <v>361</v>
      </c>
      <c r="H250" t="s">
        <v>362</v>
      </c>
      <c r="I250" t="s">
        <v>363</v>
      </c>
      <c r="J250">
        <v>1</v>
      </c>
      <c r="K250">
        <v>343000</v>
      </c>
      <c r="L250">
        <v>0.15</v>
      </c>
      <c r="M250">
        <v>248000</v>
      </c>
      <c r="N250">
        <f>(data[[#This Row],[unit_price]]*data[[#This Row],[quantity]]) * (1-data[[#This Row],[discount]])</f>
        <v>291550</v>
      </c>
      <c r="O250">
        <f>data[[#This Row],[sales]]-data[[#This Row],[cost]]</f>
        <v>43550</v>
      </c>
      <c r="P250" t="str">
        <f>TEXT(data[[#This Row],[order_date]],"mmm")</f>
        <v>Sep</v>
      </c>
      <c r="Q250">
        <f>YEAR(data[[#This Row],[order_date]])</f>
        <v>2024</v>
      </c>
      <c r="R250">
        <f>MONTH(data[[#This Row],[order_date]])</f>
        <v>9</v>
      </c>
      <c r="S250">
        <f>DAY(data[[#This Row],[order_date]])</f>
        <v>3</v>
      </c>
      <c r="T250">
        <f>data[[#This Row],[profit]]/data[[#This Row],[sales]]</f>
        <v>0.14937403532841709</v>
      </c>
    </row>
    <row r="251" spans="1:20" x14ac:dyDescent="0.35">
      <c r="A251" t="s">
        <v>409</v>
      </c>
      <c r="B251" s="1">
        <v>45572</v>
      </c>
      <c r="C251" t="s">
        <v>49</v>
      </c>
      <c r="D251" t="s">
        <v>50</v>
      </c>
      <c r="E251" t="s">
        <v>81</v>
      </c>
      <c r="F251" t="s">
        <v>17</v>
      </c>
      <c r="G251" t="s">
        <v>361</v>
      </c>
      <c r="H251" t="s">
        <v>362</v>
      </c>
      <c r="I251" t="s">
        <v>363</v>
      </c>
      <c r="J251">
        <v>2</v>
      </c>
      <c r="K251">
        <v>590000</v>
      </c>
      <c r="L251">
        <v>0</v>
      </c>
      <c r="M251">
        <v>421000</v>
      </c>
      <c r="N251">
        <f>(data[[#This Row],[unit_price]]*data[[#This Row],[quantity]]) * (1-data[[#This Row],[discount]])</f>
        <v>1180000</v>
      </c>
      <c r="O251">
        <f>data[[#This Row],[sales]]-data[[#This Row],[cost]]</f>
        <v>759000</v>
      </c>
      <c r="P251" t="str">
        <f>TEXT(data[[#This Row],[order_date]],"mmm")</f>
        <v>Oct</v>
      </c>
      <c r="Q251">
        <f>YEAR(data[[#This Row],[order_date]])</f>
        <v>2024</v>
      </c>
      <c r="R251">
        <f>MONTH(data[[#This Row],[order_date]])</f>
        <v>10</v>
      </c>
      <c r="S251">
        <f>DAY(data[[#This Row],[order_date]])</f>
        <v>7</v>
      </c>
      <c r="T251">
        <f>data[[#This Row],[profit]]/data[[#This Row],[sales]]</f>
        <v>0.64322033898305087</v>
      </c>
    </row>
    <row r="252" spans="1:20" x14ac:dyDescent="0.35">
      <c r="A252" t="s">
        <v>410</v>
      </c>
      <c r="B252" s="1">
        <v>45600</v>
      </c>
      <c r="C252" t="s">
        <v>41</v>
      </c>
      <c r="D252" t="s">
        <v>42</v>
      </c>
      <c r="E252" t="s">
        <v>411</v>
      </c>
      <c r="F252" t="s">
        <v>28</v>
      </c>
      <c r="G252" t="s">
        <v>361</v>
      </c>
      <c r="H252" t="s">
        <v>362</v>
      </c>
      <c r="I252" t="s">
        <v>363</v>
      </c>
      <c r="J252">
        <v>1</v>
      </c>
      <c r="K252">
        <v>562000</v>
      </c>
      <c r="L252">
        <v>0</v>
      </c>
      <c r="M252">
        <v>407000</v>
      </c>
      <c r="N252">
        <f>(data[[#This Row],[unit_price]]*data[[#This Row],[quantity]]) * (1-data[[#This Row],[discount]])</f>
        <v>562000</v>
      </c>
      <c r="O252">
        <f>data[[#This Row],[sales]]-data[[#This Row],[cost]]</f>
        <v>155000</v>
      </c>
      <c r="P252" t="str">
        <f>TEXT(data[[#This Row],[order_date]],"mmm")</f>
        <v>Nov</v>
      </c>
      <c r="Q252">
        <f>YEAR(data[[#This Row],[order_date]])</f>
        <v>2024</v>
      </c>
      <c r="R252">
        <f>MONTH(data[[#This Row],[order_date]])</f>
        <v>11</v>
      </c>
      <c r="S252">
        <f>DAY(data[[#This Row],[order_date]])</f>
        <v>4</v>
      </c>
      <c r="T252">
        <f>data[[#This Row],[profit]]/data[[#This Row],[sales]]</f>
        <v>0.27580071174377224</v>
      </c>
    </row>
    <row r="253" spans="1:20" x14ac:dyDescent="0.35">
      <c r="A253" t="s">
        <v>412</v>
      </c>
      <c r="B253" s="1">
        <v>45604</v>
      </c>
      <c r="C253" t="s">
        <v>36</v>
      </c>
      <c r="D253" t="s">
        <v>37</v>
      </c>
      <c r="E253" t="s">
        <v>413</v>
      </c>
      <c r="F253" t="s">
        <v>23</v>
      </c>
      <c r="G253" t="s">
        <v>361</v>
      </c>
      <c r="H253" t="s">
        <v>362</v>
      </c>
      <c r="I253" t="s">
        <v>363</v>
      </c>
      <c r="J253">
        <v>2</v>
      </c>
      <c r="K253">
        <v>438000</v>
      </c>
      <c r="L253">
        <v>0.1</v>
      </c>
      <c r="M253">
        <v>320000</v>
      </c>
      <c r="N253">
        <f>(data[[#This Row],[unit_price]]*data[[#This Row],[quantity]]) * (1-data[[#This Row],[discount]])</f>
        <v>788400</v>
      </c>
      <c r="O253">
        <f>data[[#This Row],[sales]]-data[[#This Row],[cost]]</f>
        <v>468400</v>
      </c>
      <c r="P253" t="str">
        <f>TEXT(data[[#This Row],[order_date]],"mmm")</f>
        <v>Nov</v>
      </c>
      <c r="Q253">
        <f>YEAR(data[[#This Row],[order_date]])</f>
        <v>2024</v>
      </c>
      <c r="R253">
        <f>MONTH(data[[#This Row],[order_date]])</f>
        <v>11</v>
      </c>
      <c r="S253">
        <f>DAY(data[[#This Row],[order_date]])</f>
        <v>8</v>
      </c>
      <c r="T253">
        <f>data[[#This Row],[profit]]/data[[#This Row],[sales]]</f>
        <v>0.59411466260781332</v>
      </c>
    </row>
    <row r="254" spans="1:20" x14ac:dyDescent="0.35">
      <c r="A254" t="s">
        <v>414</v>
      </c>
      <c r="B254" s="1">
        <v>45622</v>
      </c>
      <c r="C254" t="s">
        <v>14</v>
      </c>
      <c r="D254" t="s">
        <v>15</v>
      </c>
      <c r="E254" t="s">
        <v>16</v>
      </c>
      <c r="F254" t="s">
        <v>17</v>
      </c>
      <c r="G254" t="s">
        <v>361</v>
      </c>
      <c r="H254" t="s">
        <v>362</v>
      </c>
      <c r="I254" t="s">
        <v>363</v>
      </c>
      <c r="J254">
        <v>1</v>
      </c>
      <c r="K254">
        <v>416000</v>
      </c>
      <c r="L254">
        <v>0</v>
      </c>
      <c r="M254">
        <v>302000</v>
      </c>
      <c r="N254">
        <f>(data[[#This Row],[unit_price]]*data[[#This Row],[quantity]]) * (1-data[[#This Row],[discount]])</f>
        <v>416000</v>
      </c>
      <c r="O254">
        <f>data[[#This Row],[sales]]-data[[#This Row],[cost]]</f>
        <v>114000</v>
      </c>
      <c r="P254" t="str">
        <f>TEXT(data[[#This Row],[order_date]],"mmm")</f>
        <v>Nov</v>
      </c>
      <c r="Q254">
        <f>YEAR(data[[#This Row],[order_date]])</f>
        <v>2024</v>
      </c>
      <c r="R254">
        <f>MONTH(data[[#This Row],[order_date]])</f>
        <v>11</v>
      </c>
      <c r="S254">
        <f>DAY(data[[#This Row],[order_date]])</f>
        <v>26</v>
      </c>
      <c r="T254">
        <f>data[[#This Row],[profit]]/data[[#This Row],[sales]]</f>
        <v>0.27403846153846156</v>
      </c>
    </row>
    <row r="255" spans="1:20" x14ac:dyDescent="0.35">
      <c r="A255" t="s">
        <v>415</v>
      </c>
      <c r="B255" s="1">
        <v>45631</v>
      </c>
      <c r="C255" t="s">
        <v>41</v>
      </c>
      <c r="D255" t="s">
        <v>42</v>
      </c>
      <c r="E255" t="s">
        <v>126</v>
      </c>
      <c r="F255" t="s">
        <v>17</v>
      </c>
      <c r="G255" t="s">
        <v>361</v>
      </c>
      <c r="H255" t="s">
        <v>362</v>
      </c>
      <c r="I255" t="s">
        <v>363</v>
      </c>
      <c r="J255">
        <v>2</v>
      </c>
      <c r="K255">
        <v>342000</v>
      </c>
      <c r="L255">
        <v>0</v>
      </c>
      <c r="M255">
        <v>246000</v>
      </c>
      <c r="N255">
        <f>(data[[#This Row],[unit_price]]*data[[#This Row],[quantity]]) * (1-data[[#This Row],[discount]])</f>
        <v>684000</v>
      </c>
      <c r="O255">
        <f>data[[#This Row],[sales]]-data[[#This Row],[cost]]</f>
        <v>438000</v>
      </c>
      <c r="P255" t="str">
        <f>TEXT(data[[#This Row],[order_date]],"mmm")</f>
        <v>Dec</v>
      </c>
      <c r="Q255">
        <f>YEAR(data[[#This Row],[order_date]])</f>
        <v>2024</v>
      </c>
      <c r="R255">
        <f>MONTH(data[[#This Row],[order_date]])</f>
        <v>12</v>
      </c>
      <c r="S255">
        <f>DAY(data[[#This Row],[order_date]])</f>
        <v>5</v>
      </c>
      <c r="T255">
        <f>data[[#This Row],[profit]]/data[[#This Row],[sales]]</f>
        <v>0.64035087719298245</v>
      </c>
    </row>
    <row r="256" spans="1:20" x14ac:dyDescent="0.35">
      <c r="A256" t="s">
        <v>416</v>
      </c>
      <c r="B256" s="1">
        <v>45642</v>
      </c>
      <c r="C256" t="s">
        <v>14</v>
      </c>
      <c r="D256" t="s">
        <v>15</v>
      </c>
      <c r="E256" t="s">
        <v>34</v>
      </c>
      <c r="F256" t="s">
        <v>17</v>
      </c>
      <c r="G256" t="s">
        <v>361</v>
      </c>
      <c r="H256" t="s">
        <v>362</v>
      </c>
      <c r="I256" t="s">
        <v>363</v>
      </c>
      <c r="J256">
        <v>1</v>
      </c>
      <c r="K256">
        <v>331000</v>
      </c>
      <c r="L256">
        <v>0.1</v>
      </c>
      <c r="M256">
        <v>243000</v>
      </c>
      <c r="N256">
        <f>(data[[#This Row],[unit_price]]*data[[#This Row],[quantity]]) * (1-data[[#This Row],[discount]])</f>
        <v>297900</v>
      </c>
      <c r="O256">
        <f>data[[#This Row],[sales]]-data[[#This Row],[cost]]</f>
        <v>54900</v>
      </c>
      <c r="P256" t="str">
        <f>TEXT(data[[#This Row],[order_date]],"mmm")</f>
        <v>Dec</v>
      </c>
      <c r="Q256">
        <f>YEAR(data[[#This Row],[order_date]])</f>
        <v>2024</v>
      </c>
      <c r="R256">
        <f>MONTH(data[[#This Row],[order_date]])</f>
        <v>12</v>
      </c>
      <c r="S256">
        <f>DAY(data[[#This Row],[order_date]])</f>
        <v>16</v>
      </c>
      <c r="T256">
        <f>data[[#This Row],[profit]]/data[[#This Row],[sales]]</f>
        <v>0.18429003021148035</v>
      </c>
    </row>
    <row r="257" spans="1:20" x14ac:dyDescent="0.35">
      <c r="A257" t="s">
        <v>417</v>
      </c>
      <c r="B257" s="1">
        <v>45665</v>
      </c>
      <c r="C257" t="s">
        <v>41</v>
      </c>
      <c r="D257" t="s">
        <v>42</v>
      </c>
      <c r="E257" t="s">
        <v>366</v>
      </c>
      <c r="F257" t="s">
        <v>58</v>
      </c>
      <c r="G257" t="s">
        <v>361</v>
      </c>
      <c r="H257" t="s">
        <v>362</v>
      </c>
      <c r="I257" t="s">
        <v>363</v>
      </c>
      <c r="J257">
        <v>2</v>
      </c>
      <c r="K257">
        <v>603000</v>
      </c>
      <c r="L257">
        <v>0</v>
      </c>
      <c r="M257">
        <v>435000</v>
      </c>
      <c r="N257">
        <f>(data[[#This Row],[unit_price]]*data[[#This Row],[quantity]]) * (1-data[[#This Row],[discount]])</f>
        <v>1206000</v>
      </c>
      <c r="O257">
        <f>data[[#This Row],[sales]]-data[[#This Row],[cost]]</f>
        <v>771000</v>
      </c>
      <c r="P257" t="str">
        <f>TEXT(data[[#This Row],[order_date]],"mmm")</f>
        <v>Jan</v>
      </c>
      <c r="Q257">
        <f>YEAR(data[[#This Row],[order_date]])</f>
        <v>2025</v>
      </c>
      <c r="R257">
        <f>MONTH(data[[#This Row],[order_date]])</f>
        <v>1</v>
      </c>
      <c r="S257">
        <f>DAY(data[[#This Row],[order_date]])</f>
        <v>8</v>
      </c>
      <c r="T257">
        <f>data[[#This Row],[profit]]/data[[#This Row],[sales]]</f>
        <v>0.63930348258706471</v>
      </c>
    </row>
    <row r="258" spans="1:20" x14ac:dyDescent="0.35">
      <c r="A258" t="s">
        <v>418</v>
      </c>
      <c r="B258" s="1">
        <v>45668</v>
      </c>
      <c r="C258" t="s">
        <v>36</v>
      </c>
      <c r="D258" t="s">
        <v>37</v>
      </c>
      <c r="E258" t="s">
        <v>419</v>
      </c>
      <c r="F258" t="s">
        <v>17</v>
      </c>
      <c r="G258" t="s">
        <v>361</v>
      </c>
      <c r="H258" t="s">
        <v>362</v>
      </c>
      <c r="I258" t="s">
        <v>363</v>
      </c>
      <c r="J258">
        <v>1</v>
      </c>
      <c r="K258">
        <v>548000</v>
      </c>
      <c r="L258">
        <v>0</v>
      </c>
      <c r="M258">
        <v>384000</v>
      </c>
      <c r="N258">
        <f>(data[[#This Row],[unit_price]]*data[[#This Row],[quantity]]) * (1-data[[#This Row],[discount]])</f>
        <v>548000</v>
      </c>
      <c r="O258">
        <f>data[[#This Row],[sales]]-data[[#This Row],[cost]]</f>
        <v>164000</v>
      </c>
      <c r="P258" t="str">
        <f>TEXT(data[[#This Row],[order_date]],"mmm")</f>
        <v>Jan</v>
      </c>
      <c r="Q258">
        <f>YEAR(data[[#This Row],[order_date]])</f>
        <v>2025</v>
      </c>
      <c r="R258">
        <f>MONTH(data[[#This Row],[order_date]])</f>
        <v>1</v>
      </c>
      <c r="S258">
        <f>DAY(data[[#This Row],[order_date]])</f>
        <v>11</v>
      </c>
      <c r="T258">
        <f>data[[#This Row],[profit]]/data[[#This Row],[sales]]</f>
        <v>0.29927007299270075</v>
      </c>
    </row>
    <row r="259" spans="1:20" x14ac:dyDescent="0.35">
      <c r="A259" t="s">
        <v>420</v>
      </c>
      <c r="B259" s="1">
        <v>45676</v>
      </c>
      <c r="C259" t="s">
        <v>36</v>
      </c>
      <c r="D259" t="s">
        <v>37</v>
      </c>
      <c r="E259" t="s">
        <v>210</v>
      </c>
      <c r="F259" t="s">
        <v>23</v>
      </c>
      <c r="G259" t="s">
        <v>361</v>
      </c>
      <c r="H259" t="s">
        <v>362</v>
      </c>
      <c r="I259" t="s">
        <v>363</v>
      </c>
      <c r="J259">
        <v>2</v>
      </c>
      <c r="K259">
        <v>489024.69135802472</v>
      </c>
      <c r="L259">
        <v>0</v>
      </c>
      <c r="M259">
        <v>0</v>
      </c>
      <c r="N259">
        <f>(data[[#This Row],[unit_price]]*data[[#This Row],[quantity]]) * (1-data[[#This Row],[discount]])</f>
        <v>978049.38271604944</v>
      </c>
      <c r="O259">
        <f>data[[#This Row],[sales]]-data[[#This Row],[cost]]</f>
        <v>978049.38271604944</v>
      </c>
      <c r="P259" t="str">
        <f>TEXT(data[[#This Row],[order_date]],"mmm")</f>
        <v>Jan</v>
      </c>
      <c r="Q259">
        <f>YEAR(data[[#This Row],[order_date]])</f>
        <v>2025</v>
      </c>
      <c r="R259">
        <f>MONTH(data[[#This Row],[order_date]])</f>
        <v>1</v>
      </c>
      <c r="S259">
        <f>DAY(data[[#This Row],[order_date]])</f>
        <v>19</v>
      </c>
      <c r="T259">
        <f>data[[#This Row],[profit]]/data[[#This Row],[sales]]</f>
        <v>1</v>
      </c>
    </row>
    <row r="260" spans="1:20" x14ac:dyDescent="0.35">
      <c r="A260" t="s">
        <v>421</v>
      </c>
      <c r="B260" s="1">
        <v>45681</v>
      </c>
      <c r="C260" t="s">
        <v>49</v>
      </c>
      <c r="D260" t="s">
        <v>50</v>
      </c>
      <c r="E260" t="s">
        <v>27</v>
      </c>
      <c r="F260" t="s">
        <v>28</v>
      </c>
      <c r="G260" t="s">
        <v>361</v>
      </c>
      <c r="H260" t="s">
        <v>362</v>
      </c>
      <c r="I260" t="s">
        <v>363</v>
      </c>
      <c r="J260">
        <v>1</v>
      </c>
      <c r="K260">
        <v>536000</v>
      </c>
      <c r="L260">
        <v>0</v>
      </c>
      <c r="M260">
        <v>383000</v>
      </c>
      <c r="N260">
        <f>(data[[#This Row],[unit_price]]*data[[#This Row],[quantity]]) * (1-data[[#This Row],[discount]])</f>
        <v>536000</v>
      </c>
      <c r="O260">
        <f>data[[#This Row],[sales]]-data[[#This Row],[cost]]</f>
        <v>153000</v>
      </c>
      <c r="P260" t="str">
        <f>TEXT(data[[#This Row],[order_date]],"mmm")</f>
        <v>Jan</v>
      </c>
      <c r="Q260">
        <f>YEAR(data[[#This Row],[order_date]])</f>
        <v>2025</v>
      </c>
      <c r="R260">
        <f>MONTH(data[[#This Row],[order_date]])</f>
        <v>1</v>
      </c>
      <c r="S260">
        <f>DAY(data[[#This Row],[order_date]])</f>
        <v>24</v>
      </c>
      <c r="T260">
        <f>data[[#This Row],[profit]]/data[[#This Row],[sales]]</f>
        <v>0.28544776119402987</v>
      </c>
    </row>
    <row r="261" spans="1:20" x14ac:dyDescent="0.35">
      <c r="A261" t="s">
        <v>422</v>
      </c>
      <c r="B261" s="1">
        <v>45697</v>
      </c>
      <c r="C261" t="s">
        <v>14</v>
      </c>
      <c r="D261" t="s">
        <v>15</v>
      </c>
      <c r="E261" t="s">
        <v>423</v>
      </c>
      <c r="F261" t="s">
        <v>17</v>
      </c>
      <c r="G261" t="s">
        <v>361</v>
      </c>
      <c r="H261" t="s">
        <v>362</v>
      </c>
      <c r="I261" t="s">
        <v>363</v>
      </c>
      <c r="J261">
        <v>1</v>
      </c>
      <c r="K261">
        <v>537000</v>
      </c>
      <c r="L261">
        <v>0</v>
      </c>
      <c r="M261">
        <v>396000</v>
      </c>
      <c r="N261">
        <f>(data[[#This Row],[unit_price]]*data[[#This Row],[quantity]]) * (1-data[[#This Row],[discount]])</f>
        <v>537000</v>
      </c>
      <c r="O261">
        <f>data[[#This Row],[sales]]-data[[#This Row],[cost]]</f>
        <v>141000</v>
      </c>
      <c r="P261" t="str">
        <f>TEXT(data[[#This Row],[order_date]],"mmm")</f>
        <v>Feb</v>
      </c>
      <c r="Q261">
        <f>YEAR(data[[#This Row],[order_date]])</f>
        <v>2025</v>
      </c>
      <c r="R261">
        <f>MONTH(data[[#This Row],[order_date]])</f>
        <v>2</v>
      </c>
      <c r="S261">
        <f>DAY(data[[#This Row],[order_date]])</f>
        <v>9</v>
      </c>
      <c r="T261">
        <f>data[[#This Row],[profit]]/data[[#This Row],[sales]]</f>
        <v>0.26256983240223464</v>
      </c>
    </row>
    <row r="262" spans="1:20" x14ac:dyDescent="0.35">
      <c r="A262" t="s">
        <v>424</v>
      </c>
      <c r="B262" s="1">
        <v>45699</v>
      </c>
      <c r="C262" t="s">
        <v>41</v>
      </c>
      <c r="D262" t="s">
        <v>42</v>
      </c>
      <c r="E262" t="s">
        <v>319</v>
      </c>
      <c r="F262" t="s">
        <v>23</v>
      </c>
      <c r="G262" t="s">
        <v>361</v>
      </c>
      <c r="H262" t="s">
        <v>362</v>
      </c>
      <c r="I262" t="s">
        <v>363</v>
      </c>
      <c r="J262">
        <v>1</v>
      </c>
      <c r="K262">
        <v>539000</v>
      </c>
      <c r="L262">
        <v>0</v>
      </c>
      <c r="M262">
        <v>391000</v>
      </c>
      <c r="N262">
        <f>(data[[#This Row],[unit_price]]*data[[#This Row],[quantity]]) * (1-data[[#This Row],[discount]])</f>
        <v>539000</v>
      </c>
      <c r="O262">
        <f>data[[#This Row],[sales]]-data[[#This Row],[cost]]</f>
        <v>148000</v>
      </c>
      <c r="P262" t="str">
        <f>TEXT(data[[#This Row],[order_date]],"mmm")</f>
        <v>Feb</v>
      </c>
      <c r="Q262">
        <f>YEAR(data[[#This Row],[order_date]])</f>
        <v>2025</v>
      </c>
      <c r="R262">
        <f>MONTH(data[[#This Row],[order_date]])</f>
        <v>2</v>
      </c>
      <c r="S262">
        <f>DAY(data[[#This Row],[order_date]])</f>
        <v>11</v>
      </c>
      <c r="T262">
        <f>data[[#This Row],[profit]]/data[[#This Row],[sales]]</f>
        <v>0.27458256029684602</v>
      </c>
    </row>
    <row r="263" spans="1:20" x14ac:dyDescent="0.35">
      <c r="A263" t="s">
        <v>425</v>
      </c>
      <c r="B263" s="1">
        <v>45735</v>
      </c>
      <c r="C263" t="s">
        <v>49</v>
      </c>
      <c r="D263" t="s">
        <v>50</v>
      </c>
      <c r="E263" t="s">
        <v>195</v>
      </c>
      <c r="F263" t="s">
        <v>23</v>
      </c>
      <c r="G263" t="s">
        <v>361</v>
      </c>
      <c r="H263" t="s">
        <v>362</v>
      </c>
      <c r="I263" t="s">
        <v>363</v>
      </c>
      <c r="J263">
        <v>2</v>
      </c>
      <c r="K263">
        <v>421000</v>
      </c>
      <c r="L263">
        <v>0</v>
      </c>
      <c r="M263">
        <v>301000</v>
      </c>
      <c r="N263">
        <f>(data[[#This Row],[unit_price]]*data[[#This Row],[quantity]]) * (1-data[[#This Row],[discount]])</f>
        <v>842000</v>
      </c>
      <c r="O263">
        <f>data[[#This Row],[sales]]-data[[#This Row],[cost]]</f>
        <v>541000</v>
      </c>
      <c r="P263" t="str">
        <f>TEXT(data[[#This Row],[order_date]],"mmm")</f>
        <v>Mar</v>
      </c>
      <c r="Q263">
        <f>YEAR(data[[#This Row],[order_date]])</f>
        <v>2025</v>
      </c>
      <c r="R263">
        <f>MONTH(data[[#This Row],[order_date]])</f>
        <v>3</v>
      </c>
      <c r="S263">
        <f>DAY(data[[#This Row],[order_date]])</f>
        <v>19</v>
      </c>
      <c r="T263">
        <f>data[[#This Row],[profit]]/data[[#This Row],[sales]]</f>
        <v>0.64251781472684089</v>
      </c>
    </row>
    <row r="264" spans="1:20" x14ac:dyDescent="0.35">
      <c r="A264" t="s">
        <v>426</v>
      </c>
      <c r="B264" s="1">
        <v>45737</v>
      </c>
      <c r="C264" t="s">
        <v>41</v>
      </c>
      <c r="D264" t="s">
        <v>42</v>
      </c>
      <c r="E264" t="s">
        <v>373</v>
      </c>
      <c r="F264" t="s">
        <v>23</v>
      </c>
      <c r="G264" t="s">
        <v>361</v>
      </c>
      <c r="H264" t="s">
        <v>362</v>
      </c>
      <c r="I264" t="s">
        <v>363</v>
      </c>
      <c r="J264">
        <v>1</v>
      </c>
      <c r="K264">
        <v>657000</v>
      </c>
      <c r="L264">
        <v>0</v>
      </c>
      <c r="M264">
        <v>476000</v>
      </c>
      <c r="N264">
        <f>(data[[#This Row],[unit_price]]*data[[#This Row],[quantity]]) * (1-data[[#This Row],[discount]])</f>
        <v>657000</v>
      </c>
      <c r="O264">
        <f>data[[#This Row],[sales]]-data[[#This Row],[cost]]</f>
        <v>181000</v>
      </c>
      <c r="P264" t="str">
        <f>TEXT(data[[#This Row],[order_date]],"mmm")</f>
        <v>Mar</v>
      </c>
      <c r="Q264">
        <f>YEAR(data[[#This Row],[order_date]])</f>
        <v>2025</v>
      </c>
      <c r="R264">
        <f>MONTH(data[[#This Row],[order_date]])</f>
        <v>3</v>
      </c>
      <c r="S264">
        <f>DAY(data[[#This Row],[order_date]])</f>
        <v>21</v>
      </c>
      <c r="T264">
        <f>data[[#This Row],[profit]]/data[[#This Row],[sales]]</f>
        <v>0.27549467275494671</v>
      </c>
    </row>
    <row r="265" spans="1:20" x14ac:dyDescent="0.35">
      <c r="A265" t="s">
        <v>427</v>
      </c>
      <c r="B265" s="1">
        <v>45740</v>
      </c>
      <c r="C265" t="s">
        <v>41</v>
      </c>
      <c r="D265" t="s">
        <v>42</v>
      </c>
      <c r="E265" t="s">
        <v>216</v>
      </c>
      <c r="F265" t="s">
        <v>17</v>
      </c>
      <c r="G265" t="s">
        <v>361</v>
      </c>
      <c r="H265" t="s">
        <v>362</v>
      </c>
      <c r="I265" t="s">
        <v>363</v>
      </c>
      <c r="J265">
        <v>2</v>
      </c>
      <c r="K265">
        <v>467000</v>
      </c>
      <c r="L265">
        <v>0</v>
      </c>
      <c r="M265">
        <v>336000</v>
      </c>
      <c r="N265">
        <f>(data[[#This Row],[unit_price]]*data[[#This Row],[quantity]]) * (1-data[[#This Row],[discount]])</f>
        <v>934000</v>
      </c>
      <c r="O265">
        <f>data[[#This Row],[sales]]-data[[#This Row],[cost]]</f>
        <v>598000</v>
      </c>
      <c r="P265" t="str">
        <f>TEXT(data[[#This Row],[order_date]],"mmm")</f>
        <v>Mar</v>
      </c>
      <c r="Q265">
        <f>YEAR(data[[#This Row],[order_date]])</f>
        <v>2025</v>
      </c>
      <c r="R265">
        <f>MONTH(data[[#This Row],[order_date]])</f>
        <v>3</v>
      </c>
      <c r="S265">
        <f>DAY(data[[#This Row],[order_date]])</f>
        <v>24</v>
      </c>
      <c r="T265">
        <f>data[[#This Row],[profit]]/data[[#This Row],[sales]]</f>
        <v>0.64025695931477511</v>
      </c>
    </row>
    <row r="266" spans="1:20" x14ac:dyDescent="0.35">
      <c r="A266" t="s">
        <v>428</v>
      </c>
      <c r="B266" s="1">
        <v>45759</v>
      </c>
      <c r="C266" t="s">
        <v>14</v>
      </c>
      <c r="D266" t="s">
        <v>15</v>
      </c>
      <c r="E266" t="s">
        <v>30</v>
      </c>
      <c r="F266" t="s">
        <v>23</v>
      </c>
      <c r="G266" t="s">
        <v>361</v>
      </c>
      <c r="H266" t="s">
        <v>362</v>
      </c>
      <c r="I266" t="s">
        <v>363</v>
      </c>
      <c r="J266">
        <v>1</v>
      </c>
      <c r="K266">
        <v>525000</v>
      </c>
      <c r="L266">
        <v>0</v>
      </c>
      <c r="M266">
        <v>373000</v>
      </c>
      <c r="N266">
        <f>(data[[#This Row],[unit_price]]*data[[#This Row],[quantity]]) * (1-data[[#This Row],[discount]])</f>
        <v>525000</v>
      </c>
      <c r="O266">
        <f>data[[#This Row],[sales]]-data[[#This Row],[cost]]</f>
        <v>152000</v>
      </c>
      <c r="P266" t="str">
        <f>TEXT(data[[#This Row],[order_date]],"mmm")</f>
        <v>Apr</v>
      </c>
      <c r="Q266">
        <f>YEAR(data[[#This Row],[order_date]])</f>
        <v>2025</v>
      </c>
      <c r="R266">
        <f>MONTH(data[[#This Row],[order_date]])</f>
        <v>4</v>
      </c>
      <c r="S266">
        <f>DAY(data[[#This Row],[order_date]])</f>
        <v>12</v>
      </c>
      <c r="T266">
        <f>data[[#This Row],[profit]]/data[[#This Row],[sales]]</f>
        <v>0.28952380952380952</v>
      </c>
    </row>
    <row r="267" spans="1:20" x14ac:dyDescent="0.35">
      <c r="A267" t="s">
        <v>429</v>
      </c>
      <c r="B267" s="1">
        <v>45772</v>
      </c>
      <c r="C267" t="s">
        <v>14</v>
      </c>
      <c r="D267" t="s">
        <v>15</v>
      </c>
      <c r="E267" t="s">
        <v>359</v>
      </c>
      <c r="F267" t="s">
        <v>23</v>
      </c>
      <c r="G267" t="s">
        <v>361</v>
      </c>
      <c r="H267" t="s">
        <v>362</v>
      </c>
      <c r="I267" t="s">
        <v>363</v>
      </c>
      <c r="J267">
        <v>1</v>
      </c>
      <c r="K267">
        <v>611000</v>
      </c>
      <c r="L267">
        <v>0</v>
      </c>
      <c r="M267">
        <v>444000</v>
      </c>
      <c r="N267">
        <f>(data[[#This Row],[unit_price]]*data[[#This Row],[quantity]]) * (1-data[[#This Row],[discount]])</f>
        <v>611000</v>
      </c>
      <c r="O267">
        <f>data[[#This Row],[sales]]-data[[#This Row],[cost]]</f>
        <v>167000</v>
      </c>
      <c r="P267" t="str">
        <f>TEXT(data[[#This Row],[order_date]],"mmm")</f>
        <v>Apr</v>
      </c>
      <c r="Q267">
        <f>YEAR(data[[#This Row],[order_date]])</f>
        <v>2025</v>
      </c>
      <c r="R267">
        <f>MONTH(data[[#This Row],[order_date]])</f>
        <v>4</v>
      </c>
      <c r="S267">
        <f>DAY(data[[#This Row],[order_date]])</f>
        <v>25</v>
      </c>
      <c r="T267">
        <f>data[[#This Row],[profit]]/data[[#This Row],[sales]]</f>
        <v>0.27332242225859249</v>
      </c>
    </row>
    <row r="268" spans="1:20" x14ac:dyDescent="0.35">
      <c r="A268" t="s">
        <v>430</v>
      </c>
      <c r="B268" s="1">
        <v>45790</v>
      </c>
      <c r="C268" t="s">
        <v>49</v>
      </c>
      <c r="D268" t="s">
        <v>50</v>
      </c>
      <c r="E268" t="s">
        <v>152</v>
      </c>
      <c r="F268" t="s">
        <v>23</v>
      </c>
      <c r="G268" t="s">
        <v>361</v>
      </c>
      <c r="H268" t="s">
        <v>362</v>
      </c>
      <c r="I268" t="s">
        <v>363</v>
      </c>
      <c r="J268">
        <v>1</v>
      </c>
      <c r="K268">
        <v>432000</v>
      </c>
      <c r="L268">
        <v>0.05</v>
      </c>
      <c r="M268">
        <v>315000</v>
      </c>
      <c r="N268">
        <f>(data[[#This Row],[unit_price]]*data[[#This Row],[quantity]]) * (1-data[[#This Row],[discount]])</f>
        <v>410400</v>
      </c>
      <c r="O268">
        <f>data[[#This Row],[sales]]-data[[#This Row],[cost]]</f>
        <v>95400</v>
      </c>
      <c r="P268" t="str">
        <f>TEXT(data[[#This Row],[order_date]],"mmm")</f>
        <v>May</v>
      </c>
      <c r="Q268">
        <f>YEAR(data[[#This Row],[order_date]])</f>
        <v>2025</v>
      </c>
      <c r="R268">
        <f>MONTH(data[[#This Row],[order_date]])</f>
        <v>5</v>
      </c>
      <c r="S268">
        <f>DAY(data[[#This Row],[order_date]])</f>
        <v>13</v>
      </c>
      <c r="T268">
        <f>data[[#This Row],[profit]]/data[[#This Row],[sales]]</f>
        <v>0.23245614035087719</v>
      </c>
    </row>
    <row r="269" spans="1:20" x14ac:dyDescent="0.35">
      <c r="A269" t="s">
        <v>431</v>
      </c>
      <c r="B269" s="1">
        <v>45790</v>
      </c>
      <c r="C269" t="s">
        <v>14</v>
      </c>
      <c r="D269" t="s">
        <v>15</v>
      </c>
      <c r="E269" t="s">
        <v>432</v>
      </c>
      <c r="F269" t="s">
        <v>23</v>
      </c>
      <c r="G269" t="s">
        <v>361</v>
      </c>
      <c r="H269" t="s">
        <v>362</v>
      </c>
      <c r="I269" t="s">
        <v>363</v>
      </c>
      <c r="J269">
        <v>1</v>
      </c>
      <c r="K269">
        <v>336000</v>
      </c>
      <c r="L269">
        <v>0</v>
      </c>
      <c r="M269">
        <v>238000</v>
      </c>
      <c r="N269">
        <f>(data[[#This Row],[unit_price]]*data[[#This Row],[quantity]]) * (1-data[[#This Row],[discount]])</f>
        <v>336000</v>
      </c>
      <c r="O269">
        <f>data[[#This Row],[sales]]-data[[#This Row],[cost]]</f>
        <v>98000</v>
      </c>
      <c r="P269" t="str">
        <f>TEXT(data[[#This Row],[order_date]],"mmm")</f>
        <v>May</v>
      </c>
      <c r="Q269">
        <f>YEAR(data[[#This Row],[order_date]])</f>
        <v>2025</v>
      </c>
      <c r="R269">
        <f>MONTH(data[[#This Row],[order_date]])</f>
        <v>5</v>
      </c>
      <c r="S269">
        <f>DAY(data[[#This Row],[order_date]])</f>
        <v>13</v>
      </c>
      <c r="T269">
        <f>data[[#This Row],[profit]]/data[[#This Row],[sales]]</f>
        <v>0.29166666666666669</v>
      </c>
    </row>
    <row r="270" spans="1:20" x14ac:dyDescent="0.35">
      <c r="A270" t="s">
        <v>433</v>
      </c>
      <c r="B270" s="1">
        <v>45805</v>
      </c>
      <c r="C270" t="s">
        <v>41</v>
      </c>
      <c r="D270" t="s">
        <v>42</v>
      </c>
      <c r="E270" t="s">
        <v>155</v>
      </c>
      <c r="F270" t="s">
        <v>58</v>
      </c>
      <c r="G270" t="s">
        <v>361</v>
      </c>
      <c r="H270" t="s">
        <v>362</v>
      </c>
      <c r="I270" t="s">
        <v>363</v>
      </c>
      <c r="J270">
        <v>2</v>
      </c>
      <c r="K270">
        <v>553000</v>
      </c>
      <c r="L270">
        <v>0.15</v>
      </c>
      <c r="M270">
        <v>401000</v>
      </c>
      <c r="N270">
        <f>(data[[#This Row],[unit_price]]*data[[#This Row],[quantity]]) * (1-data[[#This Row],[discount]])</f>
        <v>940100</v>
      </c>
      <c r="O270">
        <f>data[[#This Row],[sales]]-data[[#This Row],[cost]]</f>
        <v>539100</v>
      </c>
      <c r="P270" t="str">
        <f>TEXT(data[[#This Row],[order_date]],"mmm")</f>
        <v>May</v>
      </c>
      <c r="Q270">
        <f>YEAR(data[[#This Row],[order_date]])</f>
        <v>2025</v>
      </c>
      <c r="R270">
        <f>MONTH(data[[#This Row],[order_date]])</f>
        <v>5</v>
      </c>
      <c r="S270">
        <f>DAY(data[[#This Row],[order_date]])</f>
        <v>28</v>
      </c>
      <c r="T270">
        <f>data[[#This Row],[profit]]/data[[#This Row],[sales]]</f>
        <v>0.57344963301776408</v>
      </c>
    </row>
    <row r="271" spans="1:20" x14ac:dyDescent="0.35">
      <c r="A271" t="s">
        <v>434</v>
      </c>
      <c r="B271" s="1">
        <v>45830</v>
      </c>
      <c r="C271" t="s">
        <v>14</v>
      </c>
      <c r="D271" t="s">
        <v>15</v>
      </c>
      <c r="E271" t="s">
        <v>244</v>
      </c>
      <c r="F271" t="s">
        <v>17</v>
      </c>
      <c r="G271" t="s">
        <v>361</v>
      </c>
      <c r="H271" t="s">
        <v>362</v>
      </c>
      <c r="I271" t="s">
        <v>363</v>
      </c>
      <c r="J271">
        <v>1</v>
      </c>
      <c r="K271">
        <v>633000</v>
      </c>
      <c r="L271">
        <v>0</v>
      </c>
      <c r="M271">
        <v>450000</v>
      </c>
      <c r="N271">
        <f>(data[[#This Row],[unit_price]]*data[[#This Row],[quantity]]) * (1-data[[#This Row],[discount]])</f>
        <v>633000</v>
      </c>
      <c r="O271">
        <f>data[[#This Row],[sales]]-data[[#This Row],[cost]]</f>
        <v>183000</v>
      </c>
      <c r="P271" t="str">
        <f>TEXT(data[[#This Row],[order_date]],"mmm")</f>
        <v>Jun</v>
      </c>
      <c r="Q271">
        <f>YEAR(data[[#This Row],[order_date]])</f>
        <v>2025</v>
      </c>
      <c r="R271">
        <f>MONTH(data[[#This Row],[order_date]])</f>
        <v>6</v>
      </c>
      <c r="S271">
        <f>DAY(data[[#This Row],[order_date]])</f>
        <v>22</v>
      </c>
      <c r="T271">
        <f>data[[#This Row],[profit]]/data[[#This Row],[sales]]</f>
        <v>0.2890995260663507</v>
      </c>
    </row>
    <row r="272" spans="1:20" x14ac:dyDescent="0.35">
      <c r="A272" t="s">
        <v>435</v>
      </c>
      <c r="B272" s="1">
        <v>45857</v>
      </c>
      <c r="C272" t="s">
        <v>14</v>
      </c>
      <c r="D272" t="s">
        <v>15</v>
      </c>
      <c r="E272" t="s">
        <v>47</v>
      </c>
      <c r="F272" t="s">
        <v>23</v>
      </c>
      <c r="G272" t="s">
        <v>361</v>
      </c>
      <c r="H272" t="s">
        <v>362</v>
      </c>
      <c r="I272" t="s">
        <v>363</v>
      </c>
      <c r="J272">
        <v>1</v>
      </c>
      <c r="K272">
        <v>485000</v>
      </c>
      <c r="L272">
        <v>0</v>
      </c>
      <c r="M272">
        <v>342000</v>
      </c>
      <c r="N272">
        <f>(data[[#This Row],[unit_price]]*data[[#This Row],[quantity]]) * (1-data[[#This Row],[discount]])</f>
        <v>485000</v>
      </c>
      <c r="O272">
        <f>data[[#This Row],[sales]]-data[[#This Row],[cost]]</f>
        <v>143000</v>
      </c>
      <c r="P272" t="str">
        <f>TEXT(data[[#This Row],[order_date]],"mmm")</f>
        <v>Jul</v>
      </c>
      <c r="Q272">
        <f>YEAR(data[[#This Row],[order_date]])</f>
        <v>2025</v>
      </c>
      <c r="R272">
        <f>MONTH(data[[#This Row],[order_date]])</f>
        <v>7</v>
      </c>
      <c r="S272">
        <f>DAY(data[[#This Row],[order_date]])</f>
        <v>19</v>
      </c>
      <c r="T272">
        <f>data[[#This Row],[profit]]/data[[#This Row],[sales]]</f>
        <v>0.29484536082474228</v>
      </c>
    </row>
    <row r="273" spans="1:20" x14ac:dyDescent="0.35">
      <c r="A273" t="s">
        <v>436</v>
      </c>
      <c r="B273" s="1">
        <v>45867</v>
      </c>
      <c r="C273" t="s">
        <v>14</v>
      </c>
      <c r="D273" t="s">
        <v>15</v>
      </c>
      <c r="E273" t="s">
        <v>166</v>
      </c>
      <c r="F273" t="s">
        <v>28</v>
      </c>
      <c r="G273" t="s">
        <v>361</v>
      </c>
      <c r="H273" t="s">
        <v>362</v>
      </c>
      <c r="I273" t="s">
        <v>363</v>
      </c>
      <c r="J273">
        <v>1</v>
      </c>
      <c r="K273">
        <v>533000</v>
      </c>
      <c r="L273">
        <v>0</v>
      </c>
      <c r="M273">
        <v>386000</v>
      </c>
      <c r="N273">
        <f>(data[[#This Row],[unit_price]]*data[[#This Row],[quantity]]) * (1-data[[#This Row],[discount]])</f>
        <v>533000</v>
      </c>
      <c r="O273">
        <f>data[[#This Row],[sales]]-data[[#This Row],[cost]]</f>
        <v>147000</v>
      </c>
      <c r="P273" t="str">
        <f>TEXT(data[[#This Row],[order_date]],"mmm")</f>
        <v>Jul</v>
      </c>
      <c r="Q273">
        <f>YEAR(data[[#This Row],[order_date]])</f>
        <v>2025</v>
      </c>
      <c r="R273">
        <f>MONTH(data[[#This Row],[order_date]])</f>
        <v>7</v>
      </c>
      <c r="S273">
        <f>DAY(data[[#This Row],[order_date]])</f>
        <v>29</v>
      </c>
      <c r="T273">
        <f>data[[#This Row],[profit]]/data[[#This Row],[sales]]</f>
        <v>0.27579737335834897</v>
      </c>
    </row>
    <row r="274" spans="1:20" x14ac:dyDescent="0.35">
      <c r="A274" t="s">
        <v>437</v>
      </c>
      <c r="B274" s="1">
        <v>45904</v>
      </c>
      <c r="C274" t="s">
        <v>49</v>
      </c>
      <c r="D274" t="s">
        <v>50</v>
      </c>
      <c r="E274" t="s">
        <v>115</v>
      </c>
      <c r="F274" t="s">
        <v>23</v>
      </c>
      <c r="G274" t="s">
        <v>361</v>
      </c>
      <c r="H274" t="s">
        <v>362</v>
      </c>
      <c r="I274" t="s">
        <v>363</v>
      </c>
      <c r="J274">
        <v>1</v>
      </c>
      <c r="K274">
        <v>534000</v>
      </c>
      <c r="L274">
        <v>0</v>
      </c>
      <c r="M274">
        <v>387000</v>
      </c>
      <c r="N274">
        <f>(data[[#This Row],[unit_price]]*data[[#This Row],[quantity]]) * (1-data[[#This Row],[discount]])</f>
        <v>534000</v>
      </c>
      <c r="O274">
        <f>data[[#This Row],[sales]]-data[[#This Row],[cost]]</f>
        <v>147000</v>
      </c>
      <c r="P274" t="str">
        <f>TEXT(data[[#This Row],[order_date]],"mmm")</f>
        <v>Sep</v>
      </c>
      <c r="Q274">
        <f>YEAR(data[[#This Row],[order_date]])</f>
        <v>2025</v>
      </c>
      <c r="R274">
        <f>MONTH(data[[#This Row],[order_date]])</f>
        <v>9</v>
      </c>
      <c r="S274">
        <f>DAY(data[[#This Row],[order_date]])</f>
        <v>4</v>
      </c>
      <c r="T274">
        <f>data[[#This Row],[profit]]/data[[#This Row],[sales]]</f>
        <v>0.2752808988764045</v>
      </c>
    </row>
    <row r="275" spans="1:20" x14ac:dyDescent="0.35">
      <c r="A275" t="s">
        <v>438</v>
      </c>
      <c r="B275" s="1">
        <v>45946</v>
      </c>
      <c r="C275" t="s">
        <v>41</v>
      </c>
      <c r="D275" t="s">
        <v>42</v>
      </c>
      <c r="E275" t="s">
        <v>141</v>
      </c>
      <c r="F275" t="s">
        <v>17</v>
      </c>
      <c r="G275" t="s">
        <v>361</v>
      </c>
      <c r="H275" t="s">
        <v>362</v>
      </c>
      <c r="I275" t="s">
        <v>363</v>
      </c>
      <c r="J275">
        <v>2</v>
      </c>
      <c r="K275">
        <v>484000</v>
      </c>
      <c r="L275">
        <v>0</v>
      </c>
      <c r="M275">
        <v>347000</v>
      </c>
      <c r="N275">
        <f>(data[[#This Row],[unit_price]]*data[[#This Row],[quantity]]) * (1-data[[#This Row],[discount]])</f>
        <v>968000</v>
      </c>
      <c r="O275">
        <f>data[[#This Row],[sales]]-data[[#This Row],[cost]]</f>
        <v>621000</v>
      </c>
      <c r="P275" t="str">
        <f>TEXT(data[[#This Row],[order_date]],"mmm")</f>
        <v>Oct</v>
      </c>
      <c r="Q275">
        <f>YEAR(data[[#This Row],[order_date]])</f>
        <v>2025</v>
      </c>
      <c r="R275">
        <f>MONTH(data[[#This Row],[order_date]])</f>
        <v>10</v>
      </c>
      <c r="S275">
        <f>DAY(data[[#This Row],[order_date]])</f>
        <v>16</v>
      </c>
      <c r="T275">
        <f>data[[#This Row],[profit]]/data[[#This Row],[sales]]</f>
        <v>0.64152892561983466</v>
      </c>
    </row>
    <row r="276" spans="1:20" x14ac:dyDescent="0.35">
      <c r="A276" t="s">
        <v>439</v>
      </c>
      <c r="B276" s="1">
        <v>45954</v>
      </c>
      <c r="C276" t="s">
        <v>41</v>
      </c>
      <c r="D276" t="s">
        <v>42</v>
      </c>
      <c r="E276" t="s">
        <v>144</v>
      </c>
      <c r="F276" t="s">
        <v>23</v>
      </c>
      <c r="G276" t="s">
        <v>361</v>
      </c>
      <c r="H276" t="s">
        <v>362</v>
      </c>
      <c r="I276" t="s">
        <v>363</v>
      </c>
      <c r="J276">
        <v>2</v>
      </c>
      <c r="K276">
        <v>443000</v>
      </c>
      <c r="L276">
        <v>0</v>
      </c>
      <c r="M276">
        <v>311000</v>
      </c>
      <c r="N276">
        <f>(data[[#This Row],[unit_price]]*data[[#This Row],[quantity]]) * (1-data[[#This Row],[discount]])</f>
        <v>886000</v>
      </c>
      <c r="O276">
        <f>data[[#This Row],[sales]]-data[[#This Row],[cost]]</f>
        <v>575000</v>
      </c>
      <c r="P276" t="str">
        <f>TEXT(data[[#This Row],[order_date]],"mmm")</f>
        <v>Oct</v>
      </c>
      <c r="Q276">
        <f>YEAR(data[[#This Row],[order_date]])</f>
        <v>2025</v>
      </c>
      <c r="R276">
        <f>MONTH(data[[#This Row],[order_date]])</f>
        <v>10</v>
      </c>
      <c r="S276">
        <f>DAY(data[[#This Row],[order_date]])</f>
        <v>24</v>
      </c>
      <c r="T276">
        <f>data[[#This Row],[profit]]/data[[#This Row],[sales]]</f>
        <v>0.6489841986455982</v>
      </c>
    </row>
    <row r="277" spans="1:20" x14ac:dyDescent="0.35">
      <c r="A277" t="s">
        <v>440</v>
      </c>
      <c r="B277" s="1">
        <v>45996</v>
      </c>
      <c r="C277" t="s">
        <v>14</v>
      </c>
      <c r="D277" t="s">
        <v>15</v>
      </c>
      <c r="E277" t="s">
        <v>258</v>
      </c>
      <c r="F277" t="s">
        <v>23</v>
      </c>
      <c r="G277" t="s">
        <v>361</v>
      </c>
      <c r="H277" t="s">
        <v>362</v>
      </c>
      <c r="I277" t="s">
        <v>363</v>
      </c>
      <c r="J277">
        <v>1</v>
      </c>
      <c r="K277">
        <v>460000</v>
      </c>
      <c r="L277">
        <v>0.15</v>
      </c>
      <c r="M277">
        <v>336000</v>
      </c>
      <c r="N277">
        <f>(data[[#This Row],[unit_price]]*data[[#This Row],[quantity]]) * (1-data[[#This Row],[discount]])</f>
        <v>391000</v>
      </c>
      <c r="O277">
        <f>data[[#This Row],[sales]]-data[[#This Row],[cost]]</f>
        <v>55000</v>
      </c>
      <c r="P277" t="str">
        <f>TEXT(data[[#This Row],[order_date]],"mmm")</f>
        <v>Dec</v>
      </c>
      <c r="Q277">
        <f>YEAR(data[[#This Row],[order_date]])</f>
        <v>2025</v>
      </c>
      <c r="R277">
        <f>MONTH(data[[#This Row],[order_date]])</f>
        <v>12</v>
      </c>
      <c r="S277">
        <f>DAY(data[[#This Row],[order_date]])</f>
        <v>5</v>
      </c>
      <c r="T277">
        <f>data[[#This Row],[profit]]/data[[#This Row],[sales]]</f>
        <v>0.14066496163682865</v>
      </c>
    </row>
    <row r="278" spans="1:20" x14ac:dyDescent="0.35">
      <c r="A278" t="s">
        <v>441</v>
      </c>
      <c r="B278" s="1">
        <v>46013</v>
      </c>
      <c r="C278" t="s">
        <v>41</v>
      </c>
      <c r="D278" t="s">
        <v>42</v>
      </c>
      <c r="E278" t="s">
        <v>359</v>
      </c>
      <c r="F278" t="s">
        <v>23</v>
      </c>
      <c r="G278" t="s">
        <v>361</v>
      </c>
      <c r="H278" t="s">
        <v>362</v>
      </c>
      <c r="I278" t="s">
        <v>363</v>
      </c>
      <c r="J278">
        <v>2</v>
      </c>
      <c r="K278">
        <v>371000</v>
      </c>
      <c r="L278">
        <v>0</v>
      </c>
      <c r="M278">
        <v>272000</v>
      </c>
      <c r="N278">
        <f>(data[[#This Row],[unit_price]]*data[[#This Row],[quantity]]) * (1-data[[#This Row],[discount]])</f>
        <v>742000</v>
      </c>
      <c r="O278">
        <f>data[[#This Row],[sales]]-data[[#This Row],[cost]]</f>
        <v>470000</v>
      </c>
      <c r="P278" t="str">
        <f>TEXT(data[[#This Row],[order_date]],"mmm")</f>
        <v>Dec</v>
      </c>
      <c r="Q278">
        <f>YEAR(data[[#This Row],[order_date]])</f>
        <v>2025</v>
      </c>
      <c r="R278">
        <f>MONTH(data[[#This Row],[order_date]])</f>
        <v>12</v>
      </c>
      <c r="S278">
        <f>DAY(data[[#This Row],[order_date]])</f>
        <v>22</v>
      </c>
      <c r="T278">
        <f>data[[#This Row],[profit]]/data[[#This Row],[sales]]</f>
        <v>0.63342318059299196</v>
      </c>
    </row>
    <row r="279" spans="1:20" x14ac:dyDescent="0.35">
      <c r="A279" t="s">
        <v>442</v>
      </c>
      <c r="B279" s="1">
        <v>46027</v>
      </c>
      <c r="C279" t="s">
        <v>36</v>
      </c>
      <c r="D279" t="s">
        <v>37</v>
      </c>
      <c r="E279" t="s">
        <v>411</v>
      </c>
      <c r="F279" t="s">
        <v>28</v>
      </c>
      <c r="G279" t="s">
        <v>361</v>
      </c>
      <c r="H279" t="s">
        <v>362</v>
      </c>
      <c r="I279" t="s">
        <v>363</v>
      </c>
      <c r="J279">
        <v>1</v>
      </c>
      <c r="K279">
        <v>509000</v>
      </c>
      <c r="L279">
        <v>0</v>
      </c>
      <c r="M279">
        <v>368000</v>
      </c>
      <c r="N279">
        <f>(data[[#This Row],[unit_price]]*data[[#This Row],[quantity]]) * (1-data[[#This Row],[discount]])</f>
        <v>509000</v>
      </c>
      <c r="O279">
        <f>data[[#This Row],[sales]]-data[[#This Row],[cost]]</f>
        <v>141000</v>
      </c>
      <c r="P279" t="str">
        <f>TEXT(data[[#This Row],[order_date]],"mmm")</f>
        <v>Jan</v>
      </c>
      <c r="Q279">
        <f>YEAR(data[[#This Row],[order_date]])</f>
        <v>2026</v>
      </c>
      <c r="R279">
        <f>MONTH(data[[#This Row],[order_date]])</f>
        <v>1</v>
      </c>
      <c r="S279">
        <f>DAY(data[[#This Row],[order_date]])</f>
        <v>5</v>
      </c>
      <c r="T279">
        <f>data[[#This Row],[profit]]/data[[#This Row],[sales]]</f>
        <v>0.27701375245579568</v>
      </c>
    </row>
    <row r="280" spans="1:20" x14ac:dyDescent="0.35">
      <c r="A280" t="s">
        <v>443</v>
      </c>
      <c r="B280" s="1">
        <v>46062</v>
      </c>
      <c r="C280" t="s">
        <v>36</v>
      </c>
      <c r="D280" t="s">
        <v>37</v>
      </c>
      <c r="E280" t="s">
        <v>65</v>
      </c>
      <c r="F280" t="s">
        <v>17</v>
      </c>
      <c r="G280" t="s">
        <v>361</v>
      </c>
      <c r="H280" t="s">
        <v>362</v>
      </c>
      <c r="I280" t="s">
        <v>363</v>
      </c>
      <c r="J280">
        <v>1</v>
      </c>
      <c r="K280">
        <v>566000</v>
      </c>
      <c r="L280">
        <v>0</v>
      </c>
      <c r="M280">
        <v>408000</v>
      </c>
      <c r="N280">
        <f>(data[[#This Row],[unit_price]]*data[[#This Row],[quantity]]) * (1-data[[#This Row],[discount]])</f>
        <v>566000</v>
      </c>
      <c r="O280">
        <f>data[[#This Row],[sales]]-data[[#This Row],[cost]]</f>
        <v>158000</v>
      </c>
      <c r="P280" t="str">
        <f>TEXT(data[[#This Row],[order_date]],"mmm")</f>
        <v>Feb</v>
      </c>
      <c r="Q280">
        <f>YEAR(data[[#This Row],[order_date]])</f>
        <v>2026</v>
      </c>
      <c r="R280">
        <f>MONTH(data[[#This Row],[order_date]])</f>
        <v>2</v>
      </c>
      <c r="S280">
        <f>DAY(data[[#This Row],[order_date]])</f>
        <v>9</v>
      </c>
      <c r="T280">
        <f>data[[#This Row],[profit]]/data[[#This Row],[sales]]</f>
        <v>0.27915194346289751</v>
      </c>
    </row>
    <row r="281" spans="1:20" x14ac:dyDescent="0.35">
      <c r="A281" t="s">
        <v>444</v>
      </c>
      <c r="B281" s="1">
        <v>46078</v>
      </c>
      <c r="C281" t="s">
        <v>14</v>
      </c>
      <c r="D281" t="s">
        <v>15</v>
      </c>
      <c r="E281" t="s">
        <v>327</v>
      </c>
      <c r="F281" t="s">
        <v>23</v>
      </c>
      <c r="G281" t="s">
        <v>361</v>
      </c>
      <c r="H281" t="s">
        <v>362</v>
      </c>
      <c r="I281" t="s">
        <v>363</v>
      </c>
      <c r="J281">
        <v>3</v>
      </c>
      <c r="K281">
        <v>653000</v>
      </c>
      <c r="L281">
        <v>0</v>
      </c>
      <c r="M281">
        <v>474000</v>
      </c>
      <c r="N281">
        <f>(data[[#This Row],[unit_price]]*data[[#This Row],[quantity]]) * (1-data[[#This Row],[discount]])</f>
        <v>1959000</v>
      </c>
      <c r="O281">
        <f>data[[#This Row],[sales]]-data[[#This Row],[cost]]</f>
        <v>1485000</v>
      </c>
      <c r="P281" t="str">
        <f>TEXT(data[[#This Row],[order_date]],"mmm")</f>
        <v>Feb</v>
      </c>
      <c r="Q281">
        <f>YEAR(data[[#This Row],[order_date]])</f>
        <v>2026</v>
      </c>
      <c r="R281">
        <f>MONTH(data[[#This Row],[order_date]])</f>
        <v>2</v>
      </c>
      <c r="S281">
        <f>DAY(data[[#This Row],[order_date]])</f>
        <v>25</v>
      </c>
      <c r="T281">
        <f>data[[#This Row],[profit]]/data[[#This Row],[sales]]</f>
        <v>0.75803981623277183</v>
      </c>
    </row>
    <row r="282" spans="1:20" x14ac:dyDescent="0.35">
      <c r="A282" t="s">
        <v>445</v>
      </c>
      <c r="B282" s="1">
        <v>46086</v>
      </c>
      <c r="C282" t="s">
        <v>14</v>
      </c>
      <c r="D282" t="s">
        <v>15</v>
      </c>
      <c r="E282" t="s">
        <v>255</v>
      </c>
      <c r="F282" t="s">
        <v>17</v>
      </c>
      <c r="G282" t="s">
        <v>361</v>
      </c>
      <c r="H282" t="s">
        <v>362</v>
      </c>
      <c r="I282" t="s">
        <v>363</v>
      </c>
      <c r="J282">
        <v>2</v>
      </c>
      <c r="K282">
        <v>570000</v>
      </c>
      <c r="L282">
        <v>0.1</v>
      </c>
      <c r="M282">
        <v>404000</v>
      </c>
      <c r="N282">
        <f>(data[[#This Row],[unit_price]]*data[[#This Row],[quantity]]) * (1-data[[#This Row],[discount]])</f>
        <v>1026000</v>
      </c>
      <c r="O282">
        <f>data[[#This Row],[sales]]-data[[#This Row],[cost]]</f>
        <v>622000</v>
      </c>
      <c r="P282" t="str">
        <f>TEXT(data[[#This Row],[order_date]],"mmm")</f>
        <v>Mar</v>
      </c>
      <c r="Q282">
        <f>YEAR(data[[#This Row],[order_date]])</f>
        <v>2026</v>
      </c>
      <c r="R282">
        <f>MONTH(data[[#This Row],[order_date]])</f>
        <v>3</v>
      </c>
      <c r="S282">
        <f>DAY(data[[#This Row],[order_date]])</f>
        <v>5</v>
      </c>
      <c r="T282">
        <f>data[[#This Row],[profit]]/data[[#This Row],[sales]]</f>
        <v>0.60623781676413258</v>
      </c>
    </row>
    <row r="283" spans="1:20" x14ac:dyDescent="0.35">
      <c r="A283" t="s">
        <v>446</v>
      </c>
      <c r="B283" s="1">
        <v>46093</v>
      </c>
      <c r="C283" t="s">
        <v>25</v>
      </c>
      <c r="D283" t="s">
        <v>26</v>
      </c>
      <c r="E283" t="s">
        <v>447</v>
      </c>
      <c r="F283" t="s">
        <v>23</v>
      </c>
      <c r="G283" t="s">
        <v>361</v>
      </c>
      <c r="H283" t="s">
        <v>362</v>
      </c>
      <c r="I283" t="s">
        <v>363</v>
      </c>
      <c r="J283">
        <v>1</v>
      </c>
      <c r="K283">
        <v>369000</v>
      </c>
      <c r="L283">
        <v>0</v>
      </c>
      <c r="M283">
        <v>267000</v>
      </c>
      <c r="N283">
        <f>(data[[#This Row],[unit_price]]*data[[#This Row],[quantity]]) * (1-data[[#This Row],[discount]])</f>
        <v>369000</v>
      </c>
      <c r="O283">
        <f>data[[#This Row],[sales]]-data[[#This Row],[cost]]</f>
        <v>102000</v>
      </c>
      <c r="P283" t="str">
        <f>TEXT(data[[#This Row],[order_date]],"mmm")</f>
        <v>Mar</v>
      </c>
      <c r="Q283">
        <f>YEAR(data[[#This Row],[order_date]])</f>
        <v>2026</v>
      </c>
      <c r="R283">
        <f>MONTH(data[[#This Row],[order_date]])</f>
        <v>3</v>
      </c>
      <c r="S283">
        <f>DAY(data[[#This Row],[order_date]])</f>
        <v>12</v>
      </c>
      <c r="T283">
        <f>data[[#This Row],[profit]]/data[[#This Row],[sales]]</f>
        <v>0.27642276422764228</v>
      </c>
    </row>
    <row r="284" spans="1:20" x14ac:dyDescent="0.35">
      <c r="A284" t="s">
        <v>448</v>
      </c>
      <c r="B284" s="1">
        <v>46108</v>
      </c>
      <c r="C284" t="s">
        <v>36</v>
      </c>
      <c r="D284" t="s">
        <v>37</v>
      </c>
      <c r="E284" t="s">
        <v>152</v>
      </c>
      <c r="F284" t="s">
        <v>23</v>
      </c>
      <c r="G284" t="s">
        <v>361</v>
      </c>
      <c r="H284" t="s">
        <v>362</v>
      </c>
      <c r="I284" t="s">
        <v>363</v>
      </c>
      <c r="J284">
        <v>1</v>
      </c>
      <c r="K284">
        <v>660000</v>
      </c>
      <c r="L284">
        <v>0</v>
      </c>
      <c r="M284">
        <v>487000</v>
      </c>
      <c r="N284">
        <f>(data[[#This Row],[unit_price]]*data[[#This Row],[quantity]]) * (1-data[[#This Row],[discount]])</f>
        <v>660000</v>
      </c>
      <c r="O284">
        <f>data[[#This Row],[sales]]-data[[#This Row],[cost]]</f>
        <v>173000</v>
      </c>
      <c r="P284" t="str">
        <f>TEXT(data[[#This Row],[order_date]],"mmm")</f>
        <v>Mar</v>
      </c>
      <c r="Q284">
        <f>YEAR(data[[#This Row],[order_date]])</f>
        <v>2026</v>
      </c>
      <c r="R284">
        <f>MONTH(data[[#This Row],[order_date]])</f>
        <v>3</v>
      </c>
      <c r="S284">
        <f>DAY(data[[#This Row],[order_date]])</f>
        <v>27</v>
      </c>
      <c r="T284">
        <f>data[[#This Row],[profit]]/data[[#This Row],[sales]]</f>
        <v>0.26212121212121214</v>
      </c>
    </row>
    <row r="285" spans="1:20" x14ac:dyDescent="0.35">
      <c r="A285" t="s">
        <v>449</v>
      </c>
      <c r="B285" s="1">
        <v>46115</v>
      </c>
      <c r="C285" t="s">
        <v>14</v>
      </c>
      <c r="D285" t="s">
        <v>15</v>
      </c>
      <c r="E285" t="s">
        <v>419</v>
      </c>
      <c r="F285" t="s">
        <v>17</v>
      </c>
      <c r="G285" t="s">
        <v>361</v>
      </c>
      <c r="H285" t="s">
        <v>362</v>
      </c>
      <c r="I285" t="s">
        <v>363</v>
      </c>
      <c r="J285">
        <v>1</v>
      </c>
      <c r="K285">
        <v>582000</v>
      </c>
      <c r="L285">
        <v>0</v>
      </c>
      <c r="M285">
        <v>423000</v>
      </c>
      <c r="N285">
        <f>(data[[#This Row],[unit_price]]*data[[#This Row],[quantity]]) * (1-data[[#This Row],[discount]])</f>
        <v>582000</v>
      </c>
      <c r="O285">
        <f>data[[#This Row],[sales]]-data[[#This Row],[cost]]</f>
        <v>159000</v>
      </c>
      <c r="P285" t="str">
        <f>TEXT(data[[#This Row],[order_date]],"mmm")</f>
        <v>Apr</v>
      </c>
      <c r="Q285">
        <f>YEAR(data[[#This Row],[order_date]])</f>
        <v>2026</v>
      </c>
      <c r="R285">
        <f>MONTH(data[[#This Row],[order_date]])</f>
        <v>4</v>
      </c>
      <c r="S285">
        <f>DAY(data[[#This Row],[order_date]])</f>
        <v>3</v>
      </c>
      <c r="T285">
        <f>data[[#This Row],[profit]]/data[[#This Row],[sales]]</f>
        <v>0.27319587628865977</v>
      </c>
    </row>
    <row r="286" spans="1:20" x14ac:dyDescent="0.35">
      <c r="A286" t="s">
        <v>450</v>
      </c>
      <c r="B286" s="1">
        <v>46146</v>
      </c>
      <c r="C286" t="s">
        <v>41</v>
      </c>
      <c r="D286" t="s">
        <v>42</v>
      </c>
      <c r="E286" t="s">
        <v>212</v>
      </c>
      <c r="F286" t="s">
        <v>28</v>
      </c>
      <c r="G286" t="s">
        <v>361</v>
      </c>
      <c r="H286" t="s">
        <v>362</v>
      </c>
      <c r="I286" t="s">
        <v>363</v>
      </c>
      <c r="J286">
        <v>1</v>
      </c>
      <c r="K286">
        <v>605000</v>
      </c>
      <c r="L286">
        <v>0</v>
      </c>
      <c r="M286">
        <v>441000</v>
      </c>
      <c r="N286">
        <f>(data[[#This Row],[unit_price]]*data[[#This Row],[quantity]]) * (1-data[[#This Row],[discount]])</f>
        <v>605000</v>
      </c>
      <c r="O286">
        <f>data[[#This Row],[sales]]-data[[#This Row],[cost]]</f>
        <v>164000</v>
      </c>
      <c r="P286" t="str">
        <f>TEXT(data[[#This Row],[order_date]],"mmm")</f>
        <v>May</v>
      </c>
      <c r="Q286">
        <f>YEAR(data[[#This Row],[order_date]])</f>
        <v>2026</v>
      </c>
      <c r="R286">
        <f>MONTH(data[[#This Row],[order_date]])</f>
        <v>5</v>
      </c>
      <c r="S286">
        <f>DAY(data[[#This Row],[order_date]])</f>
        <v>4</v>
      </c>
      <c r="T286">
        <f>data[[#This Row],[profit]]/data[[#This Row],[sales]]</f>
        <v>0.27107438016528923</v>
      </c>
    </row>
    <row r="287" spans="1:20" x14ac:dyDescent="0.35">
      <c r="A287" t="s">
        <v>451</v>
      </c>
      <c r="B287" s="1">
        <v>46147</v>
      </c>
      <c r="C287" t="s">
        <v>25</v>
      </c>
      <c r="D287" t="s">
        <v>26</v>
      </c>
      <c r="E287" t="s">
        <v>413</v>
      </c>
      <c r="F287" t="s">
        <v>23</v>
      </c>
      <c r="G287" t="s">
        <v>361</v>
      </c>
      <c r="H287" t="s">
        <v>362</v>
      </c>
      <c r="I287" t="s">
        <v>363</v>
      </c>
      <c r="J287">
        <v>3</v>
      </c>
      <c r="K287">
        <v>473000</v>
      </c>
      <c r="L287">
        <v>0</v>
      </c>
      <c r="M287">
        <v>342000</v>
      </c>
      <c r="N287">
        <f>(data[[#This Row],[unit_price]]*data[[#This Row],[quantity]]) * (1-data[[#This Row],[discount]])</f>
        <v>1419000</v>
      </c>
      <c r="O287">
        <f>data[[#This Row],[sales]]-data[[#This Row],[cost]]</f>
        <v>1077000</v>
      </c>
      <c r="P287" t="str">
        <f>TEXT(data[[#This Row],[order_date]],"mmm")</f>
        <v>May</v>
      </c>
      <c r="Q287">
        <f>YEAR(data[[#This Row],[order_date]])</f>
        <v>2026</v>
      </c>
      <c r="R287">
        <f>MONTH(data[[#This Row],[order_date]])</f>
        <v>5</v>
      </c>
      <c r="S287">
        <f>DAY(data[[#This Row],[order_date]])</f>
        <v>5</v>
      </c>
      <c r="T287">
        <f>data[[#This Row],[profit]]/data[[#This Row],[sales]]</f>
        <v>0.75898520084566601</v>
      </c>
    </row>
    <row r="288" spans="1:20" x14ac:dyDescent="0.35">
      <c r="A288" t="s">
        <v>452</v>
      </c>
      <c r="B288" s="1">
        <v>46149</v>
      </c>
      <c r="C288" t="s">
        <v>41</v>
      </c>
      <c r="D288" t="s">
        <v>42</v>
      </c>
      <c r="E288" t="s">
        <v>179</v>
      </c>
      <c r="F288" t="s">
        <v>23</v>
      </c>
      <c r="G288" t="s">
        <v>361</v>
      </c>
      <c r="H288" t="s">
        <v>362</v>
      </c>
      <c r="I288" t="s">
        <v>363</v>
      </c>
      <c r="J288">
        <v>1</v>
      </c>
      <c r="K288">
        <v>452000</v>
      </c>
      <c r="L288">
        <v>0</v>
      </c>
      <c r="M288">
        <v>326000</v>
      </c>
      <c r="N288">
        <f>(data[[#This Row],[unit_price]]*data[[#This Row],[quantity]]) * (1-data[[#This Row],[discount]])</f>
        <v>452000</v>
      </c>
      <c r="O288">
        <f>data[[#This Row],[sales]]-data[[#This Row],[cost]]</f>
        <v>126000</v>
      </c>
      <c r="P288" t="str">
        <f>TEXT(data[[#This Row],[order_date]],"mmm")</f>
        <v>May</v>
      </c>
      <c r="Q288">
        <f>YEAR(data[[#This Row],[order_date]])</f>
        <v>2026</v>
      </c>
      <c r="R288">
        <f>MONTH(data[[#This Row],[order_date]])</f>
        <v>5</v>
      </c>
      <c r="S288">
        <f>DAY(data[[#This Row],[order_date]])</f>
        <v>7</v>
      </c>
      <c r="T288">
        <f>data[[#This Row],[profit]]/data[[#This Row],[sales]]</f>
        <v>0.27876106194690264</v>
      </c>
    </row>
    <row r="289" spans="1:20" x14ac:dyDescent="0.35">
      <c r="A289" t="s">
        <v>453</v>
      </c>
      <c r="B289" s="1">
        <v>46151</v>
      </c>
      <c r="C289" t="s">
        <v>14</v>
      </c>
      <c r="D289" t="s">
        <v>15</v>
      </c>
      <c r="E289" t="s">
        <v>102</v>
      </c>
      <c r="F289" t="s">
        <v>58</v>
      </c>
      <c r="G289" t="s">
        <v>361</v>
      </c>
      <c r="H289" t="s">
        <v>362</v>
      </c>
      <c r="I289" t="s">
        <v>363</v>
      </c>
      <c r="J289">
        <v>3</v>
      </c>
      <c r="K289">
        <v>689000</v>
      </c>
      <c r="L289">
        <v>0</v>
      </c>
      <c r="M289">
        <v>492000</v>
      </c>
      <c r="N289">
        <f>(data[[#This Row],[unit_price]]*data[[#This Row],[quantity]]) * (1-data[[#This Row],[discount]])</f>
        <v>2067000</v>
      </c>
      <c r="O289">
        <f>data[[#This Row],[sales]]-data[[#This Row],[cost]]</f>
        <v>1575000</v>
      </c>
      <c r="P289" t="str">
        <f>TEXT(data[[#This Row],[order_date]],"mmm")</f>
        <v>May</v>
      </c>
      <c r="Q289">
        <f>YEAR(data[[#This Row],[order_date]])</f>
        <v>2026</v>
      </c>
      <c r="R289">
        <f>MONTH(data[[#This Row],[order_date]])</f>
        <v>5</v>
      </c>
      <c r="S289">
        <f>DAY(data[[#This Row],[order_date]])</f>
        <v>9</v>
      </c>
      <c r="T289">
        <f>data[[#This Row],[profit]]/data[[#This Row],[sales]]</f>
        <v>0.76197387518142234</v>
      </c>
    </row>
    <row r="290" spans="1:20" x14ac:dyDescent="0.35">
      <c r="A290" t="s">
        <v>454</v>
      </c>
      <c r="B290" s="1">
        <v>46169</v>
      </c>
      <c r="C290" t="s">
        <v>25</v>
      </c>
      <c r="D290" t="s">
        <v>26</v>
      </c>
      <c r="E290" t="s">
        <v>104</v>
      </c>
      <c r="F290" t="s">
        <v>28</v>
      </c>
      <c r="G290" t="s">
        <v>361</v>
      </c>
      <c r="H290" t="s">
        <v>362</v>
      </c>
      <c r="I290" t="s">
        <v>363</v>
      </c>
      <c r="J290">
        <v>1</v>
      </c>
      <c r="K290">
        <v>455000</v>
      </c>
      <c r="L290">
        <v>0.1</v>
      </c>
      <c r="M290">
        <v>321000</v>
      </c>
      <c r="N290">
        <f>(data[[#This Row],[unit_price]]*data[[#This Row],[quantity]]) * (1-data[[#This Row],[discount]])</f>
        <v>409500</v>
      </c>
      <c r="O290">
        <f>data[[#This Row],[sales]]-data[[#This Row],[cost]]</f>
        <v>88500</v>
      </c>
      <c r="P290" t="str">
        <f>TEXT(data[[#This Row],[order_date]],"mmm")</f>
        <v>May</v>
      </c>
      <c r="Q290">
        <f>YEAR(data[[#This Row],[order_date]])</f>
        <v>2026</v>
      </c>
      <c r="R290">
        <f>MONTH(data[[#This Row],[order_date]])</f>
        <v>5</v>
      </c>
      <c r="S290">
        <f>DAY(data[[#This Row],[order_date]])</f>
        <v>27</v>
      </c>
      <c r="T290">
        <f>data[[#This Row],[profit]]/data[[#This Row],[sales]]</f>
        <v>0.21611721611721613</v>
      </c>
    </row>
    <row r="291" spans="1:20" x14ac:dyDescent="0.35">
      <c r="A291" t="s">
        <v>455</v>
      </c>
      <c r="B291" s="1">
        <v>46180</v>
      </c>
      <c r="C291" t="s">
        <v>14</v>
      </c>
      <c r="D291" t="s">
        <v>15</v>
      </c>
      <c r="E291" t="s">
        <v>456</v>
      </c>
      <c r="F291" t="s">
        <v>23</v>
      </c>
      <c r="G291" t="s">
        <v>361</v>
      </c>
      <c r="H291" t="s">
        <v>362</v>
      </c>
      <c r="I291" t="s">
        <v>363</v>
      </c>
      <c r="J291">
        <v>1</v>
      </c>
      <c r="K291">
        <v>392000</v>
      </c>
      <c r="L291">
        <v>0</v>
      </c>
      <c r="M291">
        <v>285000</v>
      </c>
      <c r="N291">
        <f>(data[[#This Row],[unit_price]]*data[[#This Row],[quantity]]) * (1-data[[#This Row],[discount]])</f>
        <v>392000</v>
      </c>
      <c r="O291">
        <f>data[[#This Row],[sales]]-data[[#This Row],[cost]]</f>
        <v>107000</v>
      </c>
      <c r="P291" t="str">
        <f>TEXT(data[[#This Row],[order_date]],"mmm")</f>
        <v>Jun</v>
      </c>
      <c r="Q291">
        <f>YEAR(data[[#This Row],[order_date]])</f>
        <v>2026</v>
      </c>
      <c r="R291">
        <f>MONTH(data[[#This Row],[order_date]])</f>
        <v>6</v>
      </c>
      <c r="S291">
        <f>DAY(data[[#This Row],[order_date]])</f>
        <v>7</v>
      </c>
      <c r="T291">
        <f>data[[#This Row],[profit]]/data[[#This Row],[sales]]</f>
        <v>0.27295918367346939</v>
      </c>
    </row>
    <row r="292" spans="1:20" x14ac:dyDescent="0.35">
      <c r="A292" t="s">
        <v>457</v>
      </c>
      <c r="B292" s="1">
        <v>46193</v>
      </c>
      <c r="C292" t="s">
        <v>14</v>
      </c>
      <c r="D292" t="s">
        <v>15</v>
      </c>
      <c r="E292" t="s">
        <v>152</v>
      </c>
      <c r="F292" t="s">
        <v>23</v>
      </c>
      <c r="G292" t="s">
        <v>361</v>
      </c>
      <c r="H292" t="s">
        <v>362</v>
      </c>
      <c r="I292" t="s">
        <v>363</v>
      </c>
      <c r="J292">
        <v>1</v>
      </c>
      <c r="K292">
        <v>607000</v>
      </c>
      <c r="L292">
        <v>0.1</v>
      </c>
      <c r="M292">
        <v>438000</v>
      </c>
      <c r="N292">
        <f>(data[[#This Row],[unit_price]]*data[[#This Row],[quantity]]) * (1-data[[#This Row],[discount]])</f>
        <v>546300</v>
      </c>
      <c r="O292">
        <f>data[[#This Row],[sales]]-data[[#This Row],[cost]]</f>
        <v>108300</v>
      </c>
      <c r="P292" t="str">
        <f>TEXT(data[[#This Row],[order_date]],"mmm")</f>
        <v>Jun</v>
      </c>
      <c r="Q292">
        <f>YEAR(data[[#This Row],[order_date]])</f>
        <v>2026</v>
      </c>
      <c r="R292">
        <f>MONTH(data[[#This Row],[order_date]])</f>
        <v>6</v>
      </c>
      <c r="S292">
        <f>DAY(data[[#This Row],[order_date]])</f>
        <v>20</v>
      </c>
      <c r="T292">
        <f>data[[#This Row],[profit]]/data[[#This Row],[sales]]</f>
        <v>0.19824272377814386</v>
      </c>
    </row>
    <row r="293" spans="1:20" x14ac:dyDescent="0.35">
      <c r="A293" t="s">
        <v>458</v>
      </c>
      <c r="B293" s="1">
        <v>46195</v>
      </c>
      <c r="C293" t="s">
        <v>41</v>
      </c>
      <c r="D293" t="s">
        <v>42</v>
      </c>
      <c r="E293" t="s">
        <v>239</v>
      </c>
      <c r="F293" t="s">
        <v>23</v>
      </c>
      <c r="G293" t="s">
        <v>361</v>
      </c>
      <c r="H293" t="s">
        <v>362</v>
      </c>
      <c r="I293" t="s">
        <v>363</v>
      </c>
      <c r="J293">
        <v>1</v>
      </c>
      <c r="K293">
        <v>374000</v>
      </c>
      <c r="L293">
        <v>0</v>
      </c>
      <c r="M293">
        <v>265000</v>
      </c>
      <c r="N293">
        <f>(data[[#This Row],[unit_price]]*data[[#This Row],[quantity]]) * (1-data[[#This Row],[discount]])</f>
        <v>374000</v>
      </c>
      <c r="O293">
        <f>data[[#This Row],[sales]]-data[[#This Row],[cost]]</f>
        <v>109000</v>
      </c>
      <c r="P293" t="str">
        <f>TEXT(data[[#This Row],[order_date]],"mmm")</f>
        <v>Jun</v>
      </c>
      <c r="Q293">
        <f>YEAR(data[[#This Row],[order_date]])</f>
        <v>2026</v>
      </c>
      <c r="R293">
        <f>MONTH(data[[#This Row],[order_date]])</f>
        <v>6</v>
      </c>
      <c r="S293">
        <f>DAY(data[[#This Row],[order_date]])</f>
        <v>22</v>
      </c>
      <c r="T293">
        <f>data[[#This Row],[profit]]/data[[#This Row],[sales]]</f>
        <v>0.29144385026737968</v>
      </c>
    </row>
    <row r="294" spans="1:20" x14ac:dyDescent="0.35">
      <c r="A294" t="s">
        <v>459</v>
      </c>
      <c r="B294" s="1">
        <v>46197</v>
      </c>
      <c r="C294" t="s">
        <v>14</v>
      </c>
      <c r="D294" t="s">
        <v>15</v>
      </c>
      <c r="E294" t="s">
        <v>57</v>
      </c>
      <c r="F294" t="s">
        <v>58</v>
      </c>
      <c r="G294" t="s">
        <v>361</v>
      </c>
      <c r="H294" t="s">
        <v>362</v>
      </c>
      <c r="I294" t="s">
        <v>363</v>
      </c>
      <c r="J294">
        <v>1</v>
      </c>
      <c r="K294">
        <v>354000</v>
      </c>
      <c r="L294">
        <v>0.05</v>
      </c>
      <c r="M294">
        <v>249000</v>
      </c>
      <c r="N294">
        <f>(data[[#This Row],[unit_price]]*data[[#This Row],[quantity]]) * (1-data[[#This Row],[discount]])</f>
        <v>336300</v>
      </c>
      <c r="O294">
        <f>data[[#This Row],[sales]]-data[[#This Row],[cost]]</f>
        <v>87300</v>
      </c>
      <c r="P294" t="str">
        <f>TEXT(data[[#This Row],[order_date]],"mmm")</f>
        <v>Jun</v>
      </c>
      <c r="Q294">
        <f>YEAR(data[[#This Row],[order_date]])</f>
        <v>2026</v>
      </c>
      <c r="R294">
        <f>MONTH(data[[#This Row],[order_date]])</f>
        <v>6</v>
      </c>
      <c r="S294">
        <f>DAY(data[[#This Row],[order_date]])</f>
        <v>24</v>
      </c>
      <c r="T294">
        <f>data[[#This Row],[profit]]/data[[#This Row],[sales]]</f>
        <v>0.25958965209634255</v>
      </c>
    </row>
    <row r="295" spans="1:20" x14ac:dyDescent="0.35">
      <c r="A295" t="s">
        <v>460</v>
      </c>
      <c r="B295" s="1">
        <v>46197</v>
      </c>
      <c r="C295" t="s">
        <v>41</v>
      </c>
      <c r="D295" t="s">
        <v>42</v>
      </c>
      <c r="E295" t="s">
        <v>108</v>
      </c>
      <c r="F295" t="s">
        <v>23</v>
      </c>
      <c r="G295" t="s">
        <v>361</v>
      </c>
      <c r="H295" t="s">
        <v>362</v>
      </c>
      <c r="I295" t="s">
        <v>363</v>
      </c>
      <c r="J295">
        <v>2</v>
      </c>
      <c r="K295">
        <v>612000</v>
      </c>
      <c r="L295">
        <v>0.05</v>
      </c>
      <c r="M295">
        <v>451000</v>
      </c>
      <c r="N295">
        <f>(data[[#This Row],[unit_price]]*data[[#This Row],[quantity]]) * (1-data[[#This Row],[discount]])</f>
        <v>1162800</v>
      </c>
      <c r="O295">
        <f>data[[#This Row],[sales]]-data[[#This Row],[cost]]</f>
        <v>711800</v>
      </c>
      <c r="P295" t="str">
        <f>TEXT(data[[#This Row],[order_date]],"mmm")</f>
        <v>Jun</v>
      </c>
      <c r="Q295">
        <f>YEAR(data[[#This Row],[order_date]])</f>
        <v>2026</v>
      </c>
      <c r="R295">
        <f>MONTH(data[[#This Row],[order_date]])</f>
        <v>6</v>
      </c>
      <c r="S295">
        <f>DAY(data[[#This Row],[order_date]])</f>
        <v>24</v>
      </c>
      <c r="T295">
        <f>data[[#This Row],[profit]]/data[[#This Row],[sales]]</f>
        <v>0.61214310285517715</v>
      </c>
    </row>
    <row r="296" spans="1:20" x14ac:dyDescent="0.35">
      <c r="A296" t="s">
        <v>461</v>
      </c>
      <c r="B296" s="1">
        <v>44930</v>
      </c>
      <c r="C296" t="s">
        <v>14</v>
      </c>
      <c r="D296" t="s">
        <v>15</v>
      </c>
      <c r="E296" t="s">
        <v>462</v>
      </c>
      <c r="F296" t="s">
        <v>58</v>
      </c>
      <c r="G296" t="s">
        <v>463</v>
      </c>
      <c r="H296" t="s">
        <v>464</v>
      </c>
      <c r="I296" t="s">
        <v>465</v>
      </c>
      <c r="J296">
        <v>1</v>
      </c>
      <c r="K296">
        <v>5952000</v>
      </c>
      <c r="L296">
        <v>0</v>
      </c>
      <c r="M296">
        <v>4571000</v>
      </c>
      <c r="N296">
        <f>(data[[#This Row],[unit_price]]*data[[#This Row],[quantity]]) * (1-data[[#This Row],[discount]])</f>
        <v>5952000</v>
      </c>
      <c r="O296">
        <f>data[[#This Row],[sales]]-data[[#This Row],[cost]]</f>
        <v>1381000</v>
      </c>
      <c r="P296" t="str">
        <f>TEXT(data[[#This Row],[order_date]],"mmm")</f>
        <v>Jan</v>
      </c>
      <c r="Q296">
        <f>YEAR(data[[#This Row],[order_date]])</f>
        <v>2023</v>
      </c>
      <c r="R296">
        <f>MONTH(data[[#This Row],[order_date]])</f>
        <v>1</v>
      </c>
      <c r="S296">
        <f>DAY(data[[#This Row],[order_date]])</f>
        <v>4</v>
      </c>
      <c r="T296">
        <f>data[[#This Row],[profit]]/data[[#This Row],[sales]]</f>
        <v>0.23202284946236559</v>
      </c>
    </row>
    <row r="297" spans="1:20" x14ac:dyDescent="0.35">
      <c r="A297" t="s">
        <v>466</v>
      </c>
      <c r="B297" s="1">
        <v>44961</v>
      </c>
      <c r="C297" t="s">
        <v>14</v>
      </c>
      <c r="D297" t="s">
        <v>15</v>
      </c>
      <c r="E297" t="s">
        <v>119</v>
      </c>
      <c r="F297" t="s">
        <v>23</v>
      </c>
      <c r="G297" t="s">
        <v>463</v>
      </c>
      <c r="H297" t="s">
        <v>464</v>
      </c>
      <c r="I297" t="s">
        <v>465</v>
      </c>
      <c r="J297">
        <v>2</v>
      </c>
      <c r="K297">
        <v>5427000</v>
      </c>
      <c r="L297">
        <v>0</v>
      </c>
      <c r="M297">
        <v>4031000</v>
      </c>
      <c r="N297">
        <f>(data[[#This Row],[unit_price]]*data[[#This Row],[quantity]]) * (1-data[[#This Row],[discount]])</f>
        <v>10854000</v>
      </c>
      <c r="O297">
        <f>data[[#This Row],[sales]]-data[[#This Row],[cost]]</f>
        <v>6823000</v>
      </c>
      <c r="P297" t="str">
        <f>TEXT(data[[#This Row],[order_date]],"mmm")</f>
        <v>Feb</v>
      </c>
      <c r="Q297">
        <f>YEAR(data[[#This Row],[order_date]])</f>
        <v>2023</v>
      </c>
      <c r="R297">
        <f>MONTH(data[[#This Row],[order_date]])</f>
        <v>2</v>
      </c>
      <c r="S297">
        <f>DAY(data[[#This Row],[order_date]])</f>
        <v>4</v>
      </c>
      <c r="T297">
        <f>data[[#This Row],[profit]]/data[[#This Row],[sales]]</f>
        <v>0.62861617836742212</v>
      </c>
    </row>
    <row r="298" spans="1:20" x14ac:dyDescent="0.35">
      <c r="A298" t="s">
        <v>467</v>
      </c>
      <c r="B298" s="1">
        <v>44973</v>
      </c>
      <c r="C298" t="s">
        <v>14</v>
      </c>
      <c r="D298" t="s">
        <v>15</v>
      </c>
      <c r="E298" t="s">
        <v>102</v>
      </c>
      <c r="F298" t="s">
        <v>58</v>
      </c>
      <c r="G298" t="s">
        <v>463</v>
      </c>
      <c r="H298" t="s">
        <v>464</v>
      </c>
      <c r="I298" t="s">
        <v>465</v>
      </c>
      <c r="J298">
        <v>1</v>
      </c>
      <c r="K298">
        <v>5919000</v>
      </c>
      <c r="L298">
        <v>0</v>
      </c>
      <c r="M298">
        <v>4516000</v>
      </c>
      <c r="N298">
        <f>(data[[#This Row],[unit_price]]*data[[#This Row],[quantity]]) * (1-data[[#This Row],[discount]])</f>
        <v>5919000</v>
      </c>
      <c r="O298">
        <f>data[[#This Row],[sales]]-data[[#This Row],[cost]]</f>
        <v>1403000</v>
      </c>
      <c r="P298" t="str">
        <f>TEXT(data[[#This Row],[order_date]],"mmm")</f>
        <v>Feb</v>
      </c>
      <c r="Q298">
        <f>YEAR(data[[#This Row],[order_date]])</f>
        <v>2023</v>
      </c>
      <c r="R298">
        <f>MONTH(data[[#This Row],[order_date]])</f>
        <v>2</v>
      </c>
      <c r="S298">
        <f>DAY(data[[#This Row],[order_date]])</f>
        <v>16</v>
      </c>
      <c r="T298">
        <f>data[[#This Row],[profit]]/data[[#This Row],[sales]]</f>
        <v>0.23703328264909612</v>
      </c>
    </row>
    <row r="299" spans="1:20" x14ac:dyDescent="0.35">
      <c r="A299" t="s">
        <v>468</v>
      </c>
      <c r="B299" s="1">
        <v>44975</v>
      </c>
      <c r="C299" t="s">
        <v>14</v>
      </c>
      <c r="D299" t="s">
        <v>15</v>
      </c>
      <c r="E299" t="s">
        <v>43</v>
      </c>
      <c r="F299" t="s">
        <v>17</v>
      </c>
      <c r="G299" t="s">
        <v>463</v>
      </c>
      <c r="H299" t="s">
        <v>464</v>
      </c>
      <c r="I299" t="s">
        <v>465</v>
      </c>
      <c r="J299">
        <v>1</v>
      </c>
      <c r="K299">
        <v>5905000</v>
      </c>
      <c r="L299">
        <v>0</v>
      </c>
      <c r="M299">
        <v>4590000</v>
      </c>
      <c r="N299">
        <f>(data[[#This Row],[unit_price]]*data[[#This Row],[quantity]]) * (1-data[[#This Row],[discount]])</f>
        <v>5905000</v>
      </c>
      <c r="O299">
        <f>data[[#This Row],[sales]]-data[[#This Row],[cost]]</f>
        <v>1315000</v>
      </c>
      <c r="P299" t="str">
        <f>TEXT(data[[#This Row],[order_date]],"mmm")</f>
        <v>Feb</v>
      </c>
      <c r="Q299">
        <f>YEAR(data[[#This Row],[order_date]])</f>
        <v>2023</v>
      </c>
      <c r="R299">
        <f>MONTH(data[[#This Row],[order_date]])</f>
        <v>2</v>
      </c>
      <c r="S299">
        <f>DAY(data[[#This Row],[order_date]])</f>
        <v>18</v>
      </c>
      <c r="T299">
        <f>data[[#This Row],[profit]]/data[[#This Row],[sales]]</f>
        <v>0.22269263336155801</v>
      </c>
    </row>
    <row r="300" spans="1:20" x14ac:dyDescent="0.35">
      <c r="A300" t="s">
        <v>469</v>
      </c>
      <c r="B300" s="1">
        <v>44980</v>
      </c>
      <c r="C300" t="s">
        <v>14</v>
      </c>
      <c r="D300" t="s">
        <v>15</v>
      </c>
      <c r="E300" t="s">
        <v>327</v>
      </c>
      <c r="F300" t="s">
        <v>23</v>
      </c>
      <c r="G300" t="s">
        <v>463</v>
      </c>
      <c r="H300" t="s">
        <v>464</v>
      </c>
      <c r="I300" t="s">
        <v>465</v>
      </c>
      <c r="J300">
        <v>1</v>
      </c>
      <c r="K300">
        <v>4351000</v>
      </c>
      <c r="L300">
        <v>0</v>
      </c>
      <c r="M300">
        <v>3372000</v>
      </c>
      <c r="N300">
        <f>(data[[#This Row],[unit_price]]*data[[#This Row],[quantity]]) * (1-data[[#This Row],[discount]])</f>
        <v>4351000</v>
      </c>
      <c r="O300">
        <f>data[[#This Row],[sales]]-data[[#This Row],[cost]]</f>
        <v>979000</v>
      </c>
      <c r="P300" t="str">
        <f>TEXT(data[[#This Row],[order_date]],"mmm")</f>
        <v>Feb</v>
      </c>
      <c r="Q300">
        <f>YEAR(data[[#This Row],[order_date]])</f>
        <v>2023</v>
      </c>
      <c r="R300">
        <f>MONTH(data[[#This Row],[order_date]])</f>
        <v>2</v>
      </c>
      <c r="S300">
        <f>DAY(data[[#This Row],[order_date]])</f>
        <v>23</v>
      </c>
      <c r="T300">
        <f>data[[#This Row],[profit]]/data[[#This Row],[sales]]</f>
        <v>0.22500574580556193</v>
      </c>
    </row>
    <row r="301" spans="1:20" x14ac:dyDescent="0.35">
      <c r="A301" t="s">
        <v>470</v>
      </c>
      <c r="B301" s="1">
        <v>44983</v>
      </c>
      <c r="C301" t="s">
        <v>14</v>
      </c>
      <c r="D301" t="s">
        <v>15</v>
      </c>
      <c r="E301" t="s">
        <v>144</v>
      </c>
      <c r="F301" t="s">
        <v>23</v>
      </c>
      <c r="G301" t="s">
        <v>463</v>
      </c>
      <c r="H301" t="s">
        <v>464</v>
      </c>
      <c r="I301" t="s">
        <v>465</v>
      </c>
      <c r="J301">
        <v>1</v>
      </c>
      <c r="K301">
        <v>3891000</v>
      </c>
      <c r="L301">
        <v>0</v>
      </c>
      <c r="M301">
        <v>2911000</v>
      </c>
      <c r="N301">
        <f>(data[[#This Row],[unit_price]]*data[[#This Row],[quantity]]) * (1-data[[#This Row],[discount]])</f>
        <v>3891000</v>
      </c>
      <c r="O301">
        <f>data[[#This Row],[sales]]-data[[#This Row],[cost]]</f>
        <v>980000</v>
      </c>
      <c r="P301" t="str">
        <f>TEXT(data[[#This Row],[order_date]],"mmm")</f>
        <v>Feb</v>
      </c>
      <c r="Q301">
        <f>YEAR(data[[#This Row],[order_date]])</f>
        <v>2023</v>
      </c>
      <c r="R301">
        <f>MONTH(data[[#This Row],[order_date]])</f>
        <v>2</v>
      </c>
      <c r="S301">
        <f>DAY(data[[#This Row],[order_date]])</f>
        <v>26</v>
      </c>
      <c r="T301">
        <f>data[[#This Row],[profit]]/data[[#This Row],[sales]]</f>
        <v>0.25186327422256488</v>
      </c>
    </row>
    <row r="302" spans="1:20" x14ac:dyDescent="0.35">
      <c r="A302" t="s">
        <v>471</v>
      </c>
      <c r="B302" s="1">
        <v>44992</v>
      </c>
      <c r="C302" t="s">
        <v>49</v>
      </c>
      <c r="D302" t="s">
        <v>50</v>
      </c>
      <c r="E302" t="s">
        <v>309</v>
      </c>
      <c r="F302" t="s">
        <v>23</v>
      </c>
      <c r="G302" t="s">
        <v>463</v>
      </c>
      <c r="H302" t="s">
        <v>464</v>
      </c>
      <c r="I302" t="s">
        <v>465</v>
      </c>
      <c r="J302">
        <v>1</v>
      </c>
      <c r="K302">
        <v>5568000</v>
      </c>
      <c r="L302">
        <v>0</v>
      </c>
      <c r="M302">
        <v>4297000</v>
      </c>
      <c r="N302">
        <f>(data[[#This Row],[unit_price]]*data[[#This Row],[quantity]]) * (1-data[[#This Row],[discount]])</f>
        <v>5568000</v>
      </c>
      <c r="O302">
        <f>data[[#This Row],[sales]]-data[[#This Row],[cost]]</f>
        <v>1271000</v>
      </c>
      <c r="P302" t="str">
        <f>TEXT(data[[#This Row],[order_date]],"mmm")</f>
        <v>Mar</v>
      </c>
      <c r="Q302">
        <f>YEAR(data[[#This Row],[order_date]])</f>
        <v>2023</v>
      </c>
      <c r="R302">
        <f>MONTH(data[[#This Row],[order_date]])</f>
        <v>3</v>
      </c>
      <c r="S302">
        <f>DAY(data[[#This Row],[order_date]])</f>
        <v>7</v>
      </c>
      <c r="T302">
        <f>data[[#This Row],[profit]]/data[[#This Row],[sales]]</f>
        <v>0.22826867816091953</v>
      </c>
    </row>
    <row r="303" spans="1:20" x14ac:dyDescent="0.35">
      <c r="A303" t="s">
        <v>472</v>
      </c>
      <c r="B303" s="1">
        <v>44993</v>
      </c>
      <c r="C303" t="s">
        <v>14</v>
      </c>
      <c r="D303" t="s">
        <v>15</v>
      </c>
      <c r="E303" t="s">
        <v>76</v>
      </c>
      <c r="F303" t="s">
        <v>23</v>
      </c>
      <c r="G303" t="s">
        <v>463</v>
      </c>
      <c r="H303" t="s">
        <v>464</v>
      </c>
      <c r="I303" t="s">
        <v>465</v>
      </c>
      <c r="J303">
        <v>1</v>
      </c>
      <c r="K303">
        <v>6341000</v>
      </c>
      <c r="L303">
        <v>0</v>
      </c>
      <c r="M303">
        <v>4871000</v>
      </c>
      <c r="N303">
        <f>(data[[#This Row],[unit_price]]*data[[#This Row],[quantity]]) * (1-data[[#This Row],[discount]])</f>
        <v>6341000</v>
      </c>
      <c r="O303">
        <f>data[[#This Row],[sales]]-data[[#This Row],[cost]]</f>
        <v>1470000</v>
      </c>
      <c r="P303" t="str">
        <f>TEXT(data[[#This Row],[order_date]],"mmm")</f>
        <v>Mar</v>
      </c>
      <c r="Q303">
        <f>YEAR(data[[#This Row],[order_date]])</f>
        <v>2023</v>
      </c>
      <c r="R303">
        <f>MONTH(data[[#This Row],[order_date]])</f>
        <v>3</v>
      </c>
      <c r="S303">
        <f>DAY(data[[#This Row],[order_date]])</f>
        <v>8</v>
      </c>
      <c r="T303">
        <f>data[[#This Row],[profit]]/data[[#This Row],[sales]]</f>
        <v>0.23182463333859013</v>
      </c>
    </row>
    <row r="304" spans="1:20" x14ac:dyDescent="0.35">
      <c r="A304" t="s">
        <v>473</v>
      </c>
      <c r="B304" s="1">
        <v>44995</v>
      </c>
      <c r="C304" t="s">
        <v>36</v>
      </c>
      <c r="D304" t="s">
        <v>37</v>
      </c>
      <c r="E304" t="s">
        <v>274</v>
      </c>
      <c r="F304" t="s">
        <v>58</v>
      </c>
      <c r="G304" t="s">
        <v>463</v>
      </c>
      <c r="H304" t="s">
        <v>464</v>
      </c>
      <c r="I304" t="s">
        <v>465</v>
      </c>
      <c r="J304">
        <v>1</v>
      </c>
      <c r="K304">
        <v>4500000</v>
      </c>
      <c r="L304">
        <v>0</v>
      </c>
      <c r="M304">
        <v>3506000</v>
      </c>
      <c r="N304">
        <f>(data[[#This Row],[unit_price]]*data[[#This Row],[quantity]]) * (1-data[[#This Row],[discount]])</f>
        <v>4500000</v>
      </c>
      <c r="O304">
        <f>data[[#This Row],[sales]]-data[[#This Row],[cost]]</f>
        <v>994000</v>
      </c>
      <c r="P304" t="str">
        <f>TEXT(data[[#This Row],[order_date]],"mmm")</f>
        <v>Mar</v>
      </c>
      <c r="Q304">
        <f>YEAR(data[[#This Row],[order_date]])</f>
        <v>2023</v>
      </c>
      <c r="R304">
        <f>MONTH(data[[#This Row],[order_date]])</f>
        <v>3</v>
      </c>
      <c r="S304">
        <f>DAY(data[[#This Row],[order_date]])</f>
        <v>10</v>
      </c>
      <c r="T304">
        <f>data[[#This Row],[profit]]/data[[#This Row],[sales]]</f>
        <v>0.22088888888888888</v>
      </c>
    </row>
    <row r="305" spans="1:20" x14ac:dyDescent="0.35">
      <c r="A305" t="s">
        <v>474</v>
      </c>
      <c r="B305" s="1">
        <v>45004</v>
      </c>
      <c r="C305" t="s">
        <v>41</v>
      </c>
      <c r="D305" t="s">
        <v>42</v>
      </c>
      <c r="E305" t="s">
        <v>136</v>
      </c>
      <c r="F305" t="s">
        <v>23</v>
      </c>
      <c r="G305" t="s">
        <v>463</v>
      </c>
      <c r="H305" t="s">
        <v>464</v>
      </c>
      <c r="I305" t="s">
        <v>465</v>
      </c>
      <c r="J305">
        <v>1</v>
      </c>
      <c r="K305">
        <v>4743000</v>
      </c>
      <c r="L305">
        <v>0</v>
      </c>
      <c r="M305">
        <v>3656000</v>
      </c>
      <c r="N305">
        <f>(data[[#This Row],[unit_price]]*data[[#This Row],[quantity]]) * (1-data[[#This Row],[discount]])</f>
        <v>4743000</v>
      </c>
      <c r="O305">
        <f>data[[#This Row],[sales]]-data[[#This Row],[cost]]</f>
        <v>1087000</v>
      </c>
      <c r="P305" t="str">
        <f>TEXT(data[[#This Row],[order_date]],"mmm")</f>
        <v>Mar</v>
      </c>
      <c r="Q305">
        <f>YEAR(data[[#This Row],[order_date]])</f>
        <v>2023</v>
      </c>
      <c r="R305">
        <f>MONTH(data[[#This Row],[order_date]])</f>
        <v>3</v>
      </c>
      <c r="S305">
        <f>DAY(data[[#This Row],[order_date]])</f>
        <v>19</v>
      </c>
      <c r="T305">
        <f>data[[#This Row],[profit]]/data[[#This Row],[sales]]</f>
        <v>0.22917984398060298</v>
      </c>
    </row>
    <row r="306" spans="1:20" x14ac:dyDescent="0.35">
      <c r="A306" t="s">
        <v>475</v>
      </c>
      <c r="B306" s="1">
        <v>45016</v>
      </c>
      <c r="C306" t="s">
        <v>41</v>
      </c>
      <c r="D306" t="s">
        <v>42</v>
      </c>
      <c r="E306" t="s">
        <v>45</v>
      </c>
      <c r="F306" t="s">
        <v>17</v>
      </c>
      <c r="G306" t="s">
        <v>463</v>
      </c>
      <c r="H306" t="s">
        <v>464</v>
      </c>
      <c r="I306" t="s">
        <v>465</v>
      </c>
      <c r="J306">
        <v>1</v>
      </c>
      <c r="K306">
        <v>4816000</v>
      </c>
      <c r="L306">
        <v>0</v>
      </c>
      <c r="M306">
        <v>3678000</v>
      </c>
      <c r="N306">
        <f>(data[[#This Row],[unit_price]]*data[[#This Row],[quantity]]) * (1-data[[#This Row],[discount]])</f>
        <v>4816000</v>
      </c>
      <c r="O306">
        <f>data[[#This Row],[sales]]-data[[#This Row],[cost]]</f>
        <v>1138000</v>
      </c>
      <c r="P306" t="str">
        <f>TEXT(data[[#This Row],[order_date]],"mmm")</f>
        <v>Mar</v>
      </c>
      <c r="Q306">
        <f>YEAR(data[[#This Row],[order_date]])</f>
        <v>2023</v>
      </c>
      <c r="R306">
        <f>MONTH(data[[#This Row],[order_date]])</f>
        <v>3</v>
      </c>
      <c r="S306">
        <f>DAY(data[[#This Row],[order_date]])</f>
        <v>31</v>
      </c>
      <c r="T306">
        <f>data[[#This Row],[profit]]/data[[#This Row],[sales]]</f>
        <v>0.23629568106312293</v>
      </c>
    </row>
    <row r="307" spans="1:20" x14ac:dyDescent="0.35">
      <c r="A307" t="s">
        <v>476</v>
      </c>
      <c r="B307" s="1">
        <v>45051</v>
      </c>
      <c r="C307" t="s">
        <v>41</v>
      </c>
      <c r="D307" t="s">
        <v>42</v>
      </c>
      <c r="E307" t="s">
        <v>244</v>
      </c>
      <c r="F307" t="s">
        <v>17</v>
      </c>
      <c r="G307" t="s">
        <v>463</v>
      </c>
      <c r="H307" t="s">
        <v>464</v>
      </c>
      <c r="I307" t="s">
        <v>465</v>
      </c>
      <c r="J307">
        <v>5</v>
      </c>
      <c r="K307">
        <v>5983000</v>
      </c>
      <c r="L307">
        <v>0</v>
      </c>
      <c r="M307">
        <v>4428000</v>
      </c>
      <c r="N307">
        <f>(data[[#This Row],[unit_price]]*data[[#This Row],[quantity]]) * (1-data[[#This Row],[discount]])</f>
        <v>29915000</v>
      </c>
      <c r="O307">
        <f>data[[#This Row],[sales]]-data[[#This Row],[cost]]</f>
        <v>25487000</v>
      </c>
      <c r="P307" t="str">
        <f>TEXT(data[[#This Row],[order_date]],"mmm")</f>
        <v>May</v>
      </c>
      <c r="Q307">
        <f>YEAR(data[[#This Row],[order_date]])</f>
        <v>2023</v>
      </c>
      <c r="R307">
        <f>MONTH(data[[#This Row],[order_date]])</f>
        <v>5</v>
      </c>
      <c r="S307">
        <f>DAY(data[[#This Row],[order_date]])</f>
        <v>5</v>
      </c>
      <c r="T307">
        <f>data[[#This Row],[profit]]/data[[#This Row],[sales]]</f>
        <v>0.85198061173324424</v>
      </c>
    </row>
    <row r="308" spans="1:20" x14ac:dyDescent="0.35">
      <c r="A308" t="s">
        <v>477</v>
      </c>
      <c r="B308" s="1">
        <v>45062</v>
      </c>
      <c r="C308" t="s">
        <v>49</v>
      </c>
      <c r="D308" t="s">
        <v>50</v>
      </c>
      <c r="E308" t="s">
        <v>134</v>
      </c>
      <c r="F308" t="s">
        <v>28</v>
      </c>
      <c r="G308" t="s">
        <v>463</v>
      </c>
      <c r="H308" t="s">
        <v>464</v>
      </c>
      <c r="I308" t="s">
        <v>465</v>
      </c>
      <c r="J308">
        <v>1</v>
      </c>
      <c r="K308">
        <v>5330521.7391304346</v>
      </c>
      <c r="L308">
        <v>0</v>
      </c>
      <c r="M308">
        <v>0</v>
      </c>
      <c r="N308">
        <f>(data[[#This Row],[unit_price]]*data[[#This Row],[quantity]]) * (1-data[[#This Row],[discount]])</f>
        <v>5330521.7391304346</v>
      </c>
      <c r="O308">
        <f>data[[#This Row],[sales]]-data[[#This Row],[cost]]</f>
        <v>5330521.7391304346</v>
      </c>
      <c r="P308" t="str">
        <f>TEXT(data[[#This Row],[order_date]],"mmm")</f>
        <v>May</v>
      </c>
      <c r="Q308">
        <f>YEAR(data[[#This Row],[order_date]])</f>
        <v>2023</v>
      </c>
      <c r="R308">
        <f>MONTH(data[[#This Row],[order_date]])</f>
        <v>5</v>
      </c>
      <c r="S308">
        <f>DAY(data[[#This Row],[order_date]])</f>
        <v>16</v>
      </c>
      <c r="T308">
        <f>data[[#This Row],[profit]]/data[[#This Row],[sales]]</f>
        <v>1</v>
      </c>
    </row>
    <row r="309" spans="1:20" x14ac:dyDescent="0.35">
      <c r="A309" t="s">
        <v>478</v>
      </c>
      <c r="B309" s="1">
        <v>45106</v>
      </c>
      <c r="C309" t="s">
        <v>14</v>
      </c>
      <c r="D309" t="s">
        <v>15</v>
      </c>
      <c r="E309" t="s">
        <v>39</v>
      </c>
      <c r="F309" t="s">
        <v>23</v>
      </c>
      <c r="G309" t="s">
        <v>463</v>
      </c>
      <c r="H309" t="s">
        <v>464</v>
      </c>
      <c r="I309" t="s">
        <v>465</v>
      </c>
      <c r="J309">
        <v>1</v>
      </c>
      <c r="K309">
        <v>4153000</v>
      </c>
      <c r="L309">
        <v>0</v>
      </c>
      <c r="M309">
        <v>3188000</v>
      </c>
      <c r="N309">
        <f>(data[[#This Row],[unit_price]]*data[[#This Row],[quantity]]) * (1-data[[#This Row],[discount]])</f>
        <v>4153000</v>
      </c>
      <c r="O309">
        <f>data[[#This Row],[sales]]-data[[#This Row],[cost]]</f>
        <v>965000</v>
      </c>
      <c r="P309" t="str">
        <f>TEXT(data[[#This Row],[order_date]],"mmm")</f>
        <v>Jun</v>
      </c>
      <c r="Q309">
        <f>YEAR(data[[#This Row],[order_date]])</f>
        <v>2023</v>
      </c>
      <c r="R309">
        <f>MONTH(data[[#This Row],[order_date]])</f>
        <v>6</v>
      </c>
      <c r="S309">
        <f>DAY(data[[#This Row],[order_date]])</f>
        <v>29</v>
      </c>
      <c r="T309">
        <f>data[[#This Row],[profit]]/data[[#This Row],[sales]]</f>
        <v>0.23236214784493137</v>
      </c>
    </row>
    <row r="310" spans="1:20" x14ac:dyDescent="0.35">
      <c r="A310" t="s">
        <v>479</v>
      </c>
      <c r="B310" s="1">
        <v>45110</v>
      </c>
      <c r="C310" t="s">
        <v>49</v>
      </c>
      <c r="D310" t="s">
        <v>50</v>
      </c>
      <c r="E310" t="s">
        <v>191</v>
      </c>
      <c r="F310" t="s">
        <v>23</v>
      </c>
      <c r="G310" t="s">
        <v>463</v>
      </c>
      <c r="H310" t="s">
        <v>464</v>
      </c>
      <c r="I310" t="s">
        <v>465</v>
      </c>
      <c r="J310">
        <v>1</v>
      </c>
      <c r="K310">
        <v>4386000</v>
      </c>
      <c r="L310">
        <v>0.1</v>
      </c>
      <c r="M310">
        <v>3346000</v>
      </c>
      <c r="N310">
        <f>(data[[#This Row],[unit_price]]*data[[#This Row],[quantity]]) * (1-data[[#This Row],[discount]])</f>
        <v>3947400</v>
      </c>
      <c r="O310">
        <f>data[[#This Row],[sales]]-data[[#This Row],[cost]]</f>
        <v>601400</v>
      </c>
      <c r="P310" t="str">
        <f>TEXT(data[[#This Row],[order_date]],"mmm")</f>
        <v>Jul</v>
      </c>
      <c r="Q310">
        <f>YEAR(data[[#This Row],[order_date]])</f>
        <v>2023</v>
      </c>
      <c r="R310">
        <f>MONTH(data[[#This Row],[order_date]])</f>
        <v>7</v>
      </c>
      <c r="S310">
        <f>DAY(data[[#This Row],[order_date]])</f>
        <v>3</v>
      </c>
      <c r="T310">
        <f>data[[#This Row],[profit]]/data[[#This Row],[sales]]</f>
        <v>0.15235344783908394</v>
      </c>
    </row>
    <row r="311" spans="1:20" x14ac:dyDescent="0.35">
      <c r="A311" t="s">
        <v>480</v>
      </c>
      <c r="B311" s="1">
        <v>45120</v>
      </c>
      <c r="C311" t="s">
        <v>14</v>
      </c>
      <c r="D311" t="s">
        <v>15</v>
      </c>
      <c r="E311" t="s">
        <v>79</v>
      </c>
      <c r="F311" t="s">
        <v>17</v>
      </c>
      <c r="G311" t="s">
        <v>463</v>
      </c>
      <c r="H311" t="s">
        <v>464</v>
      </c>
      <c r="I311" t="s">
        <v>465</v>
      </c>
      <c r="J311">
        <v>2</v>
      </c>
      <c r="K311">
        <v>6004000</v>
      </c>
      <c r="L311">
        <v>0</v>
      </c>
      <c r="M311">
        <v>4617000</v>
      </c>
      <c r="N311">
        <f>(data[[#This Row],[unit_price]]*data[[#This Row],[quantity]]) * (1-data[[#This Row],[discount]])</f>
        <v>12008000</v>
      </c>
      <c r="O311">
        <f>data[[#This Row],[sales]]-data[[#This Row],[cost]]</f>
        <v>7391000</v>
      </c>
      <c r="P311" t="str">
        <f>TEXT(data[[#This Row],[order_date]],"mmm")</f>
        <v>Jul</v>
      </c>
      <c r="Q311">
        <f>YEAR(data[[#This Row],[order_date]])</f>
        <v>2023</v>
      </c>
      <c r="R311">
        <f>MONTH(data[[#This Row],[order_date]])</f>
        <v>7</v>
      </c>
      <c r="S311">
        <f>DAY(data[[#This Row],[order_date]])</f>
        <v>13</v>
      </c>
      <c r="T311">
        <f>data[[#This Row],[profit]]/data[[#This Row],[sales]]</f>
        <v>0.615506329113924</v>
      </c>
    </row>
    <row r="312" spans="1:20" x14ac:dyDescent="0.35">
      <c r="A312" t="s">
        <v>481</v>
      </c>
      <c r="B312" s="1">
        <v>45129</v>
      </c>
      <c r="C312" t="s">
        <v>14</v>
      </c>
      <c r="D312" t="s">
        <v>15</v>
      </c>
      <c r="E312" t="s">
        <v>182</v>
      </c>
      <c r="F312" t="s">
        <v>23</v>
      </c>
      <c r="G312" t="s">
        <v>463</v>
      </c>
      <c r="H312" t="s">
        <v>464</v>
      </c>
      <c r="I312" t="s">
        <v>465</v>
      </c>
      <c r="J312">
        <v>5</v>
      </c>
      <c r="K312">
        <v>5192000</v>
      </c>
      <c r="L312">
        <v>0</v>
      </c>
      <c r="M312">
        <v>3941000</v>
      </c>
      <c r="N312">
        <f>(data[[#This Row],[unit_price]]*data[[#This Row],[quantity]]) * (1-data[[#This Row],[discount]])</f>
        <v>25960000</v>
      </c>
      <c r="O312">
        <f>data[[#This Row],[sales]]-data[[#This Row],[cost]]</f>
        <v>22019000</v>
      </c>
      <c r="P312" t="str">
        <f>TEXT(data[[#This Row],[order_date]],"mmm")</f>
        <v>Jul</v>
      </c>
      <c r="Q312">
        <f>YEAR(data[[#This Row],[order_date]])</f>
        <v>2023</v>
      </c>
      <c r="R312">
        <f>MONTH(data[[#This Row],[order_date]])</f>
        <v>7</v>
      </c>
      <c r="S312">
        <f>DAY(data[[#This Row],[order_date]])</f>
        <v>22</v>
      </c>
      <c r="T312">
        <f>data[[#This Row],[profit]]/data[[#This Row],[sales]]</f>
        <v>0.84818952234206468</v>
      </c>
    </row>
    <row r="313" spans="1:20" x14ac:dyDescent="0.35">
      <c r="A313" t="s">
        <v>482</v>
      </c>
      <c r="B313" s="1">
        <v>45162</v>
      </c>
      <c r="C313" t="s">
        <v>14</v>
      </c>
      <c r="D313" t="s">
        <v>15</v>
      </c>
      <c r="E313" t="s">
        <v>402</v>
      </c>
      <c r="F313" t="s">
        <v>23</v>
      </c>
      <c r="G313" t="s">
        <v>463</v>
      </c>
      <c r="H313" t="s">
        <v>464</v>
      </c>
      <c r="I313" t="s">
        <v>465</v>
      </c>
      <c r="J313">
        <v>3</v>
      </c>
      <c r="K313">
        <v>4501000</v>
      </c>
      <c r="L313">
        <v>0</v>
      </c>
      <c r="M313">
        <v>3464000</v>
      </c>
      <c r="N313">
        <f>(data[[#This Row],[unit_price]]*data[[#This Row],[quantity]]) * (1-data[[#This Row],[discount]])</f>
        <v>13503000</v>
      </c>
      <c r="O313">
        <f>data[[#This Row],[sales]]-data[[#This Row],[cost]]</f>
        <v>10039000</v>
      </c>
      <c r="P313" t="str">
        <f>TEXT(data[[#This Row],[order_date]],"mmm")</f>
        <v>Aug</v>
      </c>
      <c r="Q313">
        <f>YEAR(data[[#This Row],[order_date]])</f>
        <v>2023</v>
      </c>
      <c r="R313">
        <f>MONTH(data[[#This Row],[order_date]])</f>
        <v>8</v>
      </c>
      <c r="S313">
        <f>DAY(data[[#This Row],[order_date]])</f>
        <v>24</v>
      </c>
      <c r="T313">
        <f>data[[#This Row],[profit]]/data[[#This Row],[sales]]</f>
        <v>0.7434644153151152</v>
      </c>
    </row>
    <row r="314" spans="1:20" x14ac:dyDescent="0.35">
      <c r="A314" t="s">
        <v>483</v>
      </c>
      <c r="B314" s="1">
        <v>45165</v>
      </c>
      <c r="C314" t="s">
        <v>41</v>
      </c>
      <c r="D314" t="s">
        <v>42</v>
      </c>
      <c r="E314" t="s">
        <v>242</v>
      </c>
      <c r="F314" t="s">
        <v>17</v>
      </c>
      <c r="G314" t="s">
        <v>463</v>
      </c>
      <c r="H314" t="s">
        <v>464</v>
      </c>
      <c r="I314" t="s">
        <v>465</v>
      </c>
      <c r="J314">
        <v>3</v>
      </c>
      <c r="K314">
        <v>6476000</v>
      </c>
      <c r="L314">
        <v>0.1</v>
      </c>
      <c r="M314">
        <v>4907000</v>
      </c>
      <c r="N314">
        <f>(data[[#This Row],[unit_price]]*data[[#This Row],[quantity]]) * (1-data[[#This Row],[discount]])</f>
        <v>17485200</v>
      </c>
      <c r="O314">
        <f>data[[#This Row],[sales]]-data[[#This Row],[cost]]</f>
        <v>12578200</v>
      </c>
      <c r="P314" t="str">
        <f>TEXT(data[[#This Row],[order_date]],"mmm")</f>
        <v>Aug</v>
      </c>
      <c r="Q314">
        <f>YEAR(data[[#This Row],[order_date]])</f>
        <v>2023</v>
      </c>
      <c r="R314">
        <f>MONTH(data[[#This Row],[order_date]])</f>
        <v>8</v>
      </c>
      <c r="S314">
        <f>DAY(data[[#This Row],[order_date]])</f>
        <v>27</v>
      </c>
      <c r="T314">
        <f>data[[#This Row],[profit]]/data[[#This Row],[sales]]</f>
        <v>0.71936266099329715</v>
      </c>
    </row>
    <row r="315" spans="1:20" x14ac:dyDescent="0.35">
      <c r="A315" t="s">
        <v>484</v>
      </c>
      <c r="B315" s="1">
        <v>45173</v>
      </c>
      <c r="C315" t="s">
        <v>41</v>
      </c>
      <c r="D315" t="s">
        <v>42</v>
      </c>
      <c r="E315" t="s">
        <v>71</v>
      </c>
      <c r="F315" t="s">
        <v>23</v>
      </c>
      <c r="G315" t="s">
        <v>463</v>
      </c>
      <c r="H315" t="s">
        <v>464</v>
      </c>
      <c r="I315" t="s">
        <v>465</v>
      </c>
      <c r="J315">
        <v>2</v>
      </c>
      <c r="K315">
        <v>4561000</v>
      </c>
      <c r="L315">
        <v>0</v>
      </c>
      <c r="M315">
        <v>3378000</v>
      </c>
      <c r="N315">
        <f>(data[[#This Row],[unit_price]]*data[[#This Row],[quantity]]) * (1-data[[#This Row],[discount]])</f>
        <v>9122000</v>
      </c>
      <c r="O315">
        <f>data[[#This Row],[sales]]-data[[#This Row],[cost]]</f>
        <v>5744000</v>
      </c>
      <c r="P315" t="str">
        <f>TEXT(data[[#This Row],[order_date]],"mmm")</f>
        <v>Sep</v>
      </c>
      <c r="Q315">
        <f>YEAR(data[[#This Row],[order_date]])</f>
        <v>2023</v>
      </c>
      <c r="R315">
        <f>MONTH(data[[#This Row],[order_date]])</f>
        <v>9</v>
      </c>
      <c r="S315">
        <f>DAY(data[[#This Row],[order_date]])</f>
        <v>4</v>
      </c>
      <c r="T315">
        <f>data[[#This Row],[profit]]/data[[#This Row],[sales]]</f>
        <v>0.62968647226485419</v>
      </c>
    </row>
    <row r="316" spans="1:20" x14ac:dyDescent="0.35">
      <c r="A316" t="s">
        <v>485</v>
      </c>
      <c r="B316" s="1">
        <v>45176</v>
      </c>
      <c r="C316" t="s">
        <v>25</v>
      </c>
      <c r="D316" t="s">
        <v>26</v>
      </c>
      <c r="E316" t="s">
        <v>141</v>
      </c>
      <c r="F316" t="s">
        <v>17</v>
      </c>
      <c r="G316" t="s">
        <v>463</v>
      </c>
      <c r="H316" t="s">
        <v>464</v>
      </c>
      <c r="I316" t="s">
        <v>465</v>
      </c>
      <c r="J316">
        <v>1</v>
      </c>
      <c r="K316">
        <v>6176000</v>
      </c>
      <c r="L316">
        <v>0</v>
      </c>
      <c r="M316">
        <v>4776000</v>
      </c>
      <c r="N316">
        <f>(data[[#This Row],[unit_price]]*data[[#This Row],[quantity]]) * (1-data[[#This Row],[discount]])</f>
        <v>6176000</v>
      </c>
      <c r="O316">
        <f>data[[#This Row],[sales]]-data[[#This Row],[cost]]</f>
        <v>1400000</v>
      </c>
      <c r="P316" t="str">
        <f>TEXT(data[[#This Row],[order_date]],"mmm")</f>
        <v>Sep</v>
      </c>
      <c r="Q316">
        <f>YEAR(data[[#This Row],[order_date]])</f>
        <v>2023</v>
      </c>
      <c r="R316">
        <f>MONTH(data[[#This Row],[order_date]])</f>
        <v>9</v>
      </c>
      <c r="S316">
        <f>DAY(data[[#This Row],[order_date]])</f>
        <v>7</v>
      </c>
      <c r="T316">
        <f>data[[#This Row],[profit]]/data[[#This Row],[sales]]</f>
        <v>0.2266839378238342</v>
      </c>
    </row>
    <row r="317" spans="1:20" x14ac:dyDescent="0.35">
      <c r="A317" t="s">
        <v>486</v>
      </c>
      <c r="B317" s="1">
        <v>45178</v>
      </c>
      <c r="C317" t="s">
        <v>14</v>
      </c>
      <c r="D317" t="s">
        <v>15</v>
      </c>
      <c r="E317" t="s">
        <v>146</v>
      </c>
      <c r="F317" t="s">
        <v>17</v>
      </c>
      <c r="G317" t="s">
        <v>463</v>
      </c>
      <c r="H317" t="s">
        <v>464</v>
      </c>
      <c r="I317" t="s">
        <v>465</v>
      </c>
      <c r="J317">
        <v>1</v>
      </c>
      <c r="K317">
        <v>5809000</v>
      </c>
      <c r="L317">
        <v>0</v>
      </c>
      <c r="M317">
        <v>4464000</v>
      </c>
      <c r="N317">
        <f>(data[[#This Row],[unit_price]]*data[[#This Row],[quantity]]) * (1-data[[#This Row],[discount]])</f>
        <v>5809000</v>
      </c>
      <c r="O317">
        <f>data[[#This Row],[sales]]-data[[#This Row],[cost]]</f>
        <v>1345000</v>
      </c>
      <c r="P317" t="str">
        <f>TEXT(data[[#This Row],[order_date]],"mmm")</f>
        <v>Sep</v>
      </c>
      <c r="Q317">
        <f>YEAR(data[[#This Row],[order_date]])</f>
        <v>2023</v>
      </c>
      <c r="R317">
        <f>MONTH(data[[#This Row],[order_date]])</f>
        <v>9</v>
      </c>
      <c r="S317">
        <f>DAY(data[[#This Row],[order_date]])</f>
        <v>9</v>
      </c>
      <c r="T317">
        <f>data[[#This Row],[profit]]/data[[#This Row],[sales]]</f>
        <v>0.23153726975383027</v>
      </c>
    </row>
    <row r="318" spans="1:20" x14ac:dyDescent="0.35">
      <c r="A318" t="s">
        <v>487</v>
      </c>
      <c r="B318" s="1">
        <v>45192</v>
      </c>
      <c r="C318" t="s">
        <v>14</v>
      </c>
      <c r="D318" t="s">
        <v>15</v>
      </c>
      <c r="E318" t="s">
        <v>119</v>
      </c>
      <c r="F318" t="s">
        <v>23</v>
      </c>
      <c r="G318" t="s">
        <v>463</v>
      </c>
      <c r="H318" t="s">
        <v>464</v>
      </c>
      <c r="I318" t="s">
        <v>465</v>
      </c>
      <c r="J318">
        <v>2</v>
      </c>
      <c r="K318">
        <v>5077000</v>
      </c>
      <c r="L318">
        <v>0</v>
      </c>
      <c r="M318">
        <v>3943000</v>
      </c>
      <c r="N318">
        <f>(data[[#This Row],[unit_price]]*data[[#This Row],[quantity]]) * (1-data[[#This Row],[discount]])</f>
        <v>10154000</v>
      </c>
      <c r="O318">
        <f>data[[#This Row],[sales]]-data[[#This Row],[cost]]</f>
        <v>6211000</v>
      </c>
      <c r="P318" t="str">
        <f>TEXT(data[[#This Row],[order_date]],"mmm")</f>
        <v>Sep</v>
      </c>
      <c r="Q318">
        <f>YEAR(data[[#This Row],[order_date]])</f>
        <v>2023</v>
      </c>
      <c r="R318">
        <f>MONTH(data[[#This Row],[order_date]])</f>
        <v>9</v>
      </c>
      <c r="S318">
        <f>DAY(data[[#This Row],[order_date]])</f>
        <v>23</v>
      </c>
      <c r="T318">
        <f>data[[#This Row],[profit]]/data[[#This Row],[sales]]</f>
        <v>0.61168012605869604</v>
      </c>
    </row>
    <row r="319" spans="1:20" x14ac:dyDescent="0.35">
      <c r="A319" t="s">
        <v>488</v>
      </c>
      <c r="B319" s="1">
        <v>45193</v>
      </c>
      <c r="C319" t="s">
        <v>14</v>
      </c>
      <c r="D319" t="s">
        <v>15</v>
      </c>
      <c r="E319" t="s">
        <v>489</v>
      </c>
      <c r="F319" t="s">
        <v>17</v>
      </c>
      <c r="G319" t="s">
        <v>463</v>
      </c>
      <c r="H319" t="s">
        <v>464</v>
      </c>
      <c r="I319" t="s">
        <v>465</v>
      </c>
      <c r="J319">
        <v>1</v>
      </c>
      <c r="K319">
        <v>5330521.7391304346</v>
      </c>
      <c r="L319">
        <v>0.05</v>
      </c>
      <c r="M319">
        <v>3800000</v>
      </c>
      <c r="N319">
        <f>(data[[#This Row],[unit_price]]*data[[#This Row],[quantity]]) * (1-data[[#This Row],[discount]])</f>
        <v>5063995.6521739122</v>
      </c>
      <c r="O319">
        <f>data[[#This Row],[sales]]-data[[#This Row],[cost]]</f>
        <v>1263995.6521739122</v>
      </c>
      <c r="P319" t="str">
        <f>TEXT(data[[#This Row],[order_date]],"mmm")</f>
        <v>Sep</v>
      </c>
      <c r="Q319">
        <f>YEAR(data[[#This Row],[order_date]])</f>
        <v>2023</v>
      </c>
      <c r="R319">
        <f>MONTH(data[[#This Row],[order_date]])</f>
        <v>9</v>
      </c>
      <c r="S319">
        <f>DAY(data[[#This Row],[order_date]])</f>
        <v>24</v>
      </c>
      <c r="T319">
        <f>data[[#This Row],[profit]]/data[[#This Row],[sales]]</f>
        <v>0.24960441102102726</v>
      </c>
    </row>
    <row r="320" spans="1:20" x14ac:dyDescent="0.35">
      <c r="A320" t="s">
        <v>490</v>
      </c>
      <c r="B320" s="1">
        <v>45195</v>
      </c>
      <c r="C320" t="s">
        <v>25</v>
      </c>
      <c r="D320" t="s">
        <v>26</v>
      </c>
      <c r="E320" t="s">
        <v>337</v>
      </c>
      <c r="F320" t="s">
        <v>23</v>
      </c>
      <c r="G320" t="s">
        <v>463</v>
      </c>
      <c r="H320" t="s">
        <v>464</v>
      </c>
      <c r="I320" t="s">
        <v>465</v>
      </c>
      <c r="J320">
        <v>1</v>
      </c>
      <c r="K320">
        <v>4225000</v>
      </c>
      <c r="L320">
        <v>0</v>
      </c>
      <c r="M320">
        <v>3213000</v>
      </c>
      <c r="N320">
        <f>(data[[#This Row],[unit_price]]*data[[#This Row],[quantity]]) * (1-data[[#This Row],[discount]])</f>
        <v>4225000</v>
      </c>
      <c r="O320">
        <f>data[[#This Row],[sales]]-data[[#This Row],[cost]]</f>
        <v>1012000</v>
      </c>
      <c r="P320" t="str">
        <f>TEXT(data[[#This Row],[order_date]],"mmm")</f>
        <v>Sep</v>
      </c>
      <c r="Q320">
        <f>YEAR(data[[#This Row],[order_date]])</f>
        <v>2023</v>
      </c>
      <c r="R320">
        <f>MONTH(data[[#This Row],[order_date]])</f>
        <v>9</v>
      </c>
      <c r="S320">
        <f>DAY(data[[#This Row],[order_date]])</f>
        <v>26</v>
      </c>
      <c r="T320">
        <f>data[[#This Row],[profit]]/data[[#This Row],[sales]]</f>
        <v>0.23952662721893492</v>
      </c>
    </row>
    <row r="321" spans="1:20" x14ac:dyDescent="0.35">
      <c r="A321" t="s">
        <v>491</v>
      </c>
      <c r="B321" s="1">
        <v>45202</v>
      </c>
      <c r="C321" t="s">
        <v>14</v>
      </c>
      <c r="D321" t="s">
        <v>15</v>
      </c>
      <c r="E321" t="s">
        <v>218</v>
      </c>
      <c r="F321" t="s">
        <v>23</v>
      </c>
      <c r="G321" t="s">
        <v>463</v>
      </c>
      <c r="H321" t="s">
        <v>464</v>
      </c>
      <c r="I321" t="s">
        <v>465</v>
      </c>
      <c r="J321">
        <v>1</v>
      </c>
      <c r="K321">
        <v>6470000</v>
      </c>
      <c r="L321">
        <v>0</v>
      </c>
      <c r="M321">
        <v>5009000</v>
      </c>
      <c r="N321">
        <f>(data[[#This Row],[unit_price]]*data[[#This Row],[quantity]]) * (1-data[[#This Row],[discount]])</f>
        <v>6470000</v>
      </c>
      <c r="O321">
        <f>data[[#This Row],[sales]]-data[[#This Row],[cost]]</f>
        <v>1461000</v>
      </c>
      <c r="P321" t="str">
        <f>TEXT(data[[#This Row],[order_date]],"mmm")</f>
        <v>Oct</v>
      </c>
      <c r="Q321">
        <f>YEAR(data[[#This Row],[order_date]])</f>
        <v>2023</v>
      </c>
      <c r="R321">
        <f>MONTH(data[[#This Row],[order_date]])</f>
        <v>10</v>
      </c>
      <c r="S321">
        <f>DAY(data[[#This Row],[order_date]])</f>
        <v>3</v>
      </c>
      <c r="T321">
        <f>data[[#This Row],[profit]]/data[[#This Row],[sales]]</f>
        <v>0.22581143740340032</v>
      </c>
    </row>
    <row r="322" spans="1:20" x14ac:dyDescent="0.35">
      <c r="A322" t="s">
        <v>492</v>
      </c>
      <c r="B322" s="1">
        <v>45267</v>
      </c>
      <c r="C322" t="s">
        <v>14</v>
      </c>
      <c r="D322" t="s">
        <v>15</v>
      </c>
      <c r="E322" t="s">
        <v>493</v>
      </c>
      <c r="F322" t="s">
        <v>23</v>
      </c>
      <c r="G322" t="s">
        <v>463</v>
      </c>
      <c r="H322" t="s">
        <v>464</v>
      </c>
      <c r="I322" t="s">
        <v>465</v>
      </c>
      <c r="J322">
        <v>1</v>
      </c>
      <c r="K322">
        <v>5330521.7391304346</v>
      </c>
      <c r="L322">
        <v>0</v>
      </c>
      <c r="M322">
        <v>3800000</v>
      </c>
      <c r="N322">
        <f>(data[[#This Row],[unit_price]]*data[[#This Row],[quantity]]) * (1-data[[#This Row],[discount]])</f>
        <v>5330521.7391304346</v>
      </c>
      <c r="O322">
        <f>data[[#This Row],[sales]]-data[[#This Row],[cost]]</f>
        <v>1530521.7391304346</v>
      </c>
      <c r="P322" t="str">
        <f>TEXT(data[[#This Row],[order_date]],"mmm")</f>
        <v>Dec</v>
      </c>
      <c r="Q322">
        <f>YEAR(data[[#This Row],[order_date]])</f>
        <v>2023</v>
      </c>
      <c r="R322">
        <f>MONTH(data[[#This Row],[order_date]])</f>
        <v>12</v>
      </c>
      <c r="S322">
        <f>DAY(data[[#This Row],[order_date]])</f>
        <v>7</v>
      </c>
      <c r="T322">
        <f>data[[#This Row],[profit]]/data[[#This Row],[sales]]</f>
        <v>0.287124190469976</v>
      </c>
    </row>
    <row r="323" spans="1:20" x14ac:dyDescent="0.35">
      <c r="A323" t="s">
        <v>494</v>
      </c>
      <c r="B323" s="1">
        <v>45314</v>
      </c>
      <c r="C323" t="s">
        <v>14</v>
      </c>
      <c r="D323" t="s">
        <v>15</v>
      </c>
      <c r="E323" t="s">
        <v>307</v>
      </c>
      <c r="F323" t="s">
        <v>28</v>
      </c>
      <c r="G323" t="s">
        <v>463</v>
      </c>
      <c r="H323" t="s">
        <v>464</v>
      </c>
      <c r="I323" t="s">
        <v>465</v>
      </c>
      <c r="J323">
        <v>1</v>
      </c>
      <c r="K323">
        <v>5805000</v>
      </c>
      <c r="L323">
        <v>0</v>
      </c>
      <c r="M323">
        <v>4348000</v>
      </c>
      <c r="N323">
        <f>(data[[#This Row],[unit_price]]*data[[#This Row],[quantity]]) * (1-data[[#This Row],[discount]])</f>
        <v>5805000</v>
      </c>
      <c r="O323">
        <f>data[[#This Row],[sales]]-data[[#This Row],[cost]]</f>
        <v>1457000</v>
      </c>
      <c r="P323" t="str">
        <f>TEXT(data[[#This Row],[order_date]],"mmm")</f>
        <v>Jan</v>
      </c>
      <c r="Q323">
        <f>YEAR(data[[#This Row],[order_date]])</f>
        <v>2024</v>
      </c>
      <c r="R323">
        <f>MONTH(data[[#This Row],[order_date]])</f>
        <v>1</v>
      </c>
      <c r="S323">
        <f>DAY(data[[#This Row],[order_date]])</f>
        <v>23</v>
      </c>
      <c r="T323">
        <f>data[[#This Row],[profit]]/data[[#This Row],[sales]]</f>
        <v>0.25099052540913008</v>
      </c>
    </row>
    <row r="324" spans="1:20" x14ac:dyDescent="0.35">
      <c r="A324" t="s">
        <v>495</v>
      </c>
      <c r="B324" s="1">
        <v>45320</v>
      </c>
      <c r="C324" t="s">
        <v>41</v>
      </c>
      <c r="D324" t="s">
        <v>42</v>
      </c>
      <c r="E324" t="s">
        <v>493</v>
      </c>
      <c r="F324" t="s">
        <v>23</v>
      </c>
      <c r="G324" t="s">
        <v>463</v>
      </c>
      <c r="H324" t="s">
        <v>464</v>
      </c>
      <c r="I324" t="s">
        <v>465</v>
      </c>
      <c r="J324">
        <v>3</v>
      </c>
      <c r="K324">
        <v>5625000</v>
      </c>
      <c r="L324">
        <v>0</v>
      </c>
      <c r="M324">
        <v>4336000</v>
      </c>
      <c r="N324">
        <f>(data[[#This Row],[unit_price]]*data[[#This Row],[quantity]]) * (1-data[[#This Row],[discount]])</f>
        <v>16875000</v>
      </c>
      <c r="O324">
        <f>data[[#This Row],[sales]]-data[[#This Row],[cost]]</f>
        <v>12539000</v>
      </c>
      <c r="P324" t="str">
        <f>TEXT(data[[#This Row],[order_date]],"mmm")</f>
        <v>Jan</v>
      </c>
      <c r="Q324">
        <f>YEAR(data[[#This Row],[order_date]])</f>
        <v>2024</v>
      </c>
      <c r="R324">
        <f>MONTH(data[[#This Row],[order_date]])</f>
        <v>1</v>
      </c>
      <c r="S324">
        <f>DAY(data[[#This Row],[order_date]])</f>
        <v>29</v>
      </c>
      <c r="T324">
        <f>data[[#This Row],[profit]]/data[[#This Row],[sales]]</f>
        <v>0.74305185185185185</v>
      </c>
    </row>
    <row r="325" spans="1:20" x14ac:dyDescent="0.35">
      <c r="A325" t="s">
        <v>496</v>
      </c>
      <c r="B325" s="1">
        <v>45321</v>
      </c>
      <c r="C325" t="s">
        <v>14</v>
      </c>
      <c r="D325" t="s">
        <v>15</v>
      </c>
      <c r="E325" t="s">
        <v>43</v>
      </c>
      <c r="F325" t="s">
        <v>17</v>
      </c>
      <c r="G325" t="s">
        <v>463</v>
      </c>
      <c r="H325" t="s">
        <v>464</v>
      </c>
      <c r="I325" t="s">
        <v>465</v>
      </c>
      <c r="J325">
        <v>5</v>
      </c>
      <c r="K325">
        <v>5489000</v>
      </c>
      <c r="L325">
        <v>0</v>
      </c>
      <c r="M325">
        <v>4068000</v>
      </c>
      <c r="N325">
        <f>(data[[#This Row],[unit_price]]*data[[#This Row],[quantity]]) * (1-data[[#This Row],[discount]])</f>
        <v>27445000</v>
      </c>
      <c r="O325">
        <f>data[[#This Row],[sales]]-data[[#This Row],[cost]]</f>
        <v>23377000</v>
      </c>
      <c r="P325" t="str">
        <f>TEXT(data[[#This Row],[order_date]],"mmm")</f>
        <v>Jan</v>
      </c>
      <c r="Q325">
        <f>YEAR(data[[#This Row],[order_date]])</f>
        <v>2024</v>
      </c>
      <c r="R325">
        <f>MONTH(data[[#This Row],[order_date]])</f>
        <v>1</v>
      </c>
      <c r="S325">
        <f>DAY(data[[#This Row],[order_date]])</f>
        <v>30</v>
      </c>
      <c r="T325">
        <f>data[[#This Row],[profit]]/data[[#This Row],[sales]]</f>
        <v>0.85177627983239201</v>
      </c>
    </row>
    <row r="326" spans="1:20" x14ac:dyDescent="0.35">
      <c r="A326" t="s">
        <v>497</v>
      </c>
      <c r="B326" s="1">
        <v>45349</v>
      </c>
      <c r="C326" t="s">
        <v>49</v>
      </c>
      <c r="D326" t="s">
        <v>50</v>
      </c>
      <c r="E326" t="s">
        <v>498</v>
      </c>
      <c r="F326" t="s">
        <v>23</v>
      </c>
      <c r="G326" t="s">
        <v>463</v>
      </c>
      <c r="H326" t="s">
        <v>464</v>
      </c>
      <c r="I326" t="s">
        <v>465</v>
      </c>
      <c r="J326">
        <v>1</v>
      </c>
      <c r="K326">
        <v>6360000</v>
      </c>
      <c r="L326">
        <v>0</v>
      </c>
      <c r="M326">
        <v>4863000</v>
      </c>
      <c r="N326">
        <f>(data[[#This Row],[unit_price]]*data[[#This Row],[quantity]]) * (1-data[[#This Row],[discount]])</f>
        <v>6360000</v>
      </c>
      <c r="O326">
        <f>data[[#This Row],[sales]]-data[[#This Row],[cost]]</f>
        <v>1497000</v>
      </c>
      <c r="P326" t="str">
        <f>TEXT(data[[#This Row],[order_date]],"mmm")</f>
        <v>Feb</v>
      </c>
      <c r="Q326">
        <f>YEAR(data[[#This Row],[order_date]])</f>
        <v>2024</v>
      </c>
      <c r="R326">
        <f>MONTH(data[[#This Row],[order_date]])</f>
        <v>2</v>
      </c>
      <c r="S326">
        <f>DAY(data[[#This Row],[order_date]])</f>
        <v>27</v>
      </c>
      <c r="T326">
        <f>data[[#This Row],[profit]]/data[[#This Row],[sales]]</f>
        <v>0.23537735849056604</v>
      </c>
    </row>
    <row r="327" spans="1:20" x14ac:dyDescent="0.35">
      <c r="A327" t="s">
        <v>499</v>
      </c>
      <c r="B327" s="1">
        <v>45372</v>
      </c>
      <c r="C327" t="s">
        <v>25</v>
      </c>
      <c r="D327" t="s">
        <v>26</v>
      </c>
      <c r="E327" t="s">
        <v>117</v>
      </c>
      <c r="F327" t="s">
        <v>23</v>
      </c>
      <c r="G327" t="s">
        <v>463</v>
      </c>
      <c r="H327" t="s">
        <v>464</v>
      </c>
      <c r="I327" t="s">
        <v>465</v>
      </c>
      <c r="J327">
        <v>1</v>
      </c>
      <c r="K327">
        <v>4091000</v>
      </c>
      <c r="L327">
        <v>0</v>
      </c>
      <c r="M327">
        <v>3139000</v>
      </c>
      <c r="N327">
        <f>(data[[#This Row],[unit_price]]*data[[#This Row],[quantity]]) * (1-data[[#This Row],[discount]])</f>
        <v>4091000</v>
      </c>
      <c r="O327">
        <f>data[[#This Row],[sales]]-data[[#This Row],[cost]]</f>
        <v>952000</v>
      </c>
      <c r="P327" t="str">
        <f>TEXT(data[[#This Row],[order_date]],"mmm")</f>
        <v>Mar</v>
      </c>
      <c r="Q327">
        <f>YEAR(data[[#This Row],[order_date]])</f>
        <v>2024</v>
      </c>
      <c r="R327">
        <f>MONTH(data[[#This Row],[order_date]])</f>
        <v>3</v>
      </c>
      <c r="S327">
        <f>DAY(data[[#This Row],[order_date]])</f>
        <v>21</v>
      </c>
      <c r="T327">
        <f>data[[#This Row],[profit]]/data[[#This Row],[sales]]</f>
        <v>0.23270593986800292</v>
      </c>
    </row>
    <row r="328" spans="1:20" x14ac:dyDescent="0.35">
      <c r="A328" t="s">
        <v>500</v>
      </c>
      <c r="B328" s="1">
        <v>45373</v>
      </c>
      <c r="C328" t="s">
        <v>41</v>
      </c>
      <c r="D328" t="s">
        <v>42</v>
      </c>
      <c r="E328" t="s">
        <v>91</v>
      </c>
      <c r="F328" t="s">
        <v>23</v>
      </c>
      <c r="G328" t="s">
        <v>463</v>
      </c>
      <c r="H328" t="s">
        <v>464</v>
      </c>
      <c r="I328" t="s">
        <v>465</v>
      </c>
      <c r="J328">
        <v>1</v>
      </c>
      <c r="K328">
        <v>3930000</v>
      </c>
      <c r="L328">
        <v>0</v>
      </c>
      <c r="M328">
        <v>2928000</v>
      </c>
      <c r="N328">
        <f>(data[[#This Row],[unit_price]]*data[[#This Row],[quantity]]) * (1-data[[#This Row],[discount]])</f>
        <v>3930000</v>
      </c>
      <c r="O328">
        <f>data[[#This Row],[sales]]-data[[#This Row],[cost]]</f>
        <v>1002000</v>
      </c>
      <c r="P328" t="str">
        <f>TEXT(data[[#This Row],[order_date]],"mmm")</f>
        <v>Mar</v>
      </c>
      <c r="Q328">
        <f>YEAR(data[[#This Row],[order_date]])</f>
        <v>2024</v>
      </c>
      <c r="R328">
        <f>MONTH(data[[#This Row],[order_date]])</f>
        <v>3</v>
      </c>
      <c r="S328">
        <f>DAY(data[[#This Row],[order_date]])</f>
        <v>22</v>
      </c>
      <c r="T328">
        <f>data[[#This Row],[profit]]/data[[#This Row],[sales]]</f>
        <v>0.25496183206106871</v>
      </c>
    </row>
    <row r="329" spans="1:20" x14ac:dyDescent="0.35">
      <c r="A329" t="s">
        <v>501</v>
      </c>
      <c r="B329" s="1">
        <v>45427</v>
      </c>
      <c r="C329" t="s">
        <v>14</v>
      </c>
      <c r="D329" t="s">
        <v>15</v>
      </c>
      <c r="E329" t="s">
        <v>144</v>
      </c>
      <c r="F329" t="s">
        <v>23</v>
      </c>
      <c r="G329" t="s">
        <v>463</v>
      </c>
      <c r="H329" t="s">
        <v>464</v>
      </c>
      <c r="I329" t="s">
        <v>465</v>
      </c>
      <c r="J329">
        <v>2</v>
      </c>
      <c r="K329">
        <v>5174000</v>
      </c>
      <c r="L329">
        <v>0.1</v>
      </c>
      <c r="M329">
        <v>4010000</v>
      </c>
      <c r="N329">
        <f>(data[[#This Row],[unit_price]]*data[[#This Row],[quantity]]) * (1-data[[#This Row],[discount]])</f>
        <v>9313200</v>
      </c>
      <c r="O329">
        <f>data[[#This Row],[sales]]-data[[#This Row],[cost]]</f>
        <v>5303200</v>
      </c>
      <c r="P329" t="str">
        <f>TEXT(data[[#This Row],[order_date]],"mmm")</f>
        <v>May</v>
      </c>
      <c r="Q329">
        <f>YEAR(data[[#This Row],[order_date]])</f>
        <v>2024</v>
      </c>
      <c r="R329">
        <f>MONTH(data[[#This Row],[order_date]])</f>
        <v>5</v>
      </c>
      <c r="S329">
        <f>DAY(data[[#This Row],[order_date]])</f>
        <v>15</v>
      </c>
      <c r="T329">
        <f>data[[#This Row],[profit]]/data[[#This Row],[sales]]</f>
        <v>0.56942833827255934</v>
      </c>
    </row>
    <row r="330" spans="1:20" x14ac:dyDescent="0.35">
      <c r="A330" t="s">
        <v>502</v>
      </c>
      <c r="B330" s="1">
        <v>45473</v>
      </c>
      <c r="C330" t="s">
        <v>41</v>
      </c>
      <c r="D330" t="s">
        <v>42</v>
      </c>
      <c r="E330" t="s">
        <v>333</v>
      </c>
      <c r="F330" t="s">
        <v>17</v>
      </c>
      <c r="G330" t="s">
        <v>463</v>
      </c>
      <c r="H330" t="s">
        <v>464</v>
      </c>
      <c r="I330" t="s">
        <v>465</v>
      </c>
      <c r="J330">
        <v>2</v>
      </c>
      <c r="K330">
        <v>5776000</v>
      </c>
      <c r="L330">
        <v>0.05</v>
      </c>
      <c r="M330">
        <v>4457000</v>
      </c>
      <c r="N330">
        <f>(data[[#This Row],[unit_price]]*data[[#This Row],[quantity]]) * (1-data[[#This Row],[discount]])</f>
        <v>10974400</v>
      </c>
      <c r="O330">
        <f>data[[#This Row],[sales]]-data[[#This Row],[cost]]</f>
        <v>6517400</v>
      </c>
      <c r="P330" t="str">
        <f>TEXT(data[[#This Row],[order_date]],"mmm")</f>
        <v>Jun</v>
      </c>
      <c r="Q330">
        <f>YEAR(data[[#This Row],[order_date]])</f>
        <v>2024</v>
      </c>
      <c r="R330">
        <f>MONTH(data[[#This Row],[order_date]])</f>
        <v>6</v>
      </c>
      <c r="S330">
        <f>DAY(data[[#This Row],[order_date]])</f>
        <v>30</v>
      </c>
      <c r="T330">
        <f>data[[#This Row],[profit]]/data[[#This Row],[sales]]</f>
        <v>0.59387301355882782</v>
      </c>
    </row>
    <row r="331" spans="1:20" x14ac:dyDescent="0.35">
      <c r="A331" t="s">
        <v>503</v>
      </c>
      <c r="B331" s="1">
        <v>45474</v>
      </c>
      <c r="C331" t="s">
        <v>25</v>
      </c>
      <c r="D331" t="s">
        <v>26</v>
      </c>
      <c r="E331" t="s">
        <v>182</v>
      </c>
      <c r="F331" t="s">
        <v>23</v>
      </c>
      <c r="G331" t="s">
        <v>463</v>
      </c>
      <c r="H331" t="s">
        <v>464</v>
      </c>
      <c r="I331" t="s">
        <v>465</v>
      </c>
      <c r="J331">
        <v>1</v>
      </c>
      <c r="K331">
        <v>4584000</v>
      </c>
      <c r="L331">
        <v>0</v>
      </c>
      <c r="M331">
        <v>3469000</v>
      </c>
      <c r="N331">
        <f>(data[[#This Row],[unit_price]]*data[[#This Row],[quantity]]) * (1-data[[#This Row],[discount]])</f>
        <v>4584000</v>
      </c>
      <c r="O331">
        <f>data[[#This Row],[sales]]-data[[#This Row],[cost]]</f>
        <v>1115000</v>
      </c>
      <c r="P331" t="str">
        <f>TEXT(data[[#This Row],[order_date]],"mmm")</f>
        <v>Jul</v>
      </c>
      <c r="Q331">
        <f>YEAR(data[[#This Row],[order_date]])</f>
        <v>2024</v>
      </c>
      <c r="R331">
        <f>MONTH(data[[#This Row],[order_date]])</f>
        <v>7</v>
      </c>
      <c r="S331">
        <f>DAY(data[[#This Row],[order_date]])</f>
        <v>1</v>
      </c>
      <c r="T331">
        <f>data[[#This Row],[profit]]/data[[#This Row],[sales]]</f>
        <v>0.24323734729493893</v>
      </c>
    </row>
    <row r="332" spans="1:20" x14ac:dyDescent="0.35">
      <c r="A332" t="s">
        <v>504</v>
      </c>
      <c r="B332" s="1">
        <v>45485</v>
      </c>
      <c r="C332" t="s">
        <v>14</v>
      </c>
      <c r="D332" t="s">
        <v>15</v>
      </c>
      <c r="E332" t="s">
        <v>32</v>
      </c>
      <c r="F332" t="s">
        <v>23</v>
      </c>
      <c r="G332" t="s">
        <v>463</v>
      </c>
      <c r="H332" t="s">
        <v>464</v>
      </c>
      <c r="I332" t="s">
        <v>465</v>
      </c>
      <c r="J332">
        <v>1</v>
      </c>
      <c r="K332">
        <v>3840000</v>
      </c>
      <c r="L332">
        <v>0</v>
      </c>
      <c r="M332">
        <v>2899000</v>
      </c>
      <c r="N332">
        <f>(data[[#This Row],[unit_price]]*data[[#This Row],[quantity]]) * (1-data[[#This Row],[discount]])</f>
        <v>3840000</v>
      </c>
      <c r="O332">
        <f>data[[#This Row],[sales]]-data[[#This Row],[cost]]</f>
        <v>941000</v>
      </c>
      <c r="P332" t="str">
        <f>TEXT(data[[#This Row],[order_date]],"mmm")</f>
        <v>Jul</v>
      </c>
      <c r="Q332">
        <f>YEAR(data[[#This Row],[order_date]])</f>
        <v>2024</v>
      </c>
      <c r="R332">
        <f>MONTH(data[[#This Row],[order_date]])</f>
        <v>7</v>
      </c>
      <c r="S332">
        <f>DAY(data[[#This Row],[order_date]])</f>
        <v>12</v>
      </c>
      <c r="T332">
        <f>data[[#This Row],[profit]]/data[[#This Row],[sales]]</f>
        <v>0.24505208333333334</v>
      </c>
    </row>
    <row r="333" spans="1:20" x14ac:dyDescent="0.35">
      <c r="A333" t="s">
        <v>505</v>
      </c>
      <c r="B333" s="1">
        <v>45503</v>
      </c>
      <c r="C333" t="s">
        <v>14</v>
      </c>
      <c r="D333" t="s">
        <v>15</v>
      </c>
      <c r="E333" t="s">
        <v>309</v>
      </c>
      <c r="F333" t="s">
        <v>23</v>
      </c>
      <c r="G333" t="s">
        <v>463</v>
      </c>
      <c r="H333" t="s">
        <v>464</v>
      </c>
      <c r="I333" t="s">
        <v>465</v>
      </c>
      <c r="J333">
        <v>1</v>
      </c>
      <c r="K333">
        <v>6103000</v>
      </c>
      <c r="L333">
        <v>0</v>
      </c>
      <c r="M333">
        <v>4696000</v>
      </c>
      <c r="N333">
        <f>(data[[#This Row],[unit_price]]*data[[#This Row],[quantity]]) * (1-data[[#This Row],[discount]])</f>
        <v>6103000</v>
      </c>
      <c r="O333">
        <f>data[[#This Row],[sales]]-data[[#This Row],[cost]]</f>
        <v>1407000</v>
      </c>
      <c r="P333" t="str">
        <f>TEXT(data[[#This Row],[order_date]],"mmm")</f>
        <v>Jul</v>
      </c>
      <c r="Q333">
        <f>YEAR(data[[#This Row],[order_date]])</f>
        <v>2024</v>
      </c>
      <c r="R333">
        <f>MONTH(data[[#This Row],[order_date]])</f>
        <v>7</v>
      </c>
      <c r="S333">
        <f>DAY(data[[#This Row],[order_date]])</f>
        <v>30</v>
      </c>
      <c r="T333">
        <f>data[[#This Row],[profit]]/data[[#This Row],[sales]]</f>
        <v>0.23054235621825331</v>
      </c>
    </row>
    <row r="334" spans="1:20" x14ac:dyDescent="0.35">
      <c r="A334" t="s">
        <v>506</v>
      </c>
      <c r="B334" s="1">
        <v>45507</v>
      </c>
      <c r="C334" t="s">
        <v>14</v>
      </c>
      <c r="D334" t="s">
        <v>15</v>
      </c>
      <c r="E334" t="s">
        <v>489</v>
      </c>
      <c r="F334" t="s">
        <v>17</v>
      </c>
      <c r="G334" t="s">
        <v>463</v>
      </c>
      <c r="H334" t="s">
        <v>464</v>
      </c>
      <c r="I334" t="s">
        <v>465</v>
      </c>
      <c r="J334">
        <v>1</v>
      </c>
      <c r="K334">
        <v>4339000</v>
      </c>
      <c r="L334">
        <v>0</v>
      </c>
      <c r="M334">
        <v>3297000</v>
      </c>
      <c r="N334">
        <f>(data[[#This Row],[unit_price]]*data[[#This Row],[quantity]]) * (1-data[[#This Row],[discount]])</f>
        <v>4339000</v>
      </c>
      <c r="O334">
        <f>data[[#This Row],[sales]]-data[[#This Row],[cost]]</f>
        <v>1042000</v>
      </c>
      <c r="P334" t="str">
        <f>TEXT(data[[#This Row],[order_date]],"mmm")</f>
        <v>Aug</v>
      </c>
      <c r="Q334">
        <f>YEAR(data[[#This Row],[order_date]])</f>
        <v>2024</v>
      </c>
      <c r="R334">
        <f>MONTH(data[[#This Row],[order_date]])</f>
        <v>8</v>
      </c>
      <c r="S334">
        <f>DAY(data[[#This Row],[order_date]])</f>
        <v>3</v>
      </c>
      <c r="T334">
        <f>data[[#This Row],[profit]]/data[[#This Row],[sales]]</f>
        <v>0.24014749942383037</v>
      </c>
    </row>
    <row r="335" spans="1:20" x14ac:dyDescent="0.35">
      <c r="A335" t="s">
        <v>507</v>
      </c>
      <c r="B335" s="1">
        <v>45515</v>
      </c>
      <c r="C335" t="s">
        <v>25</v>
      </c>
      <c r="D335" t="s">
        <v>26</v>
      </c>
      <c r="E335" t="s">
        <v>193</v>
      </c>
      <c r="F335" t="s">
        <v>23</v>
      </c>
      <c r="G335" t="s">
        <v>463</v>
      </c>
      <c r="H335" t="s">
        <v>464</v>
      </c>
      <c r="I335" t="s">
        <v>465</v>
      </c>
      <c r="J335">
        <v>1</v>
      </c>
      <c r="K335">
        <v>6356000</v>
      </c>
      <c r="L335">
        <v>0</v>
      </c>
      <c r="M335">
        <v>4816000</v>
      </c>
      <c r="N335">
        <f>(data[[#This Row],[unit_price]]*data[[#This Row],[quantity]]) * (1-data[[#This Row],[discount]])</f>
        <v>6356000</v>
      </c>
      <c r="O335">
        <f>data[[#This Row],[sales]]-data[[#This Row],[cost]]</f>
        <v>1540000</v>
      </c>
      <c r="P335" t="str">
        <f>TEXT(data[[#This Row],[order_date]],"mmm")</f>
        <v>Aug</v>
      </c>
      <c r="Q335">
        <f>YEAR(data[[#This Row],[order_date]])</f>
        <v>2024</v>
      </c>
      <c r="R335">
        <f>MONTH(data[[#This Row],[order_date]])</f>
        <v>8</v>
      </c>
      <c r="S335">
        <f>DAY(data[[#This Row],[order_date]])</f>
        <v>11</v>
      </c>
      <c r="T335">
        <f>data[[#This Row],[profit]]/data[[#This Row],[sales]]</f>
        <v>0.24229074889867841</v>
      </c>
    </row>
    <row r="336" spans="1:20" x14ac:dyDescent="0.35">
      <c r="A336" t="s">
        <v>508</v>
      </c>
      <c r="B336" s="1">
        <v>45536</v>
      </c>
      <c r="C336" t="s">
        <v>49</v>
      </c>
      <c r="D336" t="s">
        <v>50</v>
      </c>
      <c r="E336" t="s">
        <v>126</v>
      </c>
      <c r="F336" t="s">
        <v>17</v>
      </c>
      <c r="G336" t="s">
        <v>463</v>
      </c>
      <c r="H336" t="s">
        <v>464</v>
      </c>
      <c r="I336" t="s">
        <v>465</v>
      </c>
      <c r="J336">
        <v>1</v>
      </c>
      <c r="K336">
        <v>6820000</v>
      </c>
      <c r="L336">
        <v>0.1</v>
      </c>
      <c r="M336">
        <v>5222000</v>
      </c>
      <c r="N336">
        <f>(data[[#This Row],[unit_price]]*data[[#This Row],[quantity]]) * (1-data[[#This Row],[discount]])</f>
        <v>6138000</v>
      </c>
      <c r="O336">
        <f>data[[#This Row],[sales]]-data[[#This Row],[cost]]</f>
        <v>916000</v>
      </c>
      <c r="P336" t="str">
        <f>TEXT(data[[#This Row],[order_date]],"mmm")</f>
        <v>Sep</v>
      </c>
      <c r="Q336">
        <f>YEAR(data[[#This Row],[order_date]])</f>
        <v>2024</v>
      </c>
      <c r="R336">
        <f>MONTH(data[[#This Row],[order_date]])</f>
        <v>9</v>
      </c>
      <c r="S336">
        <f>DAY(data[[#This Row],[order_date]])</f>
        <v>1</v>
      </c>
      <c r="T336">
        <f>data[[#This Row],[profit]]/data[[#This Row],[sales]]</f>
        <v>0.14923427826653632</v>
      </c>
    </row>
    <row r="337" spans="1:20" x14ac:dyDescent="0.35">
      <c r="A337" t="s">
        <v>509</v>
      </c>
      <c r="B337" s="1">
        <v>45553</v>
      </c>
      <c r="C337" t="s">
        <v>14</v>
      </c>
      <c r="D337" t="s">
        <v>15</v>
      </c>
      <c r="E337" t="s">
        <v>221</v>
      </c>
      <c r="F337" t="s">
        <v>17</v>
      </c>
      <c r="G337" t="s">
        <v>463</v>
      </c>
      <c r="H337" t="s">
        <v>464</v>
      </c>
      <c r="I337" t="s">
        <v>465</v>
      </c>
      <c r="J337">
        <v>1</v>
      </c>
      <c r="K337">
        <v>5330521.7391304346</v>
      </c>
      <c r="L337">
        <v>0</v>
      </c>
      <c r="M337">
        <v>0</v>
      </c>
      <c r="N337">
        <f>(data[[#This Row],[unit_price]]*data[[#This Row],[quantity]]) * (1-data[[#This Row],[discount]])</f>
        <v>5330521.7391304346</v>
      </c>
      <c r="O337">
        <f>data[[#This Row],[sales]]-data[[#This Row],[cost]]</f>
        <v>5330521.7391304346</v>
      </c>
      <c r="P337" t="str">
        <f>TEXT(data[[#This Row],[order_date]],"mmm")</f>
        <v>Sep</v>
      </c>
      <c r="Q337">
        <f>YEAR(data[[#This Row],[order_date]])</f>
        <v>2024</v>
      </c>
      <c r="R337">
        <f>MONTH(data[[#This Row],[order_date]])</f>
        <v>9</v>
      </c>
      <c r="S337">
        <f>DAY(data[[#This Row],[order_date]])</f>
        <v>18</v>
      </c>
      <c r="T337">
        <f>data[[#This Row],[profit]]/data[[#This Row],[sales]]</f>
        <v>1</v>
      </c>
    </row>
    <row r="338" spans="1:20" x14ac:dyDescent="0.35">
      <c r="A338" t="s">
        <v>510</v>
      </c>
      <c r="B338" s="1">
        <v>45582</v>
      </c>
      <c r="C338" t="s">
        <v>49</v>
      </c>
      <c r="D338" t="s">
        <v>50</v>
      </c>
      <c r="E338" t="s">
        <v>57</v>
      </c>
      <c r="F338" t="s">
        <v>58</v>
      </c>
      <c r="G338" t="s">
        <v>463</v>
      </c>
      <c r="H338" t="s">
        <v>464</v>
      </c>
      <c r="I338" t="s">
        <v>465</v>
      </c>
      <c r="J338">
        <v>1</v>
      </c>
      <c r="K338">
        <v>5506000</v>
      </c>
      <c r="L338">
        <v>0</v>
      </c>
      <c r="M338">
        <v>4092000</v>
      </c>
      <c r="N338">
        <f>(data[[#This Row],[unit_price]]*data[[#This Row],[quantity]]) * (1-data[[#This Row],[discount]])</f>
        <v>5506000</v>
      </c>
      <c r="O338">
        <f>data[[#This Row],[sales]]-data[[#This Row],[cost]]</f>
        <v>1414000</v>
      </c>
      <c r="P338" t="str">
        <f>TEXT(data[[#This Row],[order_date]],"mmm")</f>
        <v>Oct</v>
      </c>
      <c r="Q338">
        <f>YEAR(data[[#This Row],[order_date]])</f>
        <v>2024</v>
      </c>
      <c r="R338">
        <f>MONTH(data[[#This Row],[order_date]])</f>
        <v>10</v>
      </c>
      <c r="S338">
        <f>DAY(data[[#This Row],[order_date]])</f>
        <v>17</v>
      </c>
      <c r="T338">
        <f>data[[#This Row],[profit]]/data[[#This Row],[sales]]</f>
        <v>0.25681075190701053</v>
      </c>
    </row>
    <row r="339" spans="1:20" x14ac:dyDescent="0.35">
      <c r="A339" t="s">
        <v>511</v>
      </c>
      <c r="B339" s="1">
        <v>45582</v>
      </c>
      <c r="C339" t="s">
        <v>14</v>
      </c>
      <c r="D339" t="s">
        <v>15</v>
      </c>
      <c r="E339" t="s">
        <v>329</v>
      </c>
      <c r="F339" t="s">
        <v>28</v>
      </c>
      <c r="G339" t="s">
        <v>463</v>
      </c>
      <c r="H339" t="s">
        <v>464</v>
      </c>
      <c r="I339" t="s">
        <v>465</v>
      </c>
      <c r="J339">
        <v>1</v>
      </c>
      <c r="K339">
        <v>3997000</v>
      </c>
      <c r="L339">
        <v>0</v>
      </c>
      <c r="M339">
        <v>3093000</v>
      </c>
      <c r="N339">
        <f>(data[[#This Row],[unit_price]]*data[[#This Row],[quantity]]) * (1-data[[#This Row],[discount]])</f>
        <v>3997000</v>
      </c>
      <c r="O339">
        <f>data[[#This Row],[sales]]-data[[#This Row],[cost]]</f>
        <v>904000</v>
      </c>
      <c r="P339" t="str">
        <f>TEXT(data[[#This Row],[order_date]],"mmm")</f>
        <v>Oct</v>
      </c>
      <c r="Q339">
        <f>YEAR(data[[#This Row],[order_date]])</f>
        <v>2024</v>
      </c>
      <c r="R339">
        <f>MONTH(data[[#This Row],[order_date]])</f>
        <v>10</v>
      </c>
      <c r="S339">
        <f>DAY(data[[#This Row],[order_date]])</f>
        <v>17</v>
      </c>
      <c r="T339">
        <f>data[[#This Row],[profit]]/data[[#This Row],[sales]]</f>
        <v>0.22616962722041531</v>
      </c>
    </row>
    <row r="340" spans="1:20" x14ac:dyDescent="0.35">
      <c r="A340" t="s">
        <v>512</v>
      </c>
      <c r="B340" s="1">
        <v>45618</v>
      </c>
      <c r="C340" t="s">
        <v>49</v>
      </c>
      <c r="D340" t="s">
        <v>50</v>
      </c>
      <c r="E340" t="s">
        <v>97</v>
      </c>
      <c r="F340" t="s">
        <v>23</v>
      </c>
      <c r="G340" t="s">
        <v>463</v>
      </c>
      <c r="H340" t="s">
        <v>464</v>
      </c>
      <c r="I340" t="s">
        <v>465</v>
      </c>
      <c r="J340">
        <v>1</v>
      </c>
      <c r="K340">
        <v>6428000</v>
      </c>
      <c r="L340">
        <v>0</v>
      </c>
      <c r="M340">
        <v>4824000</v>
      </c>
      <c r="N340">
        <f>(data[[#This Row],[unit_price]]*data[[#This Row],[quantity]]) * (1-data[[#This Row],[discount]])</f>
        <v>6428000</v>
      </c>
      <c r="O340">
        <f>data[[#This Row],[sales]]-data[[#This Row],[cost]]</f>
        <v>1604000</v>
      </c>
      <c r="P340" t="str">
        <f>TEXT(data[[#This Row],[order_date]],"mmm")</f>
        <v>Nov</v>
      </c>
      <c r="Q340">
        <f>YEAR(data[[#This Row],[order_date]])</f>
        <v>2024</v>
      </c>
      <c r="R340">
        <f>MONTH(data[[#This Row],[order_date]])</f>
        <v>11</v>
      </c>
      <c r="S340">
        <f>DAY(data[[#This Row],[order_date]])</f>
        <v>22</v>
      </c>
      <c r="T340">
        <f>data[[#This Row],[profit]]/data[[#This Row],[sales]]</f>
        <v>0.24953329184816428</v>
      </c>
    </row>
    <row r="341" spans="1:20" x14ac:dyDescent="0.35">
      <c r="A341" t="s">
        <v>513</v>
      </c>
      <c r="B341" s="1">
        <v>45620</v>
      </c>
      <c r="C341" t="s">
        <v>25</v>
      </c>
      <c r="D341" t="s">
        <v>26</v>
      </c>
      <c r="E341" t="s">
        <v>81</v>
      </c>
      <c r="F341" t="s">
        <v>17</v>
      </c>
      <c r="G341" t="s">
        <v>463</v>
      </c>
      <c r="H341" t="s">
        <v>464</v>
      </c>
      <c r="I341" t="s">
        <v>465</v>
      </c>
      <c r="J341">
        <v>1</v>
      </c>
      <c r="K341">
        <v>6340000</v>
      </c>
      <c r="L341">
        <v>0</v>
      </c>
      <c r="M341">
        <v>4842000</v>
      </c>
      <c r="N341">
        <f>(data[[#This Row],[unit_price]]*data[[#This Row],[quantity]]) * (1-data[[#This Row],[discount]])</f>
        <v>6340000</v>
      </c>
      <c r="O341">
        <f>data[[#This Row],[sales]]-data[[#This Row],[cost]]</f>
        <v>1498000</v>
      </c>
      <c r="P341" t="str">
        <f>TEXT(data[[#This Row],[order_date]],"mmm")</f>
        <v>Nov</v>
      </c>
      <c r="Q341">
        <f>YEAR(data[[#This Row],[order_date]])</f>
        <v>2024</v>
      </c>
      <c r="R341">
        <f>MONTH(data[[#This Row],[order_date]])</f>
        <v>11</v>
      </c>
      <c r="S341">
        <f>DAY(data[[#This Row],[order_date]])</f>
        <v>24</v>
      </c>
      <c r="T341">
        <f>data[[#This Row],[profit]]/data[[#This Row],[sales]]</f>
        <v>0.23627760252365931</v>
      </c>
    </row>
    <row r="342" spans="1:20" x14ac:dyDescent="0.35">
      <c r="A342" t="s">
        <v>514</v>
      </c>
      <c r="B342" s="1">
        <v>45624</v>
      </c>
      <c r="C342" t="s">
        <v>14</v>
      </c>
      <c r="D342" t="s">
        <v>15</v>
      </c>
      <c r="E342" t="s">
        <v>333</v>
      </c>
      <c r="F342" t="s">
        <v>17</v>
      </c>
      <c r="G342" t="s">
        <v>463</v>
      </c>
      <c r="H342" t="s">
        <v>464</v>
      </c>
      <c r="I342" t="s">
        <v>465</v>
      </c>
      <c r="J342">
        <v>1</v>
      </c>
      <c r="K342">
        <v>5844000</v>
      </c>
      <c r="L342">
        <v>0</v>
      </c>
      <c r="M342">
        <v>4482000</v>
      </c>
      <c r="N342">
        <f>(data[[#This Row],[unit_price]]*data[[#This Row],[quantity]]) * (1-data[[#This Row],[discount]])</f>
        <v>5844000</v>
      </c>
      <c r="O342">
        <f>data[[#This Row],[sales]]-data[[#This Row],[cost]]</f>
        <v>1362000</v>
      </c>
      <c r="P342" t="str">
        <f>TEXT(data[[#This Row],[order_date]],"mmm")</f>
        <v>Nov</v>
      </c>
      <c r="Q342">
        <f>YEAR(data[[#This Row],[order_date]])</f>
        <v>2024</v>
      </c>
      <c r="R342">
        <f>MONTH(data[[#This Row],[order_date]])</f>
        <v>11</v>
      </c>
      <c r="S342">
        <f>DAY(data[[#This Row],[order_date]])</f>
        <v>28</v>
      </c>
      <c r="T342">
        <f>data[[#This Row],[profit]]/data[[#This Row],[sales]]</f>
        <v>0.23305954825462014</v>
      </c>
    </row>
    <row r="343" spans="1:20" x14ac:dyDescent="0.35">
      <c r="A343" t="s">
        <v>515</v>
      </c>
      <c r="B343" s="1">
        <v>45641</v>
      </c>
      <c r="C343" t="s">
        <v>14</v>
      </c>
      <c r="D343" t="s">
        <v>15</v>
      </c>
      <c r="E343" t="s">
        <v>119</v>
      </c>
      <c r="F343" t="s">
        <v>23</v>
      </c>
      <c r="G343" t="s">
        <v>463</v>
      </c>
      <c r="H343" t="s">
        <v>464</v>
      </c>
      <c r="I343" t="s">
        <v>465</v>
      </c>
      <c r="J343">
        <v>1</v>
      </c>
      <c r="K343">
        <v>4997000</v>
      </c>
      <c r="L343">
        <v>0.1</v>
      </c>
      <c r="M343">
        <v>3814000</v>
      </c>
      <c r="N343">
        <f>(data[[#This Row],[unit_price]]*data[[#This Row],[quantity]]) * (1-data[[#This Row],[discount]])</f>
        <v>4497300</v>
      </c>
      <c r="O343">
        <f>data[[#This Row],[sales]]-data[[#This Row],[cost]]</f>
        <v>683300</v>
      </c>
      <c r="P343" t="str">
        <f>TEXT(data[[#This Row],[order_date]],"mmm")</f>
        <v>Dec</v>
      </c>
      <c r="Q343">
        <f>YEAR(data[[#This Row],[order_date]])</f>
        <v>2024</v>
      </c>
      <c r="R343">
        <f>MONTH(data[[#This Row],[order_date]])</f>
        <v>12</v>
      </c>
      <c r="S343">
        <f>DAY(data[[#This Row],[order_date]])</f>
        <v>15</v>
      </c>
      <c r="T343">
        <f>data[[#This Row],[profit]]/data[[#This Row],[sales]]</f>
        <v>0.1519356058079292</v>
      </c>
    </row>
    <row r="344" spans="1:20" x14ac:dyDescent="0.35">
      <c r="A344" t="s">
        <v>516</v>
      </c>
      <c r="B344" s="1">
        <v>45644</v>
      </c>
      <c r="C344" t="s">
        <v>41</v>
      </c>
      <c r="D344" t="s">
        <v>42</v>
      </c>
      <c r="E344" t="s">
        <v>517</v>
      </c>
      <c r="F344" t="s">
        <v>23</v>
      </c>
      <c r="G344" t="s">
        <v>463</v>
      </c>
      <c r="H344" t="s">
        <v>464</v>
      </c>
      <c r="I344" t="s">
        <v>465</v>
      </c>
      <c r="J344">
        <v>1</v>
      </c>
      <c r="K344">
        <v>5492000</v>
      </c>
      <c r="L344">
        <v>0</v>
      </c>
      <c r="M344">
        <v>4221000</v>
      </c>
      <c r="N344">
        <f>(data[[#This Row],[unit_price]]*data[[#This Row],[quantity]]) * (1-data[[#This Row],[discount]])</f>
        <v>5492000</v>
      </c>
      <c r="O344">
        <f>data[[#This Row],[sales]]-data[[#This Row],[cost]]</f>
        <v>1271000</v>
      </c>
      <c r="P344" t="str">
        <f>TEXT(data[[#This Row],[order_date]],"mmm")</f>
        <v>Dec</v>
      </c>
      <c r="Q344">
        <f>YEAR(data[[#This Row],[order_date]])</f>
        <v>2024</v>
      </c>
      <c r="R344">
        <f>MONTH(data[[#This Row],[order_date]])</f>
        <v>12</v>
      </c>
      <c r="S344">
        <f>DAY(data[[#This Row],[order_date]])</f>
        <v>18</v>
      </c>
      <c r="T344">
        <f>data[[#This Row],[profit]]/data[[#This Row],[sales]]</f>
        <v>0.23142753095411508</v>
      </c>
    </row>
    <row r="345" spans="1:20" x14ac:dyDescent="0.35">
      <c r="A345" t="s">
        <v>518</v>
      </c>
      <c r="B345" s="1">
        <v>45656</v>
      </c>
      <c r="C345" t="s">
        <v>49</v>
      </c>
      <c r="D345" t="s">
        <v>50</v>
      </c>
      <c r="E345" t="s">
        <v>89</v>
      </c>
      <c r="F345" t="s">
        <v>23</v>
      </c>
      <c r="G345" t="s">
        <v>463</v>
      </c>
      <c r="H345" t="s">
        <v>464</v>
      </c>
      <c r="I345" t="s">
        <v>465</v>
      </c>
      <c r="J345">
        <v>1</v>
      </c>
      <c r="K345">
        <v>5792000</v>
      </c>
      <c r="L345">
        <v>0.05</v>
      </c>
      <c r="M345">
        <v>4472000</v>
      </c>
      <c r="N345">
        <f>(data[[#This Row],[unit_price]]*data[[#This Row],[quantity]]) * (1-data[[#This Row],[discount]])</f>
        <v>5502400</v>
      </c>
      <c r="O345">
        <f>data[[#This Row],[sales]]-data[[#This Row],[cost]]</f>
        <v>1030400</v>
      </c>
      <c r="P345" t="str">
        <f>TEXT(data[[#This Row],[order_date]],"mmm")</f>
        <v>Dec</v>
      </c>
      <c r="Q345">
        <f>YEAR(data[[#This Row],[order_date]])</f>
        <v>2024</v>
      </c>
      <c r="R345">
        <f>MONTH(data[[#This Row],[order_date]])</f>
        <v>12</v>
      </c>
      <c r="S345">
        <f>DAY(data[[#This Row],[order_date]])</f>
        <v>30</v>
      </c>
      <c r="T345">
        <f>data[[#This Row],[profit]]/data[[#This Row],[sales]]</f>
        <v>0.1872637394591451</v>
      </c>
    </row>
    <row r="346" spans="1:20" x14ac:dyDescent="0.35">
      <c r="A346" t="s">
        <v>519</v>
      </c>
      <c r="B346" s="1">
        <v>45683</v>
      </c>
      <c r="C346" t="s">
        <v>14</v>
      </c>
      <c r="D346" t="s">
        <v>15</v>
      </c>
      <c r="E346" t="s">
        <v>152</v>
      </c>
      <c r="F346" t="s">
        <v>23</v>
      </c>
      <c r="G346" t="s">
        <v>463</v>
      </c>
      <c r="H346" t="s">
        <v>464</v>
      </c>
      <c r="I346" t="s">
        <v>465</v>
      </c>
      <c r="J346">
        <v>3</v>
      </c>
      <c r="K346">
        <v>5099000</v>
      </c>
      <c r="L346">
        <v>0</v>
      </c>
      <c r="M346">
        <v>3809000</v>
      </c>
      <c r="N346">
        <f>(data[[#This Row],[unit_price]]*data[[#This Row],[quantity]]) * (1-data[[#This Row],[discount]])</f>
        <v>15297000</v>
      </c>
      <c r="O346">
        <f>data[[#This Row],[sales]]-data[[#This Row],[cost]]</f>
        <v>11488000</v>
      </c>
      <c r="P346" t="str">
        <f>TEXT(data[[#This Row],[order_date]],"mmm")</f>
        <v>Jan</v>
      </c>
      <c r="Q346">
        <f>YEAR(data[[#This Row],[order_date]])</f>
        <v>2025</v>
      </c>
      <c r="R346">
        <f>MONTH(data[[#This Row],[order_date]])</f>
        <v>1</v>
      </c>
      <c r="S346">
        <f>DAY(data[[#This Row],[order_date]])</f>
        <v>26</v>
      </c>
      <c r="T346">
        <f>data[[#This Row],[profit]]/data[[#This Row],[sales]]</f>
        <v>0.75099692750212454</v>
      </c>
    </row>
    <row r="347" spans="1:20" x14ac:dyDescent="0.35">
      <c r="A347" t="s">
        <v>520</v>
      </c>
      <c r="B347" s="1">
        <v>45694</v>
      </c>
      <c r="C347" t="s">
        <v>25</v>
      </c>
      <c r="D347" t="s">
        <v>26</v>
      </c>
      <c r="E347" t="s">
        <v>93</v>
      </c>
      <c r="F347" t="s">
        <v>23</v>
      </c>
      <c r="G347" t="s">
        <v>463</v>
      </c>
      <c r="H347" t="s">
        <v>464</v>
      </c>
      <c r="I347" t="s">
        <v>465</v>
      </c>
      <c r="J347">
        <v>1</v>
      </c>
      <c r="K347">
        <v>4540000</v>
      </c>
      <c r="L347">
        <v>0</v>
      </c>
      <c r="M347">
        <v>3381000</v>
      </c>
      <c r="N347">
        <f>(data[[#This Row],[unit_price]]*data[[#This Row],[quantity]]) * (1-data[[#This Row],[discount]])</f>
        <v>4540000</v>
      </c>
      <c r="O347">
        <f>data[[#This Row],[sales]]-data[[#This Row],[cost]]</f>
        <v>1159000</v>
      </c>
      <c r="P347" t="str">
        <f>TEXT(data[[#This Row],[order_date]],"mmm")</f>
        <v>Feb</v>
      </c>
      <c r="Q347">
        <f>YEAR(data[[#This Row],[order_date]])</f>
        <v>2025</v>
      </c>
      <c r="R347">
        <f>MONTH(data[[#This Row],[order_date]])</f>
        <v>2</v>
      </c>
      <c r="S347">
        <f>DAY(data[[#This Row],[order_date]])</f>
        <v>6</v>
      </c>
      <c r="T347">
        <f>data[[#This Row],[profit]]/data[[#This Row],[sales]]</f>
        <v>0.25528634361233482</v>
      </c>
    </row>
    <row r="348" spans="1:20" x14ac:dyDescent="0.35">
      <c r="A348" t="s">
        <v>521</v>
      </c>
      <c r="B348" s="1">
        <v>45720</v>
      </c>
      <c r="C348" t="s">
        <v>14</v>
      </c>
      <c r="D348" t="s">
        <v>15</v>
      </c>
      <c r="E348" t="s">
        <v>522</v>
      </c>
      <c r="F348" t="s">
        <v>23</v>
      </c>
      <c r="G348" t="s">
        <v>463</v>
      </c>
      <c r="H348" t="s">
        <v>464</v>
      </c>
      <c r="I348" t="s">
        <v>465</v>
      </c>
      <c r="J348">
        <v>1</v>
      </c>
      <c r="K348">
        <v>4194000</v>
      </c>
      <c r="L348">
        <v>0.1</v>
      </c>
      <c r="M348">
        <v>3130000</v>
      </c>
      <c r="N348">
        <f>(data[[#This Row],[unit_price]]*data[[#This Row],[quantity]]) * (1-data[[#This Row],[discount]])</f>
        <v>3774600</v>
      </c>
      <c r="O348">
        <f>data[[#This Row],[sales]]-data[[#This Row],[cost]]</f>
        <v>644600</v>
      </c>
      <c r="P348" t="str">
        <f>TEXT(data[[#This Row],[order_date]],"mmm")</f>
        <v>Mar</v>
      </c>
      <c r="Q348">
        <f>YEAR(data[[#This Row],[order_date]])</f>
        <v>2025</v>
      </c>
      <c r="R348">
        <f>MONTH(data[[#This Row],[order_date]])</f>
        <v>3</v>
      </c>
      <c r="S348">
        <f>DAY(data[[#This Row],[order_date]])</f>
        <v>4</v>
      </c>
      <c r="T348">
        <f>data[[#This Row],[profit]]/data[[#This Row],[sales]]</f>
        <v>0.17077306204630954</v>
      </c>
    </row>
    <row r="349" spans="1:20" x14ac:dyDescent="0.35">
      <c r="A349" t="s">
        <v>523</v>
      </c>
      <c r="B349" s="1">
        <v>45728</v>
      </c>
      <c r="C349" t="s">
        <v>41</v>
      </c>
      <c r="D349" t="s">
        <v>42</v>
      </c>
      <c r="E349" t="s">
        <v>524</v>
      </c>
      <c r="F349" t="s">
        <v>17</v>
      </c>
      <c r="G349" t="s">
        <v>463</v>
      </c>
      <c r="H349" t="s">
        <v>464</v>
      </c>
      <c r="I349" t="s">
        <v>465</v>
      </c>
      <c r="J349">
        <v>1</v>
      </c>
      <c r="K349">
        <v>6521000</v>
      </c>
      <c r="L349">
        <v>0.05</v>
      </c>
      <c r="M349">
        <v>5048000</v>
      </c>
      <c r="N349">
        <f>(data[[#This Row],[unit_price]]*data[[#This Row],[quantity]]) * (1-data[[#This Row],[discount]])</f>
        <v>6194950</v>
      </c>
      <c r="O349">
        <f>data[[#This Row],[sales]]-data[[#This Row],[cost]]</f>
        <v>1146950</v>
      </c>
      <c r="P349" t="str">
        <f>TEXT(data[[#This Row],[order_date]],"mmm")</f>
        <v>Mar</v>
      </c>
      <c r="Q349">
        <f>YEAR(data[[#This Row],[order_date]])</f>
        <v>2025</v>
      </c>
      <c r="R349">
        <f>MONTH(data[[#This Row],[order_date]])</f>
        <v>3</v>
      </c>
      <c r="S349">
        <f>DAY(data[[#This Row],[order_date]])</f>
        <v>12</v>
      </c>
      <c r="T349">
        <f>data[[#This Row],[profit]]/data[[#This Row],[sales]]</f>
        <v>0.1851427372295176</v>
      </c>
    </row>
    <row r="350" spans="1:20" x14ac:dyDescent="0.35">
      <c r="A350" t="s">
        <v>525</v>
      </c>
      <c r="B350" s="1">
        <v>45729</v>
      </c>
      <c r="C350" t="s">
        <v>14</v>
      </c>
      <c r="D350" t="s">
        <v>15</v>
      </c>
      <c r="E350" t="s">
        <v>97</v>
      </c>
      <c r="F350" t="s">
        <v>23</v>
      </c>
      <c r="G350" t="s">
        <v>463</v>
      </c>
      <c r="H350" t="s">
        <v>464</v>
      </c>
      <c r="I350" t="s">
        <v>465</v>
      </c>
      <c r="J350">
        <v>1</v>
      </c>
      <c r="K350">
        <v>5910000</v>
      </c>
      <c r="L350">
        <v>0</v>
      </c>
      <c r="M350">
        <v>4579000</v>
      </c>
      <c r="N350">
        <f>(data[[#This Row],[unit_price]]*data[[#This Row],[quantity]]) * (1-data[[#This Row],[discount]])</f>
        <v>5910000</v>
      </c>
      <c r="O350">
        <f>data[[#This Row],[sales]]-data[[#This Row],[cost]]</f>
        <v>1331000</v>
      </c>
      <c r="P350" t="str">
        <f>TEXT(data[[#This Row],[order_date]],"mmm")</f>
        <v>Mar</v>
      </c>
      <c r="Q350">
        <f>YEAR(data[[#This Row],[order_date]])</f>
        <v>2025</v>
      </c>
      <c r="R350">
        <f>MONTH(data[[#This Row],[order_date]])</f>
        <v>3</v>
      </c>
      <c r="S350">
        <f>DAY(data[[#This Row],[order_date]])</f>
        <v>13</v>
      </c>
      <c r="T350">
        <f>data[[#This Row],[profit]]/data[[#This Row],[sales]]</f>
        <v>0.22521150592216582</v>
      </c>
    </row>
    <row r="351" spans="1:20" x14ac:dyDescent="0.35">
      <c r="A351" t="s">
        <v>526</v>
      </c>
      <c r="B351" s="1">
        <v>45745</v>
      </c>
      <c r="C351" t="s">
        <v>14</v>
      </c>
      <c r="D351" t="s">
        <v>15</v>
      </c>
      <c r="E351" t="s">
        <v>51</v>
      </c>
      <c r="F351" t="s">
        <v>23</v>
      </c>
      <c r="G351" t="s">
        <v>463</v>
      </c>
      <c r="H351" t="s">
        <v>464</v>
      </c>
      <c r="I351" t="s">
        <v>465</v>
      </c>
      <c r="J351">
        <v>1</v>
      </c>
      <c r="K351">
        <v>6007000</v>
      </c>
      <c r="L351">
        <v>0</v>
      </c>
      <c r="M351">
        <v>4618000</v>
      </c>
      <c r="N351">
        <f>(data[[#This Row],[unit_price]]*data[[#This Row],[quantity]]) * (1-data[[#This Row],[discount]])</f>
        <v>6007000</v>
      </c>
      <c r="O351">
        <f>data[[#This Row],[sales]]-data[[#This Row],[cost]]</f>
        <v>1389000</v>
      </c>
      <c r="P351" t="str">
        <f>TEXT(data[[#This Row],[order_date]],"mmm")</f>
        <v>Mar</v>
      </c>
      <c r="Q351">
        <f>YEAR(data[[#This Row],[order_date]])</f>
        <v>2025</v>
      </c>
      <c r="R351">
        <f>MONTH(data[[#This Row],[order_date]])</f>
        <v>3</v>
      </c>
      <c r="S351">
        <f>DAY(data[[#This Row],[order_date]])</f>
        <v>29</v>
      </c>
      <c r="T351">
        <f>data[[#This Row],[profit]]/data[[#This Row],[sales]]</f>
        <v>0.23123023139670384</v>
      </c>
    </row>
    <row r="352" spans="1:20" x14ac:dyDescent="0.35">
      <c r="A352" t="s">
        <v>527</v>
      </c>
      <c r="B352" s="1">
        <v>45782</v>
      </c>
      <c r="C352" t="s">
        <v>14</v>
      </c>
      <c r="D352" t="s">
        <v>15</v>
      </c>
      <c r="E352" t="s">
        <v>329</v>
      </c>
      <c r="F352" t="s">
        <v>28</v>
      </c>
      <c r="G352" t="s">
        <v>463</v>
      </c>
      <c r="H352" t="s">
        <v>464</v>
      </c>
      <c r="I352" t="s">
        <v>465</v>
      </c>
      <c r="J352">
        <v>1</v>
      </c>
      <c r="K352">
        <v>5258000</v>
      </c>
      <c r="L352">
        <v>0</v>
      </c>
      <c r="M352">
        <v>4002000</v>
      </c>
      <c r="N352">
        <f>(data[[#This Row],[unit_price]]*data[[#This Row],[quantity]]) * (1-data[[#This Row],[discount]])</f>
        <v>5258000</v>
      </c>
      <c r="O352">
        <f>data[[#This Row],[sales]]-data[[#This Row],[cost]]</f>
        <v>1256000</v>
      </c>
      <c r="P352" t="str">
        <f>TEXT(data[[#This Row],[order_date]],"mmm")</f>
        <v>May</v>
      </c>
      <c r="Q352">
        <f>YEAR(data[[#This Row],[order_date]])</f>
        <v>2025</v>
      </c>
      <c r="R352">
        <f>MONTH(data[[#This Row],[order_date]])</f>
        <v>5</v>
      </c>
      <c r="S352">
        <f>DAY(data[[#This Row],[order_date]])</f>
        <v>5</v>
      </c>
      <c r="T352">
        <f>data[[#This Row],[profit]]/data[[#This Row],[sales]]</f>
        <v>0.2388740966146824</v>
      </c>
    </row>
    <row r="353" spans="1:20" x14ac:dyDescent="0.35">
      <c r="A353" t="s">
        <v>528</v>
      </c>
      <c r="B353" s="1">
        <v>45828</v>
      </c>
      <c r="C353" t="s">
        <v>14</v>
      </c>
      <c r="D353" t="s">
        <v>15</v>
      </c>
      <c r="E353" t="s">
        <v>327</v>
      </c>
      <c r="F353" t="s">
        <v>23</v>
      </c>
      <c r="G353" t="s">
        <v>463</v>
      </c>
      <c r="H353" t="s">
        <v>464</v>
      </c>
      <c r="I353" t="s">
        <v>465</v>
      </c>
      <c r="J353">
        <v>1</v>
      </c>
      <c r="K353">
        <v>6253000</v>
      </c>
      <c r="L353">
        <v>0</v>
      </c>
      <c r="M353">
        <v>4714000</v>
      </c>
      <c r="N353">
        <f>(data[[#This Row],[unit_price]]*data[[#This Row],[quantity]]) * (1-data[[#This Row],[discount]])</f>
        <v>6253000</v>
      </c>
      <c r="O353">
        <f>data[[#This Row],[sales]]-data[[#This Row],[cost]]</f>
        <v>1539000</v>
      </c>
      <c r="P353" t="str">
        <f>TEXT(data[[#This Row],[order_date]],"mmm")</f>
        <v>Jun</v>
      </c>
      <c r="Q353">
        <f>YEAR(data[[#This Row],[order_date]])</f>
        <v>2025</v>
      </c>
      <c r="R353">
        <f>MONTH(data[[#This Row],[order_date]])</f>
        <v>6</v>
      </c>
      <c r="S353">
        <f>DAY(data[[#This Row],[order_date]])</f>
        <v>20</v>
      </c>
      <c r="T353">
        <f>data[[#This Row],[profit]]/data[[#This Row],[sales]]</f>
        <v>0.24612186150647689</v>
      </c>
    </row>
    <row r="354" spans="1:20" x14ac:dyDescent="0.35">
      <c r="A354" t="s">
        <v>529</v>
      </c>
      <c r="B354" s="1">
        <v>45913</v>
      </c>
      <c r="C354" t="s">
        <v>49</v>
      </c>
      <c r="D354" t="s">
        <v>50</v>
      </c>
      <c r="E354" t="s">
        <v>104</v>
      </c>
      <c r="F354" t="s">
        <v>28</v>
      </c>
      <c r="G354" t="s">
        <v>463</v>
      </c>
      <c r="H354" t="s">
        <v>464</v>
      </c>
      <c r="I354" t="s">
        <v>465</v>
      </c>
      <c r="J354">
        <v>3</v>
      </c>
      <c r="K354">
        <v>6757000</v>
      </c>
      <c r="L354">
        <v>0</v>
      </c>
      <c r="M354">
        <v>5217000</v>
      </c>
      <c r="N354">
        <f>(data[[#This Row],[unit_price]]*data[[#This Row],[quantity]]) * (1-data[[#This Row],[discount]])</f>
        <v>20271000</v>
      </c>
      <c r="O354">
        <f>data[[#This Row],[sales]]-data[[#This Row],[cost]]</f>
        <v>15054000</v>
      </c>
      <c r="P354" t="str">
        <f>TEXT(data[[#This Row],[order_date]],"mmm")</f>
        <v>Sep</v>
      </c>
      <c r="Q354">
        <f>YEAR(data[[#This Row],[order_date]])</f>
        <v>2025</v>
      </c>
      <c r="R354">
        <f>MONTH(data[[#This Row],[order_date]])</f>
        <v>9</v>
      </c>
      <c r="S354">
        <f>DAY(data[[#This Row],[order_date]])</f>
        <v>13</v>
      </c>
      <c r="T354">
        <f>data[[#This Row],[profit]]/data[[#This Row],[sales]]</f>
        <v>0.74263726505845784</v>
      </c>
    </row>
    <row r="355" spans="1:20" x14ac:dyDescent="0.35">
      <c r="A355" t="s">
        <v>530</v>
      </c>
      <c r="B355" s="1">
        <v>45926</v>
      </c>
      <c r="C355" t="s">
        <v>49</v>
      </c>
      <c r="D355" t="s">
        <v>50</v>
      </c>
      <c r="E355" t="s">
        <v>205</v>
      </c>
      <c r="F355" t="s">
        <v>17</v>
      </c>
      <c r="G355" t="s">
        <v>463</v>
      </c>
      <c r="H355" t="s">
        <v>464</v>
      </c>
      <c r="I355" t="s">
        <v>465</v>
      </c>
      <c r="J355">
        <v>1</v>
      </c>
      <c r="K355">
        <v>3890000</v>
      </c>
      <c r="L355">
        <v>0</v>
      </c>
      <c r="M355">
        <v>2976000</v>
      </c>
      <c r="N355">
        <f>(data[[#This Row],[unit_price]]*data[[#This Row],[quantity]]) * (1-data[[#This Row],[discount]])</f>
        <v>3890000</v>
      </c>
      <c r="O355">
        <f>data[[#This Row],[sales]]-data[[#This Row],[cost]]</f>
        <v>914000</v>
      </c>
      <c r="P355" t="str">
        <f>TEXT(data[[#This Row],[order_date]],"mmm")</f>
        <v>Sep</v>
      </c>
      <c r="Q355">
        <f>YEAR(data[[#This Row],[order_date]])</f>
        <v>2025</v>
      </c>
      <c r="R355">
        <f>MONTH(data[[#This Row],[order_date]])</f>
        <v>9</v>
      </c>
      <c r="S355">
        <f>DAY(data[[#This Row],[order_date]])</f>
        <v>26</v>
      </c>
      <c r="T355">
        <f>data[[#This Row],[profit]]/data[[#This Row],[sales]]</f>
        <v>0.23496143958868895</v>
      </c>
    </row>
    <row r="356" spans="1:20" x14ac:dyDescent="0.35">
      <c r="A356" t="s">
        <v>531</v>
      </c>
      <c r="B356" s="1">
        <v>45933</v>
      </c>
      <c r="C356" t="s">
        <v>14</v>
      </c>
      <c r="D356" t="s">
        <v>15</v>
      </c>
      <c r="E356" t="s">
        <v>309</v>
      </c>
      <c r="F356" t="s">
        <v>23</v>
      </c>
      <c r="G356" t="s">
        <v>463</v>
      </c>
      <c r="H356" t="s">
        <v>464</v>
      </c>
      <c r="I356" t="s">
        <v>465</v>
      </c>
      <c r="J356">
        <v>2</v>
      </c>
      <c r="K356">
        <v>5660000</v>
      </c>
      <c r="L356">
        <v>0.05</v>
      </c>
      <c r="M356">
        <v>4230000</v>
      </c>
      <c r="N356">
        <f>(data[[#This Row],[unit_price]]*data[[#This Row],[quantity]]) * (1-data[[#This Row],[discount]])</f>
        <v>10754000</v>
      </c>
      <c r="O356">
        <f>data[[#This Row],[sales]]-data[[#This Row],[cost]]</f>
        <v>6524000</v>
      </c>
      <c r="P356" t="str">
        <f>TEXT(data[[#This Row],[order_date]],"mmm")</f>
        <v>Oct</v>
      </c>
      <c r="Q356">
        <f>YEAR(data[[#This Row],[order_date]])</f>
        <v>2025</v>
      </c>
      <c r="R356">
        <f>MONTH(data[[#This Row],[order_date]])</f>
        <v>10</v>
      </c>
      <c r="S356">
        <f>DAY(data[[#This Row],[order_date]])</f>
        <v>3</v>
      </c>
      <c r="T356">
        <f>data[[#This Row],[profit]]/data[[#This Row],[sales]]</f>
        <v>0.60665798772549751</v>
      </c>
    </row>
    <row r="357" spans="1:20" x14ac:dyDescent="0.35">
      <c r="A357" t="s">
        <v>532</v>
      </c>
      <c r="B357" s="1">
        <v>45939</v>
      </c>
      <c r="C357" t="s">
        <v>14</v>
      </c>
      <c r="D357" t="s">
        <v>15</v>
      </c>
      <c r="E357" t="s">
        <v>39</v>
      </c>
      <c r="F357" t="s">
        <v>23</v>
      </c>
      <c r="G357" t="s">
        <v>463</v>
      </c>
      <c r="H357" t="s">
        <v>464</v>
      </c>
      <c r="I357" t="s">
        <v>465</v>
      </c>
      <c r="J357">
        <v>3</v>
      </c>
      <c r="K357">
        <v>6370000</v>
      </c>
      <c r="L357">
        <v>0.15</v>
      </c>
      <c r="M357">
        <v>4783000</v>
      </c>
      <c r="N357">
        <f>(data[[#This Row],[unit_price]]*data[[#This Row],[quantity]]) * (1-data[[#This Row],[discount]])</f>
        <v>16243500</v>
      </c>
      <c r="O357">
        <f>data[[#This Row],[sales]]-data[[#This Row],[cost]]</f>
        <v>11460500</v>
      </c>
      <c r="P357" t="str">
        <f>TEXT(data[[#This Row],[order_date]],"mmm")</f>
        <v>Oct</v>
      </c>
      <c r="Q357">
        <f>YEAR(data[[#This Row],[order_date]])</f>
        <v>2025</v>
      </c>
      <c r="R357">
        <f>MONTH(data[[#This Row],[order_date]])</f>
        <v>10</v>
      </c>
      <c r="S357">
        <f>DAY(data[[#This Row],[order_date]])</f>
        <v>9</v>
      </c>
      <c r="T357">
        <f>data[[#This Row],[profit]]/data[[#This Row],[sales]]</f>
        <v>0.70554375596392405</v>
      </c>
    </row>
    <row r="358" spans="1:20" x14ac:dyDescent="0.35">
      <c r="A358" t="s">
        <v>533</v>
      </c>
      <c r="B358" s="1">
        <v>45995</v>
      </c>
      <c r="C358" t="s">
        <v>14</v>
      </c>
      <c r="D358" t="s">
        <v>15</v>
      </c>
      <c r="E358" t="s">
        <v>226</v>
      </c>
      <c r="F358" t="s">
        <v>17</v>
      </c>
      <c r="G358" t="s">
        <v>463</v>
      </c>
      <c r="H358" t="s">
        <v>464</v>
      </c>
      <c r="I358" t="s">
        <v>465</v>
      </c>
      <c r="J358">
        <v>1</v>
      </c>
      <c r="K358">
        <v>4233000</v>
      </c>
      <c r="L358">
        <v>0</v>
      </c>
      <c r="M358">
        <v>3221000</v>
      </c>
      <c r="N358">
        <f>(data[[#This Row],[unit_price]]*data[[#This Row],[quantity]]) * (1-data[[#This Row],[discount]])</f>
        <v>4233000</v>
      </c>
      <c r="O358">
        <f>data[[#This Row],[sales]]-data[[#This Row],[cost]]</f>
        <v>1012000</v>
      </c>
      <c r="P358" t="str">
        <f>TEXT(data[[#This Row],[order_date]],"mmm")</f>
        <v>Dec</v>
      </c>
      <c r="Q358">
        <f>YEAR(data[[#This Row],[order_date]])</f>
        <v>2025</v>
      </c>
      <c r="R358">
        <f>MONTH(data[[#This Row],[order_date]])</f>
        <v>12</v>
      </c>
      <c r="S358">
        <f>DAY(data[[#This Row],[order_date]])</f>
        <v>4</v>
      </c>
      <c r="T358">
        <f>data[[#This Row],[profit]]/data[[#This Row],[sales]]</f>
        <v>0.2390739428301441</v>
      </c>
    </row>
    <row r="359" spans="1:20" x14ac:dyDescent="0.35">
      <c r="A359" t="s">
        <v>534</v>
      </c>
      <c r="B359" s="1">
        <v>46007</v>
      </c>
      <c r="C359" t="s">
        <v>25</v>
      </c>
      <c r="D359" t="s">
        <v>26</v>
      </c>
      <c r="E359" t="s">
        <v>359</v>
      </c>
      <c r="F359" t="s">
        <v>23</v>
      </c>
      <c r="G359" t="s">
        <v>463</v>
      </c>
      <c r="H359" t="s">
        <v>464</v>
      </c>
      <c r="I359" t="s">
        <v>465</v>
      </c>
      <c r="J359">
        <v>2</v>
      </c>
      <c r="K359">
        <v>3955000</v>
      </c>
      <c r="L359">
        <v>0</v>
      </c>
      <c r="M359">
        <v>3066000</v>
      </c>
      <c r="N359">
        <f>(data[[#This Row],[unit_price]]*data[[#This Row],[quantity]]) * (1-data[[#This Row],[discount]])</f>
        <v>7910000</v>
      </c>
      <c r="O359">
        <f>data[[#This Row],[sales]]-data[[#This Row],[cost]]</f>
        <v>4844000</v>
      </c>
      <c r="P359" t="str">
        <f>TEXT(data[[#This Row],[order_date]],"mmm")</f>
        <v>Dec</v>
      </c>
      <c r="Q359">
        <f>YEAR(data[[#This Row],[order_date]])</f>
        <v>2025</v>
      </c>
      <c r="R359">
        <f>MONTH(data[[#This Row],[order_date]])</f>
        <v>12</v>
      </c>
      <c r="S359">
        <f>DAY(data[[#This Row],[order_date]])</f>
        <v>16</v>
      </c>
      <c r="T359">
        <f>data[[#This Row],[profit]]/data[[#This Row],[sales]]</f>
        <v>0.61238938053097347</v>
      </c>
    </row>
    <row r="360" spans="1:20" x14ac:dyDescent="0.35">
      <c r="A360" t="s">
        <v>535</v>
      </c>
      <c r="B360" s="1">
        <v>46016</v>
      </c>
      <c r="C360" t="s">
        <v>41</v>
      </c>
      <c r="D360" t="s">
        <v>42</v>
      </c>
      <c r="E360" t="s">
        <v>311</v>
      </c>
      <c r="F360" t="s">
        <v>17</v>
      </c>
      <c r="G360" t="s">
        <v>463</v>
      </c>
      <c r="H360" t="s">
        <v>464</v>
      </c>
      <c r="I360" t="s">
        <v>465</v>
      </c>
      <c r="J360">
        <v>1</v>
      </c>
      <c r="K360">
        <v>5330521.7391304346</v>
      </c>
      <c r="L360">
        <v>0</v>
      </c>
      <c r="M360">
        <v>0</v>
      </c>
      <c r="N360">
        <f>(data[[#This Row],[unit_price]]*data[[#This Row],[quantity]]) * (1-data[[#This Row],[discount]])</f>
        <v>5330521.7391304346</v>
      </c>
      <c r="O360">
        <f>data[[#This Row],[sales]]-data[[#This Row],[cost]]</f>
        <v>5330521.7391304346</v>
      </c>
      <c r="P360" t="str">
        <f>TEXT(data[[#This Row],[order_date]],"mmm")</f>
        <v>Dec</v>
      </c>
      <c r="Q360">
        <f>YEAR(data[[#This Row],[order_date]])</f>
        <v>2025</v>
      </c>
      <c r="R360">
        <f>MONTH(data[[#This Row],[order_date]])</f>
        <v>12</v>
      </c>
      <c r="S360">
        <f>DAY(data[[#This Row],[order_date]])</f>
        <v>25</v>
      </c>
      <c r="T360">
        <f>data[[#This Row],[profit]]/data[[#This Row],[sales]]</f>
        <v>1</v>
      </c>
    </row>
    <row r="361" spans="1:20" x14ac:dyDescent="0.35">
      <c r="A361" t="s">
        <v>536</v>
      </c>
      <c r="B361" s="1">
        <v>46037</v>
      </c>
      <c r="C361" t="s">
        <v>14</v>
      </c>
      <c r="D361" t="s">
        <v>15</v>
      </c>
      <c r="E361" t="s">
        <v>462</v>
      </c>
      <c r="F361" t="s">
        <v>58</v>
      </c>
      <c r="G361" t="s">
        <v>463</v>
      </c>
      <c r="H361" t="s">
        <v>464</v>
      </c>
      <c r="I361" t="s">
        <v>465</v>
      </c>
      <c r="J361">
        <v>1</v>
      </c>
      <c r="K361">
        <v>5330521.7391304346</v>
      </c>
      <c r="L361">
        <v>0.05</v>
      </c>
      <c r="M361">
        <v>0</v>
      </c>
      <c r="N361">
        <f>(data[[#This Row],[unit_price]]*data[[#This Row],[quantity]]) * (1-data[[#This Row],[discount]])</f>
        <v>5063995.6521739122</v>
      </c>
      <c r="O361">
        <f>data[[#This Row],[sales]]-data[[#This Row],[cost]]</f>
        <v>5063995.6521739122</v>
      </c>
      <c r="P361" t="str">
        <f>TEXT(data[[#This Row],[order_date]],"mmm")</f>
        <v>Jan</v>
      </c>
      <c r="Q361">
        <f>YEAR(data[[#This Row],[order_date]])</f>
        <v>2026</v>
      </c>
      <c r="R361">
        <f>MONTH(data[[#This Row],[order_date]])</f>
        <v>1</v>
      </c>
      <c r="S361">
        <f>DAY(data[[#This Row],[order_date]])</f>
        <v>15</v>
      </c>
      <c r="T361">
        <f>data[[#This Row],[profit]]/data[[#This Row],[sales]]</f>
        <v>1</v>
      </c>
    </row>
    <row r="362" spans="1:20" x14ac:dyDescent="0.35">
      <c r="A362" t="s">
        <v>537</v>
      </c>
      <c r="B362" s="1">
        <v>46068</v>
      </c>
      <c r="C362" t="s">
        <v>14</v>
      </c>
      <c r="D362" t="s">
        <v>15</v>
      </c>
      <c r="E362" t="s">
        <v>121</v>
      </c>
      <c r="F362" t="s">
        <v>23</v>
      </c>
      <c r="G362" t="s">
        <v>463</v>
      </c>
      <c r="H362" t="s">
        <v>464</v>
      </c>
      <c r="I362" t="s">
        <v>465</v>
      </c>
      <c r="J362">
        <v>2</v>
      </c>
      <c r="K362">
        <v>4025000</v>
      </c>
      <c r="L362">
        <v>0</v>
      </c>
      <c r="M362">
        <v>3003000</v>
      </c>
      <c r="N362">
        <f>(data[[#This Row],[unit_price]]*data[[#This Row],[quantity]]) * (1-data[[#This Row],[discount]])</f>
        <v>8050000</v>
      </c>
      <c r="O362">
        <f>data[[#This Row],[sales]]-data[[#This Row],[cost]]</f>
        <v>5047000</v>
      </c>
      <c r="P362" t="str">
        <f>TEXT(data[[#This Row],[order_date]],"mmm")</f>
        <v>Feb</v>
      </c>
      <c r="Q362">
        <f>YEAR(data[[#This Row],[order_date]])</f>
        <v>2026</v>
      </c>
      <c r="R362">
        <f>MONTH(data[[#This Row],[order_date]])</f>
        <v>2</v>
      </c>
      <c r="S362">
        <f>DAY(data[[#This Row],[order_date]])</f>
        <v>15</v>
      </c>
      <c r="T362">
        <f>data[[#This Row],[profit]]/data[[#This Row],[sales]]</f>
        <v>0.62695652173913041</v>
      </c>
    </row>
    <row r="363" spans="1:20" x14ac:dyDescent="0.35">
      <c r="A363" t="s">
        <v>538</v>
      </c>
      <c r="B363" s="1">
        <v>46070</v>
      </c>
      <c r="C363" t="s">
        <v>25</v>
      </c>
      <c r="D363" t="s">
        <v>26</v>
      </c>
      <c r="E363" t="s">
        <v>197</v>
      </c>
      <c r="F363" t="s">
        <v>28</v>
      </c>
      <c r="G363" t="s">
        <v>463</v>
      </c>
      <c r="H363" t="s">
        <v>464</v>
      </c>
      <c r="I363" t="s">
        <v>465</v>
      </c>
      <c r="J363">
        <v>1</v>
      </c>
      <c r="K363">
        <v>4418000</v>
      </c>
      <c r="L363">
        <v>0</v>
      </c>
      <c r="M363">
        <v>3431000</v>
      </c>
      <c r="N363">
        <f>(data[[#This Row],[unit_price]]*data[[#This Row],[quantity]]) * (1-data[[#This Row],[discount]])</f>
        <v>4418000</v>
      </c>
      <c r="O363">
        <f>data[[#This Row],[sales]]-data[[#This Row],[cost]]</f>
        <v>987000</v>
      </c>
      <c r="P363" t="str">
        <f>TEXT(data[[#This Row],[order_date]],"mmm")</f>
        <v>Feb</v>
      </c>
      <c r="Q363">
        <f>YEAR(data[[#This Row],[order_date]])</f>
        <v>2026</v>
      </c>
      <c r="R363">
        <f>MONTH(data[[#This Row],[order_date]])</f>
        <v>2</v>
      </c>
      <c r="S363">
        <f>DAY(data[[#This Row],[order_date]])</f>
        <v>17</v>
      </c>
      <c r="T363">
        <f>data[[#This Row],[profit]]/data[[#This Row],[sales]]</f>
        <v>0.22340425531914893</v>
      </c>
    </row>
    <row r="364" spans="1:20" x14ac:dyDescent="0.35">
      <c r="A364" t="s">
        <v>539</v>
      </c>
      <c r="B364" s="1">
        <v>46086</v>
      </c>
      <c r="C364" t="s">
        <v>36</v>
      </c>
      <c r="D364" t="s">
        <v>37</v>
      </c>
      <c r="E364" t="s">
        <v>295</v>
      </c>
      <c r="F364" t="s">
        <v>23</v>
      </c>
      <c r="G364" t="s">
        <v>463</v>
      </c>
      <c r="H364" t="s">
        <v>464</v>
      </c>
      <c r="I364" t="s">
        <v>465</v>
      </c>
      <c r="J364">
        <v>1</v>
      </c>
      <c r="K364">
        <v>5631000</v>
      </c>
      <c r="L364">
        <v>0</v>
      </c>
      <c r="M364">
        <v>4234000</v>
      </c>
      <c r="N364">
        <f>(data[[#This Row],[unit_price]]*data[[#This Row],[quantity]]) * (1-data[[#This Row],[discount]])</f>
        <v>5631000</v>
      </c>
      <c r="O364">
        <f>data[[#This Row],[sales]]-data[[#This Row],[cost]]</f>
        <v>1397000</v>
      </c>
      <c r="P364" t="str">
        <f>TEXT(data[[#This Row],[order_date]],"mmm")</f>
        <v>Mar</v>
      </c>
      <c r="Q364">
        <f>YEAR(data[[#This Row],[order_date]])</f>
        <v>2026</v>
      </c>
      <c r="R364">
        <f>MONTH(data[[#This Row],[order_date]])</f>
        <v>3</v>
      </c>
      <c r="S364">
        <f>DAY(data[[#This Row],[order_date]])</f>
        <v>5</v>
      </c>
      <c r="T364">
        <f>data[[#This Row],[profit]]/data[[#This Row],[sales]]</f>
        <v>0.24809092523530457</v>
      </c>
    </row>
    <row r="365" spans="1:20" x14ac:dyDescent="0.35">
      <c r="A365" t="s">
        <v>540</v>
      </c>
      <c r="B365" s="1">
        <v>46136</v>
      </c>
      <c r="C365" t="s">
        <v>14</v>
      </c>
      <c r="D365" t="s">
        <v>15</v>
      </c>
      <c r="E365" t="s">
        <v>53</v>
      </c>
      <c r="F365" t="s">
        <v>17</v>
      </c>
      <c r="G365" t="s">
        <v>463</v>
      </c>
      <c r="H365" t="s">
        <v>464</v>
      </c>
      <c r="I365" t="s">
        <v>465</v>
      </c>
      <c r="J365">
        <v>3</v>
      </c>
      <c r="K365">
        <v>6474000</v>
      </c>
      <c r="L365">
        <v>0</v>
      </c>
      <c r="M365">
        <v>4935000</v>
      </c>
      <c r="N365">
        <f>(data[[#This Row],[unit_price]]*data[[#This Row],[quantity]]) * (1-data[[#This Row],[discount]])</f>
        <v>19422000</v>
      </c>
      <c r="O365">
        <f>data[[#This Row],[sales]]-data[[#This Row],[cost]]</f>
        <v>14487000</v>
      </c>
      <c r="P365" t="str">
        <f>TEXT(data[[#This Row],[order_date]],"mmm")</f>
        <v>Apr</v>
      </c>
      <c r="Q365">
        <f>YEAR(data[[#This Row],[order_date]])</f>
        <v>2026</v>
      </c>
      <c r="R365">
        <f>MONTH(data[[#This Row],[order_date]])</f>
        <v>4</v>
      </c>
      <c r="S365">
        <f>DAY(data[[#This Row],[order_date]])</f>
        <v>24</v>
      </c>
      <c r="T365">
        <f>data[[#This Row],[profit]]/data[[#This Row],[sales]]</f>
        <v>0.74590670373802903</v>
      </c>
    </row>
    <row r="366" spans="1:20" x14ac:dyDescent="0.35">
      <c r="A366" t="s">
        <v>541</v>
      </c>
      <c r="B366" s="1">
        <v>46155</v>
      </c>
      <c r="C366" t="s">
        <v>36</v>
      </c>
      <c r="D366" t="s">
        <v>37</v>
      </c>
      <c r="E366" t="s">
        <v>373</v>
      </c>
      <c r="F366" t="s">
        <v>23</v>
      </c>
      <c r="G366" t="s">
        <v>463</v>
      </c>
      <c r="H366" t="s">
        <v>464</v>
      </c>
      <c r="I366" t="s">
        <v>465</v>
      </c>
      <c r="J366">
        <v>2</v>
      </c>
      <c r="K366">
        <v>5070000</v>
      </c>
      <c r="L366">
        <v>0</v>
      </c>
      <c r="M366">
        <v>3797000</v>
      </c>
      <c r="N366">
        <f>(data[[#This Row],[unit_price]]*data[[#This Row],[quantity]]) * (1-data[[#This Row],[discount]])</f>
        <v>10140000</v>
      </c>
      <c r="O366">
        <f>data[[#This Row],[sales]]-data[[#This Row],[cost]]</f>
        <v>6343000</v>
      </c>
      <c r="P366" t="str">
        <f>TEXT(data[[#This Row],[order_date]],"mmm")</f>
        <v>May</v>
      </c>
      <c r="Q366">
        <f>YEAR(data[[#This Row],[order_date]])</f>
        <v>2026</v>
      </c>
      <c r="R366">
        <f>MONTH(data[[#This Row],[order_date]])</f>
        <v>5</v>
      </c>
      <c r="S366">
        <f>DAY(data[[#This Row],[order_date]])</f>
        <v>13</v>
      </c>
      <c r="T366">
        <f>data[[#This Row],[profit]]/data[[#This Row],[sales]]</f>
        <v>0.62554240631163704</v>
      </c>
    </row>
    <row r="367" spans="1:20" x14ac:dyDescent="0.35">
      <c r="A367" t="s">
        <v>542</v>
      </c>
      <c r="B367" s="1">
        <v>46160</v>
      </c>
      <c r="C367" t="s">
        <v>14</v>
      </c>
      <c r="D367" t="s">
        <v>15</v>
      </c>
      <c r="E367" t="s">
        <v>57</v>
      </c>
      <c r="F367" t="s">
        <v>58</v>
      </c>
      <c r="G367" t="s">
        <v>463</v>
      </c>
      <c r="H367" t="s">
        <v>464</v>
      </c>
      <c r="I367" t="s">
        <v>465</v>
      </c>
      <c r="J367">
        <v>1</v>
      </c>
      <c r="K367">
        <v>5330521.7391304346</v>
      </c>
      <c r="L367">
        <v>0</v>
      </c>
      <c r="M367">
        <v>3800000</v>
      </c>
      <c r="N367">
        <f>(data[[#This Row],[unit_price]]*data[[#This Row],[quantity]]) * (1-data[[#This Row],[discount]])</f>
        <v>5330521.7391304346</v>
      </c>
      <c r="O367">
        <f>data[[#This Row],[sales]]-data[[#This Row],[cost]]</f>
        <v>1530521.7391304346</v>
      </c>
      <c r="P367" t="str">
        <f>TEXT(data[[#This Row],[order_date]],"mmm")</f>
        <v>May</v>
      </c>
      <c r="Q367">
        <f>YEAR(data[[#This Row],[order_date]])</f>
        <v>2026</v>
      </c>
      <c r="R367">
        <f>MONTH(data[[#This Row],[order_date]])</f>
        <v>5</v>
      </c>
      <c r="S367">
        <f>DAY(data[[#This Row],[order_date]])</f>
        <v>18</v>
      </c>
      <c r="T367">
        <f>data[[#This Row],[profit]]/data[[#This Row],[sales]]</f>
        <v>0.287124190469976</v>
      </c>
    </row>
    <row r="368" spans="1:20" x14ac:dyDescent="0.35">
      <c r="A368" t="s">
        <v>543</v>
      </c>
      <c r="B368" s="1">
        <v>46174</v>
      </c>
      <c r="C368" t="s">
        <v>41</v>
      </c>
      <c r="D368" t="s">
        <v>42</v>
      </c>
      <c r="E368" t="s">
        <v>247</v>
      </c>
      <c r="F368" t="s">
        <v>17</v>
      </c>
      <c r="G368" t="s">
        <v>463</v>
      </c>
      <c r="H368" t="s">
        <v>464</v>
      </c>
      <c r="I368" t="s">
        <v>465</v>
      </c>
      <c r="J368">
        <v>1</v>
      </c>
      <c r="K368">
        <v>6509000</v>
      </c>
      <c r="L368">
        <v>0.1</v>
      </c>
      <c r="M368">
        <v>4845000</v>
      </c>
      <c r="N368">
        <f>(data[[#This Row],[unit_price]]*data[[#This Row],[quantity]]) * (1-data[[#This Row],[discount]])</f>
        <v>5858100</v>
      </c>
      <c r="O368">
        <f>data[[#This Row],[sales]]-data[[#This Row],[cost]]</f>
        <v>1013100</v>
      </c>
      <c r="P368" t="str">
        <f>TEXT(data[[#This Row],[order_date]],"mmm")</f>
        <v>Jun</v>
      </c>
      <c r="Q368">
        <f>YEAR(data[[#This Row],[order_date]])</f>
        <v>2026</v>
      </c>
      <c r="R368">
        <f>MONTH(data[[#This Row],[order_date]])</f>
        <v>6</v>
      </c>
      <c r="S368">
        <f>DAY(data[[#This Row],[order_date]])</f>
        <v>1</v>
      </c>
      <c r="T368">
        <f>data[[#This Row],[profit]]/data[[#This Row],[sales]]</f>
        <v>0.172940031750909</v>
      </c>
    </row>
    <row r="369" spans="1:20" x14ac:dyDescent="0.35">
      <c r="A369" t="s">
        <v>544</v>
      </c>
      <c r="B369" s="1">
        <v>46182</v>
      </c>
      <c r="C369" t="s">
        <v>14</v>
      </c>
      <c r="D369" t="s">
        <v>15</v>
      </c>
      <c r="E369" t="s">
        <v>172</v>
      </c>
      <c r="F369" t="s">
        <v>23</v>
      </c>
      <c r="G369" t="s">
        <v>463</v>
      </c>
      <c r="H369" t="s">
        <v>464</v>
      </c>
      <c r="I369" t="s">
        <v>465</v>
      </c>
      <c r="J369">
        <v>1</v>
      </c>
      <c r="K369">
        <v>4771000</v>
      </c>
      <c r="L369">
        <v>0</v>
      </c>
      <c r="M369">
        <v>3611000</v>
      </c>
      <c r="N369">
        <f>(data[[#This Row],[unit_price]]*data[[#This Row],[quantity]]) * (1-data[[#This Row],[discount]])</f>
        <v>4771000</v>
      </c>
      <c r="O369">
        <f>data[[#This Row],[sales]]-data[[#This Row],[cost]]</f>
        <v>1160000</v>
      </c>
      <c r="P369" t="str">
        <f>TEXT(data[[#This Row],[order_date]],"mmm")</f>
        <v>Jun</v>
      </c>
      <c r="Q369">
        <f>YEAR(data[[#This Row],[order_date]])</f>
        <v>2026</v>
      </c>
      <c r="R369">
        <f>MONTH(data[[#This Row],[order_date]])</f>
        <v>6</v>
      </c>
      <c r="S369">
        <f>DAY(data[[#This Row],[order_date]])</f>
        <v>9</v>
      </c>
      <c r="T369">
        <f>data[[#This Row],[profit]]/data[[#This Row],[sales]]</f>
        <v>0.24313561098302242</v>
      </c>
    </row>
    <row r="370" spans="1:20" x14ac:dyDescent="0.35">
      <c r="A370" t="s">
        <v>545</v>
      </c>
      <c r="B370" s="1">
        <v>46197</v>
      </c>
      <c r="C370" t="s">
        <v>36</v>
      </c>
      <c r="D370" t="s">
        <v>37</v>
      </c>
      <c r="E370" t="s">
        <v>97</v>
      </c>
      <c r="F370" t="s">
        <v>23</v>
      </c>
      <c r="G370" t="s">
        <v>463</v>
      </c>
      <c r="H370" t="s">
        <v>464</v>
      </c>
      <c r="I370" t="s">
        <v>465</v>
      </c>
      <c r="J370">
        <v>1</v>
      </c>
      <c r="K370">
        <v>4654000</v>
      </c>
      <c r="L370">
        <v>0</v>
      </c>
      <c r="M370">
        <v>3542000</v>
      </c>
      <c r="N370">
        <f>(data[[#This Row],[unit_price]]*data[[#This Row],[quantity]]) * (1-data[[#This Row],[discount]])</f>
        <v>4654000</v>
      </c>
      <c r="O370">
        <f>data[[#This Row],[sales]]-data[[#This Row],[cost]]</f>
        <v>1112000</v>
      </c>
      <c r="P370" t="str">
        <f>TEXT(data[[#This Row],[order_date]],"mmm")</f>
        <v>Jun</v>
      </c>
      <c r="Q370">
        <f>YEAR(data[[#This Row],[order_date]])</f>
        <v>2026</v>
      </c>
      <c r="R370">
        <f>MONTH(data[[#This Row],[order_date]])</f>
        <v>6</v>
      </c>
      <c r="S370">
        <f>DAY(data[[#This Row],[order_date]])</f>
        <v>24</v>
      </c>
      <c r="T370">
        <f>data[[#This Row],[profit]]/data[[#This Row],[sales]]</f>
        <v>0.23893425010743446</v>
      </c>
    </row>
    <row r="371" spans="1:20" x14ac:dyDescent="0.35">
      <c r="A371" t="s">
        <v>546</v>
      </c>
      <c r="B371" s="1">
        <v>46202</v>
      </c>
      <c r="C371" t="s">
        <v>14</v>
      </c>
      <c r="D371" t="s">
        <v>15</v>
      </c>
      <c r="E371" t="s">
        <v>218</v>
      </c>
      <c r="F371" t="s">
        <v>23</v>
      </c>
      <c r="G371" t="s">
        <v>463</v>
      </c>
      <c r="H371" t="s">
        <v>464</v>
      </c>
      <c r="I371" t="s">
        <v>465</v>
      </c>
      <c r="J371">
        <v>1</v>
      </c>
      <c r="K371">
        <v>6493000</v>
      </c>
      <c r="L371">
        <v>0</v>
      </c>
      <c r="M371">
        <v>4994000</v>
      </c>
      <c r="N371">
        <f>(data[[#This Row],[unit_price]]*data[[#This Row],[quantity]]) * (1-data[[#This Row],[discount]])</f>
        <v>6493000</v>
      </c>
      <c r="O371">
        <f>data[[#This Row],[sales]]-data[[#This Row],[cost]]</f>
        <v>1499000</v>
      </c>
      <c r="P371" t="str">
        <f>TEXT(data[[#This Row],[order_date]],"mmm")</f>
        <v>Jun</v>
      </c>
      <c r="Q371">
        <f>YEAR(data[[#This Row],[order_date]])</f>
        <v>2026</v>
      </c>
      <c r="R371">
        <f>MONTH(data[[#This Row],[order_date]])</f>
        <v>6</v>
      </c>
      <c r="S371">
        <f>DAY(data[[#This Row],[order_date]])</f>
        <v>29</v>
      </c>
      <c r="T371">
        <f>data[[#This Row],[profit]]/data[[#This Row],[sales]]</f>
        <v>0.23086400739257662</v>
      </c>
    </row>
    <row r="372" spans="1:20" x14ac:dyDescent="0.35">
      <c r="A372" t="s">
        <v>547</v>
      </c>
      <c r="B372" s="1">
        <v>44933</v>
      </c>
      <c r="C372" t="s">
        <v>14</v>
      </c>
      <c r="D372" t="s">
        <v>15</v>
      </c>
      <c r="E372" t="s">
        <v>274</v>
      </c>
      <c r="F372" t="s">
        <v>58</v>
      </c>
      <c r="G372" t="s">
        <v>548</v>
      </c>
      <c r="H372" t="s">
        <v>549</v>
      </c>
      <c r="I372" t="s">
        <v>160</v>
      </c>
      <c r="J372">
        <v>1</v>
      </c>
      <c r="K372">
        <v>5879000</v>
      </c>
      <c r="L372">
        <v>0</v>
      </c>
      <c r="M372">
        <v>4011000</v>
      </c>
      <c r="N372">
        <f>(data[[#This Row],[unit_price]]*data[[#This Row],[quantity]]) * (1-data[[#This Row],[discount]])</f>
        <v>5879000</v>
      </c>
      <c r="O372">
        <f>data[[#This Row],[sales]]-data[[#This Row],[cost]]</f>
        <v>1868000</v>
      </c>
      <c r="P372" t="str">
        <f>TEXT(data[[#This Row],[order_date]],"mmm")</f>
        <v>Jan</v>
      </c>
      <c r="Q372">
        <f>YEAR(data[[#This Row],[order_date]])</f>
        <v>2023</v>
      </c>
      <c r="R372">
        <f>MONTH(data[[#This Row],[order_date]])</f>
        <v>1</v>
      </c>
      <c r="S372">
        <f>DAY(data[[#This Row],[order_date]])</f>
        <v>7</v>
      </c>
      <c r="T372">
        <f>data[[#This Row],[profit]]/data[[#This Row],[sales]]</f>
        <v>0.31774111243408742</v>
      </c>
    </row>
    <row r="373" spans="1:20" x14ac:dyDescent="0.35">
      <c r="A373" t="s">
        <v>550</v>
      </c>
      <c r="B373" s="1">
        <v>44934</v>
      </c>
      <c r="C373" t="s">
        <v>36</v>
      </c>
      <c r="D373" t="s">
        <v>37</v>
      </c>
      <c r="E373" t="s">
        <v>150</v>
      </c>
      <c r="F373" t="s">
        <v>28</v>
      </c>
      <c r="G373" t="s">
        <v>548</v>
      </c>
      <c r="H373" t="s">
        <v>549</v>
      </c>
      <c r="I373" t="s">
        <v>160</v>
      </c>
      <c r="J373">
        <v>1</v>
      </c>
      <c r="K373">
        <v>7342000</v>
      </c>
      <c r="L373">
        <v>0.15</v>
      </c>
      <c r="M373">
        <v>5079000</v>
      </c>
      <c r="N373">
        <f>(data[[#This Row],[unit_price]]*data[[#This Row],[quantity]]) * (1-data[[#This Row],[discount]])</f>
        <v>6240700</v>
      </c>
      <c r="O373">
        <f>data[[#This Row],[sales]]-data[[#This Row],[cost]]</f>
        <v>1161700</v>
      </c>
      <c r="P373" t="str">
        <f>TEXT(data[[#This Row],[order_date]],"mmm")</f>
        <v>Jan</v>
      </c>
      <c r="Q373">
        <f>YEAR(data[[#This Row],[order_date]])</f>
        <v>2023</v>
      </c>
      <c r="R373">
        <f>MONTH(data[[#This Row],[order_date]])</f>
        <v>1</v>
      </c>
      <c r="S373">
        <f>DAY(data[[#This Row],[order_date]])</f>
        <v>8</v>
      </c>
      <c r="T373">
        <f>data[[#This Row],[profit]]/data[[#This Row],[sales]]</f>
        <v>0.18614898969666865</v>
      </c>
    </row>
    <row r="374" spans="1:20" x14ac:dyDescent="0.35">
      <c r="A374" t="s">
        <v>551</v>
      </c>
      <c r="B374" s="1">
        <v>44943</v>
      </c>
      <c r="C374" t="s">
        <v>14</v>
      </c>
      <c r="D374" t="s">
        <v>15</v>
      </c>
      <c r="E374" t="s">
        <v>228</v>
      </c>
      <c r="F374" t="s">
        <v>17</v>
      </c>
      <c r="G374" t="s">
        <v>548</v>
      </c>
      <c r="H374" t="s">
        <v>549</v>
      </c>
      <c r="I374" t="s">
        <v>160</v>
      </c>
      <c r="J374">
        <v>1</v>
      </c>
      <c r="K374">
        <v>5188000</v>
      </c>
      <c r="L374">
        <v>0.1</v>
      </c>
      <c r="M374">
        <v>3527000</v>
      </c>
      <c r="N374">
        <f>(data[[#This Row],[unit_price]]*data[[#This Row],[quantity]]) * (1-data[[#This Row],[discount]])</f>
        <v>4669200</v>
      </c>
      <c r="O374">
        <f>data[[#This Row],[sales]]-data[[#This Row],[cost]]</f>
        <v>1142200</v>
      </c>
      <c r="P374" t="str">
        <f>TEXT(data[[#This Row],[order_date]],"mmm")</f>
        <v>Jan</v>
      </c>
      <c r="Q374">
        <f>YEAR(data[[#This Row],[order_date]])</f>
        <v>2023</v>
      </c>
      <c r="R374">
        <f>MONTH(data[[#This Row],[order_date]])</f>
        <v>1</v>
      </c>
      <c r="S374">
        <f>DAY(data[[#This Row],[order_date]])</f>
        <v>17</v>
      </c>
      <c r="T374">
        <f>data[[#This Row],[profit]]/data[[#This Row],[sales]]</f>
        <v>0.24462434678317485</v>
      </c>
    </row>
    <row r="375" spans="1:20" x14ac:dyDescent="0.35">
      <c r="A375" t="s">
        <v>552</v>
      </c>
      <c r="B375" s="1">
        <v>44947</v>
      </c>
      <c r="C375" t="s">
        <v>41</v>
      </c>
      <c r="D375" t="s">
        <v>42</v>
      </c>
      <c r="E375" t="s">
        <v>553</v>
      </c>
      <c r="F375" t="s">
        <v>17</v>
      </c>
      <c r="G375" t="s">
        <v>548</v>
      </c>
      <c r="H375" t="s">
        <v>549</v>
      </c>
      <c r="I375" t="s">
        <v>160</v>
      </c>
      <c r="J375">
        <v>1</v>
      </c>
      <c r="K375">
        <v>5901000</v>
      </c>
      <c r="L375">
        <v>0</v>
      </c>
      <c r="M375">
        <v>4097000</v>
      </c>
      <c r="N375">
        <f>(data[[#This Row],[unit_price]]*data[[#This Row],[quantity]]) * (1-data[[#This Row],[discount]])</f>
        <v>5901000</v>
      </c>
      <c r="O375">
        <f>data[[#This Row],[sales]]-data[[#This Row],[cost]]</f>
        <v>1804000</v>
      </c>
      <c r="P375" t="str">
        <f>TEXT(data[[#This Row],[order_date]],"mmm")</f>
        <v>Jan</v>
      </c>
      <c r="Q375">
        <f>YEAR(data[[#This Row],[order_date]])</f>
        <v>2023</v>
      </c>
      <c r="R375">
        <f>MONTH(data[[#This Row],[order_date]])</f>
        <v>1</v>
      </c>
      <c r="S375">
        <f>DAY(data[[#This Row],[order_date]])</f>
        <v>21</v>
      </c>
      <c r="T375">
        <f>data[[#This Row],[profit]]/data[[#This Row],[sales]]</f>
        <v>0.30571089645822741</v>
      </c>
    </row>
    <row r="376" spans="1:20" x14ac:dyDescent="0.35">
      <c r="A376" t="s">
        <v>554</v>
      </c>
      <c r="B376" s="1">
        <v>44989</v>
      </c>
      <c r="C376" t="s">
        <v>41</v>
      </c>
      <c r="D376" t="s">
        <v>42</v>
      </c>
      <c r="E376" t="s">
        <v>228</v>
      </c>
      <c r="F376" t="s">
        <v>17</v>
      </c>
      <c r="G376" t="s">
        <v>548</v>
      </c>
      <c r="H376" t="s">
        <v>549</v>
      </c>
      <c r="I376" t="s">
        <v>160</v>
      </c>
      <c r="J376">
        <v>2</v>
      </c>
      <c r="K376">
        <v>5642000</v>
      </c>
      <c r="L376">
        <v>0</v>
      </c>
      <c r="M376">
        <v>3779000</v>
      </c>
      <c r="N376">
        <f>(data[[#This Row],[unit_price]]*data[[#This Row],[quantity]]) * (1-data[[#This Row],[discount]])</f>
        <v>11284000</v>
      </c>
      <c r="O376">
        <f>data[[#This Row],[sales]]-data[[#This Row],[cost]]</f>
        <v>7505000</v>
      </c>
      <c r="P376" t="str">
        <f>TEXT(data[[#This Row],[order_date]],"mmm")</f>
        <v>Mar</v>
      </c>
      <c r="Q376">
        <f>YEAR(data[[#This Row],[order_date]])</f>
        <v>2023</v>
      </c>
      <c r="R376">
        <f>MONTH(data[[#This Row],[order_date]])</f>
        <v>3</v>
      </c>
      <c r="S376">
        <f>DAY(data[[#This Row],[order_date]])</f>
        <v>4</v>
      </c>
      <c r="T376">
        <f>data[[#This Row],[profit]]/data[[#This Row],[sales]]</f>
        <v>0.66510102800425386</v>
      </c>
    </row>
    <row r="377" spans="1:20" x14ac:dyDescent="0.35">
      <c r="A377" t="s">
        <v>555</v>
      </c>
      <c r="B377" s="1">
        <v>45020</v>
      </c>
      <c r="C377" t="s">
        <v>41</v>
      </c>
      <c r="D377" t="s">
        <v>42</v>
      </c>
      <c r="E377" t="s">
        <v>270</v>
      </c>
      <c r="F377" t="s">
        <v>23</v>
      </c>
      <c r="G377" t="s">
        <v>548</v>
      </c>
      <c r="H377" t="s">
        <v>549</v>
      </c>
      <c r="I377" t="s">
        <v>160</v>
      </c>
      <c r="J377">
        <v>1</v>
      </c>
      <c r="K377">
        <v>6301000</v>
      </c>
      <c r="L377">
        <v>0</v>
      </c>
      <c r="M377">
        <v>4284000</v>
      </c>
      <c r="N377">
        <f>(data[[#This Row],[unit_price]]*data[[#This Row],[quantity]]) * (1-data[[#This Row],[discount]])</f>
        <v>6301000</v>
      </c>
      <c r="O377">
        <f>data[[#This Row],[sales]]-data[[#This Row],[cost]]</f>
        <v>2017000</v>
      </c>
      <c r="P377" t="str">
        <f>TEXT(data[[#This Row],[order_date]],"mmm")</f>
        <v>Apr</v>
      </c>
      <c r="Q377">
        <f>YEAR(data[[#This Row],[order_date]])</f>
        <v>2023</v>
      </c>
      <c r="R377">
        <f>MONTH(data[[#This Row],[order_date]])</f>
        <v>4</v>
      </c>
      <c r="S377">
        <f>DAY(data[[#This Row],[order_date]])</f>
        <v>4</v>
      </c>
      <c r="T377">
        <f>data[[#This Row],[profit]]/data[[#This Row],[sales]]</f>
        <v>0.32010791937787653</v>
      </c>
    </row>
    <row r="378" spans="1:20" x14ac:dyDescent="0.35">
      <c r="A378" t="s">
        <v>556</v>
      </c>
      <c r="B378" s="1">
        <v>45025</v>
      </c>
      <c r="C378" t="s">
        <v>36</v>
      </c>
      <c r="D378" t="s">
        <v>37</v>
      </c>
      <c r="E378" t="s">
        <v>423</v>
      </c>
      <c r="F378" t="s">
        <v>17</v>
      </c>
      <c r="G378" t="s">
        <v>548</v>
      </c>
      <c r="H378" t="s">
        <v>549</v>
      </c>
      <c r="I378" t="s">
        <v>160</v>
      </c>
      <c r="J378">
        <v>1</v>
      </c>
      <c r="K378">
        <v>5588000</v>
      </c>
      <c r="L378">
        <v>0</v>
      </c>
      <c r="M378">
        <v>3869000</v>
      </c>
      <c r="N378">
        <f>(data[[#This Row],[unit_price]]*data[[#This Row],[quantity]]) * (1-data[[#This Row],[discount]])</f>
        <v>5588000</v>
      </c>
      <c r="O378">
        <f>data[[#This Row],[sales]]-data[[#This Row],[cost]]</f>
        <v>1719000</v>
      </c>
      <c r="P378" t="str">
        <f>TEXT(data[[#This Row],[order_date]],"mmm")</f>
        <v>Apr</v>
      </c>
      <c r="Q378">
        <f>YEAR(data[[#This Row],[order_date]])</f>
        <v>2023</v>
      </c>
      <c r="R378">
        <f>MONTH(data[[#This Row],[order_date]])</f>
        <v>4</v>
      </c>
      <c r="S378">
        <f>DAY(data[[#This Row],[order_date]])</f>
        <v>9</v>
      </c>
      <c r="T378">
        <f>data[[#This Row],[profit]]/data[[#This Row],[sales]]</f>
        <v>0.30762347888332142</v>
      </c>
    </row>
    <row r="379" spans="1:20" x14ac:dyDescent="0.35">
      <c r="A379" t="s">
        <v>557</v>
      </c>
      <c r="B379" s="1">
        <v>45039</v>
      </c>
      <c r="C379" t="s">
        <v>41</v>
      </c>
      <c r="D379" t="s">
        <v>42</v>
      </c>
      <c r="E379" t="s">
        <v>197</v>
      </c>
      <c r="F379" t="s">
        <v>28</v>
      </c>
      <c r="G379" t="s">
        <v>548</v>
      </c>
      <c r="H379" t="s">
        <v>549</v>
      </c>
      <c r="I379" t="s">
        <v>160</v>
      </c>
      <c r="J379">
        <v>3</v>
      </c>
      <c r="K379">
        <v>6108000</v>
      </c>
      <c r="L379">
        <v>0.05</v>
      </c>
      <c r="M379">
        <v>4246000</v>
      </c>
      <c r="N379">
        <f>(data[[#This Row],[unit_price]]*data[[#This Row],[quantity]]) * (1-data[[#This Row],[discount]])</f>
        <v>17407800</v>
      </c>
      <c r="O379">
        <f>data[[#This Row],[sales]]-data[[#This Row],[cost]]</f>
        <v>13161800</v>
      </c>
      <c r="P379" t="str">
        <f>TEXT(data[[#This Row],[order_date]],"mmm")</f>
        <v>Apr</v>
      </c>
      <c r="Q379">
        <f>YEAR(data[[#This Row],[order_date]])</f>
        <v>2023</v>
      </c>
      <c r="R379">
        <f>MONTH(data[[#This Row],[order_date]])</f>
        <v>4</v>
      </c>
      <c r="S379">
        <f>DAY(data[[#This Row],[order_date]])</f>
        <v>23</v>
      </c>
      <c r="T379">
        <f>data[[#This Row],[profit]]/data[[#This Row],[sales]]</f>
        <v>0.75608635209503783</v>
      </c>
    </row>
    <row r="380" spans="1:20" x14ac:dyDescent="0.35">
      <c r="A380" t="s">
        <v>558</v>
      </c>
      <c r="B380" s="1">
        <v>45060</v>
      </c>
      <c r="C380" t="s">
        <v>49</v>
      </c>
      <c r="D380" t="s">
        <v>50</v>
      </c>
      <c r="E380" t="s">
        <v>559</v>
      </c>
      <c r="F380" t="s">
        <v>23</v>
      </c>
      <c r="G380" t="s">
        <v>548</v>
      </c>
      <c r="H380" t="s">
        <v>549</v>
      </c>
      <c r="I380" t="s">
        <v>160</v>
      </c>
      <c r="J380">
        <v>2</v>
      </c>
      <c r="K380">
        <v>6120000</v>
      </c>
      <c r="L380">
        <v>0</v>
      </c>
      <c r="M380">
        <v>4205000</v>
      </c>
      <c r="N380">
        <f>(data[[#This Row],[unit_price]]*data[[#This Row],[quantity]]) * (1-data[[#This Row],[discount]])</f>
        <v>12240000</v>
      </c>
      <c r="O380">
        <f>data[[#This Row],[sales]]-data[[#This Row],[cost]]</f>
        <v>8035000</v>
      </c>
      <c r="P380" t="str">
        <f>TEXT(data[[#This Row],[order_date]],"mmm")</f>
        <v>May</v>
      </c>
      <c r="Q380">
        <f>YEAR(data[[#This Row],[order_date]])</f>
        <v>2023</v>
      </c>
      <c r="R380">
        <f>MONTH(data[[#This Row],[order_date]])</f>
        <v>5</v>
      </c>
      <c r="S380">
        <f>DAY(data[[#This Row],[order_date]])</f>
        <v>14</v>
      </c>
      <c r="T380">
        <f>data[[#This Row],[profit]]/data[[#This Row],[sales]]</f>
        <v>0.65645424836601307</v>
      </c>
    </row>
    <row r="381" spans="1:20" x14ac:dyDescent="0.35">
      <c r="A381" t="s">
        <v>560</v>
      </c>
      <c r="B381" s="1">
        <v>45065</v>
      </c>
      <c r="C381" t="s">
        <v>14</v>
      </c>
      <c r="D381" t="s">
        <v>15</v>
      </c>
      <c r="E381" t="s">
        <v>230</v>
      </c>
      <c r="F381" t="s">
        <v>23</v>
      </c>
      <c r="G381" t="s">
        <v>548</v>
      </c>
      <c r="H381" t="s">
        <v>549</v>
      </c>
      <c r="I381" t="s">
        <v>160</v>
      </c>
      <c r="J381">
        <v>1</v>
      </c>
      <c r="K381">
        <v>6698000</v>
      </c>
      <c r="L381">
        <v>0</v>
      </c>
      <c r="M381">
        <v>4530000</v>
      </c>
      <c r="N381">
        <f>(data[[#This Row],[unit_price]]*data[[#This Row],[quantity]]) * (1-data[[#This Row],[discount]])</f>
        <v>6698000</v>
      </c>
      <c r="O381">
        <f>data[[#This Row],[sales]]-data[[#This Row],[cost]]</f>
        <v>2168000</v>
      </c>
      <c r="P381" t="str">
        <f>TEXT(data[[#This Row],[order_date]],"mmm")</f>
        <v>May</v>
      </c>
      <c r="Q381">
        <f>YEAR(data[[#This Row],[order_date]])</f>
        <v>2023</v>
      </c>
      <c r="R381">
        <f>MONTH(data[[#This Row],[order_date]])</f>
        <v>5</v>
      </c>
      <c r="S381">
        <f>DAY(data[[#This Row],[order_date]])</f>
        <v>19</v>
      </c>
      <c r="T381">
        <f>data[[#This Row],[profit]]/data[[#This Row],[sales]]</f>
        <v>0.32367871006270527</v>
      </c>
    </row>
    <row r="382" spans="1:20" x14ac:dyDescent="0.35">
      <c r="A382" t="s">
        <v>561</v>
      </c>
      <c r="B382" s="1">
        <v>45066</v>
      </c>
      <c r="C382" t="s">
        <v>41</v>
      </c>
      <c r="D382" t="s">
        <v>42</v>
      </c>
      <c r="E382" t="s">
        <v>197</v>
      </c>
      <c r="F382" t="s">
        <v>28</v>
      </c>
      <c r="G382" t="s">
        <v>548</v>
      </c>
      <c r="H382" t="s">
        <v>549</v>
      </c>
      <c r="I382" t="s">
        <v>160</v>
      </c>
      <c r="J382">
        <v>2</v>
      </c>
      <c r="K382">
        <v>6146000</v>
      </c>
      <c r="L382">
        <v>0.1</v>
      </c>
      <c r="M382">
        <v>4176000</v>
      </c>
      <c r="N382">
        <f>(data[[#This Row],[unit_price]]*data[[#This Row],[quantity]]) * (1-data[[#This Row],[discount]])</f>
        <v>11062800</v>
      </c>
      <c r="O382">
        <f>data[[#This Row],[sales]]-data[[#This Row],[cost]]</f>
        <v>6886800</v>
      </c>
      <c r="P382" t="str">
        <f>TEXT(data[[#This Row],[order_date]],"mmm")</f>
        <v>May</v>
      </c>
      <c r="Q382">
        <f>YEAR(data[[#This Row],[order_date]])</f>
        <v>2023</v>
      </c>
      <c r="R382">
        <f>MONTH(data[[#This Row],[order_date]])</f>
        <v>5</v>
      </c>
      <c r="S382">
        <f>DAY(data[[#This Row],[order_date]])</f>
        <v>20</v>
      </c>
      <c r="T382">
        <f>data[[#This Row],[profit]]/data[[#This Row],[sales]]</f>
        <v>0.62251871135698011</v>
      </c>
    </row>
    <row r="383" spans="1:20" x14ac:dyDescent="0.35">
      <c r="A383" t="s">
        <v>562</v>
      </c>
      <c r="B383" s="1">
        <v>45068</v>
      </c>
      <c r="C383" t="s">
        <v>41</v>
      </c>
      <c r="D383" t="s">
        <v>42</v>
      </c>
      <c r="E383" t="s">
        <v>39</v>
      </c>
      <c r="F383" t="s">
        <v>23</v>
      </c>
      <c r="G383" t="s">
        <v>548</v>
      </c>
      <c r="H383" t="s">
        <v>549</v>
      </c>
      <c r="I383" t="s">
        <v>160</v>
      </c>
      <c r="J383">
        <v>1</v>
      </c>
      <c r="K383">
        <v>5780000</v>
      </c>
      <c r="L383">
        <v>0.15</v>
      </c>
      <c r="M383">
        <v>3959000</v>
      </c>
      <c r="N383">
        <f>(data[[#This Row],[unit_price]]*data[[#This Row],[quantity]]) * (1-data[[#This Row],[discount]])</f>
        <v>4913000</v>
      </c>
      <c r="O383">
        <f>data[[#This Row],[sales]]-data[[#This Row],[cost]]</f>
        <v>954000</v>
      </c>
      <c r="P383" t="str">
        <f>TEXT(data[[#This Row],[order_date]],"mmm")</f>
        <v>May</v>
      </c>
      <c r="Q383">
        <f>YEAR(data[[#This Row],[order_date]])</f>
        <v>2023</v>
      </c>
      <c r="R383">
        <f>MONTH(data[[#This Row],[order_date]])</f>
        <v>5</v>
      </c>
      <c r="S383">
        <f>DAY(data[[#This Row],[order_date]])</f>
        <v>22</v>
      </c>
      <c r="T383">
        <f>data[[#This Row],[profit]]/data[[#This Row],[sales]]</f>
        <v>0.19417870954610217</v>
      </c>
    </row>
    <row r="384" spans="1:20" x14ac:dyDescent="0.35">
      <c r="A384" t="s">
        <v>563</v>
      </c>
      <c r="B384" s="1">
        <v>45172</v>
      </c>
      <c r="C384" t="s">
        <v>14</v>
      </c>
      <c r="D384" t="s">
        <v>15</v>
      </c>
      <c r="E384" t="s">
        <v>295</v>
      </c>
      <c r="F384" t="s">
        <v>23</v>
      </c>
      <c r="G384" t="s">
        <v>548</v>
      </c>
      <c r="H384" t="s">
        <v>549</v>
      </c>
      <c r="I384" t="s">
        <v>160</v>
      </c>
      <c r="J384">
        <v>2</v>
      </c>
      <c r="K384">
        <v>7442000</v>
      </c>
      <c r="L384">
        <v>0.05</v>
      </c>
      <c r="M384">
        <v>5088000</v>
      </c>
      <c r="N384">
        <f>(data[[#This Row],[unit_price]]*data[[#This Row],[quantity]]) * (1-data[[#This Row],[discount]])</f>
        <v>14139800</v>
      </c>
      <c r="O384">
        <f>data[[#This Row],[sales]]-data[[#This Row],[cost]]</f>
        <v>9051800</v>
      </c>
      <c r="P384" t="str">
        <f>TEXT(data[[#This Row],[order_date]],"mmm")</f>
        <v>Sep</v>
      </c>
      <c r="Q384">
        <f>YEAR(data[[#This Row],[order_date]])</f>
        <v>2023</v>
      </c>
      <c r="R384">
        <f>MONTH(data[[#This Row],[order_date]])</f>
        <v>9</v>
      </c>
      <c r="S384">
        <f>DAY(data[[#This Row],[order_date]])</f>
        <v>3</v>
      </c>
      <c r="T384">
        <f>data[[#This Row],[profit]]/data[[#This Row],[sales]]</f>
        <v>0.64016464164981113</v>
      </c>
    </row>
    <row r="385" spans="1:20" x14ac:dyDescent="0.35">
      <c r="A385" t="s">
        <v>564</v>
      </c>
      <c r="B385" s="1">
        <v>45174</v>
      </c>
      <c r="C385" t="s">
        <v>14</v>
      </c>
      <c r="D385" t="s">
        <v>15</v>
      </c>
      <c r="E385" t="s">
        <v>166</v>
      </c>
      <c r="F385" t="s">
        <v>28</v>
      </c>
      <c r="G385" t="s">
        <v>548</v>
      </c>
      <c r="H385" t="s">
        <v>549</v>
      </c>
      <c r="I385" t="s">
        <v>160</v>
      </c>
      <c r="J385">
        <v>1</v>
      </c>
      <c r="K385">
        <v>6954000</v>
      </c>
      <c r="L385">
        <v>0</v>
      </c>
      <c r="M385">
        <v>4662000</v>
      </c>
      <c r="N385">
        <f>(data[[#This Row],[unit_price]]*data[[#This Row],[quantity]]) * (1-data[[#This Row],[discount]])</f>
        <v>6954000</v>
      </c>
      <c r="O385">
        <f>data[[#This Row],[sales]]-data[[#This Row],[cost]]</f>
        <v>2292000</v>
      </c>
      <c r="P385" t="str">
        <f>TEXT(data[[#This Row],[order_date]],"mmm")</f>
        <v>Sep</v>
      </c>
      <c r="Q385">
        <f>YEAR(data[[#This Row],[order_date]])</f>
        <v>2023</v>
      </c>
      <c r="R385">
        <f>MONTH(data[[#This Row],[order_date]])</f>
        <v>9</v>
      </c>
      <c r="S385">
        <f>DAY(data[[#This Row],[order_date]])</f>
        <v>5</v>
      </c>
      <c r="T385">
        <f>data[[#This Row],[profit]]/data[[#This Row],[sales]]</f>
        <v>0.32959447799827435</v>
      </c>
    </row>
    <row r="386" spans="1:20" x14ac:dyDescent="0.35">
      <c r="A386" t="s">
        <v>565</v>
      </c>
      <c r="B386" s="1">
        <v>45181</v>
      </c>
      <c r="C386" t="s">
        <v>25</v>
      </c>
      <c r="D386" t="s">
        <v>26</v>
      </c>
      <c r="E386" t="s">
        <v>179</v>
      </c>
      <c r="F386" t="s">
        <v>23</v>
      </c>
      <c r="G386" t="s">
        <v>548</v>
      </c>
      <c r="H386" t="s">
        <v>549</v>
      </c>
      <c r="I386" t="s">
        <v>160</v>
      </c>
      <c r="J386">
        <v>1</v>
      </c>
      <c r="K386">
        <v>6331000</v>
      </c>
      <c r="L386">
        <v>0</v>
      </c>
      <c r="M386">
        <v>4426000</v>
      </c>
      <c r="N386">
        <f>(data[[#This Row],[unit_price]]*data[[#This Row],[quantity]]) * (1-data[[#This Row],[discount]])</f>
        <v>6331000</v>
      </c>
      <c r="O386">
        <f>data[[#This Row],[sales]]-data[[#This Row],[cost]]</f>
        <v>1905000</v>
      </c>
      <c r="P386" t="str">
        <f>TEXT(data[[#This Row],[order_date]],"mmm")</f>
        <v>Sep</v>
      </c>
      <c r="Q386">
        <f>YEAR(data[[#This Row],[order_date]])</f>
        <v>2023</v>
      </c>
      <c r="R386">
        <f>MONTH(data[[#This Row],[order_date]])</f>
        <v>9</v>
      </c>
      <c r="S386">
        <f>DAY(data[[#This Row],[order_date]])</f>
        <v>12</v>
      </c>
      <c r="T386">
        <f>data[[#This Row],[profit]]/data[[#This Row],[sales]]</f>
        <v>0.30090033170115305</v>
      </c>
    </row>
    <row r="387" spans="1:20" x14ac:dyDescent="0.35">
      <c r="A387" t="s">
        <v>566</v>
      </c>
      <c r="B387" s="1">
        <v>45199</v>
      </c>
      <c r="C387" t="s">
        <v>14</v>
      </c>
      <c r="D387" t="s">
        <v>15</v>
      </c>
      <c r="E387" t="s">
        <v>110</v>
      </c>
      <c r="F387" t="s">
        <v>23</v>
      </c>
      <c r="G387" t="s">
        <v>548</v>
      </c>
      <c r="H387" t="s">
        <v>549</v>
      </c>
      <c r="I387" t="s">
        <v>160</v>
      </c>
      <c r="J387">
        <v>1</v>
      </c>
      <c r="K387">
        <v>5991000</v>
      </c>
      <c r="L387">
        <v>0</v>
      </c>
      <c r="M387">
        <v>4163000</v>
      </c>
      <c r="N387">
        <f>(data[[#This Row],[unit_price]]*data[[#This Row],[quantity]]) * (1-data[[#This Row],[discount]])</f>
        <v>5991000</v>
      </c>
      <c r="O387">
        <f>data[[#This Row],[sales]]-data[[#This Row],[cost]]</f>
        <v>1828000</v>
      </c>
      <c r="P387" t="str">
        <f>TEXT(data[[#This Row],[order_date]],"mmm")</f>
        <v>Sep</v>
      </c>
      <c r="Q387">
        <f>YEAR(data[[#This Row],[order_date]])</f>
        <v>2023</v>
      </c>
      <c r="R387">
        <f>MONTH(data[[#This Row],[order_date]])</f>
        <v>9</v>
      </c>
      <c r="S387">
        <f>DAY(data[[#This Row],[order_date]])</f>
        <v>30</v>
      </c>
      <c r="T387">
        <f>data[[#This Row],[profit]]/data[[#This Row],[sales]]</f>
        <v>0.30512435319646136</v>
      </c>
    </row>
    <row r="388" spans="1:20" x14ac:dyDescent="0.35">
      <c r="A388" t="s">
        <v>567</v>
      </c>
      <c r="B388" s="1">
        <v>45201</v>
      </c>
      <c r="C388" t="s">
        <v>41</v>
      </c>
      <c r="D388" t="s">
        <v>42</v>
      </c>
      <c r="E388" t="s">
        <v>201</v>
      </c>
      <c r="F388" t="s">
        <v>58</v>
      </c>
      <c r="G388" t="s">
        <v>548</v>
      </c>
      <c r="H388" t="s">
        <v>549</v>
      </c>
      <c r="I388" t="s">
        <v>160</v>
      </c>
      <c r="J388">
        <v>3</v>
      </c>
      <c r="K388">
        <v>4665000</v>
      </c>
      <c r="L388">
        <v>0</v>
      </c>
      <c r="M388">
        <v>3112000</v>
      </c>
      <c r="N388">
        <f>(data[[#This Row],[unit_price]]*data[[#This Row],[quantity]]) * (1-data[[#This Row],[discount]])</f>
        <v>13995000</v>
      </c>
      <c r="O388">
        <f>data[[#This Row],[sales]]-data[[#This Row],[cost]]</f>
        <v>10883000</v>
      </c>
      <c r="P388" t="str">
        <f>TEXT(data[[#This Row],[order_date]],"mmm")</f>
        <v>Oct</v>
      </c>
      <c r="Q388">
        <f>YEAR(data[[#This Row],[order_date]])</f>
        <v>2023</v>
      </c>
      <c r="R388">
        <f>MONTH(data[[#This Row],[order_date]])</f>
        <v>10</v>
      </c>
      <c r="S388">
        <f>DAY(data[[#This Row],[order_date]])</f>
        <v>2</v>
      </c>
      <c r="T388">
        <f>data[[#This Row],[profit]]/data[[#This Row],[sales]]</f>
        <v>0.77763486959628436</v>
      </c>
    </row>
    <row r="389" spans="1:20" x14ac:dyDescent="0.35">
      <c r="A389" t="s">
        <v>568</v>
      </c>
      <c r="B389" s="1">
        <v>45207</v>
      </c>
      <c r="C389" t="s">
        <v>36</v>
      </c>
      <c r="D389" t="s">
        <v>37</v>
      </c>
      <c r="E389" t="s">
        <v>569</v>
      </c>
      <c r="F389" t="s">
        <v>23</v>
      </c>
      <c r="G389" t="s">
        <v>548</v>
      </c>
      <c r="H389" t="s">
        <v>549</v>
      </c>
      <c r="I389" t="s">
        <v>160</v>
      </c>
      <c r="J389">
        <v>1</v>
      </c>
      <c r="K389">
        <v>7229000</v>
      </c>
      <c r="L389">
        <v>0</v>
      </c>
      <c r="M389">
        <v>4856000</v>
      </c>
      <c r="N389">
        <f>(data[[#This Row],[unit_price]]*data[[#This Row],[quantity]]) * (1-data[[#This Row],[discount]])</f>
        <v>7229000</v>
      </c>
      <c r="O389">
        <f>data[[#This Row],[sales]]-data[[#This Row],[cost]]</f>
        <v>2373000</v>
      </c>
      <c r="P389" t="str">
        <f>TEXT(data[[#This Row],[order_date]],"mmm")</f>
        <v>Oct</v>
      </c>
      <c r="Q389">
        <f>YEAR(data[[#This Row],[order_date]])</f>
        <v>2023</v>
      </c>
      <c r="R389">
        <f>MONTH(data[[#This Row],[order_date]])</f>
        <v>10</v>
      </c>
      <c r="S389">
        <f>DAY(data[[#This Row],[order_date]])</f>
        <v>8</v>
      </c>
      <c r="T389">
        <f>data[[#This Row],[profit]]/data[[#This Row],[sales]]</f>
        <v>0.32826117028634666</v>
      </c>
    </row>
    <row r="390" spans="1:20" x14ac:dyDescent="0.35">
      <c r="A390" t="s">
        <v>570</v>
      </c>
      <c r="B390" s="1">
        <v>45244</v>
      </c>
      <c r="C390" t="s">
        <v>14</v>
      </c>
      <c r="D390" t="s">
        <v>15</v>
      </c>
      <c r="E390" t="s">
        <v>258</v>
      </c>
      <c r="F390" t="s">
        <v>23</v>
      </c>
      <c r="G390" t="s">
        <v>548</v>
      </c>
      <c r="H390" t="s">
        <v>549</v>
      </c>
      <c r="I390" t="s">
        <v>160</v>
      </c>
      <c r="J390">
        <v>2</v>
      </c>
      <c r="K390">
        <v>4657000</v>
      </c>
      <c r="L390">
        <v>0</v>
      </c>
      <c r="M390">
        <v>3087000</v>
      </c>
      <c r="N390">
        <f>(data[[#This Row],[unit_price]]*data[[#This Row],[quantity]]) * (1-data[[#This Row],[discount]])</f>
        <v>9314000</v>
      </c>
      <c r="O390">
        <f>data[[#This Row],[sales]]-data[[#This Row],[cost]]</f>
        <v>6227000</v>
      </c>
      <c r="P390" t="str">
        <f>TEXT(data[[#This Row],[order_date]],"mmm")</f>
        <v>Nov</v>
      </c>
      <c r="Q390">
        <f>YEAR(data[[#This Row],[order_date]])</f>
        <v>2023</v>
      </c>
      <c r="R390">
        <f>MONTH(data[[#This Row],[order_date]])</f>
        <v>11</v>
      </c>
      <c r="S390">
        <f>DAY(data[[#This Row],[order_date]])</f>
        <v>14</v>
      </c>
      <c r="T390">
        <f>data[[#This Row],[profit]]/data[[#This Row],[sales]]</f>
        <v>0.66856345286665231</v>
      </c>
    </row>
    <row r="391" spans="1:20" x14ac:dyDescent="0.35">
      <c r="A391" t="s">
        <v>571</v>
      </c>
      <c r="B391" s="1">
        <v>45245</v>
      </c>
      <c r="C391" t="s">
        <v>36</v>
      </c>
      <c r="D391" t="s">
        <v>37</v>
      </c>
      <c r="E391" t="s">
        <v>456</v>
      </c>
      <c r="F391" t="s">
        <v>23</v>
      </c>
      <c r="G391" t="s">
        <v>548</v>
      </c>
      <c r="H391" t="s">
        <v>549</v>
      </c>
      <c r="I391" t="s">
        <v>160</v>
      </c>
      <c r="J391">
        <v>1</v>
      </c>
      <c r="K391">
        <v>4978000</v>
      </c>
      <c r="L391">
        <v>0</v>
      </c>
      <c r="M391">
        <v>3384000</v>
      </c>
      <c r="N391">
        <f>(data[[#This Row],[unit_price]]*data[[#This Row],[quantity]]) * (1-data[[#This Row],[discount]])</f>
        <v>4978000</v>
      </c>
      <c r="O391">
        <f>data[[#This Row],[sales]]-data[[#This Row],[cost]]</f>
        <v>1594000</v>
      </c>
      <c r="P391" t="str">
        <f>TEXT(data[[#This Row],[order_date]],"mmm")</f>
        <v>Nov</v>
      </c>
      <c r="Q391">
        <f>YEAR(data[[#This Row],[order_date]])</f>
        <v>2023</v>
      </c>
      <c r="R391">
        <f>MONTH(data[[#This Row],[order_date]])</f>
        <v>11</v>
      </c>
      <c r="S391">
        <f>DAY(data[[#This Row],[order_date]])</f>
        <v>15</v>
      </c>
      <c r="T391">
        <f>data[[#This Row],[profit]]/data[[#This Row],[sales]]</f>
        <v>0.32020891924467659</v>
      </c>
    </row>
    <row r="392" spans="1:20" x14ac:dyDescent="0.35">
      <c r="A392" t="s">
        <v>572</v>
      </c>
      <c r="B392" s="1">
        <v>45248</v>
      </c>
      <c r="C392" t="s">
        <v>36</v>
      </c>
      <c r="D392" t="s">
        <v>37</v>
      </c>
      <c r="E392" t="s">
        <v>152</v>
      </c>
      <c r="F392" t="s">
        <v>23</v>
      </c>
      <c r="G392" t="s">
        <v>548</v>
      </c>
      <c r="H392" t="s">
        <v>549</v>
      </c>
      <c r="I392" t="s">
        <v>160</v>
      </c>
      <c r="J392">
        <v>1</v>
      </c>
      <c r="K392">
        <v>6647000</v>
      </c>
      <c r="L392">
        <v>0.05</v>
      </c>
      <c r="M392">
        <v>4417000</v>
      </c>
      <c r="N392">
        <f>(data[[#This Row],[unit_price]]*data[[#This Row],[quantity]]) * (1-data[[#This Row],[discount]])</f>
        <v>6314650</v>
      </c>
      <c r="O392">
        <f>data[[#This Row],[sales]]-data[[#This Row],[cost]]</f>
        <v>1897650</v>
      </c>
      <c r="P392" t="str">
        <f>TEXT(data[[#This Row],[order_date]],"mmm")</f>
        <v>Nov</v>
      </c>
      <c r="Q392">
        <f>YEAR(data[[#This Row],[order_date]])</f>
        <v>2023</v>
      </c>
      <c r="R392">
        <f>MONTH(data[[#This Row],[order_date]])</f>
        <v>11</v>
      </c>
      <c r="S392">
        <f>DAY(data[[#This Row],[order_date]])</f>
        <v>18</v>
      </c>
      <c r="T392">
        <f>data[[#This Row],[profit]]/data[[#This Row],[sales]]</f>
        <v>0.30051546799901818</v>
      </c>
    </row>
    <row r="393" spans="1:20" x14ac:dyDescent="0.35">
      <c r="A393" t="s">
        <v>573</v>
      </c>
      <c r="B393" s="1">
        <v>45364</v>
      </c>
      <c r="C393" t="s">
        <v>36</v>
      </c>
      <c r="D393" t="s">
        <v>37</v>
      </c>
      <c r="E393" t="s">
        <v>95</v>
      </c>
      <c r="F393" t="s">
        <v>23</v>
      </c>
      <c r="G393" t="s">
        <v>548</v>
      </c>
      <c r="H393" t="s">
        <v>549</v>
      </c>
      <c r="I393" t="s">
        <v>160</v>
      </c>
      <c r="J393">
        <v>5</v>
      </c>
      <c r="K393">
        <v>5697000</v>
      </c>
      <c r="L393">
        <v>0</v>
      </c>
      <c r="M393">
        <v>3958000</v>
      </c>
      <c r="N393">
        <f>(data[[#This Row],[unit_price]]*data[[#This Row],[quantity]]) * (1-data[[#This Row],[discount]])</f>
        <v>28485000</v>
      </c>
      <c r="O393">
        <f>data[[#This Row],[sales]]-data[[#This Row],[cost]]</f>
        <v>24527000</v>
      </c>
      <c r="P393" t="str">
        <f>TEXT(data[[#This Row],[order_date]],"mmm")</f>
        <v>Mar</v>
      </c>
      <c r="Q393">
        <f>YEAR(data[[#This Row],[order_date]])</f>
        <v>2024</v>
      </c>
      <c r="R393">
        <f>MONTH(data[[#This Row],[order_date]])</f>
        <v>3</v>
      </c>
      <c r="S393">
        <f>DAY(data[[#This Row],[order_date]])</f>
        <v>13</v>
      </c>
      <c r="T393">
        <f>data[[#This Row],[profit]]/data[[#This Row],[sales]]</f>
        <v>0.86104967526768472</v>
      </c>
    </row>
    <row r="394" spans="1:20" x14ac:dyDescent="0.35">
      <c r="A394" t="s">
        <v>574</v>
      </c>
      <c r="B394" s="1">
        <v>45433</v>
      </c>
      <c r="C394" t="s">
        <v>14</v>
      </c>
      <c r="D394" t="s">
        <v>15</v>
      </c>
      <c r="E394" t="s">
        <v>186</v>
      </c>
      <c r="F394" t="s">
        <v>23</v>
      </c>
      <c r="G394" t="s">
        <v>548</v>
      </c>
      <c r="H394" t="s">
        <v>549</v>
      </c>
      <c r="I394" t="s">
        <v>160</v>
      </c>
      <c r="J394">
        <v>2</v>
      </c>
      <c r="K394">
        <v>4864000</v>
      </c>
      <c r="L394">
        <v>0</v>
      </c>
      <c r="M394">
        <v>3275000</v>
      </c>
      <c r="N394">
        <f>(data[[#This Row],[unit_price]]*data[[#This Row],[quantity]]) * (1-data[[#This Row],[discount]])</f>
        <v>9728000</v>
      </c>
      <c r="O394">
        <f>data[[#This Row],[sales]]-data[[#This Row],[cost]]</f>
        <v>6453000</v>
      </c>
      <c r="P394" t="str">
        <f>TEXT(data[[#This Row],[order_date]],"mmm")</f>
        <v>May</v>
      </c>
      <c r="Q394">
        <f>YEAR(data[[#This Row],[order_date]])</f>
        <v>2024</v>
      </c>
      <c r="R394">
        <f>MONTH(data[[#This Row],[order_date]])</f>
        <v>5</v>
      </c>
      <c r="S394">
        <f>DAY(data[[#This Row],[order_date]])</f>
        <v>21</v>
      </c>
      <c r="T394">
        <f>data[[#This Row],[profit]]/data[[#This Row],[sales]]</f>
        <v>0.66334292763157898</v>
      </c>
    </row>
    <row r="395" spans="1:20" x14ac:dyDescent="0.35">
      <c r="A395" t="s">
        <v>575</v>
      </c>
      <c r="B395" s="1">
        <v>45436</v>
      </c>
      <c r="C395" t="s">
        <v>14</v>
      </c>
      <c r="D395" t="s">
        <v>15</v>
      </c>
      <c r="E395" t="s">
        <v>95</v>
      </c>
      <c r="F395" t="s">
        <v>23</v>
      </c>
      <c r="G395" t="s">
        <v>548</v>
      </c>
      <c r="H395" t="s">
        <v>549</v>
      </c>
      <c r="I395" t="s">
        <v>160</v>
      </c>
      <c r="J395">
        <v>1</v>
      </c>
      <c r="K395">
        <v>6025000</v>
      </c>
      <c r="L395">
        <v>0</v>
      </c>
      <c r="M395">
        <v>4069000</v>
      </c>
      <c r="N395">
        <f>(data[[#This Row],[unit_price]]*data[[#This Row],[quantity]]) * (1-data[[#This Row],[discount]])</f>
        <v>6025000</v>
      </c>
      <c r="O395">
        <f>data[[#This Row],[sales]]-data[[#This Row],[cost]]</f>
        <v>1956000</v>
      </c>
      <c r="P395" t="str">
        <f>TEXT(data[[#This Row],[order_date]],"mmm")</f>
        <v>May</v>
      </c>
      <c r="Q395">
        <f>YEAR(data[[#This Row],[order_date]])</f>
        <v>2024</v>
      </c>
      <c r="R395">
        <f>MONTH(data[[#This Row],[order_date]])</f>
        <v>5</v>
      </c>
      <c r="S395">
        <f>DAY(data[[#This Row],[order_date]])</f>
        <v>24</v>
      </c>
      <c r="T395">
        <f>data[[#This Row],[profit]]/data[[#This Row],[sales]]</f>
        <v>0.32464730290456434</v>
      </c>
    </row>
    <row r="396" spans="1:20" x14ac:dyDescent="0.35">
      <c r="A396" t="s">
        <v>576</v>
      </c>
      <c r="B396" s="1">
        <v>45441</v>
      </c>
      <c r="C396" t="s">
        <v>41</v>
      </c>
      <c r="D396" t="s">
        <v>42</v>
      </c>
      <c r="E396" t="s">
        <v>166</v>
      </c>
      <c r="F396" t="s">
        <v>28</v>
      </c>
      <c r="G396" t="s">
        <v>548</v>
      </c>
      <c r="H396" t="s">
        <v>549</v>
      </c>
      <c r="I396" t="s">
        <v>160</v>
      </c>
      <c r="J396">
        <v>1</v>
      </c>
      <c r="K396">
        <v>7673000</v>
      </c>
      <c r="L396">
        <v>0</v>
      </c>
      <c r="M396">
        <v>5342000</v>
      </c>
      <c r="N396">
        <f>(data[[#This Row],[unit_price]]*data[[#This Row],[quantity]]) * (1-data[[#This Row],[discount]])</f>
        <v>7673000</v>
      </c>
      <c r="O396">
        <f>data[[#This Row],[sales]]-data[[#This Row],[cost]]</f>
        <v>2331000</v>
      </c>
      <c r="P396" t="str">
        <f>TEXT(data[[#This Row],[order_date]],"mmm")</f>
        <v>May</v>
      </c>
      <c r="Q396">
        <f>YEAR(data[[#This Row],[order_date]])</f>
        <v>2024</v>
      </c>
      <c r="R396">
        <f>MONTH(data[[#This Row],[order_date]])</f>
        <v>5</v>
      </c>
      <c r="S396">
        <f>DAY(data[[#This Row],[order_date]])</f>
        <v>29</v>
      </c>
      <c r="T396">
        <f>data[[#This Row],[profit]]/data[[#This Row],[sales]]</f>
        <v>0.30379251922325035</v>
      </c>
    </row>
    <row r="397" spans="1:20" x14ac:dyDescent="0.35">
      <c r="A397" t="s">
        <v>577</v>
      </c>
      <c r="B397" s="1">
        <v>45467</v>
      </c>
      <c r="C397" t="s">
        <v>14</v>
      </c>
      <c r="D397" t="s">
        <v>15</v>
      </c>
      <c r="E397" t="s">
        <v>89</v>
      </c>
      <c r="F397" t="s">
        <v>23</v>
      </c>
      <c r="G397" t="s">
        <v>548</v>
      </c>
      <c r="H397" t="s">
        <v>549</v>
      </c>
      <c r="I397" t="s">
        <v>160</v>
      </c>
      <c r="J397">
        <v>3</v>
      </c>
      <c r="K397">
        <v>7686000</v>
      </c>
      <c r="L397">
        <v>0.05</v>
      </c>
      <c r="M397">
        <v>5330000</v>
      </c>
      <c r="N397">
        <f>(data[[#This Row],[unit_price]]*data[[#This Row],[quantity]]) * (1-data[[#This Row],[discount]])</f>
        <v>21905100</v>
      </c>
      <c r="O397">
        <f>data[[#This Row],[sales]]-data[[#This Row],[cost]]</f>
        <v>16575100</v>
      </c>
      <c r="P397" t="str">
        <f>TEXT(data[[#This Row],[order_date]],"mmm")</f>
        <v>Jun</v>
      </c>
      <c r="Q397">
        <f>YEAR(data[[#This Row],[order_date]])</f>
        <v>2024</v>
      </c>
      <c r="R397">
        <f>MONTH(data[[#This Row],[order_date]])</f>
        <v>6</v>
      </c>
      <c r="S397">
        <f>DAY(data[[#This Row],[order_date]])</f>
        <v>24</v>
      </c>
      <c r="T397">
        <f>data[[#This Row],[profit]]/data[[#This Row],[sales]]</f>
        <v>0.75667766867076613</v>
      </c>
    </row>
    <row r="398" spans="1:20" x14ac:dyDescent="0.35">
      <c r="A398" t="s">
        <v>578</v>
      </c>
      <c r="B398" s="1">
        <v>45468</v>
      </c>
      <c r="C398" t="s">
        <v>49</v>
      </c>
      <c r="D398" t="s">
        <v>50</v>
      </c>
      <c r="E398" t="s">
        <v>270</v>
      </c>
      <c r="F398" t="s">
        <v>23</v>
      </c>
      <c r="G398" t="s">
        <v>548</v>
      </c>
      <c r="H398" t="s">
        <v>549</v>
      </c>
      <c r="I398" t="s">
        <v>160</v>
      </c>
      <c r="J398">
        <v>3</v>
      </c>
      <c r="K398">
        <v>6154000</v>
      </c>
      <c r="L398">
        <v>0</v>
      </c>
      <c r="M398">
        <v>4152000</v>
      </c>
      <c r="N398">
        <f>(data[[#This Row],[unit_price]]*data[[#This Row],[quantity]]) * (1-data[[#This Row],[discount]])</f>
        <v>18462000</v>
      </c>
      <c r="O398">
        <f>data[[#This Row],[sales]]-data[[#This Row],[cost]]</f>
        <v>14310000</v>
      </c>
      <c r="P398" t="str">
        <f>TEXT(data[[#This Row],[order_date]],"mmm")</f>
        <v>Jun</v>
      </c>
      <c r="Q398">
        <f>YEAR(data[[#This Row],[order_date]])</f>
        <v>2024</v>
      </c>
      <c r="R398">
        <f>MONTH(data[[#This Row],[order_date]])</f>
        <v>6</v>
      </c>
      <c r="S398">
        <f>DAY(data[[#This Row],[order_date]])</f>
        <v>25</v>
      </c>
      <c r="T398">
        <f>data[[#This Row],[profit]]/data[[#This Row],[sales]]</f>
        <v>0.77510562235944103</v>
      </c>
    </row>
    <row r="399" spans="1:20" x14ac:dyDescent="0.35">
      <c r="A399" t="s">
        <v>579</v>
      </c>
      <c r="B399" s="1">
        <v>45490</v>
      </c>
      <c r="C399" t="s">
        <v>49</v>
      </c>
      <c r="D399" t="s">
        <v>50</v>
      </c>
      <c r="E399" t="s">
        <v>203</v>
      </c>
      <c r="F399" t="s">
        <v>17</v>
      </c>
      <c r="G399" t="s">
        <v>548</v>
      </c>
      <c r="H399" t="s">
        <v>549</v>
      </c>
      <c r="I399" t="s">
        <v>160</v>
      </c>
      <c r="J399">
        <v>1</v>
      </c>
      <c r="K399">
        <v>5012000</v>
      </c>
      <c r="L399">
        <v>0</v>
      </c>
      <c r="M399">
        <v>3364000</v>
      </c>
      <c r="N399">
        <f>(data[[#This Row],[unit_price]]*data[[#This Row],[quantity]]) * (1-data[[#This Row],[discount]])</f>
        <v>5012000</v>
      </c>
      <c r="O399">
        <f>data[[#This Row],[sales]]-data[[#This Row],[cost]]</f>
        <v>1648000</v>
      </c>
      <c r="P399" t="str">
        <f>TEXT(data[[#This Row],[order_date]],"mmm")</f>
        <v>Jul</v>
      </c>
      <c r="Q399">
        <f>YEAR(data[[#This Row],[order_date]])</f>
        <v>2024</v>
      </c>
      <c r="R399">
        <f>MONTH(data[[#This Row],[order_date]])</f>
        <v>7</v>
      </c>
      <c r="S399">
        <f>DAY(data[[#This Row],[order_date]])</f>
        <v>17</v>
      </c>
      <c r="T399">
        <f>data[[#This Row],[profit]]/data[[#This Row],[sales]]</f>
        <v>0.32881085395051873</v>
      </c>
    </row>
    <row r="400" spans="1:20" x14ac:dyDescent="0.35">
      <c r="A400" t="s">
        <v>580</v>
      </c>
      <c r="B400" s="1">
        <v>45517</v>
      </c>
      <c r="C400" t="s">
        <v>14</v>
      </c>
      <c r="D400" t="s">
        <v>15</v>
      </c>
      <c r="E400" t="s">
        <v>340</v>
      </c>
      <c r="F400" t="s">
        <v>23</v>
      </c>
      <c r="G400" t="s">
        <v>548</v>
      </c>
      <c r="H400" t="s">
        <v>549</v>
      </c>
      <c r="I400" t="s">
        <v>160</v>
      </c>
      <c r="J400">
        <v>1</v>
      </c>
      <c r="K400">
        <v>7086000</v>
      </c>
      <c r="L400">
        <v>0</v>
      </c>
      <c r="M400">
        <v>4763000</v>
      </c>
      <c r="N400">
        <f>(data[[#This Row],[unit_price]]*data[[#This Row],[quantity]]) * (1-data[[#This Row],[discount]])</f>
        <v>7086000</v>
      </c>
      <c r="O400">
        <f>data[[#This Row],[sales]]-data[[#This Row],[cost]]</f>
        <v>2323000</v>
      </c>
      <c r="P400" t="str">
        <f>TEXT(data[[#This Row],[order_date]],"mmm")</f>
        <v>Aug</v>
      </c>
      <c r="Q400">
        <f>YEAR(data[[#This Row],[order_date]])</f>
        <v>2024</v>
      </c>
      <c r="R400">
        <f>MONTH(data[[#This Row],[order_date]])</f>
        <v>8</v>
      </c>
      <c r="S400">
        <f>DAY(data[[#This Row],[order_date]])</f>
        <v>13</v>
      </c>
      <c r="T400">
        <f>data[[#This Row],[profit]]/data[[#This Row],[sales]]</f>
        <v>0.32782952300310469</v>
      </c>
    </row>
    <row r="401" spans="1:20" x14ac:dyDescent="0.35">
      <c r="A401" t="s">
        <v>581</v>
      </c>
      <c r="B401" s="1">
        <v>45522</v>
      </c>
      <c r="C401" t="s">
        <v>49</v>
      </c>
      <c r="D401" t="s">
        <v>50</v>
      </c>
      <c r="E401" t="s">
        <v>582</v>
      </c>
      <c r="F401" t="s">
        <v>17</v>
      </c>
      <c r="G401" t="s">
        <v>548</v>
      </c>
      <c r="H401" t="s">
        <v>549</v>
      </c>
      <c r="I401" t="s">
        <v>160</v>
      </c>
      <c r="J401">
        <v>3</v>
      </c>
      <c r="K401">
        <v>6254000</v>
      </c>
      <c r="L401">
        <v>0.1</v>
      </c>
      <c r="M401">
        <v>4242000</v>
      </c>
      <c r="N401">
        <f>(data[[#This Row],[unit_price]]*data[[#This Row],[quantity]]) * (1-data[[#This Row],[discount]])</f>
        <v>16885800</v>
      </c>
      <c r="O401">
        <f>data[[#This Row],[sales]]-data[[#This Row],[cost]]</f>
        <v>12643800</v>
      </c>
      <c r="P401" t="str">
        <f>TEXT(data[[#This Row],[order_date]],"mmm")</f>
        <v>Aug</v>
      </c>
      <c r="Q401">
        <f>YEAR(data[[#This Row],[order_date]])</f>
        <v>2024</v>
      </c>
      <c r="R401">
        <f>MONTH(data[[#This Row],[order_date]])</f>
        <v>8</v>
      </c>
      <c r="S401">
        <f>DAY(data[[#This Row],[order_date]])</f>
        <v>18</v>
      </c>
      <c r="T401">
        <f>data[[#This Row],[profit]]/data[[#This Row],[sales]]</f>
        <v>0.7487830011015173</v>
      </c>
    </row>
    <row r="402" spans="1:20" x14ac:dyDescent="0.35">
      <c r="A402" t="s">
        <v>583</v>
      </c>
      <c r="B402" s="1">
        <v>45543</v>
      </c>
      <c r="C402" t="s">
        <v>41</v>
      </c>
      <c r="D402" t="s">
        <v>42</v>
      </c>
      <c r="E402" t="s">
        <v>102</v>
      </c>
      <c r="F402" t="s">
        <v>58</v>
      </c>
      <c r="G402" t="s">
        <v>548</v>
      </c>
      <c r="H402" t="s">
        <v>549</v>
      </c>
      <c r="I402" t="s">
        <v>160</v>
      </c>
      <c r="J402">
        <v>1</v>
      </c>
      <c r="K402">
        <v>7820000</v>
      </c>
      <c r="L402">
        <v>0</v>
      </c>
      <c r="M402">
        <v>5361000</v>
      </c>
      <c r="N402">
        <f>(data[[#This Row],[unit_price]]*data[[#This Row],[quantity]]) * (1-data[[#This Row],[discount]])</f>
        <v>7820000</v>
      </c>
      <c r="O402">
        <f>data[[#This Row],[sales]]-data[[#This Row],[cost]]</f>
        <v>2459000</v>
      </c>
      <c r="P402" t="str">
        <f>TEXT(data[[#This Row],[order_date]],"mmm")</f>
        <v>Sep</v>
      </c>
      <c r="Q402">
        <f>YEAR(data[[#This Row],[order_date]])</f>
        <v>2024</v>
      </c>
      <c r="R402">
        <f>MONTH(data[[#This Row],[order_date]])</f>
        <v>9</v>
      </c>
      <c r="S402">
        <f>DAY(data[[#This Row],[order_date]])</f>
        <v>8</v>
      </c>
      <c r="T402">
        <f>data[[#This Row],[profit]]/data[[#This Row],[sales]]</f>
        <v>0.31445012787723786</v>
      </c>
    </row>
    <row r="403" spans="1:20" x14ac:dyDescent="0.35">
      <c r="A403" t="s">
        <v>584</v>
      </c>
      <c r="B403" s="1">
        <v>45562</v>
      </c>
      <c r="C403" t="s">
        <v>14</v>
      </c>
      <c r="D403" t="s">
        <v>15</v>
      </c>
      <c r="E403" t="s">
        <v>97</v>
      </c>
      <c r="F403" t="s">
        <v>23</v>
      </c>
      <c r="G403" t="s">
        <v>548</v>
      </c>
      <c r="H403" t="s">
        <v>549</v>
      </c>
      <c r="I403" t="s">
        <v>160</v>
      </c>
      <c r="J403">
        <v>1</v>
      </c>
      <c r="K403">
        <v>5774000</v>
      </c>
      <c r="L403">
        <v>0</v>
      </c>
      <c r="M403">
        <v>4013000</v>
      </c>
      <c r="N403">
        <f>(data[[#This Row],[unit_price]]*data[[#This Row],[quantity]]) * (1-data[[#This Row],[discount]])</f>
        <v>5774000</v>
      </c>
      <c r="O403">
        <f>data[[#This Row],[sales]]-data[[#This Row],[cost]]</f>
        <v>1761000</v>
      </c>
      <c r="P403" t="str">
        <f>TEXT(data[[#This Row],[order_date]],"mmm")</f>
        <v>Sep</v>
      </c>
      <c r="Q403">
        <f>YEAR(data[[#This Row],[order_date]])</f>
        <v>2024</v>
      </c>
      <c r="R403">
        <f>MONTH(data[[#This Row],[order_date]])</f>
        <v>9</v>
      </c>
      <c r="S403">
        <f>DAY(data[[#This Row],[order_date]])</f>
        <v>27</v>
      </c>
      <c r="T403">
        <f>data[[#This Row],[profit]]/data[[#This Row],[sales]]</f>
        <v>0.30498787668860411</v>
      </c>
    </row>
    <row r="404" spans="1:20" x14ac:dyDescent="0.35">
      <c r="A404" t="s">
        <v>585</v>
      </c>
      <c r="B404" s="1">
        <v>45606</v>
      </c>
      <c r="C404" t="s">
        <v>14</v>
      </c>
      <c r="D404" t="s">
        <v>15</v>
      </c>
      <c r="E404" t="s">
        <v>247</v>
      </c>
      <c r="F404" t="s">
        <v>17</v>
      </c>
      <c r="G404" t="s">
        <v>548</v>
      </c>
      <c r="H404" t="s">
        <v>549</v>
      </c>
      <c r="I404" t="s">
        <v>160</v>
      </c>
      <c r="J404">
        <v>1</v>
      </c>
      <c r="K404">
        <v>6447234.375</v>
      </c>
      <c r="L404">
        <v>0</v>
      </c>
      <c r="M404">
        <v>0</v>
      </c>
      <c r="N404">
        <f>(data[[#This Row],[unit_price]]*data[[#This Row],[quantity]]) * (1-data[[#This Row],[discount]])</f>
        <v>6447234.375</v>
      </c>
      <c r="O404">
        <f>data[[#This Row],[sales]]-data[[#This Row],[cost]]</f>
        <v>6447234.375</v>
      </c>
      <c r="P404" t="str">
        <f>TEXT(data[[#This Row],[order_date]],"mmm")</f>
        <v>Nov</v>
      </c>
      <c r="Q404">
        <f>YEAR(data[[#This Row],[order_date]])</f>
        <v>2024</v>
      </c>
      <c r="R404">
        <f>MONTH(data[[#This Row],[order_date]])</f>
        <v>11</v>
      </c>
      <c r="S404">
        <f>DAY(data[[#This Row],[order_date]])</f>
        <v>10</v>
      </c>
      <c r="T404">
        <f>data[[#This Row],[profit]]/data[[#This Row],[sales]]</f>
        <v>1</v>
      </c>
    </row>
    <row r="405" spans="1:20" x14ac:dyDescent="0.35">
      <c r="A405" t="s">
        <v>586</v>
      </c>
      <c r="B405" s="1">
        <v>45667</v>
      </c>
      <c r="C405" t="s">
        <v>41</v>
      </c>
      <c r="D405" t="s">
        <v>42</v>
      </c>
      <c r="E405" t="s">
        <v>295</v>
      </c>
      <c r="F405" t="s">
        <v>23</v>
      </c>
      <c r="G405" t="s">
        <v>548</v>
      </c>
      <c r="H405" t="s">
        <v>549</v>
      </c>
      <c r="I405" t="s">
        <v>160</v>
      </c>
      <c r="J405">
        <v>1</v>
      </c>
      <c r="K405">
        <v>5709000</v>
      </c>
      <c r="L405">
        <v>0</v>
      </c>
      <c r="M405">
        <v>3823000</v>
      </c>
      <c r="N405">
        <f>(data[[#This Row],[unit_price]]*data[[#This Row],[quantity]]) * (1-data[[#This Row],[discount]])</f>
        <v>5709000</v>
      </c>
      <c r="O405">
        <f>data[[#This Row],[sales]]-data[[#This Row],[cost]]</f>
        <v>1886000</v>
      </c>
      <c r="P405" t="str">
        <f>TEXT(data[[#This Row],[order_date]],"mmm")</f>
        <v>Jan</v>
      </c>
      <c r="Q405">
        <f>YEAR(data[[#This Row],[order_date]])</f>
        <v>2025</v>
      </c>
      <c r="R405">
        <f>MONTH(data[[#This Row],[order_date]])</f>
        <v>1</v>
      </c>
      <c r="S405">
        <f>DAY(data[[#This Row],[order_date]])</f>
        <v>10</v>
      </c>
      <c r="T405">
        <f>data[[#This Row],[profit]]/data[[#This Row],[sales]]</f>
        <v>0.33035557891049222</v>
      </c>
    </row>
    <row r="406" spans="1:20" x14ac:dyDescent="0.35">
      <c r="A406" t="s">
        <v>587</v>
      </c>
      <c r="B406" s="1">
        <v>45675</v>
      </c>
      <c r="C406" t="s">
        <v>14</v>
      </c>
      <c r="D406" t="s">
        <v>15</v>
      </c>
      <c r="E406" t="s">
        <v>582</v>
      </c>
      <c r="F406" t="s">
        <v>17</v>
      </c>
      <c r="G406" t="s">
        <v>548</v>
      </c>
      <c r="H406" t="s">
        <v>549</v>
      </c>
      <c r="I406" t="s">
        <v>160</v>
      </c>
      <c r="J406">
        <v>1</v>
      </c>
      <c r="K406">
        <v>5147000</v>
      </c>
      <c r="L406">
        <v>0</v>
      </c>
      <c r="M406">
        <v>3537000</v>
      </c>
      <c r="N406">
        <f>(data[[#This Row],[unit_price]]*data[[#This Row],[quantity]]) * (1-data[[#This Row],[discount]])</f>
        <v>5147000</v>
      </c>
      <c r="O406">
        <f>data[[#This Row],[sales]]-data[[#This Row],[cost]]</f>
        <v>1610000</v>
      </c>
      <c r="P406" t="str">
        <f>TEXT(data[[#This Row],[order_date]],"mmm")</f>
        <v>Jan</v>
      </c>
      <c r="Q406">
        <f>YEAR(data[[#This Row],[order_date]])</f>
        <v>2025</v>
      </c>
      <c r="R406">
        <f>MONTH(data[[#This Row],[order_date]])</f>
        <v>1</v>
      </c>
      <c r="S406">
        <f>DAY(data[[#This Row],[order_date]])</f>
        <v>18</v>
      </c>
      <c r="T406">
        <f>data[[#This Row],[profit]]/data[[#This Row],[sales]]</f>
        <v>0.31280357489799882</v>
      </c>
    </row>
    <row r="407" spans="1:20" x14ac:dyDescent="0.35">
      <c r="A407" t="s">
        <v>588</v>
      </c>
      <c r="B407" s="1">
        <v>45678</v>
      </c>
      <c r="C407" t="s">
        <v>25</v>
      </c>
      <c r="D407" t="s">
        <v>26</v>
      </c>
      <c r="E407" t="s">
        <v>119</v>
      </c>
      <c r="F407" t="s">
        <v>23</v>
      </c>
      <c r="G407" t="s">
        <v>548</v>
      </c>
      <c r="H407" t="s">
        <v>549</v>
      </c>
      <c r="I407" t="s">
        <v>160</v>
      </c>
      <c r="J407">
        <v>1</v>
      </c>
      <c r="K407">
        <v>7794000</v>
      </c>
      <c r="L407">
        <v>0</v>
      </c>
      <c r="M407">
        <v>5298000</v>
      </c>
      <c r="N407">
        <f>(data[[#This Row],[unit_price]]*data[[#This Row],[quantity]]) * (1-data[[#This Row],[discount]])</f>
        <v>7794000</v>
      </c>
      <c r="O407">
        <f>data[[#This Row],[sales]]-data[[#This Row],[cost]]</f>
        <v>2496000</v>
      </c>
      <c r="P407" t="str">
        <f>TEXT(data[[#This Row],[order_date]],"mmm")</f>
        <v>Jan</v>
      </c>
      <c r="Q407">
        <f>YEAR(data[[#This Row],[order_date]])</f>
        <v>2025</v>
      </c>
      <c r="R407">
        <f>MONTH(data[[#This Row],[order_date]])</f>
        <v>1</v>
      </c>
      <c r="S407">
        <f>DAY(data[[#This Row],[order_date]])</f>
        <v>21</v>
      </c>
      <c r="T407">
        <f>data[[#This Row],[profit]]/data[[#This Row],[sales]]</f>
        <v>0.32024634334103158</v>
      </c>
    </row>
    <row r="408" spans="1:20" x14ac:dyDescent="0.35">
      <c r="A408" t="s">
        <v>589</v>
      </c>
      <c r="B408" s="1">
        <v>45687</v>
      </c>
      <c r="C408" t="s">
        <v>14</v>
      </c>
      <c r="D408" t="s">
        <v>15</v>
      </c>
      <c r="E408" t="s">
        <v>226</v>
      </c>
      <c r="F408" t="s">
        <v>17</v>
      </c>
      <c r="G408" t="s">
        <v>548</v>
      </c>
      <c r="H408" t="s">
        <v>549</v>
      </c>
      <c r="I408" t="s">
        <v>160</v>
      </c>
      <c r="J408">
        <v>1</v>
      </c>
      <c r="K408">
        <v>4993000</v>
      </c>
      <c r="L408">
        <v>0</v>
      </c>
      <c r="M408">
        <v>3348000</v>
      </c>
      <c r="N408">
        <f>(data[[#This Row],[unit_price]]*data[[#This Row],[quantity]]) * (1-data[[#This Row],[discount]])</f>
        <v>4993000</v>
      </c>
      <c r="O408">
        <f>data[[#This Row],[sales]]-data[[#This Row],[cost]]</f>
        <v>1645000</v>
      </c>
      <c r="P408" t="str">
        <f>TEXT(data[[#This Row],[order_date]],"mmm")</f>
        <v>Jan</v>
      </c>
      <c r="Q408">
        <f>YEAR(data[[#This Row],[order_date]])</f>
        <v>2025</v>
      </c>
      <c r="R408">
        <f>MONTH(data[[#This Row],[order_date]])</f>
        <v>1</v>
      </c>
      <c r="S408">
        <f>DAY(data[[#This Row],[order_date]])</f>
        <v>30</v>
      </c>
      <c r="T408">
        <f>data[[#This Row],[profit]]/data[[#This Row],[sales]]</f>
        <v>0.32946124574404168</v>
      </c>
    </row>
    <row r="409" spans="1:20" x14ac:dyDescent="0.35">
      <c r="A409" t="s">
        <v>590</v>
      </c>
      <c r="B409" s="1">
        <v>45748</v>
      </c>
      <c r="C409" t="s">
        <v>41</v>
      </c>
      <c r="D409" t="s">
        <v>42</v>
      </c>
      <c r="E409" t="s">
        <v>63</v>
      </c>
      <c r="F409" t="s">
        <v>28</v>
      </c>
      <c r="G409" t="s">
        <v>548</v>
      </c>
      <c r="H409" t="s">
        <v>549</v>
      </c>
      <c r="I409" t="s">
        <v>160</v>
      </c>
      <c r="J409">
        <v>1</v>
      </c>
      <c r="K409">
        <v>8087000</v>
      </c>
      <c r="L409">
        <v>0</v>
      </c>
      <c r="M409">
        <v>5529000</v>
      </c>
      <c r="N409">
        <f>(data[[#This Row],[unit_price]]*data[[#This Row],[quantity]]) * (1-data[[#This Row],[discount]])</f>
        <v>8087000</v>
      </c>
      <c r="O409">
        <f>data[[#This Row],[sales]]-data[[#This Row],[cost]]</f>
        <v>2558000</v>
      </c>
      <c r="P409" t="str">
        <f>TEXT(data[[#This Row],[order_date]],"mmm")</f>
        <v>Apr</v>
      </c>
      <c r="Q409">
        <f>YEAR(data[[#This Row],[order_date]])</f>
        <v>2025</v>
      </c>
      <c r="R409">
        <f>MONTH(data[[#This Row],[order_date]])</f>
        <v>4</v>
      </c>
      <c r="S409">
        <f>DAY(data[[#This Row],[order_date]])</f>
        <v>1</v>
      </c>
      <c r="T409">
        <f>data[[#This Row],[profit]]/data[[#This Row],[sales]]</f>
        <v>0.31631012736490666</v>
      </c>
    </row>
    <row r="410" spans="1:20" x14ac:dyDescent="0.35">
      <c r="A410" t="s">
        <v>591</v>
      </c>
      <c r="B410" s="1">
        <v>45760</v>
      </c>
      <c r="C410" t="s">
        <v>49</v>
      </c>
      <c r="D410" t="s">
        <v>50</v>
      </c>
      <c r="E410" t="s">
        <v>89</v>
      </c>
      <c r="F410" t="s">
        <v>23</v>
      </c>
      <c r="G410" t="s">
        <v>548</v>
      </c>
      <c r="H410" t="s">
        <v>549</v>
      </c>
      <c r="I410" t="s">
        <v>160</v>
      </c>
      <c r="J410">
        <v>2</v>
      </c>
      <c r="K410">
        <v>7972000</v>
      </c>
      <c r="L410">
        <v>0</v>
      </c>
      <c r="M410">
        <v>5302000</v>
      </c>
      <c r="N410">
        <f>(data[[#This Row],[unit_price]]*data[[#This Row],[quantity]]) * (1-data[[#This Row],[discount]])</f>
        <v>15944000</v>
      </c>
      <c r="O410">
        <f>data[[#This Row],[sales]]-data[[#This Row],[cost]]</f>
        <v>10642000</v>
      </c>
      <c r="P410" t="str">
        <f>TEXT(data[[#This Row],[order_date]],"mmm")</f>
        <v>Apr</v>
      </c>
      <c r="Q410">
        <f>YEAR(data[[#This Row],[order_date]])</f>
        <v>2025</v>
      </c>
      <c r="R410">
        <f>MONTH(data[[#This Row],[order_date]])</f>
        <v>4</v>
      </c>
      <c r="S410">
        <f>DAY(data[[#This Row],[order_date]])</f>
        <v>13</v>
      </c>
      <c r="T410">
        <f>data[[#This Row],[profit]]/data[[#This Row],[sales]]</f>
        <v>0.66746111389864526</v>
      </c>
    </row>
    <row r="411" spans="1:20" x14ac:dyDescent="0.35">
      <c r="A411" t="s">
        <v>592</v>
      </c>
      <c r="B411" s="1">
        <v>45825</v>
      </c>
      <c r="C411" t="s">
        <v>14</v>
      </c>
      <c r="D411" t="s">
        <v>15</v>
      </c>
      <c r="E411" t="s">
        <v>95</v>
      </c>
      <c r="F411" t="s">
        <v>23</v>
      </c>
      <c r="G411" t="s">
        <v>548</v>
      </c>
      <c r="H411" t="s">
        <v>549</v>
      </c>
      <c r="I411" t="s">
        <v>160</v>
      </c>
      <c r="J411">
        <v>1</v>
      </c>
      <c r="K411">
        <v>6407000</v>
      </c>
      <c r="L411">
        <v>0</v>
      </c>
      <c r="M411">
        <v>4372000</v>
      </c>
      <c r="N411">
        <f>(data[[#This Row],[unit_price]]*data[[#This Row],[quantity]]) * (1-data[[#This Row],[discount]])</f>
        <v>6407000</v>
      </c>
      <c r="O411">
        <f>data[[#This Row],[sales]]-data[[#This Row],[cost]]</f>
        <v>2035000</v>
      </c>
      <c r="P411" t="str">
        <f>TEXT(data[[#This Row],[order_date]],"mmm")</f>
        <v>Jun</v>
      </c>
      <c r="Q411">
        <f>YEAR(data[[#This Row],[order_date]])</f>
        <v>2025</v>
      </c>
      <c r="R411">
        <f>MONTH(data[[#This Row],[order_date]])</f>
        <v>6</v>
      </c>
      <c r="S411">
        <f>DAY(data[[#This Row],[order_date]])</f>
        <v>17</v>
      </c>
      <c r="T411">
        <f>data[[#This Row],[profit]]/data[[#This Row],[sales]]</f>
        <v>0.31762135164663652</v>
      </c>
    </row>
    <row r="412" spans="1:20" x14ac:dyDescent="0.35">
      <c r="A412" t="s">
        <v>593</v>
      </c>
      <c r="B412" s="1">
        <v>45851</v>
      </c>
      <c r="C412" t="s">
        <v>49</v>
      </c>
      <c r="D412" t="s">
        <v>50</v>
      </c>
      <c r="E412" t="s">
        <v>307</v>
      </c>
      <c r="F412" t="s">
        <v>28</v>
      </c>
      <c r="G412" t="s">
        <v>548</v>
      </c>
      <c r="H412" t="s">
        <v>549</v>
      </c>
      <c r="I412" t="s">
        <v>160</v>
      </c>
      <c r="J412">
        <v>1</v>
      </c>
      <c r="K412">
        <v>5477000</v>
      </c>
      <c r="L412">
        <v>0</v>
      </c>
      <c r="M412">
        <v>3798000</v>
      </c>
      <c r="N412">
        <f>(data[[#This Row],[unit_price]]*data[[#This Row],[quantity]]) * (1-data[[#This Row],[discount]])</f>
        <v>5477000</v>
      </c>
      <c r="O412">
        <f>data[[#This Row],[sales]]-data[[#This Row],[cost]]</f>
        <v>1679000</v>
      </c>
      <c r="P412" t="str">
        <f>TEXT(data[[#This Row],[order_date]],"mmm")</f>
        <v>Jul</v>
      </c>
      <c r="Q412">
        <f>YEAR(data[[#This Row],[order_date]])</f>
        <v>2025</v>
      </c>
      <c r="R412">
        <f>MONTH(data[[#This Row],[order_date]])</f>
        <v>7</v>
      </c>
      <c r="S412">
        <f>DAY(data[[#This Row],[order_date]])</f>
        <v>13</v>
      </c>
      <c r="T412">
        <f>data[[#This Row],[profit]]/data[[#This Row],[sales]]</f>
        <v>0.30655468322074131</v>
      </c>
    </row>
    <row r="413" spans="1:20" x14ac:dyDescent="0.35">
      <c r="A413" t="s">
        <v>594</v>
      </c>
      <c r="B413" s="1">
        <v>45888</v>
      </c>
      <c r="C413" t="s">
        <v>14</v>
      </c>
      <c r="D413" t="s">
        <v>15</v>
      </c>
      <c r="E413" t="s">
        <v>247</v>
      </c>
      <c r="F413" t="s">
        <v>17</v>
      </c>
      <c r="G413" t="s">
        <v>548</v>
      </c>
      <c r="H413" t="s">
        <v>549</v>
      </c>
      <c r="I413" t="s">
        <v>160</v>
      </c>
      <c r="J413">
        <v>1</v>
      </c>
      <c r="K413">
        <v>6858000</v>
      </c>
      <c r="L413">
        <v>0</v>
      </c>
      <c r="M413">
        <v>4791000</v>
      </c>
      <c r="N413">
        <f>(data[[#This Row],[unit_price]]*data[[#This Row],[quantity]]) * (1-data[[#This Row],[discount]])</f>
        <v>6858000</v>
      </c>
      <c r="O413">
        <f>data[[#This Row],[sales]]-data[[#This Row],[cost]]</f>
        <v>2067000</v>
      </c>
      <c r="P413" t="str">
        <f>TEXT(data[[#This Row],[order_date]],"mmm")</f>
        <v>Aug</v>
      </c>
      <c r="Q413">
        <f>YEAR(data[[#This Row],[order_date]])</f>
        <v>2025</v>
      </c>
      <c r="R413">
        <f>MONTH(data[[#This Row],[order_date]])</f>
        <v>8</v>
      </c>
      <c r="S413">
        <f>DAY(data[[#This Row],[order_date]])</f>
        <v>19</v>
      </c>
      <c r="T413">
        <f>data[[#This Row],[profit]]/data[[#This Row],[sales]]</f>
        <v>0.30139982502187229</v>
      </c>
    </row>
    <row r="414" spans="1:20" x14ac:dyDescent="0.35">
      <c r="A414" t="s">
        <v>595</v>
      </c>
      <c r="B414" s="1">
        <v>45910</v>
      </c>
      <c r="C414" t="s">
        <v>41</v>
      </c>
      <c r="D414" t="s">
        <v>42</v>
      </c>
      <c r="E414" t="s">
        <v>57</v>
      </c>
      <c r="F414" t="s">
        <v>58</v>
      </c>
      <c r="G414" t="s">
        <v>548</v>
      </c>
      <c r="H414" t="s">
        <v>549</v>
      </c>
      <c r="I414" t="s">
        <v>160</v>
      </c>
      <c r="J414">
        <v>3</v>
      </c>
      <c r="K414">
        <v>5145000</v>
      </c>
      <c r="L414">
        <v>0.05</v>
      </c>
      <c r="M414">
        <v>3399000</v>
      </c>
      <c r="N414">
        <f>(data[[#This Row],[unit_price]]*data[[#This Row],[quantity]]) * (1-data[[#This Row],[discount]])</f>
        <v>14663250</v>
      </c>
      <c r="O414">
        <f>data[[#This Row],[sales]]-data[[#This Row],[cost]]</f>
        <v>11264250</v>
      </c>
      <c r="P414" t="str">
        <f>TEXT(data[[#This Row],[order_date]],"mmm")</f>
        <v>Sep</v>
      </c>
      <c r="Q414">
        <f>YEAR(data[[#This Row],[order_date]])</f>
        <v>2025</v>
      </c>
      <c r="R414">
        <f>MONTH(data[[#This Row],[order_date]])</f>
        <v>9</v>
      </c>
      <c r="S414">
        <f>DAY(data[[#This Row],[order_date]])</f>
        <v>10</v>
      </c>
      <c r="T414">
        <f>data[[#This Row],[profit]]/data[[#This Row],[sales]]</f>
        <v>0.76819600020459311</v>
      </c>
    </row>
    <row r="415" spans="1:20" x14ac:dyDescent="0.35">
      <c r="A415" t="s">
        <v>596</v>
      </c>
      <c r="B415" s="1">
        <v>45922</v>
      </c>
      <c r="C415" t="s">
        <v>14</v>
      </c>
      <c r="D415" t="s">
        <v>15</v>
      </c>
      <c r="E415" t="s">
        <v>307</v>
      </c>
      <c r="F415" t="s">
        <v>28</v>
      </c>
      <c r="G415" t="s">
        <v>548</v>
      </c>
      <c r="H415" t="s">
        <v>549</v>
      </c>
      <c r="I415" t="s">
        <v>160</v>
      </c>
      <c r="J415">
        <v>2</v>
      </c>
      <c r="K415">
        <v>7905000</v>
      </c>
      <c r="L415">
        <v>0</v>
      </c>
      <c r="M415">
        <v>5293000</v>
      </c>
      <c r="N415">
        <f>(data[[#This Row],[unit_price]]*data[[#This Row],[quantity]]) * (1-data[[#This Row],[discount]])</f>
        <v>15810000</v>
      </c>
      <c r="O415">
        <f>data[[#This Row],[sales]]-data[[#This Row],[cost]]</f>
        <v>10517000</v>
      </c>
      <c r="P415" t="str">
        <f>TEXT(data[[#This Row],[order_date]],"mmm")</f>
        <v>Sep</v>
      </c>
      <c r="Q415">
        <f>YEAR(data[[#This Row],[order_date]])</f>
        <v>2025</v>
      </c>
      <c r="R415">
        <f>MONTH(data[[#This Row],[order_date]])</f>
        <v>9</v>
      </c>
      <c r="S415">
        <f>DAY(data[[#This Row],[order_date]])</f>
        <v>22</v>
      </c>
      <c r="T415">
        <f>data[[#This Row],[profit]]/data[[#This Row],[sales]]</f>
        <v>0.6652118912080961</v>
      </c>
    </row>
    <row r="416" spans="1:20" x14ac:dyDescent="0.35">
      <c r="A416" t="s">
        <v>597</v>
      </c>
      <c r="B416" s="1">
        <v>45942</v>
      </c>
      <c r="C416" t="s">
        <v>49</v>
      </c>
      <c r="D416" t="s">
        <v>50</v>
      </c>
      <c r="E416" t="s">
        <v>598</v>
      </c>
      <c r="F416" t="s">
        <v>23</v>
      </c>
      <c r="G416" t="s">
        <v>548</v>
      </c>
      <c r="H416" t="s">
        <v>549</v>
      </c>
      <c r="I416" t="s">
        <v>160</v>
      </c>
      <c r="J416">
        <v>1</v>
      </c>
      <c r="K416">
        <v>6222000</v>
      </c>
      <c r="L416">
        <v>0.05</v>
      </c>
      <c r="M416">
        <v>4247000</v>
      </c>
      <c r="N416">
        <f>(data[[#This Row],[unit_price]]*data[[#This Row],[quantity]]) * (1-data[[#This Row],[discount]])</f>
        <v>5910900</v>
      </c>
      <c r="O416">
        <f>data[[#This Row],[sales]]-data[[#This Row],[cost]]</f>
        <v>1663900</v>
      </c>
      <c r="P416" t="str">
        <f>TEXT(data[[#This Row],[order_date]],"mmm")</f>
        <v>Oct</v>
      </c>
      <c r="Q416">
        <f>YEAR(data[[#This Row],[order_date]])</f>
        <v>2025</v>
      </c>
      <c r="R416">
        <f>MONTH(data[[#This Row],[order_date]])</f>
        <v>10</v>
      </c>
      <c r="S416">
        <f>DAY(data[[#This Row],[order_date]])</f>
        <v>12</v>
      </c>
      <c r="T416">
        <f>data[[#This Row],[profit]]/data[[#This Row],[sales]]</f>
        <v>0.28149689556581908</v>
      </c>
    </row>
    <row r="417" spans="1:20" x14ac:dyDescent="0.35">
      <c r="A417" t="s">
        <v>599</v>
      </c>
      <c r="B417" s="1">
        <v>45953</v>
      </c>
      <c r="C417" t="s">
        <v>14</v>
      </c>
      <c r="D417" t="s">
        <v>15</v>
      </c>
      <c r="E417" t="s">
        <v>274</v>
      </c>
      <c r="F417" t="s">
        <v>58</v>
      </c>
      <c r="G417" t="s">
        <v>548</v>
      </c>
      <c r="H417" t="s">
        <v>549</v>
      </c>
      <c r="I417" t="s">
        <v>160</v>
      </c>
      <c r="J417">
        <v>1</v>
      </c>
      <c r="K417">
        <v>5416000</v>
      </c>
      <c r="L417">
        <v>0</v>
      </c>
      <c r="M417">
        <v>3613000</v>
      </c>
      <c r="N417">
        <f>(data[[#This Row],[unit_price]]*data[[#This Row],[quantity]]) * (1-data[[#This Row],[discount]])</f>
        <v>5416000</v>
      </c>
      <c r="O417">
        <f>data[[#This Row],[sales]]-data[[#This Row],[cost]]</f>
        <v>1803000</v>
      </c>
      <c r="P417" t="str">
        <f>TEXT(data[[#This Row],[order_date]],"mmm")</f>
        <v>Oct</v>
      </c>
      <c r="Q417">
        <f>YEAR(data[[#This Row],[order_date]])</f>
        <v>2025</v>
      </c>
      <c r="R417">
        <f>MONTH(data[[#This Row],[order_date]])</f>
        <v>10</v>
      </c>
      <c r="S417">
        <f>DAY(data[[#This Row],[order_date]])</f>
        <v>23</v>
      </c>
      <c r="T417">
        <f>data[[#This Row],[profit]]/data[[#This Row],[sales]]</f>
        <v>0.33290251107828656</v>
      </c>
    </row>
    <row r="418" spans="1:20" x14ac:dyDescent="0.35">
      <c r="A418" t="s">
        <v>600</v>
      </c>
      <c r="B418" s="1">
        <v>45972</v>
      </c>
      <c r="C418" t="s">
        <v>14</v>
      </c>
      <c r="D418" t="s">
        <v>15</v>
      </c>
      <c r="E418" t="s">
        <v>197</v>
      </c>
      <c r="F418" t="s">
        <v>28</v>
      </c>
      <c r="G418" t="s">
        <v>548</v>
      </c>
      <c r="H418" t="s">
        <v>549</v>
      </c>
      <c r="I418" t="s">
        <v>160</v>
      </c>
      <c r="J418">
        <v>1</v>
      </c>
      <c r="K418">
        <v>7356000</v>
      </c>
      <c r="L418">
        <v>0</v>
      </c>
      <c r="M418">
        <v>5013000</v>
      </c>
      <c r="N418">
        <f>(data[[#This Row],[unit_price]]*data[[#This Row],[quantity]]) * (1-data[[#This Row],[discount]])</f>
        <v>7356000</v>
      </c>
      <c r="O418">
        <f>data[[#This Row],[sales]]-data[[#This Row],[cost]]</f>
        <v>2343000</v>
      </c>
      <c r="P418" t="str">
        <f>TEXT(data[[#This Row],[order_date]],"mmm")</f>
        <v>Nov</v>
      </c>
      <c r="Q418">
        <f>YEAR(data[[#This Row],[order_date]])</f>
        <v>2025</v>
      </c>
      <c r="R418">
        <f>MONTH(data[[#This Row],[order_date]])</f>
        <v>11</v>
      </c>
      <c r="S418">
        <f>DAY(data[[#This Row],[order_date]])</f>
        <v>11</v>
      </c>
      <c r="T418">
        <f>data[[#This Row],[profit]]/data[[#This Row],[sales]]</f>
        <v>0.31851549755301795</v>
      </c>
    </row>
    <row r="419" spans="1:20" x14ac:dyDescent="0.35">
      <c r="A419" t="s">
        <v>601</v>
      </c>
      <c r="B419" s="1">
        <v>45996</v>
      </c>
      <c r="C419" t="s">
        <v>14</v>
      </c>
      <c r="D419" t="s">
        <v>15</v>
      </c>
      <c r="E419" t="s">
        <v>413</v>
      </c>
      <c r="F419" t="s">
        <v>23</v>
      </c>
      <c r="G419" t="s">
        <v>548</v>
      </c>
      <c r="H419" t="s">
        <v>549</v>
      </c>
      <c r="I419" t="s">
        <v>160</v>
      </c>
      <c r="J419">
        <v>3</v>
      </c>
      <c r="K419">
        <v>7933000</v>
      </c>
      <c r="L419">
        <v>0</v>
      </c>
      <c r="M419">
        <v>5260000</v>
      </c>
      <c r="N419">
        <f>(data[[#This Row],[unit_price]]*data[[#This Row],[quantity]]) * (1-data[[#This Row],[discount]])</f>
        <v>23799000</v>
      </c>
      <c r="O419">
        <f>data[[#This Row],[sales]]-data[[#This Row],[cost]]</f>
        <v>18539000</v>
      </c>
      <c r="P419" t="str">
        <f>TEXT(data[[#This Row],[order_date]],"mmm")</f>
        <v>Dec</v>
      </c>
      <c r="Q419">
        <f>YEAR(data[[#This Row],[order_date]])</f>
        <v>2025</v>
      </c>
      <c r="R419">
        <f>MONTH(data[[#This Row],[order_date]])</f>
        <v>12</v>
      </c>
      <c r="S419">
        <f>DAY(data[[#This Row],[order_date]])</f>
        <v>5</v>
      </c>
      <c r="T419">
        <f>data[[#This Row],[profit]]/data[[#This Row],[sales]]</f>
        <v>0.77898231018110009</v>
      </c>
    </row>
    <row r="420" spans="1:20" x14ac:dyDescent="0.35">
      <c r="A420" t="s">
        <v>602</v>
      </c>
      <c r="B420" s="1">
        <v>46025</v>
      </c>
      <c r="C420" t="s">
        <v>41</v>
      </c>
      <c r="D420" t="s">
        <v>42</v>
      </c>
      <c r="E420" t="s">
        <v>130</v>
      </c>
      <c r="F420" t="s">
        <v>28</v>
      </c>
      <c r="G420" t="s">
        <v>548</v>
      </c>
      <c r="H420" t="s">
        <v>549</v>
      </c>
      <c r="I420" t="s">
        <v>160</v>
      </c>
      <c r="J420">
        <v>1</v>
      </c>
      <c r="K420">
        <v>6889000</v>
      </c>
      <c r="L420">
        <v>0</v>
      </c>
      <c r="M420">
        <v>4723000</v>
      </c>
      <c r="N420">
        <f>(data[[#This Row],[unit_price]]*data[[#This Row],[quantity]]) * (1-data[[#This Row],[discount]])</f>
        <v>6889000</v>
      </c>
      <c r="O420">
        <f>data[[#This Row],[sales]]-data[[#This Row],[cost]]</f>
        <v>2166000</v>
      </c>
      <c r="P420" t="str">
        <f>TEXT(data[[#This Row],[order_date]],"mmm")</f>
        <v>Jan</v>
      </c>
      <c r="Q420">
        <f>YEAR(data[[#This Row],[order_date]])</f>
        <v>2026</v>
      </c>
      <c r="R420">
        <f>MONTH(data[[#This Row],[order_date]])</f>
        <v>1</v>
      </c>
      <c r="S420">
        <f>DAY(data[[#This Row],[order_date]])</f>
        <v>3</v>
      </c>
      <c r="T420">
        <f>data[[#This Row],[profit]]/data[[#This Row],[sales]]</f>
        <v>0.31441428364058643</v>
      </c>
    </row>
    <row r="421" spans="1:20" x14ac:dyDescent="0.35">
      <c r="A421" t="s">
        <v>603</v>
      </c>
      <c r="B421" s="1">
        <v>46050</v>
      </c>
      <c r="C421" t="s">
        <v>14</v>
      </c>
      <c r="D421" t="s">
        <v>15</v>
      </c>
      <c r="E421" t="s">
        <v>319</v>
      </c>
      <c r="F421" t="s">
        <v>23</v>
      </c>
      <c r="G421" t="s">
        <v>548</v>
      </c>
      <c r="H421" t="s">
        <v>549</v>
      </c>
      <c r="I421" t="s">
        <v>160</v>
      </c>
      <c r="J421">
        <v>1</v>
      </c>
      <c r="K421">
        <v>6498000</v>
      </c>
      <c r="L421">
        <v>0</v>
      </c>
      <c r="M421">
        <v>4331000</v>
      </c>
      <c r="N421">
        <f>(data[[#This Row],[unit_price]]*data[[#This Row],[quantity]]) * (1-data[[#This Row],[discount]])</f>
        <v>6498000</v>
      </c>
      <c r="O421">
        <f>data[[#This Row],[sales]]-data[[#This Row],[cost]]</f>
        <v>2167000</v>
      </c>
      <c r="P421" t="str">
        <f>TEXT(data[[#This Row],[order_date]],"mmm")</f>
        <v>Jan</v>
      </c>
      <c r="Q421">
        <f>YEAR(data[[#This Row],[order_date]])</f>
        <v>2026</v>
      </c>
      <c r="R421">
        <f>MONTH(data[[#This Row],[order_date]])</f>
        <v>1</v>
      </c>
      <c r="S421">
        <f>DAY(data[[#This Row],[order_date]])</f>
        <v>28</v>
      </c>
      <c r="T421">
        <f>data[[#This Row],[profit]]/data[[#This Row],[sales]]</f>
        <v>0.33348722683902737</v>
      </c>
    </row>
    <row r="422" spans="1:20" x14ac:dyDescent="0.35">
      <c r="A422" t="s">
        <v>604</v>
      </c>
      <c r="B422" s="1">
        <v>46092</v>
      </c>
      <c r="C422" t="s">
        <v>49</v>
      </c>
      <c r="D422" t="s">
        <v>50</v>
      </c>
      <c r="E422" t="s">
        <v>384</v>
      </c>
      <c r="F422" t="s">
        <v>23</v>
      </c>
      <c r="G422" t="s">
        <v>548</v>
      </c>
      <c r="H422" t="s">
        <v>549</v>
      </c>
      <c r="I422" t="s">
        <v>160</v>
      </c>
      <c r="J422">
        <v>1</v>
      </c>
      <c r="K422">
        <v>5275000</v>
      </c>
      <c r="L422">
        <v>0</v>
      </c>
      <c r="M422">
        <v>3679000</v>
      </c>
      <c r="N422">
        <f>(data[[#This Row],[unit_price]]*data[[#This Row],[quantity]]) * (1-data[[#This Row],[discount]])</f>
        <v>5275000</v>
      </c>
      <c r="O422">
        <f>data[[#This Row],[sales]]-data[[#This Row],[cost]]</f>
        <v>1596000</v>
      </c>
      <c r="P422" t="str">
        <f>TEXT(data[[#This Row],[order_date]],"mmm")</f>
        <v>Mar</v>
      </c>
      <c r="Q422">
        <f>YEAR(data[[#This Row],[order_date]])</f>
        <v>2026</v>
      </c>
      <c r="R422">
        <f>MONTH(data[[#This Row],[order_date]])</f>
        <v>3</v>
      </c>
      <c r="S422">
        <f>DAY(data[[#This Row],[order_date]])</f>
        <v>11</v>
      </c>
      <c r="T422">
        <f>data[[#This Row],[profit]]/data[[#This Row],[sales]]</f>
        <v>0.30255924170616116</v>
      </c>
    </row>
    <row r="423" spans="1:20" x14ac:dyDescent="0.35">
      <c r="A423" t="s">
        <v>605</v>
      </c>
      <c r="B423" s="1">
        <v>46096</v>
      </c>
      <c r="C423" t="s">
        <v>36</v>
      </c>
      <c r="D423" t="s">
        <v>37</v>
      </c>
      <c r="E423" t="s">
        <v>195</v>
      </c>
      <c r="F423" t="s">
        <v>23</v>
      </c>
      <c r="G423" t="s">
        <v>548</v>
      </c>
      <c r="H423" t="s">
        <v>549</v>
      </c>
      <c r="I423" t="s">
        <v>160</v>
      </c>
      <c r="J423">
        <v>1</v>
      </c>
      <c r="K423">
        <v>6298000</v>
      </c>
      <c r="L423">
        <v>0</v>
      </c>
      <c r="M423">
        <v>4161000</v>
      </c>
      <c r="N423">
        <f>(data[[#This Row],[unit_price]]*data[[#This Row],[quantity]]) * (1-data[[#This Row],[discount]])</f>
        <v>6298000</v>
      </c>
      <c r="O423">
        <f>data[[#This Row],[sales]]-data[[#This Row],[cost]]</f>
        <v>2137000</v>
      </c>
      <c r="P423" t="str">
        <f>TEXT(data[[#This Row],[order_date]],"mmm")</f>
        <v>Mar</v>
      </c>
      <c r="Q423">
        <f>YEAR(data[[#This Row],[order_date]])</f>
        <v>2026</v>
      </c>
      <c r="R423">
        <f>MONTH(data[[#This Row],[order_date]])</f>
        <v>3</v>
      </c>
      <c r="S423">
        <f>DAY(data[[#This Row],[order_date]])</f>
        <v>15</v>
      </c>
      <c r="T423">
        <f>data[[#This Row],[profit]]/data[[#This Row],[sales]]</f>
        <v>0.33931406795808194</v>
      </c>
    </row>
    <row r="424" spans="1:20" x14ac:dyDescent="0.35">
      <c r="A424" t="s">
        <v>606</v>
      </c>
      <c r="B424" s="1">
        <v>46096</v>
      </c>
      <c r="C424" t="s">
        <v>14</v>
      </c>
      <c r="D424" t="s">
        <v>15</v>
      </c>
      <c r="E424" t="s">
        <v>239</v>
      </c>
      <c r="F424" t="s">
        <v>23</v>
      </c>
      <c r="G424" t="s">
        <v>548</v>
      </c>
      <c r="H424" t="s">
        <v>549</v>
      </c>
      <c r="I424" t="s">
        <v>160</v>
      </c>
      <c r="J424">
        <v>2</v>
      </c>
      <c r="K424">
        <v>6537000</v>
      </c>
      <c r="L424">
        <v>0.05</v>
      </c>
      <c r="M424">
        <v>4447000</v>
      </c>
      <c r="N424">
        <f>(data[[#This Row],[unit_price]]*data[[#This Row],[quantity]]) * (1-data[[#This Row],[discount]])</f>
        <v>12420300</v>
      </c>
      <c r="O424">
        <f>data[[#This Row],[sales]]-data[[#This Row],[cost]]</f>
        <v>7973300</v>
      </c>
      <c r="P424" t="str">
        <f>TEXT(data[[#This Row],[order_date]],"mmm")</f>
        <v>Mar</v>
      </c>
      <c r="Q424">
        <f>YEAR(data[[#This Row],[order_date]])</f>
        <v>2026</v>
      </c>
      <c r="R424">
        <f>MONTH(data[[#This Row],[order_date]])</f>
        <v>3</v>
      </c>
      <c r="S424">
        <f>DAY(data[[#This Row],[order_date]])</f>
        <v>15</v>
      </c>
      <c r="T424">
        <f>data[[#This Row],[profit]]/data[[#This Row],[sales]]</f>
        <v>0.64195711858811788</v>
      </c>
    </row>
    <row r="425" spans="1:20" x14ac:dyDescent="0.35">
      <c r="A425" t="s">
        <v>607</v>
      </c>
      <c r="B425" s="1">
        <v>46096</v>
      </c>
      <c r="C425" t="s">
        <v>14</v>
      </c>
      <c r="D425" t="s">
        <v>15</v>
      </c>
      <c r="E425" t="s">
        <v>162</v>
      </c>
      <c r="F425" t="s">
        <v>28</v>
      </c>
      <c r="G425" t="s">
        <v>548</v>
      </c>
      <c r="H425" t="s">
        <v>549</v>
      </c>
      <c r="I425" t="s">
        <v>160</v>
      </c>
      <c r="J425">
        <v>1</v>
      </c>
      <c r="K425">
        <v>7412000</v>
      </c>
      <c r="L425">
        <v>0.1</v>
      </c>
      <c r="M425">
        <v>5049000</v>
      </c>
      <c r="N425">
        <f>(data[[#This Row],[unit_price]]*data[[#This Row],[quantity]]) * (1-data[[#This Row],[discount]])</f>
        <v>6670800</v>
      </c>
      <c r="O425">
        <f>data[[#This Row],[sales]]-data[[#This Row],[cost]]</f>
        <v>1621800</v>
      </c>
      <c r="P425" t="str">
        <f>TEXT(data[[#This Row],[order_date]],"mmm")</f>
        <v>Mar</v>
      </c>
      <c r="Q425">
        <f>YEAR(data[[#This Row],[order_date]])</f>
        <v>2026</v>
      </c>
      <c r="R425">
        <f>MONTH(data[[#This Row],[order_date]])</f>
        <v>3</v>
      </c>
      <c r="S425">
        <f>DAY(data[[#This Row],[order_date]])</f>
        <v>15</v>
      </c>
      <c r="T425">
        <f>data[[#This Row],[profit]]/data[[#This Row],[sales]]</f>
        <v>0.24311926605504589</v>
      </c>
    </row>
    <row r="426" spans="1:20" x14ac:dyDescent="0.35">
      <c r="A426" t="s">
        <v>608</v>
      </c>
      <c r="B426" s="1">
        <v>46117</v>
      </c>
      <c r="C426" t="s">
        <v>41</v>
      </c>
      <c r="D426" t="s">
        <v>42</v>
      </c>
      <c r="E426" t="s">
        <v>447</v>
      </c>
      <c r="F426" t="s">
        <v>23</v>
      </c>
      <c r="G426" t="s">
        <v>548</v>
      </c>
      <c r="H426" t="s">
        <v>549</v>
      </c>
      <c r="I426" t="s">
        <v>160</v>
      </c>
      <c r="J426">
        <v>1</v>
      </c>
      <c r="K426">
        <v>7439000</v>
      </c>
      <c r="L426">
        <v>0</v>
      </c>
      <c r="M426">
        <v>5091000</v>
      </c>
      <c r="N426">
        <f>(data[[#This Row],[unit_price]]*data[[#This Row],[quantity]]) * (1-data[[#This Row],[discount]])</f>
        <v>7439000</v>
      </c>
      <c r="O426">
        <f>data[[#This Row],[sales]]-data[[#This Row],[cost]]</f>
        <v>2348000</v>
      </c>
      <c r="P426" t="str">
        <f>TEXT(data[[#This Row],[order_date]],"mmm")</f>
        <v>Apr</v>
      </c>
      <c r="Q426">
        <f>YEAR(data[[#This Row],[order_date]])</f>
        <v>2026</v>
      </c>
      <c r="R426">
        <f>MONTH(data[[#This Row],[order_date]])</f>
        <v>4</v>
      </c>
      <c r="S426">
        <f>DAY(data[[#This Row],[order_date]])</f>
        <v>5</v>
      </c>
      <c r="T426">
        <f>data[[#This Row],[profit]]/data[[#This Row],[sales]]</f>
        <v>0.31563382175023524</v>
      </c>
    </row>
    <row r="427" spans="1:20" x14ac:dyDescent="0.35">
      <c r="A427" t="s">
        <v>609</v>
      </c>
      <c r="B427" s="1">
        <v>46122</v>
      </c>
      <c r="C427" t="s">
        <v>41</v>
      </c>
      <c r="D427" t="s">
        <v>42</v>
      </c>
      <c r="E427" t="s">
        <v>313</v>
      </c>
      <c r="F427" t="s">
        <v>17</v>
      </c>
      <c r="G427" t="s">
        <v>548</v>
      </c>
      <c r="H427" t="s">
        <v>549</v>
      </c>
      <c r="I427" t="s">
        <v>160</v>
      </c>
      <c r="J427">
        <v>1</v>
      </c>
      <c r="K427">
        <v>5837000</v>
      </c>
      <c r="L427">
        <v>0.1</v>
      </c>
      <c r="M427">
        <v>4049000</v>
      </c>
      <c r="N427">
        <f>(data[[#This Row],[unit_price]]*data[[#This Row],[quantity]]) * (1-data[[#This Row],[discount]])</f>
        <v>5253300</v>
      </c>
      <c r="O427">
        <f>data[[#This Row],[sales]]-data[[#This Row],[cost]]</f>
        <v>1204300</v>
      </c>
      <c r="P427" t="str">
        <f>TEXT(data[[#This Row],[order_date]],"mmm")</f>
        <v>Apr</v>
      </c>
      <c r="Q427">
        <f>YEAR(data[[#This Row],[order_date]])</f>
        <v>2026</v>
      </c>
      <c r="R427">
        <f>MONTH(data[[#This Row],[order_date]])</f>
        <v>4</v>
      </c>
      <c r="S427">
        <f>DAY(data[[#This Row],[order_date]])</f>
        <v>10</v>
      </c>
      <c r="T427">
        <f>data[[#This Row],[profit]]/data[[#This Row],[sales]]</f>
        <v>0.22924637846686843</v>
      </c>
    </row>
    <row r="428" spans="1:20" x14ac:dyDescent="0.35">
      <c r="A428" t="s">
        <v>610</v>
      </c>
      <c r="B428" s="1">
        <v>46122</v>
      </c>
      <c r="C428" t="s">
        <v>14</v>
      </c>
      <c r="D428" t="s">
        <v>15</v>
      </c>
      <c r="E428" t="s">
        <v>247</v>
      </c>
      <c r="F428" t="s">
        <v>17</v>
      </c>
      <c r="G428" t="s">
        <v>548</v>
      </c>
      <c r="H428" t="s">
        <v>549</v>
      </c>
      <c r="I428" t="s">
        <v>160</v>
      </c>
      <c r="J428">
        <v>1</v>
      </c>
      <c r="K428">
        <v>6913000</v>
      </c>
      <c r="L428">
        <v>0.15</v>
      </c>
      <c r="M428">
        <v>4660000</v>
      </c>
      <c r="N428">
        <f>(data[[#This Row],[unit_price]]*data[[#This Row],[quantity]]) * (1-data[[#This Row],[discount]])</f>
        <v>5876050</v>
      </c>
      <c r="O428">
        <f>data[[#This Row],[sales]]-data[[#This Row],[cost]]</f>
        <v>1216050</v>
      </c>
      <c r="P428" t="str">
        <f>TEXT(data[[#This Row],[order_date]],"mmm")</f>
        <v>Apr</v>
      </c>
      <c r="Q428">
        <f>YEAR(data[[#This Row],[order_date]])</f>
        <v>2026</v>
      </c>
      <c r="R428">
        <f>MONTH(data[[#This Row],[order_date]])</f>
        <v>4</v>
      </c>
      <c r="S428">
        <f>DAY(data[[#This Row],[order_date]])</f>
        <v>10</v>
      </c>
      <c r="T428">
        <f>data[[#This Row],[profit]]/data[[#This Row],[sales]]</f>
        <v>0.20695024718986393</v>
      </c>
    </row>
    <row r="429" spans="1:20" x14ac:dyDescent="0.35">
      <c r="A429" t="s">
        <v>611</v>
      </c>
      <c r="B429" s="1">
        <v>46132</v>
      </c>
      <c r="C429" t="s">
        <v>14</v>
      </c>
      <c r="D429" t="s">
        <v>15</v>
      </c>
      <c r="E429" t="s">
        <v>319</v>
      </c>
      <c r="F429" t="s">
        <v>23</v>
      </c>
      <c r="G429" t="s">
        <v>548</v>
      </c>
      <c r="H429" t="s">
        <v>549</v>
      </c>
      <c r="I429" t="s">
        <v>160</v>
      </c>
      <c r="J429">
        <v>2</v>
      </c>
      <c r="K429">
        <v>7255000</v>
      </c>
      <c r="L429">
        <v>0</v>
      </c>
      <c r="M429">
        <v>4867000</v>
      </c>
      <c r="N429">
        <f>(data[[#This Row],[unit_price]]*data[[#This Row],[quantity]]) * (1-data[[#This Row],[discount]])</f>
        <v>14510000</v>
      </c>
      <c r="O429">
        <f>data[[#This Row],[sales]]-data[[#This Row],[cost]]</f>
        <v>9643000</v>
      </c>
      <c r="P429" t="str">
        <f>TEXT(data[[#This Row],[order_date]],"mmm")</f>
        <v>Apr</v>
      </c>
      <c r="Q429">
        <f>YEAR(data[[#This Row],[order_date]])</f>
        <v>2026</v>
      </c>
      <c r="R429">
        <f>MONTH(data[[#This Row],[order_date]])</f>
        <v>4</v>
      </c>
      <c r="S429">
        <f>DAY(data[[#This Row],[order_date]])</f>
        <v>20</v>
      </c>
      <c r="T429">
        <f>data[[#This Row],[profit]]/data[[#This Row],[sales]]</f>
        <v>0.66457615437629225</v>
      </c>
    </row>
    <row r="430" spans="1:20" x14ac:dyDescent="0.35">
      <c r="A430" t="s">
        <v>612</v>
      </c>
      <c r="B430" s="1">
        <v>46150</v>
      </c>
      <c r="C430" t="s">
        <v>14</v>
      </c>
      <c r="D430" t="s">
        <v>15</v>
      </c>
      <c r="E430" t="s">
        <v>613</v>
      </c>
      <c r="F430" t="s">
        <v>28</v>
      </c>
      <c r="G430" t="s">
        <v>548</v>
      </c>
      <c r="H430" t="s">
        <v>549</v>
      </c>
      <c r="I430" t="s">
        <v>160</v>
      </c>
      <c r="J430">
        <v>1</v>
      </c>
      <c r="K430">
        <v>6509000</v>
      </c>
      <c r="L430">
        <v>0.15</v>
      </c>
      <c r="M430">
        <v>4388000</v>
      </c>
      <c r="N430">
        <f>(data[[#This Row],[unit_price]]*data[[#This Row],[quantity]]) * (1-data[[#This Row],[discount]])</f>
        <v>5532650</v>
      </c>
      <c r="O430">
        <f>data[[#This Row],[sales]]-data[[#This Row],[cost]]</f>
        <v>1144650</v>
      </c>
      <c r="P430" t="str">
        <f>TEXT(data[[#This Row],[order_date]],"mmm")</f>
        <v>May</v>
      </c>
      <c r="Q430">
        <f>YEAR(data[[#This Row],[order_date]])</f>
        <v>2026</v>
      </c>
      <c r="R430">
        <f>MONTH(data[[#This Row],[order_date]])</f>
        <v>5</v>
      </c>
      <c r="S430">
        <f>DAY(data[[#This Row],[order_date]])</f>
        <v>8</v>
      </c>
      <c r="T430">
        <f>data[[#This Row],[profit]]/data[[#This Row],[sales]]</f>
        <v>0.20689000750092632</v>
      </c>
    </row>
    <row r="431" spans="1:20" x14ac:dyDescent="0.35">
      <c r="A431" t="s">
        <v>614</v>
      </c>
      <c r="B431" s="1">
        <v>46172</v>
      </c>
      <c r="C431" t="s">
        <v>14</v>
      </c>
      <c r="D431" t="s">
        <v>15</v>
      </c>
      <c r="E431" t="s">
        <v>340</v>
      </c>
      <c r="F431" t="s">
        <v>23</v>
      </c>
      <c r="G431" t="s">
        <v>548</v>
      </c>
      <c r="H431" t="s">
        <v>549</v>
      </c>
      <c r="I431" t="s">
        <v>160</v>
      </c>
      <c r="J431">
        <v>1</v>
      </c>
      <c r="K431">
        <v>7476000</v>
      </c>
      <c r="L431">
        <v>0.05</v>
      </c>
      <c r="M431">
        <v>5137000</v>
      </c>
      <c r="N431">
        <f>(data[[#This Row],[unit_price]]*data[[#This Row],[quantity]]) * (1-data[[#This Row],[discount]])</f>
        <v>7102200</v>
      </c>
      <c r="O431">
        <f>data[[#This Row],[sales]]-data[[#This Row],[cost]]</f>
        <v>1965200</v>
      </c>
      <c r="P431" t="str">
        <f>TEXT(data[[#This Row],[order_date]],"mmm")</f>
        <v>May</v>
      </c>
      <c r="Q431">
        <f>YEAR(data[[#This Row],[order_date]])</f>
        <v>2026</v>
      </c>
      <c r="R431">
        <f>MONTH(data[[#This Row],[order_date]])</f>
        <v>5</v>
      </c>
      <c r="S431">
        <f>DAY(data[[#This Row],[order_date]])</f>
        <v>30</v>
      </c>
      <c r="T431">
        <f>data[[#This Row],[profit]]/data[[#This Row],[sales]]</f>
        <v>0.27670299343865279</v>
      </c>
    </row>
    <row r="432" spans="1:20" x14ac:dyDescent="0.35">
      <c r="A432" t="s">
        <v>615</v>
      </c>
      <c r="B432" s="1">
        <v>46180</v>
      </c>
      <c r="C432" t="s">
        <v>14</v>
      </c>
      <c r="D432" t="s">
        <v>15</v>
      </c>
      <c r="E432" t="s">
        <v>270</v>
      </c>
      <c r="F432" t="s">
        <v>23</v>
      </c>
      <c r="G432" t="s">
        <v>548</v>
      </c>
      <c r="H432" t="s">
        <v>549</v>
      </c>
      <c r="I432" t="s">
        <v>160</v>
      </c>
      <c r="J432">
        <v>5</v>
      </c>
      <c r="K432">
        <v>8214000</v>
      </c>
      <c r="L432">
        <v>0</v>
      </c>
      <c r="M432">
        <v>5463000</v>
      </c>
      <c r="N432">
        <f>(data[[#This Row],[unit_price]]*data[[#This Row],[quantity]]) * (1-data[[#This Row],[discount]])</f>
        <v>41070000</v>
      </c>
      <c r="O432">
        <f>data[[#This Row],[sales]]-data[[#This Row],[cost]]</f>
        <v>35607000</v>
      </c>
      <c r="P432" t="str">
        <f>TEXT(data[[#This Row],[order_date]],"mmm")</f>
        <v>Jun</v>
      </c>
      <c r="Q432">
        <f>YEAR(data[[#This Row],[order_date]])</f>
        <v>2026</v>
      </c>
      <c r="R432">
        <f>MONTH(data[[#This Row],[order_date]])</f>
        <v>6</v>
      </c>
      <c r="S432">
        <f>DAY(data[[#This Row],[order_date]])</f>
        <v>7</v>
      </c>
      <c r="T432">
        <f>data[[#This Row],[profit]]/data[[#This Row],[sales]]</f>
        <v>0.86698319941563184</v>
      </c>
    </row>
    <row r="433" spans="1:20" x14ac:dyDescent="0.35">
      <c r="A433" t="s">
        <v>616</v>
      </c>
      <c r="B433" s="1">
        <v>46180</v>
      </c>
      <c r="C433" t="s">
        <v>14</v>
      </c>
      <c r="D433" t="s">
        <v>15</v>
      </c>
      <c r="E433" t="s">
        <v>130</v>
      </c>
      <c r="F433" t="s">
        <v>28</v>
      </c>
      <c r="G433" t="s">
        <v>548</v>
      </c>
      <c r="H433" t="s">
        <v>549</v>
      </c>
      <c r="I433" t="s">
        <v>160</v>
      </c>
      <c r="J433">
        <v>2</v>
      </c>
      <c r="K433">
        <v>7976000</v>
      </c>
      <c r="L433">
        <v>0</v>
      </c>
      <c r="M433">
        <v>5324000</v>
      </c>
      <c r="N433">
        <f>(data[[#This Row],[unit_price]]*data[[#This Row],[quantity]]) * (1-data[[#This Row],[discount]])</f>
        <v>15952000</v>
      </c>
      <c r="O433">
        <f>data[[#This Row],[sales]]-data[[#This Row],[cost]]</f>
        <v>10628000</v>
      </c>
      <c r="P433" t="str">
        <f>TEXT(data[[#This Row],[order_date]],"mmm")</f>
        <v>Jun</v>
      </c>
      <c r="Q433">
        <f>YEAR(data[[#This Row],[order_date]])</f>
        <v>2026</v>
      </c>
      <c r="R433">
        <f>MONTH(data[[#This Row],[order_date]])</f>
        <v>6</v>
      </c>
      <c r="S433">
        <f>DAY(data[[#This Row],[order_date]])</f>
        <v>7</v>
      </c>
      <c r="T433">
        <f>data[[#This Row],[profit]]/data[[#This Row],[sales]]</f>
        <v>0.66624874623871611</v>
      </c>
    </row>
    <row r="434" spans="1:20" x14ac:dyDescent="0.35">
      <c r="A434" t="s">
        <v>617</v>
      </c>
      <c r="B434" s="1">
        <v>46182</v>
      </c>
      <c r="C434" t="s">
        <v>41</v>
      </c>
      <c r="D434" t="s">
        <v>42</v>
      </c>
      <c r="E434" t="s">
        <v>287</v>
      </c>
      <c r="F434" t="s">
        <v>28</v>
      </c>
      <c r="G434" t="s">
        <v>548</v>
      </c>
      <c r="H434" t="s">
        <v>549</v>
      </c>
      <c r="I434" t="s">
        <v>160</v>
      </c>
      <c r="J434">
        <v>1</v>
      </c>
      <c r="K434">
        <v>8400000</v>
      </c>
      <c r="L434">
        <v>0</v>
      </c>
      <c r="M434">
        <v>5796000</v>
      </c>
      <c r="N434">
        <f>(data[[#This Row],[unit_price]]*data[[#This Row],[quantity]]) * (1-data[[#This Row],[discount]])</f>
        <v>8400000</v>
      </c>
      <c r="O434">
        <f>data[[#This Row],[sales]]-data[[#This Row],[cost]]</f>
        <v>2604000</v>
      </c>
      <c r="P434" t="str">
        <f>TEXT(data[[#This Row],[order_date]],"mmm")</f>
        <v>Jun</v>
      </c>
      <c r="Q434">
        <f>YEAR(data[[#This Row],[order_date]])</f>
        <v>2026</v>
      </c>
      <c r="R434">
        <f>MONTH(data[[#This Row],[order_date]])</f>
        <v>6</v>
      </c>
      <c r="S434">
        <f>DAY(data[[#This Row],[order_date]])</f>
        <v>9</v>
      </c>
      <c r="T434">
        <f>data[[#This Row],[profit]]/data[[#This Row],[sales]]</f>
        <v>0.31</v>
      </c>
    </row>
    <row r="435" spans="1:20" x14ac:dyDescent="0.35">
      <c r="A435" t="s">
        <v>618</v>
      </c>
      <c r="B435" s="1">
        <v>46183</v>
      </c>
      <c r="C435" t="s">
        <v>14</v>
      </c>
      <c r="D435" t="s">
        <v>15</v>
      </c>
      <c r="E435" t="s">
        <v>51</v>
      </c>
      <c r="F435" t="s">
        <v>23</v>
      </c>
      <c r="G435" t="s">
        <v>548</v>
      </c>
      <c r="H435" t="s">
        <v>549</v>
      </c>
      <c r="I435" t="s">
        <v>160</v>
      </c>
      <c r="J435">
        <v>1</v>
      </c>
      <c r="K435">
        <v>6386000</v>
      </c>
      <c r="L435">
        <v>0</v>
      </c>
      <c r="M435">
        <v>4404000</v>
      </c>
      <c r="N435">
        <f>(data[[#This Row],[unit_price]]*data[[#This Row],[quantity]]) * (1-data[[#This Row],[discount]])</f>
        <v>6386000</v>
      </c>
      <c r="O435">
        <f>data[[#This Row],[sales]]-data[[#This Row],[cost]]</f>
        <v>1982000</v>
      </c>
      <c r="P435" t="str">
        <f>TEXT(data[[#This Row],[order_date]],"mmm")</f>
        <v>Jun</v>
      </c>
      <c r="Q435">
        <f>YEAR(data[[#This Row],[order_date]])</f>
        <v>2026</v>
      </c>
      <c r="R435">
        <f>MONTH(data[[#This Row],[order_date]])</f>
        <v>6</v>
      </c>
      <c r="S435">
        <f>DAY(data[[#This Row],[order_date]])</f>
        <v>10</v>
      </c>
      <c r="T435">
        <f>data[[#This Row],[profit]]/data[[#This Row],[sales]]</f>
        <v>0.31036642655809582</v>
      </c>
    </row>
    <row r="436" spans="1:20" x14ac:dyDescent="0.35">
      <c r="A436" t="s">
        <v>619</v>
      </c>
      <c r="B436" s="1">
        <v>46201</v>
      </c>
      <c r="C436" t="s">
        <v>14</v>
      </c>
      <c r="D436" t="s">
        <v>15</v>
      </c>
      <c r="E436" t="s">
        <v>489</v>
      </c>
      <c r="F436" t="s">
        <v>17</v>
      </c>
      <c r="G436" t="s">
        <v>548</v>
      </c>
      <c r="H436" t="s">
        <v>549</v>
      </c>
      <c r="I436" t="s">
        <v>160</v>
      </c>
      <c r="J436">
        <v>2</v>
      </c>
      <c r="K436">
        <v>5256000</v>
      </c>
      <c r="L436">
        <v>0</v>
      </c>
      <c r="M436">
        <v>3600000</v>
      </c>
      <c r="N436">
        <f>(data[[#This Row],[unit_price]]*data[[#This Row],[quantity]]) * (1-data[[#This Row],[discount]])</f>
        <v>10512000</v>
      </c>
      <c r="O436">
        <f>data[[#This Row],[sales]]-data[[#This Row],[cost]]</f>
        <v>6912000</v>
      </c>
      <c r="P436" t="str">
        <f>TEXT(data[[#This Row],[order_date]],"mmm")</f>
        <v>Jun</v>
      </c>
      <c r="Q436">
        <f>YEAR(data[[#This Row],[order_date]])</f>
        <v>2026</v>
      </c>
      <c r="R436">
        <f>MONTH(data[[#This Row],[order_date]])</f>
        <v>6</v>
      </c>
      <c r="S436">
        <f>DAY(data[[#This Row],[order_date]])</f>
        <v>28</v>
      </c>
      <c r="T436">
        <f>data[[#This Row],[profit]]/data[[#This Row],[sales]]</f>
        <v>0.65753424657534243</v>
      </c>
    </row>
    <row r="437" spans="1:20" x14ac:dyDescent="0.35">
      <c r="A437" t="s">
        <v>620</v>
      </c>
      <c r="B437" s="1">
        <v>44933</v>
      </c>
      <c r="C437" t="s">
        <v>41</v>
      </c>
      <c r="D437" t="s">
        <v>42</v>
      </c>
      <c r="E437" t="s">
        <v>333</v>
      </c>
      <c r="F437" t="s">
        <v>17</v>
      </c>
      <c r="G437" t="s">
        <v>621</v>
      </c>
      <c r="H437" t="s">
        <v>622</v>
      </c>
      <c r="I437" t="s">
        <v>465</v>
      </c>
      <c r="J437">
        <v>2</v>
      </c>
      <c r="K437">
        <v>2145000</v>
      </c>
      <c r="L437">
        <v>0</v>
      </c>
      <c r="M437">
        <v>1648000</v>
      </c>
      <c r="N437">
        <f>(data[[#This Row],[unit_price]]*data[[#This Row],[quantity]]) * (1-data[[#This Row],[discount]])</f>
        <v>4290000</v>
      </c>
      <c r="O437">
        <f>data[[#This Row],[sales]]-data[[#This Row],[cost]]</f>
        <v>2642000</v>
      </c>
      <c r="P437" t="str">
        <f>TEXT(data[[#This Row],[order_date]],"mmm")</f>
        <v>Jan</v>
      </c>
      <c r="Q437">
        <f>YEAR(data[[#This Row],[order_date]])</f>
        <v>2023</v>
      </c>
      <c r="R437">
        <f>MONTH(data[[#This Row],[order_date]])</f>
        <v>1</v>
      </c>
      <c r="S437">
        <f>DAY(data[[#This Row],[order_date]])</f>
        <v>7</v>
      </c>
      <c r="T437">
        <f>data[[#This Row],[profit]]/data[[#This Row],[sales]]</f>
        <v>0.6158508158508158</v>
      </c>
    </row>
    <row r="438" spans="1:20" x14ac:dyDescent="0.35">
      <c r="A438" t="s">
        <v>623</v>
      </c>
      <c r="B438" s="1">
        <v>44947</v>
      </c>
      <c r="C438" t="s">
        <v>14</v>
      </c>
      <c r="D438" t="s">
        <v>15</v>
      </c>
      <c r="E438" t="s">
        <v>333</v>
      </c>
      <c r="F438" t="s">
        <v>17</v>
      </c>
      <c r="G438" t="s">
        <v>621</v>
      </c>
      <c r="H438" t="s">
        <v>622</v>
      </c>
      <c r="I438" t="s">
        <v>465</v>
      </c>
      <c r="J438">
        <v>1</v>
      </c>
      <c r="K438">
        <v>2792000</v>
      </c>
      <c r="L438">
        <v>0</v>
      </c>
      <c r="M438">
        <v>2125000</v>
      </c>
      <c r="N438">
        <f>(data[[#This Row],[unit_price]]*data[[#This Row],[quantity]]) * (1-data[[#This Row],[discount]])</f>
        <v>2792000</v>
      </c>
      <c r="O438">
        <f>data[[#This Row],[sales]]-data[[#This Row],[cost]]</f>
        <v>667000</v>
      </c>
      <c r="P438" t="str">
        <f>TEXT(data[[#This Row],[order_date]],"mmm")</f>
        <v>Jan</v>
      </c>
      <c r="Q438">
        <f>YEAR(data[[#This Row],[order_date]])</f>
        <v>2023</v>
      </c>
      <c r="R438">
        <f>MONTH(data[[#This Row],[order_date]])</f>
        <v>1</v>
      </c>
      <c r="S438">
        <f>DAY(data[[#This Row],[order_date]])</f>
        <v>21</v>
      </c>
      <c r="T438">
        <f>data[[#This Row],[profit]]/data[[#This Row],[sales]]</f>
        <v>0.23889684813753581</v>
      </c>
    </row>
    <row r="439" spans="1:20" x14ac:dyDescent="0.35">
      <c r="A439" t="s">
        <v>624</v>
      </c>
      <c r="B439" s="1">
        <v>44978</v>
      </c>
      <c r="C439" t="s">
        <v>41</v>
      </c>
      <c r="D439" t="s">
        <v>42</v>
      </c>
      <c r="E439" t="s">
        <v>99</v>
      </c>
      <c r="F439" t="s">
        <v>23</v>
      </c>
      <c r="G439" t="s">
        <v>621</v>
      </c>
      <c r="H439" t="s">
        <v>622</v>
      </c>
      <c r="I439" t="s">
        <v>465</v>
      </c>
      <c r="J439">
        <v>1</v>
      </c>
      <c r="K439">
        <v>1849000</v>
      </c>
      <c r="L439">
        <v>0</v>
      </c>
      <c r="M439">
        <v>1398000</v>
      </c>
      <c r="N439">
        <f>(data[[#This Row],[unit_price]]*data[[#This Row],[quantity]]) * (1-data[[#This Row],[discount]])</f>
        <v>1849000</v>
      </c>
      <c r="O439">
        <f>data[[#This Row],[sales]]-data[[#This Row],[cost]]</f>
        <v>451000</v>
      </c>
      <c r="P439" t="str">
        <f>TEXT(data[[#This Row],[order_date]],"mmm")</f>
        <v>Feb</v>
      </c>
      <c r="Q439">
        <f>YEAR(data[[#This Row],[order_date]])</f>
        <v>2023</v>
      </c>
      <c r="R439">
        <f>MONTH(data[[#This Row],[order_date]])</f>
        <v>2</v>
      </c>
      <c r="S439">
        <f>DAY(data[[#This Row],[order_date]])</f>
        <v>21</v>
      </c>
      <c r="T439">
        <f>data[[#This Row],[profit]]/data[[#This Row],[sales]]</f>
        <v>0.24391563007030828</v>
      </c>
    </row>
    <row r="440" spans="1:20" x14ac:dyDescent="0.35">
      <c r="A440" t="s">
        <v>625</v>
      </c>
      <c r="B440" s="1">
        <v>44997</v>
      </c>
      <c r="C440" t="s">
        <v>25</v>
      </c>
      <c r="D440" t="s">
        <v>26</v>
      </c>
      <c r="E440" t="s">
        <v>85</v>
      </c>
      <c r="F440" t="s">
        <v>23</v>
      </c>
      <c r="G440" t="s">
        <v>621</v>
      </c>
      <c r="H440" t="s">
        <v>622</v>
      </c>
      <c r="I440" t="s">
        <v>465</v>
      </c>
      <c r="J440">
        <v>3</v>
      </c>
      <c r="K440">
        <v>2202000</v>
      </c>
      <c r="L440">
        <v>0.05</v>
      </c>
      <c r="M440">
        <v>1671000</v>
      </c>
      <c r="N440">
        <f>(data[[#This Row],[unit_price]]*data[[#This Row],[quantity]]) * (1-data[[#This Row],[discount]])</f>
        <v>6275700</v>
      </c>
      <c r="O440">
        <f>data[[#This Row],[sales]]-data[[#This Row],[cost]]</f>
        <v>4604700</v>
      </c>
      <c r="P440" t="str">
        <f>TEXT(data[[#This Row],[order_date]],"mmm")</f>
        <v>Mar</v>
      </c>
      <c r="Q440">
        <f>YEAR(data[[#This Row],[order_date]])</f>
        <v>2023</v>
      </c>
      <c r="R440">
        <f>MONTH(data[[#This Row],[order_date]])</f>
        <v>3</v>
      </c>
      <c r="S440">
        <f>DAY(data[[#This Row],[order_date]])</f>
        <v>12</v>
      </c>
      <c r="T440">
        <f>data[[#This Row],[profit]]/data[[#This Row],[sales]]</f>
        <v>0.73373488216453941</v>
      </c>
    </row>
    <row r="441" spans="1:20" x14ac:dyDescent="0.35">
      <c r="A441" t="s">
        <v>626</v>
      </c>
      <c r="B441" s="1">
        <v>45013</v>
      </c>
      <c r="C441" t="s">
        <v>25</v>
      </c>
      <c r="D441" t="s">
        <v>26</v>
      </c>
      <c r="E441" t="s">
        <v>47</v>
      </c>
      <c r="F441" t="s">
        <v>23</v>
      </c>
      <c r="G441" t="s">
        <v>621</v>
      </c>
      <c r="H441" t="s">
        <v>622</v>
      </c>
      <c r="I441" t="s">
        <v>465</v>
      </c>
      <c r="J441">
        <v>2</v>
      </c>
      <c r="K441">
        <v>1684000</v>
      </c>
      <c r="L441">
        <v>0</v>
      </c>
      <c r="M441">
        <v>1238000</v>
      </c>
      <c r="N441">
        <f>(data[[#This Row],[unit_price]]*data[[#This Row],[quantity]]) * (1-data[[#This Row],[discount]])</f>
        <v>3368000</v>
      </c>
      <c r="O441">
        <f>data[[#This Row],[sales]]-data[[#This Row],[cost]]</f>
        <v>2130000</v>
      </c>
      <c r="P441" t="str">
        <f>TEXT(data[[#This Row],[order_date]],"mmm")</f>
        <v>Mar</v>
      </c>
      <c r="Q441">
        <f>YEAR(data[[#This Row],[order_date]])</f>
        <v>2023</v>
      </c>
      <c r="R441">
        <f>MONTH(data[[#This Row],[order_date]])</f>
        <v>3</v>
      </c>
      <c r="S441">
        <f>DAY(data[[#This Row],[order_date]])</f>
        <v>28</v>
      </c>
      <c r="T441">
        <f>data[[#This Row],[profit]]/data[[#This Row],[sales]]</f>
        <v>0.63242280285035635</v>
      </c>
    </row>
    <row r="442" spans="1:20" x14ac:dyDescent="0.35">
      <c r="A442" t="s">
        <v>627</v>
      </c>
      <c r="B442" s="1">
        <v>45023</v>
      </c>
      <c r="C442" t="s">
        <v>14</v>
      </c>
      <c r="D442" t="s">
        <v>15</v>
      </c>
      <c r="E442" t="s">
        <v>419</v>
      </c>
      <c r="F442" t="s">
        <v>17</v>
      </c>
      <c r="G442" t="s">
        <v>621</v>
      </c>
      <c r="H442" t="s">
        <v>622</v>
      </c>
      <c r="I442" t="s">
        <v>465</v>
      </c>
      <c r="J442">
        <v>2</v>
      </c>
      <c r="K442">
        <v>1729000</v>
      </c>
      <c r="L442">
        <v>0</v>
      </c>
      <c r="M442">
        <v>1290000</v>
      </c>
      <c r="N442">
        <f>(data[[#This Row],[unit_price]]*data[[#This Row],[quantity]]) * (1-data[[#This Row],[discount]])</f>
        <v>3458000</v>
      </c>
      <c r="O442">
        <f>data[[#This Row],[sales]]-data[[#This Row],[cost]]</f>
        <v>2168000</v>
      </c>
      <c r="P442" t="str">
        <f>TEXT(data[[#This Row],[order_date]],"mmm")</f>
        <v>Apr</v>
      </c>
      <c r="Q442">
        <f>YEAR(data[[#This Row],[order_date]])</f>
        <v>2023</v>
      </c>
      <c r="R442">
        <f>MONTH(data[[#This Row],[order_date]])</f>
        <v>4</v>
      </c>
      <c r="S442">
        <f>DAY(data[[#This Row],[order_date]])</f>
        <v>7</v>
      </c>
      <c r="T442">
        <f>data[[#This Row],[profit]]/data[[#This Row],[sales]]</f>
        <v>0.62695199537304802</v>
      </c>
    </row>
    <row r="443" spans="1:20" x14ac:dyDescent="0.35">
      <c r="A443" t="s">
        <v>628</v>
      </c>
      <c r="B443" s="1">
        <v>45027</v>
      </c>
      <c r="C443" t="s">
        <v>49</v>
      </c>
      <c r="D443" t="s">
        <v>50</v>
      </c>
      <c r="E443" t="s">
        <v>71</v>
      </c>
      <c r="F443" t="s">
        <v>23</v>
      </c>
      <c r="G443" t="s">
        <v>621</v>
      </c>
      <c r="H443" t="s">
        <v>622</v>
      </c>
      <c r="I443" t="s">
        <v>465</v>
      </c>
      <c r="J443">
        <v>1</v>
      </c>
      <c r="K443">
        <v>2636000</v>
      </c>
      <c r="L443">
        <v>0</v>
      </c>
      <c r="M443">
        <v>2022000</v>
      </c>
      <c r="N443">
        <f>(data[[#This Row],[unit_price]]*data[[#This Row],[quantity]]) * (1-data[[#This Row],[discount]])</f>
        <v>2636000</v>
      </c>
      <c r="O443">
        <f>data[[#This Row],[sales]]-data[[#This Row],[cost]]</f>
        <v>614000</v>
      </c>
      <c r="P443" t="str">
        <f>TEXT(data[[#This Row],[order_date]],"mmm")</f>
        <v>Apr</v>
      </c>
      <c r="Q443">
        <f>YEAR(data[[#This Row],[order_date]])</f>
        <v>2023</v>
      </c>
      <c r="R443">
        <f>MONTH(data[[#This Row],[order_date]])</f>
        <v>4</v>
      </c>
      <c r="S443">
        <f>DAY(data[[#This Row],[order_date]])</f>
        <v>11</v>
      </c>
      <c r="T443">
        <f>data[[#This Row],[profit]]/data[[#This Row],[sales]]</f>
        <v>0.23292867981790591</v>
      </c>
    </row>
    <row r="444" spans="1:20" x14ac:dyDescent="0.35">
      <c r="A444" t="s">
        <v>629</v>
      </c>
      <c r="B444" s="1">
        <v>45032</v>
      </c>
      <c r="C444" t="s">
        <v>14</v>
      </c>
      <c r="D444" t="s">
        <v>15</v>
      </c>
      <c r="E444" t="s">
        <v>559</v>
      </c>
      <c r="F444" t="s">
        <v>23</v>
      </c>
      <c r="G444" t="s">
        <v>621</v>
      </c>
      <c r="H444" t="s">
        <v>622</v>
      </c>
      <c r="I444" t="s">
        <v>465</v>
      </c>
      <c r="J444">
        <v>2</v>
      </c>
      <c r="K444">
        <v>1908000</v>
      </c>
      <c r="L444">
        <v>0</v>
      </c>
      <c r="M444">
        <v>1446000</v>
      </c>
      <c r="N444">
        <f>(data[[#This Row],[unit_price]]*data[[#This Row],[quantity]]) * (1-data[[#This Row],[discount]])</f>
        <v>3816000</v>
      </c>
      <c r="O444">
        <f>data[[#This Row],[sales]]-data[[#This Row],[cost]]</f>
        <v>2370000</v>
      </c>
      <c r="P444" t="str">
        <f>TEXT(data[[#This Row],[order_date]],"mmm")</f>
        <v>Apr</v>
      </c>
      <c r="Q444">
        <f>YEAR(data[[#This Row],[order_date]])</f>
        <v>2023</v>
      </c>
      <c r="R444">
        <f>MONTH(data[[#This Row],[order_date]])</f>
        <v>4</v>
      </c>
      <c r="S444">
        <f>DAY(data[[#This Row],[order_date]])</f>
        <v>16</v>
      </c>
      <c r="T444">
        <f>data[[#This Row],[profit]]/data[[#This Row],[sales]]</f>
        <v>0.62106918238993714</v>
      </c>
    </row>
    <row r="445" spans="1:20" x14ac:dyDescent="0.35">
      <c r="A445" t="s">
        <v>630</v>
      </c>
      <c r="B445" s="1">
        <v>45048</v>
      </c>
      <c r="C445" t="s">
        <v>14</v>
      </c>
      <c r="D445" t="s">
        <v>15</v>
      </c>
      <c r="E445" t="s">
        <v>311</v>
      </c>
      <c r="F445" t="s">
        <v>17</v>
      </c>
      <c r="G445" t="s">
        <v>621</v>
      </c>
      <c r="H445" t="s">
        <v>622</v>
      </c>
      <c r="I445" t="s">
        <v>465</v>
      </c>
      <c r="J445">
        <v>3</v>
      </c>
      <c r="K445">
        <v>2706000</v>
      </c>
      <c r="L445">
        <v>0</v>
      </c>
      <c r="M445">
        <v>2066000</v>
      </c>
      <c r="N445">
        <f>(data[[#This Row],[unit_price]]*data[[#This Row],[quantity]]) * (1-data[[#This Row],[discount]])</f>
        <v>8118000</v>
      </c>
      <c r="O445">
        <f>data[[#This Row],[sales]]-data[[#This Row],[cost]]</f>
        <v>6052000</v>
      </c>
      <c r="P445" t="str">
        <f>TEXT(data[[#This Row],[order_date]],"mmm")</f>
        <v>May</v>
      </c>
      <c r="Q445">
        <f>YEAR(data[[#This Row],[order_date]])</f>
        <v>2023</v>
      </c>
      <c r="R445">
        <f>MONTH(data[[#This Row],[order_date]])</f>
        <v>5</v>
      </c>
      <c r="S445">
        <f>DAY(data[[#This Row],[order_date]])</f>
        <v>2</v>
      </c>
      <c r="T445">
        <f>data[[#This Row],[profit]]/data[[#This Row],[sales]]</f>
        <v>0.7455038186745504</v>
      </c>
    </row>
    <row r="446" spans="1:20" x14ac:dyDescent="0.35">
      <c r="A446" t="s">
        <v>631</v>
      </c>
      <c r="B446" s="1">
        <v>45058</v>
      </c>
      <c r="C446" t="s">
        <v>49</v>
      </c>
      <c r="D446" t="s">
        <v>50</v>
      </c>
      <c r="E446" t="s">
        <v>384</v>
      </c>
      <c r="F446" t="s">
        <v>23</v>
      </c>
      <c r="G446" t="s">
        <v>621</v>
      </c>
      <c r="H446" t="s">
        <v>622</v>
      </c>
      <c r="I446" t="s">
        <v>465</v>
      </c>
      <c r="J446">
        <v>2</v>
      </c>
      <c r="K446">
        <v>1978000</v>
      </c>
      <c r="L446">
        <v>0</v>
      </c>
      <c r="M446">
        <v>1486000</v>
      </c>
      <c r="N446">
        <f>(data[[#This Row],[unit_price]]*data[[#This Row],[quantity]]) * (1-data[[#This Row],[discount]])</f>
        <v>3956000</v>
      </c>
      <c r="O446">
        <f>data[[#This Row],[sales]]-data[[#This Row],[cost]]</f>
        <v>2470000</v>
      </c>
      <c r="P446" t="str">
        <f>TEXT(data[[#This Row],[order_date]],"mmm")</f>
        <v>May</v>
      </c>
      <c r="Q446">
        <f>YEAR(data[[#This Row],[order_date]])</f>
        <v>2023</v>
      </c>
      <c r="R446">
        <f>MONTH(data[[#This Row],[order_date]])</f>
        <v>5</v>
      </c>
      <c r="S446">
        <f>DAY(data[[#This Row],[order_date]])</f>
        <v>12</v>
      </c>
      <c r="T446">
        <f>data[[#This Row],[profit]]/data[[#This Row],[sales]]</f>
        <v>0.62436804853387262</v>
      </c>
    </row>
    <row r="447" spans="1:20" x14ac:dyDescent="0.35">
      <c r="A447" t="s">
        <v>632</v>
      </c>
      <c r="B447" s="1">
        <v>45059</v>
      </c>
      <c r="C447" t="s">
        <v>14</v>
      </c>
      <c r="D447" t="s">
        <v>15</v>
      </c>
      <c r="E447" t="s">
        <v>113</v>
      </c>
      <c r="F447" t="s">
        <v>23</v>
      </c>
      <c r="G447" t="s">
        <v>621</v>
      </c>
      <c r="H447" t="s">
        <v>622</v>
      </c>
      <c r="I447" t="s">
        <v>465</v>
      </c>
      <c r="J447">
        <v>1</v>
      </c>
      <c r="K447">
        <v>1790000</v>
      </c>
      <c r="L447">
        <v>0</v>
      </c>
      <c r="M447">
        <v>1341000</v>
      </c>
      <c r="N447">
        <f>(data[[#This Row],[unit_price]]*data[[#This Row],[quantity]]) * (1-data[[#This Row],[discount]])</f>
        <v>1790000</v>
      </c>
      <c r="O447">
        <f>data[[#This Row],[sales]]-data[[#This Row],[cost]]</f>
        <v>449000</v>
      </c>
      <c r="P447" t="str">
        <f>TEXT(data[[#This Row],[order_date]],"mmm")</f>
        <v>May</v>
      </c>
      <c r="Q447">
        <f>YEAR(data[[#This Row],[order_date]])</f>
        <v>2023</v>
      </c>
      <c r="R447">
        <f>MONTH(data[[#This Row],[order_date]])</f>
        <v>5</v>
      </c>
      <c r="S447">
        <f>DAY(data[[#This Row],[order_date]])</f>
        <v>13</v>
      </c>
      <c r="T447">
        <f>data[[#This Row],[profit]]/data[[#This Row],[sales]]</f>
        <v>0.25083798882681563</v>
      </c>
    </row>
    <row r="448" spans="1:20" x14ac:dyDescent="0.35">
      <c r="A448" t="s">
        <v>633</v>
      </c>
      <c r="B448" s="1">
        <v>45077</v>
      </c>
      <c r="C448" t="s">
        <v>41</v>
      </c>
      <c r="D448" t="s">
        <v>42</v>
      </c>
      <c r="E448" t="s">
        <v>634</v>
      </c>
      <c r="F448" t="s">
        <v>17</v>
      </c>
      <c r="G448" t="s">
        <v>621</v>
      </c>
      <c r="H448" t="s">
        <v>622</v>
      </c>
      <c r="I448" t="s">
        <v>465</v>
      </c>
      <c r="J448">
        <v>3</v>
      </c>
      <c r="K448">
        <v>2654000</v>
      </c>
      <c r="L448">
        <v>0.05</v>
      </c>
      <c r="M448">
        <v>1989000</v>
      </c>
      <c r="N448">
        <f>(data[[#This Row],[unit_price]]*data[[#This Row],[quantity]]) * (1-data[[#This Row],[discount]])</f>
        <v>7563900</v>
      </c>
      <c r="O448">
        <f>data[[#This Row],[sales]]-data[[#This Row],[cost]]</f>
        <v>5574900</v>
      </c>
      <c r="P448" t="str">
        <f>TEXT(data[[#This Row],[order_date]],"mmm")</f>
        <v>May</v>
      </c>
      <c r="Q448">
        <f>YEAR(data[[#This Row],[order_date]])</f>
        <v>2023</v>
      </c>
      <c r="R448">
        <f>MONTH(data[[#This Row],[order_date]])</f>
        <v>5</v>
      </c>
      <c r="S448">
        <f>DAY(data[[#This Row],[order_date]])</f>
        <v>31</v>
      </c>
      <c r="T448">
        <f>data[[#This Row],[profit]]/data[[#This Row],[sales]]</f>
        <v>0.7370404156585888</v>
      </c>
    </row>
    <row r="449" spans="1:20" x14ac:dyDescent="0.35">
      <c r="A449" t="s">
        <v>635</v>
      </c>
      <c r="B449" s="1">
        <v>45096</v>
      </c>
      <c r="C449" t="s">
        <v>49</v>
      </c>
      <c r="D449" t="s">
        <v>50</v>
      </c>
      <c r="E449" t="s">
        <v>126</v>
      </c>
      <c r="F449" t="s">
        <v>17</v>
      </c>
      <c r="G449" t="s">
        <v>621</v>
      </c>
      <c r="H449" t="s">
        <v>622</v>
      </c>
      <c r="I449" t="s">
        <v>465</v>
      </c>
      <c r="J449">
        <v>1</v>
      </c>
      <c r="K449">
        <v>2425000</v>
      </c>
      <c r="L449">
        <v>0</v>
      </c>
      <c r="M449">
        <v>1795000</v>
      </c>
      <c r="N449">
        <f>(data[[#This Row],[unit_price]]*data[[#This Row],[quantity]]) * (1-data[[#This Row],[discount]])</f>
        <v>2425000</v>
      </c>
      <c r="O449">
        <f>data[[#This Row],[sales]]-data[[#This Row],[cost]]</f>
        <v>630000</v>
      </c>
      <c r="P449" t="str">
        <f>TEXT(data[[#This Row],[order_date]],"mmm")</f>
        <v>Jun</v>
      </c>
      <c r="Q449">
        <f>YEAR(data[[#This Row],[order_date]])</f>
        <v>2023</v>
      </c>
      <c r="R449">
        <f>MONTH(data[[#This Row],[order_date]])</f>
        <v>6</v>
      </c>
      <c r="S449">
        <f>DAY(data[[#This Row],[order_date]])</f>
        <v>19</v>
      </c>
      <c r="T449">
        <f>data[[#This Row],[profit]]/data[[#This Row],[sales]]</f>
        <v>0.25979381443298971</v>
      </c>
    </row>
    <row r="450" spans="1:20" x14ac:dyDescent="0.35">
      <c r="A450" t="s">
        <v>636</v>
      </c>
      <c r="B450" s="1">
        <v>45136</v>
      </c>
      <c r="C450" t="s">
        <v>41</v>
      </c>
      <c r="D450" t="s">
        <v>42</v>
      </c>
      <c r="E450" t="s">
        <v>307</v>
      </c>
      <c r="F450" t="s">
        <v>28</v>
      </c>
      <c r="G450" t="s">
        <v>621</v>
      </c>
      <c r="H450" t="s">
        <v>622</v>
      </c>
      <c r="I450" t="s">
        <v>465</v>
      </c>
      <c r="J450">
        <v>1</v>
      </c>
      <c r="K450">
        <v>2904000</v>
      </c>
      <c r="L450">
        <v>0</v>
      </c>
      <c r="M450">
        <v>2157000</v>
      </c>
      <c r="N450">
        <f>(data[[#This Row],[unit_price]]*data[[#This Row],[quantity]]) * (1-data[[#This Row],[discount]])</f>
        <v>2904000</v>
      </c>
      <c r="O450">
        <f>data[[#This Row],[sales]]-data[[#This Row],[cost]]</f>
        <v>747000</v>
      </c>
      <c r="P450" t="str">
        <f>TEXT(data[[#This Row],[order_date]],"mmm")</f>
        <v>Jul</v>
      </c>
      <c r="Q450">
        <f>YEAR(data[[#This Row],[order_date]])</f>
        <v>2023</v>
      </c>
      <c r="R450">
        <f>MONTH(data[[#This Row],[order_date]])</f>
        <v>7</v>
      </c>
      <c r="S450">
        <f>DAY(data[[#This Row],[order_date]])</f>
        <v>29</v>
      </c>
      <c r="T450">
        <f>data[[#This Row],[profit]]/data[[#This Row],[sales]]</f>
        <v>0.25723140495867769</v>
      </c>
    </row>
    <row r="451" spans="1:20" x14ac:dyDescent="0.35">
      <c r="A451" t="s">
        <v>637</v>
      </c>
      <c r="B451" s="1">
        <v>45177</v>
      </c>
      <c r="C451" t="s">
        <v>49</v>
      </c>
      <c r="D451" t="s">
        <v>50</v>
      </c>
      <c r="E451" t="s">
        <v>295</v>
      </c>
      <c r="F451" t="s">
        <v>23</v>
      </c>
      <c r="G451" t="s">
        <v>621</v>
      </c>
      <c r="H451" t="s">
        <v>622</v>
      </c>
      <c r="I451" t="s">
        <v>465</v>
      </c>
      <c r="J451">
        <v>3</v>
      </c>
      <c r="K451">
        <v>1798000</v>
      </c>
      <c r="L451">
        <v>0.05</v>
      </c>
      <c r="M451">
        <v>1369000</v>
      </c>
      <c r="N451">
        <f>(data[[#This Row],[unit_price]]*data[[#This Row],[quantity]]) * (1-data[[#This Row],[discount]])</f>
        <v>5124300</v>
      </c>
      <c r="O451">
        <f>data[[#This Row],[sales]]-data[[#This Row],[cost]]</f>
        <v>3755300</v>
      </c>
      <c r="P451" t="str">
        <f>TEXT(data[[#This Row],[order_date]],"mmm")</f>
        <v>Sep</v>
      </c>
      <c r="Q451">
        <f>YEAR(data[[#This Row],[order_date]])</f>
        <v>2023</v>
      </c>
      <c r="R451">
        <f>MONTH(data[[#This Row],[order_date]])</f>
        <v>9</v>
      </c>
      <c r="S451">
        <f>DAY(data[[#This Row],[order_date]])</f>
        <v>8</v>
      </c>
      <c r="T451">
        <f>data[[#This Row],[profit]]/data[[#This Row],[sales]]</f>
        <v>0.73284155884706204</v>
      </c>
    </row>
    <row r="452" spans="1:20" x14ac:dyDescent="0.35">
      <c r="A452" t="s">
        <v>638</v>
      </c>
      <c r="B452" s="1">
        <v>45203</v>
      </c>
      <c r="C452" t="s">
        <v>36</v>
      </c>
      <c r="D452" t="s">
        <v>37</v>
      </c>
      <c r="E452" t="s">
        <v>203</v>
      </c>
      <c r="F452" t="s">
        <v>17</v>
      </c>
      <c r="G452" t="s">
        <v>621</v>
      </c>
      <c r="H452" t="s">
        <v>622</v>
      </c>
      <c r="I452" t="s">
        <v>465</v>
      </c>
      <c r="J452">
        <v>1</v>
      </c>
      <c r="K452">
        <v>2487000</v>
      </c>
      <c r="L452">
        <v>0</v>
      </c>
      <c r="M452">
        <v>1912000</v>
      </c>
      <c r="N452">
        <f>(data[[#This Row],[unit_price]]*data[[#This Row],[quantity]]) * (1-data[[#This Row],[discount]])</f>
        <v>2487000</v>
      </c>
      <c r="O452">
        <f>data[[#This Row],[sales]]-data[[#This Row],[cost]]</f>
        <v>575000</v>
      </c>
      <c r="P452" t="str">
        <f>TEXT(data[[#This Row],[order_date]],"mmm")</f>
        <v>Oct</v>
      </c>
      <c r="Q452">
        <f>YEAR(data[[#This Row],[order_date]])</f>
        <v>2023</v>
      </c>
      <c r="R452">
        <f>MONTH(data[[#This Row],[order_date]])</f>
        <v>10</v>
      </c>
      <c r="S452">
        <f>DAY(data[[#This Row],[order_date]])</f>
        <v>4</v>
      </c>
      <c r="T452">
        <f>data[[#This Row],[profit]]/data[[#This Row],[sales]]</f>
        <v>0.2312022517088862</v>
      </c>
    </row>
    <row r="453" spans="1:20" x14ac:dyDescent="0.35">
      <c r="A453" t="s">
        <v>639</v>
      </c>
      <c r="B453" s="1">
        <v>45224</v>
      </c>
      <c r="C453" t="s">
        <v>14</v>
      </c>
      <c r="D453" t="s">
        <v>15</v>
      </c>
      <c r="E453" t="s">
        <v>108</v>
      </c>
      <c r="F453" t="s">
        <v>23</v>
      </c>
      <c r="G453" t="s">
        <v>621</v>
      </c>
      <c r="H453" t="s">
        <v>622</v>
      </c>
      <c r="I453" t="s">
        <v>465</v>
      </c>
      <c r="J453">
        <v>2</v>
      </c>
      <c r="K453">
        <v>2850000</v>
      </c>
      <c r="L453">
        <v>0</v>
      </c>
      <c r="M453">
        <v>2186000</v>
      </c>
      <c r="N453">
        <f>(data[[#This Row],[unit_price]]*data[[#This Row],[quantity]]) * (1-data[[#This Row],[discount]])</f>
        <v>5700000</v>
      </c>
      <c r="O453">
        <f>data[[#This Row],[sales]]-data[[#This Row],[cost]]</f>
        <v>3514000</v>
      </c>
      <c r="P453" t="str">
        <f>TEXT(data[[#This Row],[order_date]],"mmm")</f>
        <v>Oct</v>
      </c>
      <c r="Q453">
        <f>YEAR(data[[#This Row],[order_date]])</f>
        <v>2023</v>
      </c>
      <c r="R453">
        <f>MONTH(data[[#This Row],[order_date]])</f>
        <v>10</v>
      </c>
      <c r="S453">
        <f>DAY(data[[#This Row],[order_date]])</f>
        <v>25</v>
      </c>
      <c r="T453">
        <f>data[[#This Row],[profit]]/data[[#This Row],[sales]]</f>
        <v>0.61649122807017542</v>
      </c>
    </row>
    <row r="454" spans="1:20" x14ac:dyDescent="0.35">
      <c r="A454" t="s">
        <v>640</v>
      </c>
      <c r="B454" s="1">
        <v>45237</v>
      </c>
      <c r="C454" t="s">
        <v>14</v>
      </c>
      <c r="D454" t="s">
        <v>15</v>
      </c>
      <c r="E454" t="s">
        <v>179</v>
      </c>
      <c r="F454" t="s">
        <v>23</v>
      </c>
      <c r="G454" t="s">
        <v>621</v>
      </c>
      <c r="H454" t="s">
        <v>622</v>
      </c>
      <c r="I454" t="s">
        <v>465</v>
      </c>
      <c r="J454">
        <v>2</v>
      </c>
      <c r="K454">
        <v>1824000</v>
      </c>
      <c r="L454">
        <v>0</v>
      </c>
      <c r="M454">
        <v>1391000</v>
      </c>
      <c r="N454">
        <f>(data[[#This Row],[unit_price]]*data[[#This Row],[quantity]]) * (1-data[[#This Row],[discount]])</f>
        <v>3648000</v>
      </c>
      <c r="O454">
        <f>data[[#This Row],[sales]]-data[[#This Row],[cost]]</f>
        <v>2257000</v>
      </c>
      <c r="P454" t="str">
        <f>TEXT(data[[#This Row],[order_date]],"mmm")</f>
        <v>Nov</v>
      </c>
      <c r="Q454">
        <f>YEAR(data[[#This Row],[order_date]])</f>
        <v>2023</v>
      </c>
      <c r="R454">
        <f>MONTH(data[[#This Row],[order_date]])</f>
        <v>11</v>
      </c>
      <c r="S454">
        <f>DAY(data[[#This Row],[order_date]])</f>
        <v>7</v>
      </c>
      <c r="T454">
        <f>data[[#This Row],[profit]]/data[[#This Row],[sales]]</f>
        <v>0.61869517543859653</v>
      </c>
    </row>
    <row r="455" spans="1:20" x14ac:dyDescent="0.35">
      <c r="A455" t="s">
        <v>641</v>
      </c>
      <c r="B455" s="1">
        <v>45283</v>
      </c>
      <c r="C455" t="s">
        <v>41</v>
      </c>
      <c r="D455" t="s">
        <v>42</v>
      </c>
      <c r="E455" t="s">
        <v>104</v>
      </c>
      <c r="F455" t="s">
        <v>28</v>
      </c>
      <c r="G455" t="s">
        <v>621</v>
      </c>
      <c r="H455" t="s">
        <v>622</v>
      </c>
      <c r="I455" t="s">
        <v>465</v>
      </c>
      <c r="J455">
        <v>1</v>
      </c>
      <c r="K455">
        <v>1896000</v>
      </c>
      <c r="L455">
        <v>0</v>
      </c>
      <c r="M455">
        <v>1403000</v>
      </c>
      <c r="N455">
        <f>(data[[#This Row],[unit_price]]*data[[#This Row],[quantity]]) * (1-data[[#This Row],[discount]])</f>
        <v>1896000</v>
      </c>
      <c r="O455">
        <f>data[[#This Row],[sales]]-data[[#This Row],[cost]]</f>
        <v>493000</v>
      </c>
      <c r="P455" t="str">
        <f>TEXT(data[[#This Row],[order_date]],"mmm")</f>
        <v>Dec</v>
      </c>
      <c r="Q455">
        <f>YEAR(data[[#This Row],[order_date]])</f>
        <v>2023</v>
      </c>
      <c r="R455">
        <f>MONTH(data[[#This Row],[order_date]])</f>
        <v>12</v>
      </c>
      <c r="S455">
        <f>DAY(data[[#This Row],[order_date]])</f>
        <v>23</v>
      </c>
      <c r="T455">
        <f>data[[#This Row],[profit]]/data[[#This Row],[sales]]</f>
        <v>0.26002109704641352</v>
      </c>
    </row>
    <row r="456" spans="1:20" x14ac:dyDescent="0.35">
      <c r="A456" t="s">
        <v>642</v>
      </c>
      <c r="B456" s="1">
        <v>45333</v>
      </c>
      <c r="C456" t="s">
        <v>14</v>
      </c>
      <c r="D456" t="s">
        <v>15</v>
      </c>
      <c r="E456" t="s">
        <v>81</v>
      </c>
      <c r="F456" t="s">
        <v>17</v>
      </c>
      <c r="G456" t="s">
        <v>621</v>
      </c>
      <c r="H456" t="s">
        <v>622</v>
      </c>
      <c r="I456" t="s">
        <v>465</v>
      </c>
      <c r="J456">
        <v>3</v>
      </c>
      <c r="K456">
        <v>2063000</v>
      </c>
      <c r="L456">
        <v>0</v>
      </c>
      <c r="M456">
        <v>1560000</v>
      </c>
      <c r="N456">
        <f>(data[[#This Row],[unit_price]]*data[[#This Row],[quantity]]) * (1-data[[#This Row],[discount]])</f>
        <v>6189000</v>
      </c>
      <c r="O456">
        <f>data[[#This Row],[sales]]-data[[#This Row],[cost]]</f>
        <v>4629000</v>
      </c>
      <c r="P456" t="str">
        <f>TEXT(data[[#This Row],[order_date]],"mmm")</f>
        <v>Feb</v>
      </c>
      <c r="Q456">
        <f>YEAR(data[[#This Row],[order_date]])</f>
        <v>2024</v>
      </c>
      <c r="R456">
        <f>MONTH(data[[#This Row],[order_date]])</f>
        <v>2</v>
      </c>
      <c r="S456">
        <f>DAY(data[[#This Row],[order_date]])</f>
        <v>11</v>
      </c>
      <c r="T456">
        <f>data[[#This Row],[profit]]/data[[#This Row],[sales]]</f>
        <v>0.74793989335918565</v>
      </c>
    </row>
    <row r="457" spans="1:20" x14ac:dyDescent="0.35">
      <c r="A457" t="s">
        <v>643</v>
      </c>
      <c r="B457" s="1">
        <v>45338</v>
      </c>
      <c r="C457" t="s">
        <v>14</v>
      </c>
      <c r="D457" t="s">
        <v>15</v>
      </c>
      <c r="E457" t="s">
        <v>102</v>
      </c>
      <c r="F457" t="s">
        <v>58</v>
      </c>
      <c r="G457" t="s">
        <v>621</v>
      </c>
      <c r="H457" t="s">
        <v>622</v>
      </c>
      <c r="I457" t="s">
        <v>465</v>
      </c>
      <c r="J457">
        <v>1</v>
      </c>
      <c r="K457">
        <v>2379000</v>
      </c>
      <c r="L457">
        <v>0.05</v>
      </c>
      <c r="M457">
        <v>1781000</v>
      </c>
      <c r="N457">
        <f>(data[[#This Row],[unit_price]]*data[[#This Row],[quantity]]) * (1-data[[#This Row],[discount]])</f>
        <v>2260050</v>
      </c>
      <c r="O457">
        <f>data[[#This Row],[sales]]-data[[#This Row],[cost]]</f>
        <v>479050</v>
      </c>
      <c r="P457" t="str">
        <f>TEXT(data[[#This Row],[order_date]],"mmm")</f>
        <v>Feb</v>
      </c>
      <c r="Q457">
        <f>YEAR(data[[#This Row],[order_date]])</f>
        <v>2024</v>
      </c>
      <c r="R457">
        <f>MONTH(data[[#This Row],[order_date]])</f>
        <v>2</v>
      </c>
      <c r="S457">
        <f>DAY(data[[#This Row],[order_date]])</f>
        <v>16</v>
      </c>
      <c r="T457">
        <f>data[[#This Row],[profit]]/data[[#This Row],[sales]]</f>
        <v>0.21196433707218867</v>
      </c>
    </row>
    <row r="458" spans="1:20" x14ac:dyDescent="0.35">
      <c r="A458" t="s">
        <v>644</v>
      </c>
      <c r="B458" s="1">
        <v>45405</v>
      </c>
      <c r="C458" t="s">
        <v>25</v>
      </c>
      <c r="D458" t="s">
        <v>26</v>
      </c>
      <c r="E458" t="s">
        <v>74</v>
      </c>
      <c r="F458" t="s">
        <v>23</v>
      </c>
      <c r="G458" t="s">
        <v>621</v>
      </c>
      <c r="H458" t="s">
        <v>622</v>
      </c>
      <c r="I458" t="s">
        <v>465</v>
      </c>
      <c r="J458">
        <v>1</v>
      </c>
      <c r="K458">
        <v>2390000</v>
      </c>
      <c r="L458">
        <v>0</v>
      </c>
      <c r="M458">
        <v>1783000</v>
      </c>
      <c r="N458">
        <f>(data[[#This Row],[unit_price]]*data[[#This Row],[quantity]]) * (1-data[[#This Row],[discount]])</f>
        <v>2390000</v>
      </c>
      <c r="O458">
        <f>data[[#This Row],[sales]]-data[[#This Row],[cost]]</f>
        <v>607000</v>
      </c>
      <c r="P458" t="str">
        <f>TEXT(data[[#This Row],[order_date]],"mmm")</f>
        <v>Apr</v>
      </c>
      <c r="Q458">
        <f>YEAR(data[[#This Row],[order_date]])</f>
        <v>2024</v>
      </c>
      <c r="R458">
        <f>MONTH(data[[#This Row],[order_date]])</f>
        <v>4</v>
      </c>
      <c r="S458">
        <f>DAY(data[[#This Row],[order_date]])</f>
        <v>23</v>
      </c>
      <c r="T458">
        <f>data[[#This Row],[profit]]/data[[#This Row],[sales]]</f>
        <v>0.25397489539748952</v>
      </c>
    </row>
    <row r="459" spans="1:20" x14ac:dyDescent="0.35">
      <c r="A459" t="s">
        <v>645</v>
      </c>
      <c r="B459" s="1">
        <v>45418</v>
      </c>
      <c r="C459" t="s">
        <v>41</v>
      </c>
      <c r="D459" t="s">
        <v>42</v>
      </c>
      <c r="E459" t="s">
        <v>71</v>
      </c>
      <c r="F459" t="s">
        <v>23</v>
      </c>
      <c r="G459" t="s">
        <v>621</v>
      </c>
      <c r="H459" t="s">
        <v>622</v>
      </c>
      <c r="I459" t="s">
        <v>465</v>
      </c>
      <c r="J459">
        <v>1</v>
      </c>
      <c r="K459">
        <v>2588000</v>
      </c>
      <c r="L459">
        <v>0</v>
      </c>
      <c r="M459">
        <v>1939000</v>
      </c>
      <c r="N459">
        <f>(data[[#This Row],[unit_price]]*data[[#This Row],[quantity]]) * (1-data[[#This Row],[discount]])</f>
        <v>2588000</v>
      </c>
      <c r="O459">
        <f>data[[#This Row],[sales]]-data[[#This Row],[cost]]</f>
        <v>649000</v>
      </c>
      <c r="P459" t="str">
        <f>TEXT(data[[#This Row],[order_date]],"mmm")</f>
        <v>May</v>
      </c>
      <c r="Q459">
        <f>YEAR(data[[#This Row],[order_date]])</f>
        <v>2024</v>
      </c>
      <c r="R459">
        <f>MONTH(data[[#This Row],[order_date]])</f>
        <v>5</v>
      </c>
      <c r="S459">
        <f>DAY(data[[#This Row],[order_date]])</f>
        <v>6</v>
      </c>
      <c r="T459">
        <f>data[[#This Row],[profit]]/data[[#This Row],[sales]]</f>
        <v>0.2507727975270479</v>
      </c>
    </row>
    <row r="460" spans="1:20" x14ac:dyDescent="0.35">
      <c r="A460" t="s">
        <v>646</v>
      </c>
      <c r="B460" s="1">
        <v>45423</v>
      </c>
      <c r="C460" t="s">
        <v>14</v>
      </c>
      <c r="D460" t="s">
        <v>15</v>
      </c>
      <c r="E460" t="s">
        <v>419</v>
      </c>
      <c r="F460" t="s">
        <v>17</v>
      </c>
      <c r="G460" t="s">
        <v>621</v>
      </c>
      <c r="H460" t="s">
        <v>622</v>
      </c>
      <c r="I460" t="s">
        <v>465</v>
      </c>
      <c r="J460">
        <v>1</v>
      </c>
      <c r="K460">
        <v>2650000</v>
      </c>
      <c r="L460">
        <v>0.1</v>
      </c>
      <c r="M460">
        <v>1987000</v>
      </c>
      <c r="N460">
        <f>(data[[#This Row],[unit_price]]*data[[#This Row],[quantity]]) * (1-data[[#This Row],[discount]])</f>
        <v>2385000</v>
      </c>
      <c r="O460">
        <f>data[[#This Row],[sales]]-data[[#This Row],[cost]]</f>
        <v>398000</v>
      </c>
      <c r="P460" t="str">
        <f>TEXT(data[[#This Row],[order_date]],"mmm")</f>
        <v>May</v>
      </c>
      <c r="Q460">
        <f>YEAR(data[[#This Row],[order_date]])</f>
        <v>2024</v>
      </c>
      <c r="R460">
        <f>MONTH(data[[#This Row],[order_date]])</f>
        <v>5</v>
      </c>
      <c r="S460">
        <f>DAY(data[[#This Row],[order_date]])</f>
        <v>11</v>
      </c>
      <c r="T460">
        <f>data[[#This Row],[profit]]/data[[#This Row],[sales]]</f>
        <v>0.16687631027253669</v>
      </c>
    </row>
    <row r="461" spans="1:20" x14ac:dyDescent="0.35">
      <c r="A461" t="s">
        <v>647</v>
      </c>
      <c r="B461" s="1">
        <v>45510</v>
      </c>
      <c r="C461" t="s">
        <v>14</v>
      </c>
      <c r="D461" t="s">
        <v>15</v>
      </c>
      <c r="E461" t="s">
        <v>247</v>
      </c>
      <c r="F461" t="s">
        <v>17</v>
      </c>
      <c r="G461" t="s">
        <v>621</v>
      </c>
      <c r="H461" t="s">
        <v>622</v>
      </c>
      <c r="I461" t="s">
        <v>465</v>
      </c>
      <c r="J461">
        <v>1</v>
      </c>
      <c r="K461">
        <v>1753000</v>
      </c>
      <c r="L461">
        <v>0</v>
      </c>
      <c r="M461">
        <v>1348000</v>
      </c>
      <c r="N461">
        <f>(data[[#This Row],[unit_price]]*data[[#This Row],[quantity]]) * (1-data[[#This Row],[discount]])</f>
        <v>1753000</v>
      </c>
      <c r="O461">
        <f>data[[#This Row],[sales]]-data[[#This Row],[cost]]</f>
        <v>405000</v>
      </c>
      <c r="P461" t="str">
        <f>TEXT(data[[#This Row],[order_date]],"mmm")</f>
        <v>Aug</v>
      </c>
      <c r="Q461">
        <f>YEAR(data[[#This Row],[order_date]])</f>
        <v>2024</v>
      </c>
      <c r="R461">
        <f>MONTH(data[[#This Row],[order_date]])</f>
        <v>8</v>
      </c>
      <c r="S461">
        <f>DAY(data[[#This Row],[order_date]])</f>
        <v>6</v>
      </c>
      <c r="T461">
        <f>data[[#This Row],[profit]]/data[[#This Row],[sales]]</f>
        <v>0.23103251568739305</v>
      </c>
    </row>
    <row r="462" spans="1:20" x14ac:dyDescent="0.35">
      <c r="A462" t="s">
        <v>648</v>
      </c>
      <c r="B462" s="1">
        <v>45516</v>
      </c>
      <c r="C462" t="s">
        <v>14</v>
      </c>
      <c r="D462" t="s">
        <v>15</v>
      </c>
      <c r="E462" t="s">
        <v>224</v>
      </c>
      <c r="F462" t="s">
        <v>23</v>
      </c>
      <c r="G462" t="s">
        <v>621</v>
      </c>
      <c r="H462" t="s">
        <v>622</v>
      </c>
      <c r="I462" t="s">
        <v>465</v>
      </c>
      <c r="J462">
        <v>2</v>
      </c>
      <c r="K462">
        <v>3111000</v>
      </c>
      <c r="L462">
        <v>0</v>
      </c>
      <c r="M462">
        <v>2316000</v>
      </c>
      <c r="N462">
        <f>(data[[#This Row],[unit_price]]*data[[#This Row],[quantity]]) * (1-data[[#This Row],[discount]])</f>
        <v>6222000</v>
      </c>
      <c r="O462">
        <f>data[[#This Row],[sales]]-data[[#This Row],[cost]]</f>
        <v>3906000</v>
      </c>
      <c r="P462" t="str">
        <f>TEXT(data[[#This Row],[order_date]],"mmm")</f>
        <v>Aug</v>
      </c>
      <c r="Q462">
        <f>YEAR(data[[#This Row],[order_date]])</f>
        <v>2024</v>
      </c>
      <c r="R462">
        <f>MONTH(data[[#This Row],[order_date]])</f>
        <v>8</v>
      </c>
      <c r="S462">
        <f>DAY(data[[#This Row],[order_date]])</f>
        <v>12</v>
      </c>
      <c r="T462">
        <f>data[[#This Row],[profit]]/data[[#This Row],[sales]]</f>
        <v>0.62777242044358728</v>
      </c>
    </row>
    <row r="463" spans="1:20" x14ac:dyDescent="0.35">
      <c r="A463" t="s">
        <v>649</v>
      </c>
      <c r="B463" s="1">
        <v>45540</v>
      </c>
      <c r="C463" t="s">
        <v>14</v>
      </c>
      <c r="D463" t="s">
        <v>15</v>
      </c>
      <c r="E463" t="s">
        <v>115</v>
      </c>
      <c r="F463" t="s">
        <v>23</v>
      </c>
      <c r="G463" t="s">
        <v>621</v>
      </c>
      <c r="H463" t="s">
        <v>622</v>
      </c>
      <c r="I463" t="s">
        <v>465</v>
      </c>
      <c r="J463">
        <v>3</v>
      </c>
      <c r="K463">
        <v>1591000</v>
      </c>
      <c r="L463">
        <v>0</v>
      </c>
      <c r="M463">
        <v>1180000</v>
      </c>
      <c r="N463">
        <f>(data[[#This Row],[unit_price]]*data[[#This Row],[quantity]]) * (1-data[[#This Row],[discount]])</f>
        <v>4773000</v>
      </c>
      <c r="O463">
        <f>data[[#This Row],[sales]]-data[[#This Row],[cost]]</f>
        <v>3593000</v>
      </c>
      <c r="P463" t="str">
        <f>TEXT(data[[#This Row],[order_date]],"mmm")</f>
        <v>Sep</v>
      </c>
      <c r="Q463">
        <f>YEAR(data[[#This Row],[order_date]])</f>
        <v>2024</v>
      </c>
      <c r="R463">
        <f>MONTH(data[[#This Row],[order_date]])</f>
        <v>9</v>
      </c>
      <c r="S463">
        <f>DAY(data[[#This Row],[order_date]])</f>
        <v>5</v>
      </c>
      <c r="T463">
        <f>data[[#This Row],[profit]]/data[[#This Row],[sales]]</f>
        <v>0.75277603184579933</v>
      </c>
    </row>
    <row r="464" spans="1:20" x14ac:dyDescent="0.35">
      <c r="A464" t="s">
        <v>650</v>
      </c>
      <c r="B464" s="1">
        <v>45541</v>
      </c>
      <c r="C464" t="s">
        <v>41</v>
      </c>
      <c r="D464" t="s">
        <v>42</v>
      </c>
      <c r="E464" t="s">
        <v>95</v>
      </c>
      <c r="F464" t="s">
        <v>23</v>
      </c>
      <c r="G464" t="s">
        <v>621</v>
      </c>
      <c r="H464" t="s">
        <v>622</v>
      </c>
      <c r="I464" t="s">
        <v>465</v>
      </c>
      <c r="J464">
        <v>1</v>
      </c>
      <c r="K464">
        <v>2921000</v>
      </c>
      <c r="L464">
        <v>0</v>
      </c>
      <c r="M464">
        <v>2155000</v>
      </c>
      <c r="N464">
        <f>(data[[#This Row],[unit_price]]*data[[#This Row],[quantity]]) * (1-data[[#This Row],[discount]])</f>
        <v>2921000</v>
      </c>
      <c r="O464">
        <f>data[[#This Row],[sales]]-data[[#This Row],[cost]]</f>
        <v>766000</v>
      </c>
      <c r="P464" t="str">
        <f>TEXT(data[[#This Row],[order_date]],"mmm")</f>
        <v>Sep</v>
      </c>
      <c r="Q464">
        <f>YEAR(data[[#This Row],[order_date]])</f>
        <v>2024</v>
      </c>
      <c r="R464">
        <f>MONTH(data[[#This Row],[order_date]])</f>
        <v>9</v>
      </c>
      <c r="S464">
        <f>DAY(data[[#This Row],[order_date]])</f>
        <v>6</v>
      </c>
      <c r="T464">
        <f>data[[#This Row],[profit]]/data[[#This Row],[sales]]</f>
        <v>0.2622389592605272</v>
      </c>
    </row>
    <row r="465" spans="1:20" x14ac:dyDescent="0.35">
      <c r="A465" t="s">
        <v>651</v>
      </c>
      <c r="B465" s="1">
        <v>45549</v>
      </c>
      <c r="C465" t="s">
        <v>14</v>
      </c>
      <c r="D465" t="s">
        <v>15</v>
      </c>
      <c r="E465" t="s">
        <v>352</v>
      </c>
      <c r="F465" t="s">
        <v>23</v>
      </c>
      <c r="G465" t="s">
        <v>621</v>
      </c>
      <c r="H465" t="s">
        <v>622</v>
      </c>
      <c r="I465" t="s">
        <v>465</v>
      </c>
      <c r="J465">
        <v>2</v>
      </c>
      <c r="K465">
        <v>2232000</v>
      </c>
      <c r="L465">
        <v>0</v>
      </c>
      <c r="M465">
        <v>1637000</v>
      </c>
      <c r="N465">
        <f>(data[[#This Row],[unit_price]]*data[[#This Row],[quantity]]) * (1-data[[#This Row],[discount]])</f>
        <v>4464000</v>
      </c>
      <c r="O465">
        <f>data[[#This Row],[sales]]-data[[#This Row],[cost]]</f>
        <v>2827000</v>
      </c>
      <c r="P465" t="str">
        <f>TEXT(data[[#This Row],[order_date]],"mmm")</f>
        <v>Sep</v>
      </c>
      <c r="Q465">
        <f>YEAR(data[[#This Row],[order_date]])</f>
        <v>2024</v>
      </c>
      <c r="R465">
        <f>MONTH(data[[#This Row],[order_date]])</f>
        <v>9</v>
      </c>
      <c r="S465">
        <f>DAY(data[[#This Row],[order_date]])</f>
        <v>14</v>
      </c>
      <c r="T465">
        <f>data[[#This Row],[profit]]/data[[#This Row],[sales]]</f>
        <v>0.63328853046594979</v>
      </c>
    </row>
    <row r="466" spans="1:20" x14ac:dyDescent="0.35">
      <c r="A466" t="s">
        <v>652</v>
      </c>
      <c r="B466" s="1">
        <v>45581</v>
      </c>
      <c r="C466" t="s">
        <v>14</v>
      </c>
      <c r="D466" t="s">
        <v>15</v>
      </c>
      <c r="E466" t="s">
        <v>177</v>
      </c>
      <c r="F466" t="s">
        <v>23</v>
      </c>
      <c r="G466" t="s">
        <v>621</v>
      </c>
      <c r="H466" t="s">
        <v>622</v>
      </c>
      <c r="I466" t="s">
        <v>465</v>
      </c>
      <c r="J466">
        <v>1</v>
      </c>
      <c r="K466">
        <v>2112000</v>
      </c>
      <c r="L466">
        <v>0</v>
      </c>
      <c r="M466">
        <v>1610000</v>
      </c>
      <c r="N466">
        <f>(data[[#This Row],[unit_price]]*data[[#This Row],[quantity]]) * (1-data[[#This Row],[discount]])</f>
        <v>2112000</v>
      </c>
      <c r="O466">
        <f>data[[#This Row],[sales]]-data[[#This Row],[cost]]</f>
        <v>502000</v>
      </c>
      <c r="P466" t="str">
        <f>TEXT(data[[#This Row],[order_date]],"mmm")</f>
        <v>Oct</v>
      </c>
      <c r="Q466">
        <f>YEAR(data[[#This Row],[order_date]])</f>
        <v>2024</v>
      </c>
      <c r="R466">
        <f>MONTH(data[[#This Row],[order_date]])</f>
        <v>10</v>
      </c>
      <c r="S466">
        <f>DAY(data[[#This Row],[order_date]])</f>
        <v>16</v>
      </c>
      <c r="T466">
        <f>data[[#This Row],[profit]]/data[[#This Row],[sales]]</f>
        <v>0.23768939393939395</v>
      </c>
    </row>
    <row r="467" spans="1:20" x14ac:dyDescent="0.35">
      <c r="A467" t="s">
        <v>653</v>
      </c>
      <c r="B467" s="1">
        <v>45596</v>
      </c>
      <c r="C467" t="s">
        <v>49</v>
      </c>
      <c r="D467" t="s">
        <v>50</v>
      </c>
      <c r="E467" t="s">
        <v>65</v>
      </c>
      <c r="F467" t="s">
        <v>17</v>
      </c>
      <c r="G467" t="s">
        <v>621</v>
      </c>
      <c r="H467" t="s">
        <v>622</v>
      </c>
      <c r="I467" t="s">
        <v>465</v>
      </c>
      <c r="J467">
        <v>1</v>
      </c>
      <c r="K467">
        <v>1721000</v>
      </c>
      <c r="L467">
        <v>0</v>
      </c>
      <c r="M467">
        <v>1282000</v>
      </c>
      <c r="N467">
        <f>(data[[#This Row],[unit_price]]*data[[#This Row],[quantity]]) * (1-data[[#This Row],[discount]])</f>
        <v>1721000</v>
      </c>
      <c r="O467">
        <f>data[[#This Row],[sales]]-data[[#This Row],[cost]]</f>
        <v>439000</v>
      </c>
      <c r="P467" t="str">
        <f>TEXT(data[[#This Row],[order_date]],"mmm")</f>
        <v>Oct</v>
      </c>
      <c r="Q467">
        <f>YEAR(data[[#This Row],[order_date]])</f>
        <v>2024</v>
      </c>
      <c r="R467">
        <f>MONTH(data[[#This Row],[order_date]])</f>
        <v>10</v>
      </c>
      <c r="S467">
        <f>DAY(data[[#This Row],[order_date]])</f>
        <v>31</v>
      </c>
      <c r="T467">
        <f>data[[#This Row],[profit]]/data[[#This Row],[sales]]</f>
        <v>0.25508425334108076</v>
      </c>
    </row>
    <row r="468" spans="1:20" x14ac:dyDescent="0.35">
      <c r="A468" t="s">
        <v>654</v>
      </c>
      <c r="B468" s="1">
        <v>45615</v>
      </c>
      <c r="C468" t="s">
        <v>25</v>
      </c>
      <c r="D468" t="s">
        <v>26</v>
      </c>
      <c r="E468" t="s">
        <v>76</v>
      </c>
      <c r="F468" t="s">
        <v>23</v>
      </c>
      <c r="G468" t="s">
        <v>621</v>
      </c>
      <c r="H468" t="s">
        <v>622</v>
      </c>
      <c r="I468" t="s">
        <v>465</v>
      </c>
      <c r="J468">
        <v>2</v>
      </c>
      <c r="K468">
        <v>1724000</v>
      </c>
      <c r="L468">
        <v>0</v>
      </c>
      <c r="M468">
        <v>1271000</v>
      </c>
      <c r="N468">
        <f>(data[[#This Row],[unit_price]]*data[[#This Row],[quantity]]) * (1-data[[#This Row],[discount]])</f>
        <v>3448000</v>
      </c>
      <c r="O468">
        <f>data[[#This Row],[sales]]-data[[#This Row],[cost]]</f>
        <v>2177000</v>
      </c>
      <c r="P468" t="str">
        <f>TEXT(data[[#This Row],[order_date]],"mmm")</f>
        <v>Nov</v>
      </c>
      <c r="Q468">
        <f>YEAR(data[[#This Row],[order_date]])</f>
        <v>2024</v>
      </c>
      <c r="R468">
        <f>MONTH(data[[#This Row],[order_date]])</f>
        <v>11</v>
      </c>
      <c r="S468">
        <f>DAY(data[[#This Row],[order_date]])</f>
        <v>19</v>
      </c>
      <c r="T468">
        <f>data[[#This Row],[profit]]/data[[#This Row],[sales]]</f>
        <v>0.63138051044083532</v>
      </c>
    </row>
    <row r="469" spans="1:20" x14ac:dyDescent="0.35">
      <c r="A469" t="s">
        <v>655</v>
      </c>
      <c r="B469" s="1">
        <v>45624</v>
      </c>
      <c r="C469" t="s">
        <v>41</v>
      </c>
      <c r="D469" t="s">
        <v>42</v>
      </c>
      <c r="E469" t="s">
        <v>270</v>
      </c>
      <c r="F469" t="s">
        <v>23</v>
      </c>
      <c r="G469" t="s">
        <v>621</v>
      </c>
      <c r="H469" t="s">
        <v>622</v>
      </c>
      <c r="I469" t="s">
        <v>465</v>
      </c>
      <c r="J469">
        <v>3</v>
      </c>
      <c r="K469">
        <v>2382484.375</v>
      </c>
      <c r="L469">
        <v>0</v>
      </c>
      <c r="M469">
        <v>1688000</v>
      </c>
      <c r="N469">
        <f>(data[[#This Row],[unit_price]]*data[[#This Row],[quantity]]) * (1-data[[#This Row],[discount]])</f>
        <v>7147453.125</v>
      </c>
      <c r="O469">
        <f>data[[#This Row],[sales]]-data[[#This Row],[cost]]</f>
        <v>5459453.125</v>
      </c>
      <c r="P469" t="str">
        <f>TEXT(data[[#This Row],[order_date]],"mmm")</f>
        <v>Nov</v>
      </c>
      <c r="Q469">
        <f>YEAR(data[[#This Row],[order_date]])</f>
        <v>2024</v>
      </c>
      <c r="R469">
        <f>MONTH(data[[#This Row],[order_date]])</f>
        <v>11</v>
      </c>
      <c r="S469">
        <f>DAY(data[[#This Row],[order_date]])</f>
        <v>28</v>
      </c>
      <c r="T469">
        <f>data[[#This Row],[profit]]/data[[#This Row],[sales]]</f>
        <v>0.76383195937364057</v>
      </c>
    </row>
    <row r="470" spans="1:20" x14ac:dyDescent="0.35">
      <c r="A470" t="s">
        <v>656</v>
      </c>
      <c r="B470" s="1">
        <v>45656</v>
      </c>
      <c r="C470" t="s">
        <v>49</v>
      </c>
      <c r="D470" t="s">
        <v>50</v>
      </c>
      <c r="E470" t="s">
        <v>366</v>
      </c>
      <c r="F470" t="s">
        <v>58</v>
      </c>
      <c r="G470" t="s">
        <v>621</v>
      </c>
      <c r="H470" t="s">
        <v>622</v>
      </c>
      <c r="I470" t="s">
        <v>465</v>
      </c>
      <c r="J470">
        <v>1</v>
      </c>
      <c r="K470">
        <v>1659000</v>
      </c>
      <c r="L470">
        <v>0</v>
      </c>
      <c r="M470">
        <v>1268000</v>
      </c>
      <c r="N470">
        <f>(data[[#This Row],[unit_price]]*data[[#This Row],[quantity]]) * (1-data[[#This Row],[discount]])</f>
        <v>1659000</v>
      </c>
      <c r="O470">
        <f>data[[#This Row],[sales]]-data[[#This Row],[cost]]</f>
        <v>391000</v>
      </c>
      <c r="P470" t="str">
        <f>TEXT(data[[#This Row],[order_date]],"mmm")</f>
        <v>Dec</v>
      </c>
      <c r="Q470">
        <f>YEAR(data[[#This Row],[order_date]])</f>
        <v>2024</v>
      </c>
      <c r="R470">
        <f>MONTH(data[[#This Row],[order_date]])</f>
        <v>12</v>
      </c>
      <c r="S470">
        <f>DAY(data[[#This Row],[order_date]])</f>
        <v>30</v>
      </c>
      <c r="T470">
        <f>data[[#This Row],[profit]]/data[[#This Row],[sales]]</f>
        <v>0.23568414707655214</v>
      </c>
    </row>
    <row r="471" spans="1:20" x14ac:dyDescent="0.35">
      <c r="A471" t="s">
        <v>657</v>
      </c>
      <c r="B471" s="1">
        <v>45661</v>
      </c>
      <c r="C471" t="s">
        <v>25</v>
      </c>
      <c r="D471" t="s">
        <v>26</v>
      </c>
      <c r="E471" t="s">
        <v>311</v>
      </c>
      <c r="F471" t="s">
        <v>17</v>
      </c>
      <c r="G471" t="s">
        <v>621</v>
      </c>
      <c r="H471" t="s">
        <v>622</v>
      </c>
      <c r="I471" t="s">
        <v>465</v>
      </c>
      <c r="J471">
        <v>1</v>
      </c>
      <c r="K471">
        <v>2474000</v>
      </c>
      <c r="L471">
        <v>0</v>
      </c>
      <c r="M471">
        <v>1835000</v>
      </c>
      <c r="N471">
        <f>(data[[#This Row],[unit_price]]*data[[#This Row],[quantity]]) * (1-data[[#This Row],[discount]])</f>
        <v>2474000</v>
      </c>
      <c r="O471">
        <f>data[[#This Row],[sales]]-data[[#This Row],[cost]]</f>
        <v>639000</v>
      </c>
      <c r="P471" t="str">
        <f>TEXT(data[[#This Row],[order_date]],"mmm")</f>
        <v>Jan</v>
      </c>
      <c r="Q471">
        <f>YEAR(data[[#This Row],[order_date]])</f>
        <v>2025</v>
      </c>
      <c r="R471">
        <f>MONTH(data[[#This Row],[order_date]])</f>
        <v>1</v>
      </c>
      <c r="S471">
        <f>DAY(data[[#This Row],[order_date]])</f>
        <v>4</v>
      </c>
      <c r="T471">
        <f>data[[#This Row],[profit]]/data[[#This Row],[sales]]</f>
        <v>0.25828617623282135</v>
      </c>
    </row>
    <row r="472" spans="1:20" x14ac:dyDescent="0.35">
      <c r="A472" t="s">
        <v>658</v>
      </c>
      <c r="B472" s="1">
        <v>45711</v>
      </c>
      <c r="C472" t="s">
        <v>41</v>
      </c>
      <c r="D472" t="s">
        <v>42</v>
      </c>
      <c r="E472" t="s">
        <v>359</v>
      </c>
      <c r="F472" t="s">
        <v>23</v>
      </c>
      <c r="G472" t="s">
        <v>621</v>
      </c>
      <c r="H472" t="s">
        <v>622</v>
      </c>
      <c r="I472" t="s">
        <v>465</v>
      </c>
      <c r="J472">
        <v>1</v>
      </c>
      <c r="K472">
        <v>2194000</v>
      </c>
      <c r="L472">
        <v>0</v>
      </c>
      <c r="M472">
        <v>1617000</v>
      </c>
      <c r="N472">
        <f>(data[[#This Row],[unit_price]]*data[[#This Row],[quantity]]) * (1-data[[#This Row],[discount]])</f>
        <v>2194000</v>
      </c>
      <c r="O472">
        <f>data[[#This Row],[sales]]-data[[#This Row],[cost]]</f>
        <v>577000</v>
      </c>
      <c r="P472" t="str">
        <f>TEXT(data[[#This Row],[order_date]],"mmm")</f>
        <v>Feb</v>
      </c>
      <c r="Q472">
        <f>YEAR(data[[#This Row],[order_date]])</f>
        <v>2025</v>
      </c>
      <c r="R472">
        <f>MONTH(data[[#This Row],[order_date]])</f>
        <v>2</v>
      </c>
      <c r="S472">
        <f>DAY(data[[#This Row],[order_date]])</f>
        <v>23</v>
      </c>
      <c r="T472">
        <f>data[[#This Row],[profit]]/data[[#This Row],[sales]]</f>
        <v>0.26298997265268914</v>
      </c>
    </row>
    <row r="473" spans="1:20" x14ac:dyDescent="0.35">
      <c r="A473" t="s">
        <v>659</v>
      </c>
      <c r="B473" s="1">
        <v>45739</v>
      </c>
      <c r="C473" t="s">
        <v>49</v>
      </c>
      <c r="D473" t="s">
        <v>50</v>
      </c>
      <c r="E473" t="s">
        <v>201</v>
      </c>
      <c r="F473" t="s">
        <v>58</v>
      </c>
      <c r="G473" t="s">
        <v>621</v>
      </c>
      <c r="H473" t="s">
        <v>622</v>
      </c>
      <c r="I473" t="s">
        <v>465</v>
      </c>
      <c r="J473">
        <v>1</v>
      </c>
      <c r="K473">
        <v>2898000</v>
      </c>
      <c r="L473">
        <v>0.1</v>
      </c>
      <c r="M473">
        <v>2157000</v>
      </c>
      <c r="N473">
        <f>(data[[#This Row],[unit_price]]*data[[#This Row],[quantity]]) * (1-data[[#This Row],[discount]])</f>
        <v>2608200</v>
      </c>
      <c r="O473">
        <f>data[[#This Row],[sales]]-data[[#This Row],[cost]]</f>
        <v>451200</v>
      </c>
      <c r="P473" t="str">
        <f>TEXT(data[[#This Row],[order_date]],"mmm")</f>
        <v>Mar</v>
      </c>
      <c r="Q473">
        <f>YEAR(data[[#This Row],[order_date]])</f>
        <v>2025</v>
      </c>
      <c r="R473">
        <f>MONTH(data[[#This Row],[order_date]])</f>
        <v>3</v>
      </c>
      <c r="S473">
        <f>DAY(data[[#This Row],[order_date]])</f>
        <v>23</v>
      </c>
      <c r="T473">
        <f>data[[#This Row],[profit]]/data[[#This Row],[sales]]</f>
        <v>0.17299286864504257</v>
      </c>
    </row>
    <row r="474" spans="1:20" x14ac:dyDescent="0.35">
      <c r="A474" t="s">
        <v>660</v>
      </c>
      <c r="B474" s="1">
        <v>45740</v>
      </c>
      <c r="C474" t="s">
        <v>14</v>
      </c>
      <c r="D474" t="s">
        <v>15</v>
      </c>
      <c r="E474" t="s">
        <v>340</v>
      </c>
      <c r="F474" t="s">
        <v>23</v>
      </c>
      <c r="G474" t="s">
        <v>621</v>
      </c>
      <c r="H474" t="s">
        <v>622</v>
      </c>
      <c r="I474" t="s">
        <v>465</v>
      </c>
      <c r="J474">
        <v>3</v>
      </c>
      <c r="K474">
        <v>2112000</v>
      </c>
      <c r="L474">
        <v>0.05</v>
      </c>
      <c r="M474">
        <v>1571000</v>
      </c>
      <c r="N474">
        <f>(data[[#This Row],[unit_price]]*data[[#This Row],[quantity]]) * (1-data[[#This Row],[discount]])</f>
        <v>6019200</v>
      </c>
      <c r="O474">
        <f>data[[#This Row],[sales]]-data[[#This Row],[cost]]</f>
        <v>4448200</v>
      </c>
      <c r="P474" t="str">
        <f>TEXT(data[[#This Row],[order_date]],"mmm")</f>
        <v>Mar</v>
      </c>
      <c r="Q474">
        <f>YEAR(data[[#This Row],[order_date]])</f>
        <v>2025</v>
      </c>
      <c r="R474">
        <f>MONTH(data[[#This Row],[order_date]])</f>
        <v>3</v>
      </c>
      <c r="S474">
        <f>DAY(data[[#This Row],[order_date]])</f>
        <v>24</v>
      </c>
      <c r="T474">
        <f>data[[#This Row],[profit]]/data[[#This Row],[sales]]</f>
        <v>0.73900186071238705</v>
      </c>
    </row>
    <row r="475" spans="1:20" x14ac:dyDescent="0.35">
      <c r="A475" t="s">
        <v>661</v>
      </c>
      <c r="B475" s="1">
        <v>45775</v>
      </c>
      <c r="C475" t="s">
        <v>14</v>
      </c>
      <c r="D475" t="s">
        <v>15</v>
      </c>
      <c r="E475" t="s">
        <v>172</v>
      </c>
      <c r="F475" t="s">
        <v>23</v>
      </c>
      <c r="G475" t="s">
        <v>621</v>
      </c>
      <c r="H475" t="s">
        <v>622</v>
      </c>
      <c r="I475" t="s">
        <v>465</v>
      </c>
      <c r="J475">
        <v>1</v>
      </c>
      <c r="K475">
        <v>2163000</v>
      </c>
      <c r="L475">
        <v>0</v>
      </c>
      <c r="M475">
        <v>1595000</v>
      </c>
      <c r="N475">
        <f>(data[[#This Row],[unit_price]]*data[[#This Row],[quantity]]) * (1-data[[#This Row],[discount]])</f>
        <v>2163000</v>
      </c>
      <c r="O475">
        <f>data[[#This Row],[sales]]-data[[#This Row],[cost]]</f>
        <v>568000</v>
      </c>
      <c r="P475" t="str">
        <f>TEXT(data[[#This Row],[order_date]],"mmm")</f>
        <v>Apr</v>
      </c>
      <c r="Q475">
        <f>YEAR(data[[#This Row],[order_date]])</f>
        <v>2025</v>
      </c>
      <c r="R475">
        <f>MONTH(data[[#This Row],[order_date]])</f>
        <v>4</v>
      </c>
      <c r="S475">
        <f>DAY(data[[#This Row],[order_date]])</f>
        <v>28</v>
      </c>
      <c r="T475">
        <f>data[[#This Row],[profit]]/data[[#This Row],[sales]]</f>
        <v>0.26259824318076747</v>
      </c>
    </row>
    <row r="476" spans="1:20" x14ac:dyDescent="0.35">
      <c r="A476" t="s">
        <v>662</v>
      </c>
      <c r="B476" s="1">
        <v>45790</v>
      </c>
      <c r="C476" t="s">
        <v>14</v>
      </c>
      <c r="D476" t="s">
        <v>15</v>
      </c>
      <c r="E476" t="s">
        <v>195</v>
      </c>
      <c r="F476" t="s">
        <v>23</v>
      </c>
      <c r="G476" t="s">
        <v>621</v>
      </c>
      <c r="H476" t="s">
        <v>622</v>
      </c>
      <c r="I476" t="s">
        <v>465</v>
      </c>
      <c r="J476">
        <v>1</v>
      </c>
      <c r="K476">
        <v>1794000</v>
      </c>
      <c r="L476">
        <v>0</v>
      </c>
      <c r="M476">
        <v>1379000</v>
      </c>
      <c r="N476">
        <f>(data[[#This Row],[unit_price]]*data[[#This Row],[quantity]]) * (1-data[[#This Row],[discount]])</f>
        <v>1794000</v>
      </c>
      <c r="O476">
        <f>data[[#This Row],[sales]]-data[[#This Row],[cost]]</f>
        <v>415000</v>
      </c>
      <c r="P476" t="str">
        <f>TEXT(data[[#This Row],[order_date]],"mmm")</f>
        <v>May</v>
      </c>
      <c r="Q476">
        <f>YEAR(data[[#This Row],[order_date]])</f>
        <v>2025</v>
      </c>
      <c r="R476">
        <f>MONTH(data[[#This Row],[order_date]])</f>
        <v>5</v>
      </c>
      <c r="S476">
        <f>DAY(data[[#This Row],[order_date]])</f>
        <v>13</v>
      </c>
      <c r="T476">
        <f>data[[#This Row],[profit]]/data[[#This Row],[sales]]</f>
        <v>0.23132664437012262</v>
      </c>
    </row>
    <row r="477" spans="1:20" x14ac:dyDescent="0.35">
      <c r="A477" t="s">
        <v>663</v>
      </c>
      <c r="B477" s="1">
        <v>45829</v>
      </c>
      <c r="C477" t="s">
        <v>41</v>
      </c>
      <c r="D477" t="s">
        <v>42</v>
      </c>
      <c r="E477" t="s">
        <v>69</v>
      </c>
      <c r="F477" t="s">
        <v>23</v>
      </c>
      <c r="G477" t="s">
        <v>621</v>
      </c>
      <c r="H477" t="s">
        <v>622</v>
      </c>
      <c r="I477" t="s">
        <v>465</v>
      </c>
      <c r="J477">
        <v>1</v>
      </c>
      <c r="K477">
        <v>2382484.375</v>
      </c>
      <c r="L477">
        <v>0.05</v>
      </c>
      <c r="M477">
        <v>1688000</v>
      </c>
      <c r="N477">
        <f>(data[[#This Row],[unit_price]]*data[[#This Row],[quantity]]) * (1-data[[#This Row],[discount]])</f>
        <v>2263360.15625</v>
      </c>
      <c r="O477">
        <f>data[[#This Row],[sales]]-data[[#This Row],[cost]]</f>
        <v>575360.15625</v>
      </c>
      <c r="P477" t="str">
        <f>TEXT(data[[#This Row],[order_date]],"mmm")</f>
        <v>Jun</v>
      </c>
      <c r="Q477">
        <f>YEAR(data[[#This Row],[order_date]])</f>
        <v>2025</v>
      </c>
      <c r="R477">
        <f>MONTH(data[[#This Row],[order_date]])</f>
        <v>6</v>
      </c>
      <c r="S477">
        <f>DAY(data[[#This Row],[order_date]])</f>
        <v>21</v>
      </c>
      <c r="T477">
        <f>data[[#This Row],[profit]]/data[[#This Row],[sales]]</f>
        <v>0.25420618749570689</v>
      </c>
    </row>
    <row r="478" spans="1:20" x14ac:dyDescent="0.35">
      <c r="A478" t="s">
        <v>664</v>
      </c>
      <c r="B478" s="1">
        <v>45831</v>
      </c>
      <c r="C478" t="s">
        <v>41</v>
      </c>
      <c r="D478" t="s">
        <v>42</v>
      </c>
      <c r="E478" t="s">
        <v>394</v>
      </c>
      <c r="F478" t="s">
        <v>23</v>
      </c>
      <c r="G478" t="s">
        <v>621</v>
      </c>
      <c r="H478" t="s">
        <v>622</v>
      </c>
      <c r="I478" t="s">
        <v>465</v>
      </c>
      <c r="J478">
        <v>1</v>
      </c>
      <c r="K478">
        <v>2082000</v>
      </c>
      <c r="L478">
        <v>0</v>
      </c>
      <c r="M478">
        <v>1570000</v>
      </c>
      <c r="N478">
        <f>(data[[#This Row],[unit_price]]*data[[#This Row],[quantity]]) * (1-data[[#This Row],[discount]])</f>
        <v>2082000</v>
      </c>
      <c r="O478">
        <f>data[[#This Row],[sales]]-data[[#This Row],[cost]]</f>
        <v>512000</v>
      </c>
      <c r="P478" t="str">
        <f>TEXT(data[[#This Row],[order_date]],"mmm")</f>
        <v>Jun</v>
      </c>
      <c r="Q478">
        <f>YEAR(data[[#This Row],[order_date]])</f>
        <v>2025</v>
      </c>
      <c r="R478">
        <f>MONTH(data[[#This Row],[order_date]])</f>
        <v>6</v>
      </c>
      <c r="S478">
        <f>DAY(data[[#This Row],[order_date]])</f>
        <v>23</v>
      </c>
      <c r="T478">
        <f>data[[#This Row],[profit]]/data[[#This Row],[sales]]</f>
        <v>0.24591738712776176</v>
      </c>
    </row>
    <row r="479" spans="1:20" x14ac:dyDescent="0.35">
      <c r="A479" t="s">
        <v>665</v>
      </c>
      <c r="B479" s="1">
        <v>45855</v>
      </c>
      <c r="C479" t="s">
        <v>14</v>
      </c>
      <c r="D479" t="s">
        <v>15</v>
      </c>
      <c r="E479" t="s">
        <v>291</v>
      </c>
      <c r="F479" t="s">
        <v>17</v>
      </c>
      <c r="G479" t="s">
        <v>621</v>
      </c>
      <c r="H479" t="s">
        <v>622</v>
      </c>
      <c r="I479" t="s">
        <v>465</v>
      </c>
      <c r="J479">
        <v>1</v>
      </c>
      <c r="K479">
        <v>2071000</v>
      </c>
      <c r="L479">
        <v>0.05</v>
      </c>
      <c r="M479">
        <v>1575000</v>
      </c>
      <c r="N479">
        <f>(data[[#This Row],[unit_price]]*data[[#This Row],[quantity]]) * (1-data[[#This Row],[discount]])</f>
        <v>1967450</v>
      </c>
      <c r="O479">
        <f>data[[#This Row],[sales]]-data[[#This Row],[cost]]</f>
        <v>392450</v>
      </c>
      <c r="P479" t="str">
        <f>TEXT(data[[#This Row],[order_date]],"mmm")</f>
        <v>Jul</v>
      </c>
      <c r="Q479">
        <f>YEAR(data[[#This Row],[order_date]])</f>
        <v>2025</v>
      </c>
      <c r="R479">
        <f>MONTH(data[[#This Row],[order_date]])</f>
        <v>7</v>
      </c>
      <c r="S479">
        <f>DAY(data[[#This Row],[order_date]])</f>
        <v>17</v>
      </c>
      <c r="T479">
        <f>data[[#This Row],[profit]]/data[[#This Row],[sales]]</f>
        <v>0.19947139698594626</v>
      </c>
    </row>
    <row r="480" spans="1:20" x14ac:dyDescent="0.35">
      <c r="A480" t="s">
        <v>666</v>
      </c>
      <c r="B480" s="1">
        <v>45866</v>
      </c>
      <c r="C480" t="s">
        <v>41</v>
      </c>
      <c r="D480" t="s">
        <v>42</v>
      </c>
      <c r="E480" t="s">
        <v>667</v>
      </c>
      <c r="F480" t="s">
        <v>23</v>
      </c>
      <c r="G480" t="s">
        <v>621</v>
      </c>
      <c r="H480" t="s">
        <v>622</v>
      </c>
      <c r="I480" t="s">
        <v>465</v>
      </c>
      <c r="J480">
        <v>2</v>
      </c>
      <c r="K480">
        <v>2087000</v>
      </c>
      <c r="L480">
        <v>0</v>
      </c>
      <c r="M480">
        <v>1605000</v>
      </c>
      <c r="N480">
        <f>(data[[#This Row],[unit_price]]*data[[#This Row],[quantity]]) * (1-data[[#This Row],[discount]])</f>
        <v>4174000</v>
      </c>
      <c r="O480">
        <f>data[[#This Row],[sales]]-data[[#This Row],[cost]]</f>
        <v>2569000</v>
      </c>
      <c r="P480" t="str">
        <f>TEXT(data[[#This Row],[order_date]],"mmm")</f>
        <v>Jul</v>
      </c>
      <c r="Q480">
        <f>YEAR(data[[#This Row],[order_date]])</f>
        <v>2025</v>
      </c>
      <c r="R480">
        <f>MONTH(data[[#This Row],[order_date]])</f>
        <v>7</v>
      </c>
      <c r="S480">
        <f>DAY(data[[#This Row],[order_date]])</f>
        <v>28</v>
      </c>
      <c r="T480">
        <f>data[[#This Row],[profit]]/data[[#This Row],[sales]]</f>
        <v>0.6154767609008146</v>
      </c>
    </row>
    <row r="481" spans="1:20" x14ac:dyDescent="0.35">
      <c r="A481" t="s">
        <v>668</v>
      </c>
      <c r="B481" s="1">
        <v>45874</v>
      </c>
      <c r="C481" t="s">
        <v>14</v>
      </c>
      <c r="D481" t="s">
        <v>15</v>
      </c>
      <c r="E481" t="s">
        <v>30</v>
      </c>
      <c r="F481" t="s">
        <v>23</v>
      </c>
      <c r="G481" t="s">
        <v>621</v>
      </c>
      <c r="H481" t="s">
        <v>622</v>
      </c>
      <c r="I481" t="s">
        <v>465</v>
      </c>
      <c r="J481">
        <v>2</v>
      </c>
      <c r="K481">
        <v>2606000</v>
      </c>
      <c r="L481">
        <v>0</v>
      </c>
      <c r="M481">
        <v>1969000</v>
      </c>
      <c r="N481">
        <f>(data[[#This Row],[unit_price]]*data[[#This Row],[quantity]]) * (1-data[[#This Row],[discount]])</f>
        <v>5212000</v>
      </c>
      <c r="O481">
        <f>data[[#This Row],[sales]]-data[[#This Row],[cost]]</f>
        <v>3243000</v>
      </c>
      <c r="P481" t="str">
        <f>TEXT(data[[#This Row],[order_date]],"mmm")</f>
        <v>Aug</v>
      </c>
      <c r="Q481">
        <f>YEAR(data[[#This Row],[order_date]])</f>
        <v>2025</v>
      </c>
      <c r="R481">
        <f>MONTH(data[[#This Row],[order_date]])</f>
        <v>8</v>
      </c>
      <c r="S481">
        <f>DAY(data[[#This Row],[order_date]])</f>
        <v>5</v>
      </c>
      <c r="T481">
        <f>data[[#This Row],[profit]]/data[[#This Row],[sales]]</f>
        <v>0.62221795855717577</v>
      </c>
    </row>
    <row r="482" spans="1:20" x14ac:dyDescent="0.35">
      <c r="A482" t="s">
        <v>669</v>
      </c>
      <c r="B482" s="1">
        <v>45892</v>
      </c>
      <c r="C482" t="s">
        <v>14</v>
      </c>
      <c r="D482" t="s">
        <v>15</v>
      </c>
      <c r="E482" t="s">
        <v>402</v>
      </c>
      <c r="F482" t="s">
        <v>23</v>
      </c>
      <c r="G482" t="s">
        <v>621</v>
      </c>
      <c r="H482" t="s">
        <v>622</v>
      </c>
      <c r="I482" t="s">
        <v>465</v>
      </c>
      <c r="J482">
        <v>1</v>
      </c>
      <c r="K482">
        <v>2924000</v>
      </c>
      <c r="L482">
        <v>0</v>
      </c>
      <c r="M482">
        <v>2207000</v>
      </c>
      <c r="N482">
        <f>(data[[#This Row],[unit_price]]*data[[#This Row],[quantity]]) * (1-data[[#This Row],[discount]])</f>
        <v>2924000</v>
      </c>
      <c r="O482">
        <f>data[[#This Row],[sales]]-data[[#This Row],[cost]]</f>
        <v>717000</v>
      </c>
      <c r="P482" t="str">
        <f>TEXT(data[[#This Row],[order_date]],"mmm")</f>
        <v>Aug</v>
      </c>
      <c r="Q482">
        <f>YEAR(data[[#This Row],[order_date]])</f>
        <v>2025</v>
      </c>
      <c r="R482">
        <f>MONTH(data[[#This Row],[order_date]])</f>
        <v>8</v>
      </c>
      <c r="S482">
        <f>DAY(data[[#This Row],[order_date]])</f>
        <v>23</v>
      </c>
      <c r="T482">
        <f>data[[#This Row],[profit]]/data[[#This Row],[sales]]</f>
        <v>0.24521203830369356</v>
      </c>
    </row>
    <row r="483" spans="1:20" x14ac:dyDescent="0.35">
      <c r="A483" t="s">
        <v>670</v>
      </c>
      <c r="B483" s="1">
        <v>45917</v>
      </c>
      <c r="C483" t="s">
        <v>36</v>
      </c>
      <c r="D483" t="s">
        <v>37</v>
      </c>
      <c r="E483" t="s">
        <v>76</v>
      </c>
      <c r="F483" t="s">
        <v>23</v>
      </c>
      <c r="G483" t="s">
        <v>621</v>
      </c>
      <c r="H483" t="s">
        <v>622</v>
      </c>
      <c r="I483" t="s">
        <v>465</v>
      </c>
      <c r="J483">
        <v>1</v>
      </c>
      <c r="K483">
        <v>2421000</v>
      </c>
      <c r="L483">
        <v>0</v>
      </c>
      <c r="M483">
        <v>1786000</v>
      </c>
      <c r="N483">
        <f>(data[[#This Row],[unit_price]]*data[[#This Row],[quantity]]) * (1-data[[#This Row],[discount]])</f>
        <v>2421000</v>
      </c>
      <c r="O483">
        <f>data[[#This Row],[sales]]-data[[#This Row],[cost]]</f>
        <v>635000</v>
      </c>
      <c r="P483" t="str">
        <f>TEXT(data[[#This Row],[order_date]],"mmm")</f>
        <v>Sep</v>
      </c>
      <c r="Q483">
        <f>YEAR(data[[#This Row],[order_date]])</f>
        <v>2025</v>
      </c>
      <c r="R483">
        <f>MONTH(data[[#This Row],[order_date]])</f>
        <v>9</v>
      </c>
      <c r="S483">
        <f>DAY(data[[#This Row],[order_date]])</f>
        <v>17</v>
      </c>
      <c r="T483">
        <f>data[[#This Row],[profit]]/data[[#This Row],[sales]]</f>
        <v>0.26228831061544816</v>
      </c>
    </row>
    <row r="484" spans="1:20" x14ac:dyDescent="0.35">
      <c r="A484" t="s">
        <v>671</v>
      </c>
      <c r="B484" s="1">
        <v>45920</v>
      </c>
      <c r="C484" t="s">
        <v>36</v>
      </c>
      <c r="D484" t="s">
        <v>37</v>
      </c>
      <c r="E484" t="s">
        <v>352</v>
      </c>
      <c r="F484" t="s">
        <v>23</v>
      </c>
      <c r="G484" t="s">
        <v>621</v>
      </c>
      <c r="H484" t="s">
        <v>622</v>
      </c>
      <c r="I484" t="s">
        <v>465</v>
      </c>
      <c r="J484">
        <v>1</v>
      </c>
      <c r="K484">
        <v>2493000</v>
      </c>
      <c r="L484">
        <v>0</v>
      </c>
      <c r="M484">
        <v>1858000</v>
      </c>
      <c r="N484">
        <f>(data[[#This Row],[unit_price]]*data[[#This Row],[quantity]]) * (1-data[[#This Row],[discount]])</f>
        <v>2493000</v>
      </c>
      <c r="O484">
        <f>data[[#This Row],[sales]]-data[[#This Row],[cost]]</f>
        <v>635000</v>
      </c>
      <c r="P484" t="str">
        <f>TEXT(data[[#This Row],[order_date]],"mmm")</f>
        <v>Sep</v>
      </c>
      <c r="Q484">
        <f>YEAR(data[[#This Row],[order_date]])</f>
        <v>2025</v>
      </c>
      <c r="R484">
        <f>MONTH(data[[#This Row],[order_date]])</f>
        <v>9</v>
      </c>
      <c r="S484">
        <f>DAY(data[[#This Row],[order_date]])</f>
        <v>20</v>
      </c>
      <c r="T484">
        <f>data[[#This Row],[profit]]/data[[#This Row],[sales]]</f>
        <v>0.2547131969514641</v>
      </c>
    </row>
    <row r="485" spans="1:20" x14ac:dyDescent="0.35">
      <c r="A485" t="s">
        <v>672</v>
      </c>
      <c r="B485" s="1">
        <v>45942</v>
      </c>
      <c r="C485" t="s">
        <v>49</v>
      </c>
      <c r="D485" t="s">
        <v>50</v>
      </c>
      <c r="E485" t="s">
        <v>419</v>
      </c>
      <c r="F485" t="s">
        <v>17</v>
      </c>
      <c r="G485" t="s">
        <v>621</v>
      </c>
      <c r="H485" t="s">
        <v>622</v>
      </c>
      <c r="I485" t="s">
        <v>465</v>
      </c>
      <c r="J485">
        <v>2</v>
      </c>
      <c r="K485">
        <v>3132000</v>
      </c>
      <c r="L485">
        <v>0</v>
      </c>
      <c r="M485">
        <v>2356000</v>
      </c>
      <c r="N485">
        <f>(data[[#This Row],[unit_price]]*data[[#This Row],[quantity]]) * (1-data[[#This Row],[discount]])</f>
        <v>6264000</v>
      </c>
      <c r="O485">
        <f>data[[#This Row],[sales]]-data[[#This Row],[cost]]</f>
        <v>3908000</v>
      </c>
      <c r="P485" t="str">
        <f>TEXT(data[[#This Row],[order_date]],"mmm")</f>
        <v>Oct</v>
      </c>
      <c r="Q485">
        <f>YEAR(data[[#This Row],[order_date]])</f>
        <v>2025</v>
      </c>
      <c r="R485">
        <f>MONTH(data[[#This Row],[order_date]])</f>
        <v>10</v>
      </c>
      <c r="S485">
        <f>DAY(data[[#This Row],[order_date]])</f>
        <v>12</v>
      </c>
      <c r="T485">
        <f>data[[#This Row],[profit]]/data[[#This Row],[sales]]</f>
        <v>0.62388250319284799</v>
      </c>
    </row>
    <row r="486" spans="1:20" x14ac:dyDescent="0.35">
      <c r="A486" t="s">
        <v>673</v>
      </c>
      <c r="B486" s="1">
        <v>45954</v>
      </c>
      <c r="C486" t="s">
        <v>41</v>
      </c>
      <c r="D486" t="s">
        <v>42</v>
      </c>
      <c r="E486" t="s">
        <v>210</v>
      </c>
      <c r="F486" t="s">
        <v>23</v>
      </c>
      <c r="G486" t="s">
        <v>621</v>
      </c>
      <c r="H486" t="s">
        <v>622</v>
      </c>
      <c r="I486" t="s">
        <v>465</v>
      </c>
      <c r="J486">
        <v>3</v>
      </c>
      <c r="K486">
        <v>2958000</v>
      </c>
      <c r="L486">
        <v>0</v>
      </c>
      <c r="M486">
        <v>2189000</v>
      </c>
      <c r="N486">
        <f>(data[[#This Row],[unit_price]]*data[[#This Row],[quantity]]) * (1-data[[#This Row],[discount]])</f>
        <v>8874000</v>
      </c>
      <c r="O486">
        <f>data[[#This Row],[sales]]-data[[#This Row],[cost]]</f>
        <v>6685000</v>
      </c>
      <c r="P486" t="str">
        <f>TEXT(data[[#This Row],[order_date]],"mmm")</f>
        <v>Oct</v>
      </c>
      <c r="Q486">
        <f>YEAR(data[[#This Row],[order_date]])</f>
        <v>2025</v>
      </c>
      <c r="R486">
        <f>MONTH(data[[#This Row],[order_date]])</f>
        <v>10</v>
      </c>
      <c r="S486">
        <f>DAY(data[[#This Row],[order_date]])</f>
        <v>24</v>
      </c>
      <c r="T486">
        <f>data[[#This Row],[profit]]/data[[#This Row],[sales]]</f>
        <v>0.75332431823304036</v>
      </c>
    </row>
    <row r="487" spans="1:20" x14ac:dyDescent="0.35">
      <c r="A487" t="s">
        <v>674</v>
      </c>
      <c r="B487" s="1">
        <v>45969</v>
      </c>
      <c r="C487" t="s">
        <v>41</v>
      </c>
      <c r="D487" t="s">
        <v>42</v>
      </c>
      <c r="E487" t="s">
        <v>675</v>
      </c>
      <c r="F487" t="s">
        <v>17</v>
      </c>
      <c r="G487" t="s">
        <v>621</v>
      </c>
      <c r="H487" t="s">
        <v>622</v>
      </c>
      <c r="I487" t="s">
        <v>465</v>
      </c>
      <c r="J487">
        <v>1</v>
      </c>
      <c r="K487">
        <v>2284000</v>
      </c>
      <c r="L487">
        <v>0</v>
      </c>
      <c r="M487">
        <v>1703000</v>
      </c>
      <c r="N487">
        <f>(data[[#This Row],[unit_price]]*data[[#This Row],[quantity]]) * (1-data[[#This Row],[discount]])</f>
        <v>2284000</v>
      </c>
      <c r="O487">
        <f>data[[#This Row],[sales]]-data[[#This Row],[cost]]</f>
        <v>581000</v>
      </c>
      <c r="P487" t="str">
        <f>TEXT(data[[#This Row],[order_date]],"mmm")</f>
        <v>Nov</v>
      </c>
      <c r="Q487">
        <f>YEAR(data[[#This Row],[order_date]])</f>
        <v>2025</v>
      </c>
      <c r="R487">
        <f>MONTH(data[[#This Row],[order_date]])</f>
        <v>11</v>
      </c>
      <c r="S487">
        <f>DAY(data[[#This Row],[order_date]])</f>
        <v>8</v>
      </c>
      <c r="T487">
        <f>data[[#This Row],[profit]]/data[[#This Row],[sales]]</f>
        <v>0.25437828371278459</v>
      </c>
    </row>
    <row r="488" spans="1:20" x14ac:dyDescent="0.35">
      <c r="A488" t="s">
        <v>676</v>
      </c>
      <c r="B488" s="1">
        <v>45978</v>
      </c>
      <c r="C488" t="s">
        <v>14</v>
      </c>
      <c r="D488" t="s">
        <v>15</v>
      </c>
      <c r="E488" t="s">
        <v>89</v>
      </c>
      <c r="F488" t="s">
        <v>23</v>
      </c>
      <c r="G488" t="s">
        <v>621</v>
      </c>
      <c r="H488" t="s">
        <v>622</v>
      </c>
      <c r="I488" t="s">
        <v>465</v>
      </c>
      <c r="J488">
        <v>2</v>
      </c>
      <c r="K488">
        <v>2908000</v>
      </c>
      <c r="L488">
        <v>0</v>
      </c>
      <c r="M488">
        <v>2159000</v>
      </c>
      <c r="N488">
        <f>(data[[#This Row],[unit_price]]*data[[#This Row],[quantity]]) * (1-data[[#This Row],[discount]])</f>
        <v>5816000</v>
      </c>
      <c r="O488">
        <f>data[[#This Row],[sales]]-data[[#This Row],[cost]]</f>
        <v>3657000</v>
      </c>
      <c r="P488" t="str">
        <f>TEXT(data[[#This Row],[order_date]],"mmm")</f>
        <v>Nov</v>
      </c>
      <c r="Q488">
        <f>YEAR(data[[#This Row],[order_date]])</f>
        <v>2025</v>
      </c>
      <c r="R488">
        <f>MONTH(data[[#This Row],[order_date]])</f>
        <v>11</v>
      </c>
      <c r="S488">
        <f>DAY(data[[#This Row],[order_date]])</f>
        <v>17</v>
      </c>
      <c r="T488">
        <f>data[[#This Row],[profit]]/data[[#This Row],[sales]]</f>
        <v>0.62878266850068776</v>
      </c>
    </row>
    <row r="489" spans="1:20" x14ac:dyDescent="0.35">
      <c r="A489" t="s">
        <v>677</v>
      </c>
      <c r="B489" s="1">
        <v>45993</v>
      </c>
      <c r="C489" t="s">
        <v>49</v>
      </c>
      <c r="D489" t="s">
        <v>50</v>
      </c>
      <c r="E489" t="s">
        <v>234</v>
      </c>
      <c r="F489" t="s">
        <v>23</v>
      </c>
      <c r="G489" t="s">
        <v>621</v>
      </c>
      <c r="H489" t="s">
        <v>622</v>
      </c>
      <c r="I489" t="s">
        <v>465</v>
      </c>
      <c r="J489">
        <v>1</v>
      </c>
      <c r="K489">
        <v>3279000</v>
      </c>
      <c r="L489">
        <v>0</v>
      </c>
      <c r="M489">
        <v>2451000</v>
      </c>
      <c r="N489">
        <f>(data[[#This Row],[unit_price]]*data[[#This Row],[quantity]]) * (1-data[[#This Row],[discount]])</f>
        <v>3279000</v>
      </c>
      <c r="O489">
        <f>data[[#This Row],[sales]]-data[[#This Row],[cost]]</f>
        <v>828000</v>
      </c>
      <c r="P489" t="str">
        <f>TEXT(data[[#This Row],[order_date]],"mmm")</f>
        <v>Dec</v>
      </c>
      <c r="Q489">
        <f>YEAR(data[[#This Row],[order_date]])</f>
        <v>2025</v>
      </c>
      <c r="R489">
        <f>MONTH(data[[#This Row],[order_date]])</f>
        <v>12</v>
      </c>
      <c r="S489">
        <f>DAY(data[[#This Row],[order_date]])</f>
        <v>2</v>
      </c>
      <c r="T489">
        <f>data[[#This Row],[profit]]/data[[#This Row],[sales]]</f>
        <v>0.25251601097895698</v>
      </c>
    </row>
    <row r="490" spans="1:20" x14ac:dyDescent="0.35">
      <c r="A490" t="s">
        <v>678</v>
      </c>
      <c r="B490" s="1">
        <v>46047</v>
      </c>
      <c r="C490" t="s">
        <v>14</v>
      </c>
      <c r="D490" t="s">
        <v>15</v>
      </c>
      <c r="E490" t="s">
        <v>102</v>
      </c>
      <c r="F490" t="s">
        <v>58</v>
      </c>
      <c r="G490" t="s">
        <v>621</v>
      </c>
      <c r="H490" t="s">
        <v>622</v>
      </c>
      <c r="I490" t="s">
        <v>465</v>
      </c>
      <c r="J490">
        <v>1</v>
      </c>
      <c r="K490">
        <v>1975000</v>
      </c>
      <c r="L490">
        <v>0</v>
      </c>
      <c r="M490">
        <v>1487000</v>
      </c>
      <c r="N490">
        <f>(data[[#This Row],[unit_price]]*data[[#This Row],[quantity]]) * (1-data[[#This Row],[discount]])</f>
        <v>1975000</v>
      </c>
      <c r="O490">
        <f>data[[#This Row],[sales]]-data[[#This Row],[cost]]</f>
        <v>488000</v>
      </c>
      <c r="P490" t="str">
        <f>TEXT(data[[#This Row],[order_date]],"mmm")</f>
        <v>Jan</v>
      </c>
      <c r="Q490">
        <f>YEAR(data[[#This Row],[order_date]])</f>
        <v>2026</v>
      </c>
      <c r="R490">
        <f>MONTH(data[[#This Row],[order_date]])</f>
        <v>1</v>
      </c>
      <c r="S490">
        <f>DAY(data[[#This Row],[order_date]])</f>
        <v>25</v>
      </c>
      <c r="T490" s="3">
        <f>data[[#This Row],[profit]]/data[[#This Row],[sales]]</f>
        <v>0.2470886075949367</v>
      </c>
    </row>
    <row r="491" spans="1:20" x14ac:dyDescent="0.35">
      <c r="A491" t="s">
        <v>679</v>
      </c>
      <c r="B491" s="1">
        <v>46056</v>
      </c>
      <c r="C491" t="s">
        <v>14</v>
      </c>
      <c r="D491" t="s">
        <v>15</v>
      </c>
      <c r="E491" t="s">
        <v>315</v>
      </c>
      <c r="F491" t="s">
        <v>23</v>
      </c>
      <c r="G491" t="s">
        <v>621</v>
      </c>
      <c r="H491" t="s">
        <v>622</v>
      </c>
      <c r="I491" t="s">
        <v>465</v>
      </c>
      <c r="J491">
        <v>1</v>
      </c>
      <c r="K491">
        <v>2807000</v>
      </c>
      <c r="L491">
        <v>0</v>
      </c>
      <c r="M491">
        <v>2069000</v>
      </c>
      <c r="N491">
        <f>(data[[#This Row],[unit_price]]*data[[#This Row],[quantity]]) * (1-data[[#This Row],[discount]])</f>
        <v>2807000</v>
      </c>
      <c r="O491">
        <f>data[[#This Row],[sales]]-data[[#This Row],[cost]]</f>
        <v>738000</v>
      </c>
      <c r="P491" t="str">
        <f>TEXT(data[[#This Row],[order_date]],"mmm")</f>
        <v>Feb</v>
      </c>
      <c r="Q491">
        <f>YEAR(data[[#This Row],[order_date]])</f>
        <v>2026</v>
      </c>
      <c r="R491">
        <f>MONTH(data[[#This Row],[order_date]])</f>
        <v>2</v>
      </c>
      <c r="S491">
        <f>DAY(data[[#This Row],[order_date]])</f>
        <v>3</v>
      </c>
      <c r="T491">
        <f>data[[#This Row],[profit]]/data[[#This Row],[sales]]</f>
        <v>0.26291414321339507</v>
      </c>
    </row>
    <row r="492" spans="1:20" x14ac:dyDescent="0.35">
      <c r="A492" t="s">
        <v>680</v>
      </c>
      <c r="B492" s="1">
        <v>46062</v>
      </c>
      <c r="C492" t="s">
        <v>14</v>
      </c>
      <c r="D492" t="s">
        <v>15</v>
      </c>
      <c r="E492" t="s">
        <v>152</v>
      </c>
      <c r="F492" t="s">
        <v>23</v>
      </c>
      <c r="G492" t="s">
        <v>621</v>
      </c>
      <c r="H492" t="s">
        <v>622</v>
      </c>
      <c r="I492" t="s">
        <v>465</v>
      </c>
      <c r="J492">
        <v>1</v>
      </c>
      <c r="K492">
        <v>2024000</v>
      </c>
      <c r="L492">
        <v>0</v>
      </c>
      <c r="M492">
        <v>1555000</v>
      </c>
      <c r="N492">
        <f>(data[[#This Row],[unit_price]]*data[[#This Row],[quantity]]) * (1-data[[#This Row],[discount]])</f>
        <v>2024000</v>
      </c>
      <c r="O492">
        <f>data[[#This Row],[sales]]-data[[#This Row],[cost]]</f>
        <v>469000</v>
      </c>
      <c r="P492" t="str">
        <f>TEXT(data[[#This Row],[order_date]],"mmm")</f>
        <v>Feb</v>
      </c>
      <c r="Q492">
        <f>YEAR(data[[#This Row],[order_date]])</f>
        <v>2026</v>
      </c>
      <c r="R492">
        <f>MONTH(data[[#This Row],[order_date]])</f>
        <v>2</v>
      </c>
      <c r="S492">
        <f>DAY(data[[#This Row],[order_date]])</f>
        <v>9</v>
      </c>
      <c r="T492">
        <f>data[[#This Row],[profit]]/data[[#This Row],[sales]]</f>
        <v>0.2317193675889328</v>
      </c>
    </row>
    <row r="493" spans="1:20" x14ac:dyDescent="0.35">
      <c r="A493" t="s">
        <v>681</v>
      </c>
      <c r="B493" s="1">
        <v>46067</v>
      </c>
      <c r="C493" t="s">
        <v>14</v>
      </c>
      <c r="D493" t="s">
        <v>15</v>
      </c>
      <c r="E493" t="s">
        <v>319</v>
      </c>
      <c r="F493" t="s">
        <v>23</v>
      </c>
      <c r="G493" t="s">
        <v>621</v>
      </c>
      <c r="H493" t="s">
        <v>622</v>
      </c>
      <c r="I493" t="s">
        <v>465</v>
      </c>
      <c r="J493">
        <v>2</v>
      </c>
      <c r="K493">
        <v>3225000</v>
      </c>
      <c r="L493">
        <v>0.15</v>
      </c>
      <c r="M493">
        <v>2423000</v>
      </c>
      <c r="N493">
        <f>(data[[#This Row],[unit_price]]*data[[#This Row],[quantity]]) * (1-data[[#This Row],[discount]])</f>
        <v>5482500</v>
      </c>
      <c r="O493">
        <f>data[[#This Row],[sales]]-data[[#This Row],[cost]]</f>
        <v>3059500</v>
      </c>
      <c r="P493" t="str">
        <f>TEXT(data[[#This Row],[order_date]],"mmm")</f>
        <v>Feb</v>
      </c>
      <c r="Q493">
        <f>YEAR(data[[#This Row],[order_date]])</f>
        <v>2026</v>
      </c>
      <c r="R493">
        <f>MONTH(data[[#This Row],[order_date]])</f>
        <v>2</v>
      </c>
      <c r="S493">
        <f>DAY(data[[#This Row],[order_date]])</f>
        <v>14</v>
      </c>
      <c r="T493">
        <f>data[[#This Row],[profit]]/data[[#This Row],[sales]]</f>
        <v>0.55804833561331513</v>
      </c>
    </row>
    <row r="494" spans="1:20" x14ac:dyDescent="0.35">
      <c r="A494" t="s">
        <v>682</v>
      </c>
      <c r="B494" s="1">
        <v>46094</v>
      </c>
      <c r="C494" t="s">
        <v>41</v>
      </c>
      <c r="D494" t="s">
        <v>42</v>
      </c>
      <c r="E494" t="s">
        <v>295</v>
      </c>
      <c r="F494" t="s">
        <v>23</v>
      </c>
      <c r="G494" t="s">
        <v>621</v>
      </c>
      <c r="H494" t="s">
        <v>622</v>
      </c>
      <c r="I494" t="s">
        <v>465</v>
      </c>
      <c r="J494">
        <v>1</v>
      </c>
      <c r="K494">
        <v>3164000</v>
      </c>
      <c r="L494">
        <v>0</v>
      </c>
      <c r="M494">
        <v>2334000</v>
      </c>
      <c r="N494">
        <f>(data[[#This Row],[unit_price]]*data[[#This Row],[quantity]]) * (1-data[[#This Row],[discount]])</f>
        <v>3164000</v>
      </c>
      <c r="O494">
        <f>data[[#This Row],[sales]]-data[[#This Row],[cost]]</f>
        <v>830000</v>
      </c>
      <c r="P494" t="str">
        <f>TEXT(data[[#This Row],[order_date]],"mmm")</f>
        <v>Mar</v>
      </c>
      <c r="Q494">
        <f>YEAR(data[[#This Row],[order_date]])</f>
        <v>2026</v>
      </c>
      <c r="R494">
        <f>MONTH(data[[#This Row],[order_date]])</f>
        <v>3</v>
      </c>
      <c r="S494">
        <f>DAY(data[[#This Row],[order_date]])</f>
        <v>13</v>
      </c>
      <c r="T494">
        <f>data[[#This Row],[profit]]/data[[#This Row],[sales]]</f>
        <v>0.26232616940581543</v>
      </c>
    </row>
    <row r="495" spans="1:20" x14ac:dyDescent="0.35">
      <c r="A495" t="s">
        <v>683</v>
      </c>
      <c r="B495" s="1">
        <v>46113</v>
      </c>
      <c r="C495" t="s">
        <v>14</v>
      </c>
      <c r="D495" t="s">
        <v>15</v>
      </c>
      <c r="E495" t="s">
        <v>113</v>
      </c>
      <c r="F495" t="s">
        <v>23</v>
      </c>
      <c r="G495" t="s">
        <v>621</v>
      </c>
      <c r="H495" t="s">
        <v>622</v>
      </c>
      <c r="I495" t="s">
        <v>465</v>
      </c>
      <c r="J495">
        <v>1</v>
      </c>
      <c r="K495">
        <v>3328000</v>
      </c>
      <c r="L495">
        <v>0</v>
      </c>
      <c r="M495">
        <v>2512000</v>
      </c>
      <c r="N495">
        <f>(data[[#This Row],[unit_price]]*data[[#This Row],[quantity]]) * (1-data[[#This Row],[discount]])</f>
        <v>3328000</v>
      </c>
      <c r="O495">
        <f>data[[#This Row],[sales]]-data[[#This Row],[cost]]</f>
        <v>816000</v>
      </c>
      <c r="P495" t="str">
        <f>TEXT(data[[#This Row],[order_date]],"mmm")</f>
        <v>Apr</v>
      </c>
      <c r="Q495">
        <f>YEAR(data[[#This Row],[order_date]])</f>
        <v>2026</v>
      </c>
      <c r="R495">
        <f>MONTH(data[[#This Row],[order_date]])</f>
        <v>4</v>
      </c>
      <c r="S495">
        <f>DAY(data[[#This Row],[order_date]])</f>
        <v>1</v>
      </c>
      <c r="T495">
        <f>data[[#This Row],[profit]]/data[[#This Row],[sales]]</f>
        <v>0.24519230769230768</v>
      </c>
    </row>
    <row r="496" spans="1:20" x14ac:dyDescent="0.35">
      <c r="A496" t="s">
        <v>684</v>
      </c>
      <c r="B496" s="1">
        <v>46115</v>
      </c>
      <c r="C496" t="s">
        <v>49</v>
      </c>
      <c r="D496" t="s">
        <v>50</v>
      </c>
      <c r="E496" t="s">
        <v>287</v>
      </c>
      <c r="F496" t="s">
        <v>28</v>
      </c>
      <c r="G496" t="s">
        <v>621</v>
      </c>
      <c r="H496" t="s">
        <v>622</v>
      </c>
      <c r="I496" t="s">
        <v>465</v>
      </c>
      <c r="J496">
        <v>1</v>
      </c>
      <c r="K496">
        <v>2185000</v>
      </c>
      <c r="L496">
        <v>0</v>
      </c>
      <c r="M496">
        <v>1648000</v>
      </c>
      <c r="N496">
        <f>(data[[#This Row],[unit_price]]*data[[#This Row],[quantity]]) * (1-data[[#This Row],[discount]])</f>
        <v>2185000</v>
      </c>
      <c r="O496">
        <f>data[[#This Row],[sales]]-data[[#This Row],[cost]]</f>
        <v>537000</v>
      </c>
      <c r="P496" t="str">
        <f>TEXT(data[[#This Row],[order_date]],"mmm")</f>
        <v>Apr</v>
      </c>
      <c r="Q496">
        <f>YEAR(data[[#This Row],[order_date]])</f>
        <v>2026</v>
      </c>
      <c r="R496">
        <f>MONTH(data[[#This Row],[order_date]])</f>
        <v>4</v>
      </c>
      <c r="S496">
        <f>DAY(data[[#This Row],[order_date]])</f>
        <v>3</v>
      </c>
      <c r="T496">
        <f>data[[#This Row],[profit]]/data[[#This Row],[sales]]</f>
        <v>0.24576659038901602</v>
      </c>
    </row>
    <row r="497" spans="1:20" x14ac:dyDescent="0.35">
      <c r="A497" t="s">
        <v>685</v>
      </c>
      <c r="B497" s="1">
        <v>46139</v>
      </c>
      <c r="C497" t="s">
        <v>41</v>
      </c>
      <c r="D497" t="s">
        <v>42</v>
      </c>
      <c r="E497" t="s">
        <v>323</v>
      </c>
      <c r="F497" t="s">
        <v>28</v>
      </c>
      <c r="G497" t="s">
        <v>621</v>
      </c>
      <c r="H497" t="s">
        <v>622</v>
      </c>
      <c r="I497" t="s">
        <v>465</v>
      </c>
      <c r="J497">
        <v>2</v>
      </c>
      <c r="K497">
        <v>2161000</v>
      </c>
      <c r="L497">
        <v>0</v>
      </c>
      <c r="M497">
        <v>1589000</v>
      </c>
      <c r="N497">
        <f>(data[[#This Row],[unit_price]]*data[[#This Row],[quantity]]) * (1-data[[#This Row],[discount]])</f>
        <v>4322000</v>
      </c>
      <c r="O497">
        <f>data[[#This Row],[sales]]-data[[#This Row],[cost]]</f>
        <v>2733000</v>
      </c>
      <c r="P497" t="str">
        <f>TEXT(data[[#This Row],[order_date]],"mmm")</f>
        <v>Apr</v>
      </c>
      <c r="Q497">
        <f>YEAR(data[[#This Row],[order_date]])</f>
        <v>2026</v>
      </c>
      <c r="R497">
        <f>MONTH(data[[#This Row],[order_date]])</f>
        <v>4</v>
      </c>
      <c r="S497">
        <f>DAY(data[[#This Row],[order_date]])</f>
        <v>27</v>
      </c>
      <c r="T497">
        <f>data[[#This Row],[profit]]/data[[#This Row],[sales]]</f>
        <v>0.63234613604812584</v>
      </c>
    </row>
    <row r="498" spans="1:20" x14ac:dyDescent="0.35">
      <c r="A498" t="s">
        <v>686</v>
      </c>
      <c r="B498" s="1">
        <v>46141</v>
      </c>
      <c r="C498" t="s">
        <v>41</v>
      </c>
      <c r="D498" t="s">
        <v>42</v>
      </c>
      <c r="E498" t="s">
        <v>236</v>
      </c>
      <c r="F498" t="s">
        <v>28</v>
      </c>
      <c r="G498" t="s">
        <v>621</v>
      </c>
      <c r="H498" t="s">
        <v>622</v>
      </c>
      <c r="I498" t="s">
        <v>465</v>
      </c>
      <c r="J498">
        <v>1</v>
      </c>
      <c r="K498">
        <v>3227000</v>
      </c>
      <c r="L498">
        <v>0</v>
      </c>
      <c r="M498">
        <v>2382000</v>
      </c>
      <c r="N498">
        <f>(data[[#This Row],[unit_price]]*data[[#This Row],[quantity]]) * (1-data[[#This Row],[discount]])</f>
        <v>3227000</v>
      </c>
      <c r="O498">
        <f>data[[#This Row],[sales]]-data[[#This Row],[cost]]</f>
        <v>845000</v>
      </c>
      <c r="P498" t="str">
        <f>TEXT(data[[#This Row],[order_date]],"mmm")</f>
        <v>Apr</v>
      </c>
      <c r="Q498">
        <f>YEAR(data[[#This Row],[order_date]])</f>
        <v>2026</v>
      </c>
      <c r="R498">
        <f>MONTH(data[[#This Row],[order_date]])</f>
        <v>4</v>
      </c>
      <c r="S498">
        <f>DAY(data[[#This Row],[order_date]])</f>
        <v>29</v>
      </c>
      <c r="T498">
        <f>data[[#This Row],[profit]]/data[[#This Row],[sales]]</f>
        <v>0.26185311434769137</v>
      </c>
    </row>
    <row r="499" spans="1:20" x14ac:dyDescent="0.35">
      <c r="A499" t="s">
        <v>687</v>
      </c>
      <c r="B499" s="1">
        <v>46169</v>
      </c>
      <c r="C499" t="s">
        <v>14</v>
      </c>
      <c r="D499" t="s">
        <v>15</v>
      </c>
      <c r="E499" t="s">
        <v>667</v>
      </c>
      <c r="F499" t="s">
        <v>23</v>
      </c>
      <c r="G499" t="s">
        <v>621</v>
      </c>
      <c r="H499" t="s">
        <v>622</v>
      </c>
      <c r="I499" t="s">
        <v>465</v>
      </c>
      <c r="J499">
        <v>1</v>
      </c>
      <c r="K499">
        <v>1997000</v>
      </c>
      <c r="L499">
        <v>0</v>
      </c>
      <c r="M499">
        <v>1460000</v>
      </c>
      <c r="N499">
        <f>(data[[#This Row],[unit_price]]*data[[#This Row],[quantity]]) * (1-data[[#This Row],[discount]])</f>
        <v>1997000</v>
      </c>
      <c r="O499">
        <f>data[[#This Row],[sales]]-data[[#This Row],[cost]]</f>
        <v>537000</v>
      </c>
      <c r="P499" t="str">
        <f>TEXT(data[[#This Row],[order_date]],"mmm")</f>
        <v>May</v>
      </c>
      <c r="Q499">
        <f>YEAR(data[[#This Row],[order_date]])</f>
        <v>2026</v>
      </c>
      <c r="R499">
        <f>MONTH(data[[#This Row],[order_date]])</f>
        <v>5</v>
      </c>
      <c r="S499">
        <f>DAY(data[[#This Row],[order_date]])</f>
        <v>27</v>
      </c>
      <c r="T499">
        <f>data[[#This Row],[profit]]/data[[#This Row],[sales]]</f>
        <v>0.26890335503254881</v>
      </c>
    </row>
    <row r="500" spans="1:20" x14ac:dyDescent="0.35">
      <c r="A500" t="s">
        <v>688</v>
      </c>
      <c r="B500" s="1">
        <v>46182</v>
      </c>
      <c r="C500" t="s">
        <v>14</v>
      </c>
      <c r="D500" t="s">
        <v>15</v>
      </c>
      <c r="E500" t="s">
        <v>559</v>
      </c>
      <c r="F500" t="s">
        <v>23</v>
      </c>
      <c r="G500" t="s">
        <v>621</v>
      </c>
      <c r="H500" t="s">
        <v>622</v>
      </c>
      <c r="I500" t="s">
        <v>465</v>
      </c>
      <c r="J500">
        <v>1</v>
      </c>
      <c r="K500">
        <v>2327000</v>
      </c>
      <c r="L500">
        <v>0</v>
      </c>
      <c r="M500">
        <v>1723000</v>
      </c>
      <c r="N500">
        <f>(data[[#This Row],[unit_price]]*data[[#This Row],[quantity]]) * (1-data[[#This Row],[discount]])</f>
        <v>2327000</v>
      </c>
      <c r="O500">
        <f>data[[#This Row],[sales]]-data[[#This Row],[cost]]</f>
        <v>604000</v>
      </c>
      <c r="P500" t="str">
        <f>TEXT(data[[#This Row],[order_date]],"mmm")</f>
        <v>Jun</v>
      </c>
      <c r="Q500">
        <f>YEAR(data[[#This Row],[order_date]])</f>
        <v>2026</v>
      </c>
      <c r="R500">
        <f>MONTH(data[[#This Row],[order_date]])</f>
        <v>6</v>
      </c>
      <c r="S500">
        <f>DAY(data[[#This Row],[order_date]])</f>
        <v>9</v>
      </c>
      <c r="T500">
        <f>data[[#This Row],[profit]]/data[[#This Row],[sales]]</f>
        <v>0.25956166738289643</v>
      </c>
    </row>
    <row r="501" spans="1:20" x14ac:dyDescent="0.35">
      <c r="A501" t="s">
        <v>689</v>
      </c>
      <c r="B501" s="1">
        <v>46187</v>
      </c>
      <c r="C501" t="s">
        <v>49</v>
      </c>
      <c r="D501" t="s">
        <v>50</v>
      </c>
      <c r="E501" t="s">
        <v>270</v>
      </c>
      <c r="F501" t="s">
        <v>23</v>
      </c>
      <c r="G501" t="s">
        <v>621</v>
      </c>
      <c r="H501" t="s">
        <v>622</v>
      </c>
      <c r="I501" t="s">
        <v>465</v>
      </c>
      <c r="J501">
        <v>1</v>
      </c>
      <c r="K501">
        <v>2590000</v>
      </c>
      <c r="L501">
        <v>0.15</v>
      </c>
      <c r="M501">
        <v>1955000</v>
      </c>
      <c r="N501">
        <f>(data[[#This Row],[unit_price]]*data[[#This Row],[quantity]]) * (1-data[[#This Row],[discount]])</f>
        <v>2201500</v>
      </c>
      <c r="O501">
        <f>data[[#This Row],[sales]]-data[[#This Row],[cost]]</f>
        <v>246500</v>
      </c>
      <c r="P501" t="str">
        <f>TEXT(data[[#This Row],[order_date]],"mmm")</f>
        <v>Jun</v>
      </c>
      <c r="Q501">
        <f>YEAR(data[[#This Row],[order_date]])</f>
        <v>2026</v>
      </c>
      <c r="R501">
        <f>MONTH(data[[#This Row],[order_date]])</f>
        <v>6</v>
      </c>
      <c r="S501">
        <f>DAY(data[[#This Row],[order_date]])</f>
        <v>14</v>
      </c>
      <c r="T501">
        <f>data[[#This Row],[profit]]/data[[#This Row],[sales]]</f>
        <v>0.11196911196911197</v>
      </c>
    </row>
    <row r="502" spans="1:20" x14ac:dyDescent="0.35">
      <c r="A502" t="s">
        <v>690</v>
      </c>
      <c r="B502" s="1">
        <v>46194</v>
      </c>
      <c r="C502" t="s">
        <v>41</v>
      </c>
      <c r="D502" t="s">
        <v>42</v>
      </c>
      <c r="E502" t="s">
        <v>239</v>
      </c>
      <c r="F502" t="s">
        <v>23</v>
      </c>
      <c r="G502" t="s">
        <v>621</v>
      </c>
      <c r="H502" t="s">
        <v>622</v>
      </c>
      <c r="I502" t="s">
        <v>465</v>
      </c>
      <c r="J502">
        <v>1</v>
      </c>
      <c r="K502">
        <v>3438000</v>
      </c>
      <c r="L502">
        <v>0</v>
      </c>
      <c r="M502">
        <v>2562000</v>
      </c>
      <c r="N502">
        <f>(data[[#This Row],[unit_price]]*data[[#This Row],[quantity]]) * (1-data[[#This Row],[discount]])</f>
        <v>3438000</v>
      </c>
      <c r="O502">
        <f>data[[#This Row],[sales]]-data[[#This Row],[cost]]</f>
        <v>876000</v>
      </c>
      <c r="P502" t="str">
        <f>TEXT(data[[#This Row],[order_date]],"mmm")</f>
        <v>Jun</v>
      </c>
      <c r="Q502">
        <f>YEAR(data[[#This Row],[order_date]])</f>
        <v>2026</v>
      </c>
      <c r="R502">
        <f>MONTH(data[[#This Row],[order_date]])</f>
        <v>6</v>
      </c>
      <c r="S502">
        <f>DAY(data[[#This Row],[order_date]])</f>
        <v>21</v>
      </c>
      <c r="T502">
        <f>data[[#This Row],[profit]]/data[[#This Row],[sales]]</f>
        <v>0.25479930191972078</v>
      </c>
    </row>
    <row r="503" spans="1:20" x14ac:dyDescent="0.35">
      <c r="A503" t="s">
        <v>691</v>
      </c>
      <c r="B503" s="1">
        <v>44934</v>
      </c>
      <c r="C503" t="s">
        <v>14</v>
      </c>
      <c r="D503" t="s">
        <v>15</v>
      </c>
      <c r="E503" t="s">
        <v>226</v>
      </c>
      <c r="F503" t="s">
        <v>17</v>
      </c>
      <c r="G503" t="s">
        <v>692</v>
      </c>
      <c r="H503" t="s">
        <v>693</v>
      </c>
      <c r="I503" t="s">
        <v>160</v>
      </c>
      <c r="J503">
        <v>1</v>
      </c>
      <c r="K503">
        <v>1649000</v>
      </c>
      <c r="L503">
        <v>0</v>
      </c>
      <c r="M503">
        <v>1189000</v>
      </c>
      <c r="N503">
        <f>(data[[#This Row],[unit_price]]*data[[#This Row],[quantity]]) * (1-data[[#This Row],[discount]])</f>
        <v>1649000</v>
      </c>
      <c r="O503">
        <f>data[[#This Row],[sales]]-data[[#This Row],[cost]]</f>
        <v>460000</v>
      </c>
      <c r="P503" t="str">
        <f>TEXT(data[[#This Row],[order_date]],"mmm")</f>
        <v>Jan</v>
      </c>
      <c r="Q503">
        <f>YEAR(data[[#This Row],[order_date]])</f>
        <v>2023</v>
      </c>
      <c r="R503">
        <f>MONTH(data[[#This Row],[order_date]])</f>
        <v>1</v>
      </c>
      <c r="S503">
        <f>DAY(data[[#This Row],[order_date]])</f>
        <v>8</v>
      </c>
      <c r="T503">
        <f>data[[#This Row],[profit]]/data[[#This Row],[sales]]</f>
        <v>0.27895694360218315</v>
      </c>
    </row>
    <row r="504" spans="1:20" x14ac:dyDescent="0.35">
      <c r="A504" t="s">
        <v>694</v>
      </c>
      <c r="B504" s="1">
        <v>44937</v>
      </c>
      <c r="C504" t="s">
        <v>14</v>
      </c>
      <c r="D504" t="s">
        <v>15</v>
      </c>
      <c r="E504" t="s">
        <v>489</v>
      </c>
      <c r="F504" t="s">
        <v>17</v>
      </c>
      <c r="G504" t="s">
        <v>692</v>
      </c>
      <c r="H504" t="s">
        <v>693</v>
      </c>
      <c r="I504" t="s">
        <v>160</v>
      </c>
      <c r="J504">
        <v>1</v>
      </c>
      <c r="K504">
        <v>1226000</v>
      </c>
      <c r="L504">
        <v>0</v>
      </c>
      <c r="M504">
        <v>874000</v>
      </c>
      <c r="N504">
        <f>(data[[#This Row],[unit_price]]*data[[#This Row],[quantity]]) * (1-data[[#This Row],[discount]])</f>
        <v>1226000</v>
      </c>
      <c r="O504">
        <f>data[[#This Row],[sales]]-data[[#This Row],[cost]]</f>
        <v>352000</v>
      </c>
      <c r="P504" t="str">
        <f>TEXT(data[[#This Row],[order_date]],"mmm")</f>
        <v>Jan</v>
      </c>
      <c r="Q504">
        <f>YEAR(data[[#This Row],[order_date]])</f>
        <v>2023</v>
      </c>
      <c r="R504">
        <f>MONTH(data[[#This Row],[order_date]])</f>
        <v>1</v>
      </c>
      <c r="S504">
        <f>DAY(data[[#This Row],[order_date]])</f>
        <v>11</v>
      </c>
      <c r="T504">
        <f>data[[#This Row],[profit]]/data[[#This Row],[sales]]</f>
        <v>0.28711256117455136</v>
      </c>
    </row>
    <row r="505" spans="1:20" x14ac:dyDescent="0.35">
      <c r="A505" t="s">
        <v>695</v>
      </c>
      <c r="B505" s="1">
        <v>45111</v>
      </c>
      <c r="C505" t="s">
        <v>49</v>
      </c>
      <c r="D505" t="s">
        <v>50</v>
      </c>
      <c r="E505" t="s">
        <v>598</v>
      </c>
      <c r="F505" t="s">
        <v>23</v>
      </c>
      <c r="G505" t="s">
        <v>692</v>
      </c>
      <c r="H505" t="s">
        <v>693</v>
      </c>
      <c r="I505" t="s">
        <v>160</v>
      </c>
      <c r="J505">
        <v>5</v>
      </c>
      <c r="K505">
        <v>1212000</v>
      </c>
      <c r="L505">
        <v>0</v>
      </c>
      <c r="M505">
        <v>856000</v>
      </c>
      <c r="N505">
        <f>(data[[#This Row],[unit_price]]*data[[#This Row],[quantity]]) * (1-data[[#This Row],[discount]])</f>
        <v>6060000</v>
      </c>
      <c r="O505">
        <f>data[[#This Row],[sales]]-data[[#This Row],[cost]]</f>
        <v>5204000</v>
      </c>
      <c r="P505" t="str">
        <f>TEXT(data[[#This Row],[order_date]],"mmm")</f>
        <v>Jul</v>
      </c>
      <c r="Q505">
        <f>YEAR(data[[#This Row],[order_date]])</f>
        <v>2023</v>
      </c>
      <c r="R505">
        <f>MONTH(data[[#This Row],[order_date]])</f>
        <v>7</v>
      </c>
      <c r="S505">
        <f>DAY(data[[#This Row],[order_date]])</f>
        <v>4</v>
      </c>
      <c r="T505">
        <f>data[[#This Row],[profit]]/data[[#This Row],[sales]]</f>
        <v>0.85874587458745877</v>
      </c>
    </row>
    <row r="506" spans="1:20" x14ac:dyDescent="0.35">
      <c r="A506" t="s">
        <v>696</v>
      </c>
      <c r="B506" s="1">
        <v>45136</v>
      </c>
      <c r="C506" t="s">
        <v>41</v>
      </c>
      <c r="D506" t="s">
        <v>42</v>
      </c>
      <c r="E506" t="s">
        <v>89</v>
      </c>
      <c r="F506" t="s">
        <v>23</v>
      </c>
      <c r="G506" t="s">
        <v>692</v>
      </c>
      <c r="H506" t="s">
        <v>693</v>
      </c>
      <c r="I506" t="s">
        <v>160</v>
      </c>
      <c r="J506">
        <v>1</v>
      </c>
      <c r="K506">
        <v>1226000</v>
      </c>
      <c r="L506">
        <v>0.05</v>
      </c>
      <c r="M506">
        <v>875000</v>
      </c>
      <c r="N506">
        <f>(data[[#This Row],[unit_price]]*data[[#This Row],[quantity]]) * (1-data[[#This Row],[discount]])</f>
        <v>1164700</v>
      </c>
      <c r="O506">
        <f>data[[#This Row],[sales]]-data[[#This Row],[cost]]</f>
        <v>289700</v>
      </c>
      <c r="P506" t="str">
        <f>TEXT(data[[#This Row],[order_date]],"mmm")</f>
        <v>Jul</v>
      </c>
      <c r="Q506">
        <f>YEAR(data[[#This Row],[order_date]])</f>
        <v>2023</v>
      </c>
      <c r="R506">
        <f>MONTH(data[[#This Row],[order_date]])</f>
        <v>7</v>
      </c>
      <c r="S506">
        <f>DAY(data[[#This Row],[order_date]])</f>
        <v>29</v>
      </c>
      <c r="T506">
        <f>data[[#This Row],[profit]]/data[[#This Row],[sales]]</f>
        <v>0.24873357946252253</v>
      </c>
    </row>
    <row r="507" spans="1:20" x14ac:dyDescent="0.35">
      <c r="A507" t="s">
        <v>697</v>
      </c>
      <c r="B507" s="1">
        <v>45154</v>
      </c>
      <c r="C507" t="s">
        <v>14</v>
      </c>
      <c r="D507" t="s">
        <v>15</v>
      </c>
      <c r="E507" t="s">
        <v>230</v>
      </c>
      <c r="F507" t="s">
        <v>23</v>
      </c>
      <c r="G507" t="s">
        <v>692</v>
      </c>
      <c r="H507" t="s">
        <v>693</v>
      </c>
      <c r="I507" t="s">
        <v>160</v>
      </c>
      <c r="J507">
        <v>1</v>
      </c>
      <c r="K507">
        <v>1373000</v>
      </c>
      <c r="L507">
        <v>0</v>
      </c>
      <c r="M507">
        <v>976000</v>
      </c>
      <c r="N507">
        <f>(data[[#This Row],[unit_price]]*data[[#This Row],[quantity]]) * (1-data[[#This Row],[discount]])</f>
        <v>1373000</v>
      </c>
      <c r="O507">
        <f>data[[#This Row],[sales]]-data[[#This Row],[cost]]</f>
        <v>397000</v>
      </c>
      <c r="P507" t="str">
        <f>TEXT(data[[#This Row],[order_date]],"mmm")</f>
        <v>Aug</v>
      </c>
      <c r="Q507">
        <f>YEAR(data[[#This Row],[order_date]])</f>
        <v>2023</v>
      </c>
      <c r="R507">
        <f>MONTH(data[[#This Row],[order_date]])</f>
        <v>8</v>
      </c>
      <c r="S507">
        <f>DAY(data[[#This Row],[order_date]])</f>
        <v>16</v>
      </c>
      <c r="T507">
        <f>data[[#This Row],[profit]]/data[[#This Row],[sales]]</f>
        <v>0.28914785142024763</v>
      </c>
    </row>
    <row r="508" spans="1:20" x14ac:dyDescent="0.35">
      <c r="A508" t="s">
        <v>698</v>
      </c>
      <c r="B508" s="1">
        <v>45156</v>
      </c>
      <c r="C508" t="s">
        <v>14</v>
      </c>
      <c r="D508" t="s">
        <v>15</v>
      </c>
      <c r="E508" t="s">
        <v>366</v>
      </c>
      <c r="F508" t="s">
        <v>58</v>
      </c>
      <c r="G508" t="s">
        <v>692</v>
      </c>
      <c r="H508" t="s">
        <v>693</v>
      </c>
      <c r="I508" t="s">
        <v>160</v>
      </c>
      <c r="J508">
        <v>1</v>
      </c>
      <c r="K508">
        <v>1287000</v>
      </c>
      <c r="L508">
        <v>0</v>
      </c>
      <c r="M508">
        <v>944000</v>
      </c>
      <c r="N508">
        <f>(data[[#This Row],[unit_price]]*data[[#This Row],[quantity]]) * (1-data[[#This Row],[discount]])</f>
        <v>1287000</v>
      </c>
      <c r="O508">
        <f>data[[#This Row],[sales]]-data[[#This Row],[cost]]</f>
        <v>343000</v>
      </c>
      <c r="P508" t="str">
        <f>TEXT(data[[#This Row],[order_date]],"mmm")</f>
        <v>Aug</v>
      </c>
      <c r="Q508">
        <f>YEAR(data[[#This Row],[order_date]])</f>
        <v>2023</v>
      </c>
      <c r="R508">
        <f>MONTH(data[[#This Row],[order_date]])</f>
        <v>8</v>
      </c>
      <c r="S508">
        <f>DAY(data[[#This Row],[order_date]])</f>
        <v>18</v>
      </c>
      <c r="T508">
        <f>data[[#This Row],[profit]]/data[[#This Row],[sales]]</f>
        <v>0.2665112665112665</v>
      </c>
    </row>
    <row r="509" spans="1:20" x14ac:dyDescent="0.35">
      <c r="A509" t="s">
        <v>699</v>
      </c>
      <c r="B509" s="1">
        <v>45160</v>
      </c>
      <c r="C509" t="s">
        <v>14</v>
      </c>
      <c r="D509" t="s">
        <v>15</v>
      </c>
      <c r="E509" t="s">
        <v>121</v>
      </c>
      <c r="F509" t="s">
        <v>23</v>
      </c>
      <c r="G509" t="s">
        <v>692</v>
      </c>
      <c r="H509" t="s">
        <v>693</v>
      </c>
      <c r="I509" t="s">
        <v>160</v>
      </c>
      <c r="J509">
        <v>1</v>
      </c>
      <c r="K509">
        <v>1512000</v>
      </c>
      <c r="L509">
        <v>0</v>
      </c>
      <c r="M509">
        <v>1090000</v>
      </c>
      <c r="N509">
        <f>(data[[#This Row],[unit_price]]*data[[#This Row],[quantity]]) * (1-data[[#This Row],[discount]])</f>
        <v>1512000</v>
      </c>
      <c r="O509">
        <f>data[[#This Row],[sales]]-data[[#This Row],[cost]]</f>
        <v>422000</v>
      </c>
      <c r="P509" t="str">
        <f>TEXT(data[[#This Row],[order_date]],"mmm")</f>
        <v>Aug</v>
      </c>
      <c r="Q509">
        <f>YEAR(data[[#This Row],[order_date]])</f>
        <v>2023</v>
      </c>
      <c r="R509">
        <f>MONTH(data[[#This Row],[order_date]])</f>
        <v>8</v>
      </c>
      <c r="S509">
        <f>DAY(data[[#This Row],[order_date]])</f>
        <v>22</v>
      </c>
      <c r="T509">
        <f>data[[#This Row],[profit]]/data[[#This Row],[sales]]</f>
        <v>0.27910052910052913</v>
      </c>
    </row>
    <row r="510" spans="1:20" x14ac:dyDescent="0.35">
      <c r="A510" t="s">
        <v>700</v>
      </c>
      <c r="B510" s="1">
        <v>45200</v>
      </c>
      <c r="C510" t="s">
        <v>14</v>
      </c>
      <c r="D510" t="s">
        <v>15</v>
      </c>
      <c r="E510" t="s">
        <v>226</v>
      </c>
      <c r="F510" t="s">
        <v>17</v>
      </c>
      <c r="G510" t="s">
        <v>692</v>
      </c>
      <c r="H510" t="s">
        <v>693</v>
      </c>
      <c r="I510" t="s">
        <v>160</v>
      </c>
      <c r="J510">
        <v>1</v>
      </c>
      <c r="K510">
        <v>1221000</v>
      </c>
      <c r="L510">
        <v>0</v>
      </c>
      <c r="M510">
        <v>869000</v>
      </c>
      <c r="N510">
        <f>(data[[#This Row],[unit_price]]*data[[#This Row],[quantity]]) * (1-data[[#This Row],[discount]])</f>
        <v>1221000</v>
      </c>
      <c r="O510">
        <f>data[[#This Row],[sales]]-data[[#This Row],[cost]]</f>
        <v>352000</v>
      </c>
      <c r="P510" t="str">
        <f>TEXT(data[[#This Row],[order_date]],"mmm")</f>
        <v>Oct</v>
      </c>
      <c r="Q510">
        <f>YEAR(data[[#This Row],[order_date]])</f>
        <v>2023</v>
      </c>
      <c r="R510">
        <f>MONTH(data[[#This Row],[order_date]])</f>
        <v>10</v>
      </c>
      <c r="S510">
        <f>DAY(data[[#This Row],[order_date]])</f>
        <v>1</v>
      </c>
      <c r="T510">
        <f>data[[#This Row],[profit]]/data[[#This Row],[sales]]</f>
        <v>0.28828828828828829</v>
      </c>
    </row>
    <row r="511" spans="1:20" x14ac:dyDescent="0.35">
      <c r="A511" t="s">
        <v>701</v>
      </c>
      <c r="B511" s="1">
        <v>45218</v>
      </c>
      <c r="C511" t="s">
        <v>14</v>
      </c>
      <c r="D511" t="s">
        <v>15</v>
      </c>
      <c r="E511" t="s">
        <v>205</v>
      </c>
      <c r="F511" t="s">
        <v>17</v>
      </c>
      <c r="G511" t="s">
        <v>692</v>
      </c>
      <c r="H511" t="s">
        <v>693</v>
      </c>
      <c r="I511" t="s">
        <v>160</v>
      </c>
      <c r="J511">
        <v>2</v>
      </c>
      <c r="K511">
        <v>1283000</v>
      </c>
      <c r="L511">
        <v>0.1</v>
      </c>
      <c r="M511">
        <v>918000</v>
      </c>
      <c r="N511">
        <f>(data[[#This Row],[unit_price]]*data[[#This Row],[quantity]]) * (1-data[[#This Row],[discount]])</f>
        <v>2309400</v>
      </c>
      <c r="O511">
        <f>data[[#This Row],[sales]]-data[[#This Row],[cost]]</f>
        <v>1391400</v>
      </c>
      <c r="P511" t="str">
        <f>TEXT(data[[#This Row],[order_date]],"mmm")</f>
        <v>Oct</v>
      </c>
      <c r="Q511">
        <f>YEAR(data[[#This Row],[order_date]])</f>
        <v>2023</v>
      </c>
      <c r="R511">
        <f>MONTH(data[[#This Row],[order_date]])</f>
        <v>10</v>
      </c>
      <c r="S511">
        <f>DAY(data[[#This Row],[order_date]])</f>
        <v>19</v>
      </c>
      <c r="T511">
        <f>data[[#This Row],[profit]]/data[[#This Row],[sales]]</f>
        <v>0.60249415432579889</v>
      </c>
    </row>
    <row r="512" spans="1:20" x14ac:dyDescent="0.35">
      <c r="A512" t="s">
        <v>702</v>
      </c>
      <c r="B512" s="1">
        <v>45234</v>
      </c>
      <c r="C512" t="s">
        <v>14</v>
      </c>
      <c r="D512" t="s">
        <v>15</v>
      </c>
      <c r="E512" t="s">
        <v>134</v>
      </c>
      <c r="F512" t="s">
        <v>28</v>
      </c>
      <c r="G512" t="s">
        <v>692</v>
      </c>
      <c r="H512" t="s">
        <v>693</v>
      </c>
      <c r="I512" t="s">
        <v>160</v>
      </c>
      <c r="J512">
        <v>1</v>
      </c>
      <c r="K512">
        <v>1624000</v>
      </c>
      <c r="L512">
        <v>0</v>
      </c>
      <c r="M512">
        <v>1191000</v>
      </c>
      <c r="N512">
        <f>(data[[#This Row],[unit_price]]*data[[#This Row],[quantity]]) * (1-data[[#This Row],[discount]])</f>
        <v>1624000</v>
      </c>
      <c r="O512">
        <f>data[[#This Row],[sales]]-data[[#This Row],[cost]]</f>
        <v>433000</v>
      </c>
      <c r="P512" t="str">
        <f>TEXT(data[[#This Row],[order_date]],"mmm")</f>
        <v>Nov</v>
      </c>
      <c r="Q512">
        <f>YEAR(data[[#This Row],[order_date]])</f>
        <v>2023</v>
      </c>
      <c r="R512">
        <f>MONTH(data[[#This Row],[order_date]])</f>
        <v>11</v>
      </c>
      <c r="S512">
        <f>DAY(data[[#This Row],[order_date]])</f>
        <v>4</v>
      </c>
      <c r="T512">
        <f>data[[#This Row],[profit]]/data[[#This Row],[sales]]</f>
        <v>0.26662561576354682</v>
      </c>
    </row>
    <row r="513" spans="1:20" x14ac:dyDescent="0.35">
      <c r="A513" t="s">
        <v>703</v>
      </c>
      <c r="B513" s="1">
        <v>45241</v>
      </c>
      <c r="C513" t="s">
        <v>41</v>
      </c>
      <c r="D513" t="s">
        <v>42</v>
      </c>
      <c r="E513" t="s">
        <v>333</v>
      </c>
      <c r="F513" t="s">
        <v>17</v>
      </c>
      <c r="G513" t="s">
        <v>692</v>
      </c>
      <c r="H513" t="s">
        <v>693</v>
      </c>
      <c r="I513" t="s">
        <v>160</v>
      </c>
      <c r="J513">
        <v>1</v>
      </c>
      <c r="K513">
        <v>1505000</v>
      </c>
      <c r="L513">
        <v>0.1</v>
      </c>
      <c r="M513">
        <v>1080000</v>
      </c>
      <c r="N513">
        <f>(data[[#This Row],[unit_price]]*data[[#This Row],[quantity]]) * (1-data[[#This Row],[discount]])</f>
        <v>1354500</v>
      </c>
      <c r="O513">
        <f>data[[#This Row],[sales]]-data[[#This Row],[cost]]</f>
        <v>274500</v>
      </c>
      <c r="P513" t="str">
        <f>TEXT(data[[#This Row],[order_date]],"mmm")</f>
        <v>Nov</v>
      </c>
      <c r="Q513">
        <f>YEAR(data[[#This Row],[order_date]])</f>
        <v>2023</v>
      </c>
      <c r="R513">
        <f>MONTH(data[[#This Row],[order_date]])</f>
        <v>11</v>
      </c>
      <c r="S513">
        <f>DAY(data[[#This Row],[order_date]])</f>
        <v>11</v>
      </c>
      <c r="T513">
        <f>data[[#This Row],[profit]]/data[[#This Row],[sales]]</f>
        <v>0.20265780730897009</v>
      </c>
    </row>
    <row r="514" spans="1:20" x14ac:dyDescent="0.35">
      <c r="A514" t="s">
        <v>704</v>
      </c>
      <c r="B514" s="1">
        <v>45247</v>
      </c>
      <c r="C514" t="s">
        <v>41</v>
      </c>
      <c r="D514" t="s">
        <v>42</v>
      </c>
      <c r="E514" t="s">
        <v>83</v>
      </c>
      <c r="F514" t="s">
        <v>23</v>
      </c>
      <c r="G514" t="s">
        <v>692</v>
      </c>
      <c r="H514" t="s">
        <v>693</v>
      </c>
      <c r="I514" t="s">
        <v>160</v>
      </c>
      <c r="J514">
        <v>2</v>
      </c>
      <c r="K514">
        <v>1768000</v>
      </c>
      <c r="L514">
        <v>0.05</v>
      </c>
      <c r="M514">
        <v>1282000</v>
      </c>
      <c r="N514">
        <f>(data[[#This Row],[unit_price]]*data[[#This Row],[quantity]]) * (1-data[[#This Row],[discount]])</f>
        <v>3359200</v>
      </c>
      <c r="O514">
        <f>data[[#This Row],[sales]]-data[[#This Row],[cost]]</f>
        <v>2077200</v>
      </c>
      <c r="P514" t="str">
        <f>TEXT(data[[#This Row],[order_date]],"mmm")</f>
        <v>Nov</v>
      </c>
      <c r="Q514">
        <f>YEAR(data[[#This Row],[order_date]])</f>
        <v>2023</v>
      </c>
      <c r="R514">
        <f>MONTH(data[[#This Row],[order_date]])</f>
        <v>11</v>
      </c>
      <c r="S514">
        <f>DAY(data[[#This Row],[order_date]])</f>
        <v>17</v>
      </c>
      <c r="T514">
        <f>data[[#This Row],[profit]]/data[[#This Row],[sales]]</f>
        <v>0.61836151464634437</v>
      </c>
    </row>
    <row r="515" spans="1:20" x14ac:dyDescent="0.35">
      <c r="A515" t="s">
        <v>705</v>
      </c>
      <c r="B515" s="1">
        <v>45249</v>
      </c>
      <c r="C515" t="s">
        <v>14</v>
      </c>
      <c r="D515" t="s">
        <v>15</v>
      </c>
      <c r="E515" t="s">
        <v>83</v>
      </c>
      <c r="F515" t="s">
        <v>23</v>
      </c>
      <c r="G515" t="s">
        <v>692</v>
      </c>
      <c r="H515" t="s">
        <v>693</v>
      </c>
      <c r="I515" t="s">
        <v>160</v>
      </c>
      <c r="J515">
        <v>2</v>
      </c>
      <c r="K515">
        <v>1551000</v>
      </c>
      <c r="L515">
        <v>0.15</v>
      </c>
      <c r="M515">
        <v>1142000</v>
      </c>
      <c r="N515">
        <f>(data[[#This Row],[unit_price]]*data[[#This Row],[quantity]]) * (1-data[[#This Row],[discount]])</f>
        <v>2636700</v>
      </c>
      <c r="O515">
        <f>data[[#This Row],[sales]]-data[[#This Row],[cost]]</f>
        <v>1494700</v>
      </c>
      <c r="P515" t="str">
        <f>TEXT(data[[#This Row],[order_date]],"mmm")</f>
        <v>Nov</v>
      </c>
      <c r="Q515">
        <f>YEAR(data[[#This Row],[order_date]])</f>
        <v>2023</v>
      </c>
      <c r="R515">
        <f>MONTH(data[[#This Row],[order_date]])</f>
        <v>11</v>
      </c>
      <c r="S515">
        <f>DAY(data[[#This Row],[order_date]])</f>
        <v>19</v>
      </c>
      <c r="T515">
        <f>data[[#This Row],[profit]]/data[[#This Row],[sales]]</f>
        <v>0.56688284598171956</v>
      </c>
    </row>
    <row r="516" spans="1:20" x14ac:dyDescent="0.35">
      <c r="A516" t="s">
        <v>706</v>
      </c>
      <c r="B516" s="1">
        <v>45254</v>
      </c>
      <c r="C516" t="s">
        <v>49</v>
      </c>
      <c r="D516" t="s">
        <v>50</v>
      </c>
      <c r="E516" t="s">
        <v>87</v>
      </c>
      <c r="F516" t="s">
        <v>17</v>
      </c>
      <c r="G516" t="s">
        <v>692</v>
      </c>
      <c r="H516" t="s">
        <v>693</v>
      </c>
      <c r="I516" t="s">
        <v>160</v>
      </c>
      <c r="J516">
        <v>1</v>
      </c>
      <c r="K516">
        <v>1332000</v>
      </c>
      <c r="L516">
        <v>0</v>
      </c>
      <c r="M516">
        <v>949000</v>
      </c>
      <c r="N516">
        <f>(data[[#This Row],[unit_price]]*data[[#This Row],[quantity]]) * (1-data[[#This Row],[discount]])</f>
        <v>1332000</v>
      </c>
      <c r="O516">
        <f>data[[#This Row],[sales]]-data[[#This Row],[cost]]</f>
        <v>383000</v>
      </c>
      <c r="P516" t="str">
        <f>TEXT(data[[#This Row],[order_date]],"mmm")</f>
        <v>Nov</v>
      </c>
      <c r="Q516">
        <f>YEAR(data[[#This Row],[order_date]])</f>
        <v>2023</v>
      </c>
      <c r="R516">
        <f>MONTH(data[[#This Row],[order_date]])</f>
        <v>11</v>
      </c>
      <c r="S516">
        <f>DAY(data[[#This Row],[order_date]])</f>
        <v>24</v>
      </c>
      <c r="T516">
        <f>data[[#This Row],[profit]]/data[[#This Row],[sales]]</f>
        <v>0.28753753753753752</v>
      </c>
    </row>
    <row r="517" spans="1:20" x14ac:dyDescent="0.35">
      <c r="A517" t="s">
        <v>707</v>
      </c>
      <c r="B517" s="1">
        <v>45258</v>
      </c>
      <c r="C517" t="s">
        <v>36</v>
      </c>
      <c r="D517" t="s">
        <v>37</v>
      </c>
      <c r="E517" t="s">
        <v>119</v>
      </c>
      <c r="F517" t="s">
        <v>23</v>
      </c>
      <c r="G517" t="s">
        <v>692</v>
      </c>
      <c r="H517" t="s">
        <v>693</v>
      </c>
      <c r="I517" t="s">
        <v>160</v>
      </c>
      <c r="J517">
        <v>1</v>
      </c>
      <c r="K517">
        <v>1430000</v>
      </c>
      <c r="L517">
        <v>0</v>
      </c>
      <c r="M517">
        <v>1043000</v>
      </c>
      <c r="N517">
        <f>(data[[#This Row],[unit_price]]*data[[#This Row],[quantity]]) * (1-data[[#This Row],[discount]])</f>
        <v>1430000</v>
      </c>
      <c r="O517">
        <f>data[[#This Row],[sales]]-data[[#This Row],[cost]]</f>
        <v>387000</v>
      </c>
      <c r="P517" t="str">
        <f>TEXT(data[[#This Row],[order_date]],"mmm")</f>
        <v>Nov</v>
      </c>
      <c r="Q517">
        <f>YEAR(data[[#This Row],[order_date]])</f>
        <v>2023</v>
      </c>
      <c r="R517">
        <f>MONTH(data[[#This Row],[order_date]])</f>
        <v>11</v>
      </c>
      <c r="S517">
        <f>DAY(data[[#This Row],[order_date]])</f>
        <v>28</v>
      </c>
      <c r="T517">
        <f>data[[#This Row],[profit]]/data[[#This Row],[sales]]</f>
        <v>0.27062937062937065</v>
      </c>
    </row>
    <row r="518" spans="1:20" x14ac:dyDescent="0.35">
      <c r="A518" t="s">
        <v>708</v>
      </c>
      <c r="B518" s="1">
        <v>45274</v>
      </c>
      <c r="C518" t="s">
        <v>14</v>
      </c>
      <c r="D518" t="s">
        <v>15</v>
      </c>
      <c r="E518" t="s">
        <v>141</v>
      </c>
      <c r="F518" t="s">
        <v>17</v>
      </c>
      <c r="G518" t="s">
        <v>692</v>
      </c>
      <c r="H518" t="s">
        <v>693</v>
      </c>
      <c r="I518" t="s">
        <v>160</v>
      </c>
      <c r="J518">
        <v>2</v>
      </c>
      <c r="K518">
        <v>1292000</v>
      </c>
      <c r="L518">
        <v>0</v>
      </c>
      <c r="M518">
        <v>946000</v>
      </c>
      <c r="N518">
        <f>(data[[#This Row],[unit_price]]*data[[#This Row],[quantity]]) * (1-data[[#This Row],[discount]])</f>
        <v>2584000</v>
      </c>
      <c r="O518">
        <f>data[[#This Row],[sales]]-data[[#This Row],[cost]]</f>
        <v>1638000</v>
      </c>
      <c r="P518" t="str">
        <f>TEXT(data[[#This Row],[order_date]],"mmm")</f>
        <v>Dec</v>
      </c>
      <c r="Q518">
        <f>YEAR(data[[#This Row],[order_date]])</f>
        <v>2023</v>
      </c>
      <c r="R518">
        <f>MONTH(data[[#This Row],[order_date]])</f>
        <v>12</v>
      </c>
      <c r="S518">
        <f>DAY(data[[#This Row],[order_date]])</f>
        <v>14</v>
      </c>
      <c r="T518">
        <f>data[[#This Row],[profit]]/data[[#This Row],[sales]]</f>
        <v>0.63390092879256965</v>
      </c>
    </row>
    <row r="519" spans="1:20" x14ac:dyDescent="0.35">
      <c r="A519" t="s">
        <v>709</v>
      </c>
      <c r="B519" s="1">
        <v>45295</v>
      </c>
      <c r="C519" t="s">
        <v>49</v>
      </c>
      <c r="D519" t="s">
        <v>50</v>
      </c>
      <c r="E519" t="s">
        <v>517</v>
      </c>
      <c r="F519" t="s">
        <v>23</v>
      </c>
      <c r="G519" t="s">
        <v>692</v>
      </c>
      <c r="H519" t="s">
        <v>693</v>
      </c>
      <c r="I519" t="s">
        <v>160</v>
      </c>
      <c r="J519">
        <v>1</v>
      </c>
      <c r="K519">
        <v>1359000</v>
      </c>
      <c r="L519">
        <v>0</v>
      </c>
      <c r="M519">
        <v>973000</v>
      </c>
      <c r="N519">
        <f>(data[[#This Row],[unit_price]]*data[[#This Row],[quantity]]) * (1-data[[#This Row],[discount]])</f>
        <v>1359000</v>
      </c>
      <c r="O519">
        <f>data[[#This Row],[sales]]-data[[#This Row],[cost]]</f>
        <v>386000</v>
      </c>
      <c r="P519" t="str">
        <f>TEXT(data[[#This Row],[order_date]],"mmm")</f>
        <v>Jan</v>
      </c>
      <c r="Q519">
        <f>YEAR(data[[#This Row],[order_date]])</f>
        <v>2024</v>
      </c>
      <c r="R519">
        <f>MONTH(data[[#This Row],[order_date]])</f>
        <v>1</v>
      </c>
      <c r="S519">
        <f>DAY(data[[#This Row],[order_date]])</f>
        <v>4</v>
      </c>
      <c r="T519">
        <f>data[[#This Row],[profit]]/data[[#This Row],[sales]]</f>
        <v>0.28403237674760856</v>
      </c>
    </row>
    <row r="520" spans="1:20" x14ac:dyDescent="0.35">
      <c r="A520" t="s">
        <v>710</v>
      </c>
      <c r="B520" s="1">
        <v>45318</v>
      </c>
      <c r="C520" t="s">
        <v>41</v>
      </c>
      <c r="D520" t="s">
        <v>42</v>
      </c>
      <c r="E520" t="s">
        <v>89</v>
      </c>
      <c r="F520" t="s">
        <v>23</v>
      </c>
      <c r="G520" t="s">
        <v>692</v>
      </c>
      <c r="H520" t="s">
        <v>693</v>
      </c>
      <c r="I520" t="s">
        <v>160</v>
      </c>
      <c r="J520">
        <v>2</v>
      </c>
      <c r="K520">
        <v>1859000</v>
      </c>
      <c r="L520">
        <v>0</v>
      </c>
      <c r="M520">
        <v>1339000</v>
      </c>
      <c r="N520">
        <f>(data[[#This Row],[unit_price]]*data[[#This Row],[quantity]]) * (1-data[[#This Row],[discount]])</f>
        <v>3718000</v>
      </c>
      <c r="O520">
        <f>data[[#This Row],[sales]]-data[[#This Row],[cost]]</f>
        <v>2379000</v>
      </c>
      <c r="P520" t="str">
        <f>TEXT(data[[#This Row],[order_date]],"mmm")</f>
        <v>Jan</v>
      </c>
      <c r="Q520">
        <f>YEAR(data[[#This Row],[order_date]])</f>
        <v>2024</v>
      </c>
      <c r="R520">
        <f>MONTH(data[[#This Row],[order_date]])</f>
        <v>1</v>
      </c>
      <c r="S520">
        <f>DAY(data[[#This Row],[order_date]])</f>
        <v>27</v>
      </c>
      <c r="T520">
        <f>data[[#This Row],[profit]]/data[[#This Row],[sales]]</f>
        <v>0.6398601398601399</v>
      </c>
    </row>
    <row r="521" spans="1:20" x14ac:dyDescent="0.35">
      <c r="A521" t="s">
        <v>711</v>
      </c>
      <c r="B521" s="1">
        <v>45322</v>
      </c>
      <c r="C521" t="s">
        <v>41</v>
      </c>
      <c r="D521" t="s">
        <v>42</v>
      </c>
      <c r="E521" t="s">
        <v>236</v>
      </c>
      <c r="F521" t="s">
        <v>28</v>
      </c>
      <c r="G521" t="s">
        <v>692</v>
      </c>
      <c r="H521" t="s">
        <v>693</v>
      </c>
      <c r="I521" t="s">
        <v>160</v>
      </c>
      <c r="J521">
        <v>1</v>
      </c>
      <c r="K521">
        <v>1445000</v>
      </c>
      <c r="L521">
        <v>0</v>
      </c>
      <c r="M521">
        <v>1042000</v>
      </c>
      <c r="N521">
        <f>(data[[#This Row],[unit_price]]*data[[#This Row],[quantity]]) * (1-data[[#This Row],[discount]])</f>
        <v>1445000</v>
      </c>
      <c r="O521">
        <f>data[[#This Row],[sales]]-data[[#This Row],[cost]]</f>
        <v>403000</v>
      </c>
      <c r="P521" t="str">
        <f>TEXT(data[[#This Row],[order_date]],"mmm")</f>
        <v>Jan</v>
      </c>
      <c r="Q521">
        <f>YEAR(data[[#This Row],[order_date]])</f>
        <v>2024</v>
      </c>
      <c r="R521">
        <f>MONTH(data[[#This Row],[order_date]])</f>
        <v>1</v>
      </c>
      <c r="S521">
        <f>DAY(data[[#This Row],[order_date]])</f>
        <v>31</v>
      </c>
      <c r="T521">
        <f>data[[#This Row],[profit]]/data[[#This Row],[sales]]</f>
        <v>0.27889273356401384</v>
      </c>
    </row>
    <row r="522" spans="1:20" x14ac:dyDescent="0.35">
      <c r="A522" t="s">
        <v>712</v>
      </c>
      <c r="B522" s="1">
        <v>45365</v>
      </c>
      <c r="C522" t="s">
        <v>14</v>
      </c>
      <c r="D522" t="s">
        <v>15</v>
      </c>
      <c r="E522" t="s">
        <v>55</v>
      </c>
      <c r="F522" t="s">
        <v>17</v>
      </c>
      <c r="G522" t="s">
        <v>692</v>
      </c>
      <c r="H522" t="s">
        <v>693</v>
      </c>
      <c r="I522" t="s">
        <v>160</v>
      </c>
      <c r="J522">
        <v>1</v>
      </c>
      <c r="K522">
        <v>1525000</v>
      </c>
      <c r="L522">
        <v>0.15</v>
      </c>
      <c r="M522">
        <v>1074000</v>
      </c>
      <c r="N522">
        <f>(data[[#This Row],[unit_price]]*data[[#This Row],[quantity]]) * (1-data[[#This Row],[discount]])</f>
        <v>1296250</v>
      </c>
      <c r="O522">
        <f>data[[#This Row],[sales]]-data[[#This Row],[cost]]</f>
        <v>222250</v>
      </c>
      <c r="P522" t="str">
        <f>TEXT(data[[#This Row],[order_date]],"mmm")</f>
        <v>Mar</v>
      </c>
      <c r="Q522">
        <f>YEAR(data[[#This Row],[order_date]])</f>
        <v>2024</v>
      </c>
      <c r="R522">
        <f>MONTH(data[[#This Row],[order_date]])</f>
        <v>3</v>
      </c>
      <c r="S522">
        <f>DAY(data[[#This Row],[order_date]])</f>
        <v>14</v>
      </c>
      <c r="T522">
        <f>data[[#This Row],[profit]]/data[[#This Row],[sales]]</f>
        <v>0.17145612343297975</v>
      </c>
    </row>
    <row r="523" spans="1:20" x14ac:dyDescent="0.35">
      <c r="A523" t="s">
        <v>713</v>
      </c>
      <c r="B523" s="1">
        <v>45391</v>
      </c>
      <c r="C523" t="s">
        <v>14</v>
      </c>
      <c r="D523" t="s">
        <v>15</v>
      </c>
      <c r="E523" t="s">
        <v>97</v>
      </c>
      <c r="F523" t="s">
        <v>23</v>
      </c>
      <c r="G523" t="s">
        <v>692</v>
      </c>
      <c r="H523" t="s">
        <v>693</v>
      </c>
      <c r="I523" t="s">
        <v>160</v>
      </c>
      <c r="J523">
        <v>1</v>
      </c>
      <c r="K523">
        <v>1268000</v>
      </c>
      <c r="L523">
        <v>0.05</v>
      </c>
      <c r="M523">
        <v>932000</v>
      </c>
      <c r="N523">
        <f>(data[[#This Row],[unit_price]]*data[[#This Row],[quantity]]) * (1-data[[#This Row],[discount]])</f>
        <v>1204600</v>
      </c>
      <c r="O523">
        <f>data[[#This Row],[sales]]-data[[#This Row],[cost]]</f>
        <v>272600</v>
      </c>
      <c r="P523" t="str">
        <f>TEXT(data[[#This Row],[order_date]],"mmm")</f>
        <v>Apr</v>
      </c>
      <c r="Q523">
        <f>YEAR(data[[#This Row],[order_date]])</f>
        <v>2024</v>
      </c>
      <c r="R523">
        <f>MONTH(data[[#This Row],[order_date]])</f>
        <v>4</v>
      </c>
      <c r="S523">
        <f>DAY(data[[#This Row],[order_date]])</f>
        <v>9</v>
      </c>
      <c r="T523">
        <f>data[[#This Row],[profit]]/data[[#This Row],[sales]]</f>
        <v>0.22629918645193425</v>
      </c>
    </row>
    <row r="524" spans="1:20" x14ac:dyDescent="0.35">
      <c r="A524" t="s">
        <v>714</v>
      </c>
      <c r="B524" s="1">
        <v>45425</v>
      </c>
      <c r="C524" t="s">
        <v>14</v>
      </c>
      <c r="D524" t="s">
        <v>15</v>
      </c>
      <c r="E524" t="s">
        <v>559</v>
      </c>
      <c r="F524" t="s">
        <v>23</v>
      </c>
      <c r="G524" t="s">
        <v>692</v>
      </c>
      <c r="H524" t="s">
        <v>693</v>
      </c>
      <c r="I524" t="s">
        <v>160</v>
      </c>
      <c r="J524">
        <v>3</v>
      </c>
      <c r="K524">
        <v>1357000</v>
      </c>
      <c r="L524">
        <v>0</v>
      </c>
      <c r="M524">
        <v>994000</v>
      </c>
      <c r="N524">
        <f>(data[[#This Row],[unit_price]]*data[[#This Row],[quantity]]) * (1-data[[#This Row],[discount]])</f>
        <v>4071000</v>
      </c>
      <c r="O524">
        <f>data[[#This Row],[sales]]-data[[#This Row],[cost]]</f>
        <v>3077000</v>
      </c>
      <c r="P524" t="str">
        <f>TEXT(data[[#This Row],[order_date]],"mmm")</f>
        <v>May</v>
      </c>
      <c r="Q524">
        <f>YEAR(data[[#This Row],[order_date]])</f>
        <v>2024</v>
      </c>
      <c r="R524">
        <f>MONTH(data[[#This Row],[order_date]])</f>
        <v>5</v>
      </c>
      <c r="S524">
        <f>DAY(data[[#This Row],[order_date]])</f>
        <v>13</v>
      </c>
      <c r="T524">
        <f>data[[#This Row],[profit]]/data[[#This Row],[sales]]</f>
        <v>0.75583394743306309</v>
      </c>
    </row>
    <row r="525" spans="1:20" x14ac:dyDescent="0.35">
      <c r="A525" t="s">
        <v>715</v>
      </c>
      <c r="B525" s="1">
        <v>45440</v>
      </c>
      <c r="C525" t="s">
        <v>14</v>
      </c>
      <c r="D525" t="s">
        <v>15</v>
      </c>
      <c r="E525" t="s">
        <v>104</v>
      </c>
      <c r="F525" t="s">
        <v>28</v>
      </c>
      <c r="G525" t="s">
        <v>692</v>
      </c>
      <c r="H525" t="s">
        <v>693</v>
      </c>
      <c r="I525" t="s">
        <v>160</v>
      </c>
      <c r="J525">
        <v>2</v>
      </c>
      <c r="K525">
        <v>1382000</v>
      </c>
      <c r="L525">
        <v>0.05</v>
      </c>
      <c r="M525">
        <v>984000</v>
      </c>
      <c r="N525">
        <f>(data[[#This Row],[unit_price]]*data[[#This Row],[quantity]]) * (1-data[[#This Row],[discount]])</f>
        <v>2625800</v>
      </c>
      <c r="O525">
        <f>data[[#This Row],[sales]]-data[[#This Row],[cost]]</f>
        <v>1641800</v>
      </c>
      <c r="P525" t="str">
        <f>TEXT(data[[#This Row],[order_date]],"mmm")</f>
        <v>May</v>
      </c>
      <c r="Q525">
        <f>YEAR(data[[#This Row],[order_date]])</f>
        <v>2024</v>
      </c>
      <c r="R525">
        <f>MONTH(data[[#This Row],[order_date]])</f>
        <v>5</v>
      </c>
      <c r="S525">
        <f>DAY(data[[#This Row],[order_date]])</f>
        <v>28</v>
      </c>
      <c r="T525">
        <f>data[[#This Row],[profit]]/data[[#This Row],[sales]]</f>
        <v>0.62525706451367202</v>
      </c>
    </row>
    <row r="526" spans="1:20" x14ac:dyDescent="0.35">
      <c r="A526" t="s">
        <v>716</v>
      </c>
      <c r="B526" s="1">
        <v>45444</v>
      </c>
      <c r="C526" t="s">
        <v>14</v>
      </c>
      <c r="D526" t="s">
        <v>15</v>
      </c>
      <c r="E526" t="s">
        <v>359</v>
      </c>
      <c r="F526" t="s">
        <v>23</v>
      </c>
      <c r="G526" t="s">
        <v>692</v>
      </c>
      <c r="H526" t="s">
        <v>693</v>
      </c>
      <c r="I526" t="s">
        <v>160</v>
      </c>
      <c r="J526">
        <v>2</v>
      </c>
      <c r="K526">
        <v>1527818.1818181819</v>
      </c>
      <c r="L526">
        <v>0</v>
      </c>
      <c r="M526">
        <v>1080000</v>
      </c>
      <c r="N526">
        <f>(data[[#This Row],[unit_price]]*data[[#This Row],[quantity]]) * (1-data[[#This Row],[discount]])</f>
        <v>3055636.3636363638</v>
      </c>
      <c r="O526">
        <f>data[[#This Row],[sales]]-data[[#This Row],[cost]]</f>
        <v>1975636.3636363638</v>
      </c>
      <c r="P526" t="str">
        <f>TEXT(data[[#This Row],[order_date]],"mmm")</f>
        <v>Jun</v>
      </c>
      <c r="Q526">
        <f>YEAR(data[[#This Row],[order_date]])</f>
        <v>2024</v>
      </c>
      <c r="R526">
        <f>MONTH(data[[#This Row],[order_date]])</f>
        <v>6</v>
      </c>
      <c r="S526">
        <f>DAY(data[[#This Row],[order_date]])</f>
        <v>1</v>
      </c>
      <c r="T526">
        <f>data[[#This Row],[profit]]/data[[#This Row],[sales]]</f>
        <v>0.64655480185647984</v>
      </c>
    </row>
    <row r="527" spans="1:20" x14ac:dyDescent="0.35">
      <c r="A527" t="s">
        <v>717</v>
      </c>
      <c r="B527" s="1">
        <v>45457</v>
      </c>
      <c r="C527" t="s">
        <v>14</v>
      </c>
      <c r="D527" t="s">
        <v>15</v>
      </c>
      <c r="E527" t="s">
        <v>212</v>
      </c>
      <c r="F527" t="s">
        <v>28</v>
      </c>
      <c r="G527" t="s">
        <v>692</v>
      </c>
      <c r="H527" t="s">
        <v>693</v>
      </c>
      <c r="I527" t="s">
        <v>160</v>
      </c>
      <c r="J527">
        <v>1</v>
      </c>
      <c r="K527">
        <v>1424000</v>
      </c>
      <c r="L527">
        <v>0.15</v>
      </c>
      <c r="M527">
        <v>1049000</v>
      </c>
      <c r="N527">
        <f>(data[[#This Row],[unit_price]]*data[[#This Row],[quantity]]) * (1-data[[#This Row],[discount]])</f>
        <v>1210400</v>
      </c>
      <c r="O527">
        <f>data[[#This Row],[sales]]-data[[#This Row],[cost]]</f>
        <v>161400</v>
      </c>
      <c r="P527" t="str">
        <f>TEXT(data[[#This Row],[order_date]],"mmm")</f>
        <v>Jun</v>
      </c>
      <c r="Q527">
        <f>YEAR(data[[#This Row],[order_date]])</f>
        <v>2024</v>
      </c>
      <c r="R527">
        <f>MONTH(data[[#This Row],[order_date]])</f>
        <v>6</v>
      </c>
      <c r="S527">
        <f>DAY(data[[#This Row],[order_date]])</f>
        <v>14</v>
      </c>
      <c r="T527">
        <f>data[[#This Row],[profit]]/data[[#This Row],[sales]]</f>
        <v>0.13334434897554528</v>
      </c>
    </row>
    <row r="528" spans="1:20" x14ac:dyDescent="0.35">
      <c r="A528" t="s">
        <v>718</v>
      </c>
      <c r="B528" s="1">
        <v>45460</v>
      </c>
      <c r="C528" t="s">
        <v>14</v>
      </c>
      <c r="D528" t="s">
        <v>15</v>
      </c>
      <c r="E528" t="s">
        <v>333</v>
      </c>
      <c r="F528" t="s">
        <v>17</v>
      </c>
      <c r="G528" t="s">
        <v>692</v>
      </c>
      <c r="H528" t="s">
        <v>693</v>
      </c>
      <c r="I528" t="s">
        <v>160</v>
      </c>
      <c r="J528">
        <v>1</v>
      </c>
      <c r="K528">
        <v>1799000</v>
      </c>
      <c r="L528">
        <v>0</v>
      </c>
      <c r="M528">
        <v>1276000</v>
      </c>
      <c r="N528">
        <f>(data[[#This Row],[unit_price]]*data[[#This Row],[quantity]]) * (1-data[[#This Row],[discount]])</f>
        <v>1799000</v>
      </c>
      <c r="O528">
        <f>data[[#This Row],[sales]]-data[[#This Row],[cost]]</f>
        <v>523000</v>
      </c>
      <c r="P528" t="str">
        <f>TEXT(data[[#This Row],[order_date]],"mmm")</f>
        <v>Jun</v>
      </c>
      <c r="Q528">
        <f>YEAR(data[[#This Row],[order_date]])</f>
        <v>2024</v>
      </c>
      <c r="R528">
        <f>MONTH(data[[#This Row],[order_date]])</f>
        <v>6</v>
      </c>
      <c r="S528">
        <f>DAY(data[[#This Row],[order_date]])</f>
        <v>17</v>
      </c>
      <c r="T528">
        <f>data[[#This Row],[profit]]/data[[#This Row],[sales]]</f>
        <v>0.29071706503613121</v>
      </c>
    </row>
    <row r="529" spans="1:20" x14ac:dyDescent="0.35">
      <c r="A529" t="s">
        <v>719</v>
      </c>
      <c r="B529" s="1">
        <v>45494</v>
      </c>
      <c r="C529" t="s">
        <v>49</v>
      </c>
      <c r="D529" t="s">
        <v>50</v>
      </c>
      <c r="E529" t="s">
        <v>164</v>
      </c>
      <c r="F529" t="s">
        <v>23</v>
      </c>
      <c r="G529" t="s">
        <v>692</v>
      </c>
      <c r="H529" t="s">
        <v>693</v>
      </c>
      <c r="I529" t="s">
        <v>160</v>
      </c>
      <c r="J529">
        <v>1</v>
      </c>
      <c r="K529">
        <v>1790000</v>
      </c>
      <c r="L529">
        <v>0.05</v>
      </c>
      <c r="M529">
        <v>1276000</v>
      </c>
      <c r="N529">
        <f>(data[[#This Row],[unit_price]]*data[[#This Row],[quantity]]) * (1-data[[#This Row],[discount]])</f>
        <v>1700500</v>
      </c>
      <c r="O529">
        <f>data[[#This Row],[sales]]-data[[#This Row],[cost]]</f>
        <v>424500</v>
      </c>
      <c r="P529" t="str">
        <f>TEXT(data[[#This Row],[order_date]],"mmm")</f>
        <v>Jul</v>
      </c>
      <c r="Q529">
        <f>YEAR(data[[#This Row],[order_date]])</f>
        <v>2024</v>
      </c>
      <c r="R529">
        <f>MONTH(data[[#This Row],[order_date]])</f>
        <v>7</v>
      </c>
      <c r="S529">
        <f>DAY(data[[#This Row],[order_date]])</f>
        <v>21</v>
      </c>
      <c r="T529">
        <f>data[[#This Row],[profit]]/data[[#This Row],[sales]]</f>
        <v>0.24963246104087033</v>
      </c>
    </row>
    <row r="530" spans="1:20" x14ac:dyDescent="0.35">
      <c r="A530" t="s">
        <v>720</v>
      </c>
      <c r="B530" s="1">
        <v>45509</v>
      </c>
      <c r="C530" t="s">
        <v>14</v>
      </c>
      <c r="D530" t="s">
        <v>15</v>
      </c>
      <c r="E530" t="s">
        <v>166</v>
      </c>
      <c r="F530" t="s">
        <v>28</v>
      </c>
      <c r="G530" t="s">
        <v>692</v>
      </c>
      <c r="H530" t="s">
        <v>693</v>
      </c>
      <c r="I530" t="s">
        <v>160</v>
      </c>
      <c r="J530">
        <v>1</v>
      </c>
      <c r="K530">
        <v>1364000</v>
      </c>
      <c r="L530">
        <v>0.05</v>
      </c>
      <c r="M530">
        <v>1003000</v>
      </c>
      <c r="N530">
        <f>(data[[#This Row],[unit_price]]*data[[#This Row],[quantity]]) * (1-data[[#This Row],[discount]])</f>
        <v>1295800</v>
      </c>
      <c r="O530">
        <f>data[[#This Row],[sales]]-data[[#This Row],[cost]]</f>
        <v>292800</v>
      </c>
      <c r="P530" t="str">
        <f>TEXT(data[[#This Row],[order_date]],"mmm")</f>
        <v>Aug</v>
      </c>
      <c r="Q530">
        <f>YEAR(data[[#This Row],[order_date]])</f>
        <v>2024</v>
      </c>
      <c r="R530">
        <f>MONTH(data[[#This Row],[order_date]])</f>
        <v>8</v>
      </c>
      <c r="S530">
        <f>DAY(data[[#This Row],[order_date]])</f>
        <v>5</v>
      </c>
      <c r="T530">
        <f>data[[#This Row],[profit]]/data[[#This Row],[sales]]</f>
        <v>0.2259607964192005</v>
      </c>
    </row>
    <row r="531" spans="1:20" x14ac:dyDescent="0.35">
      <c r="A531" t="s">
        <v>721</v>
      </c>
      <c r="B531" s="1">
        <v>45521</v>
      </c>
      <c r="C531" t="s">
        <v>14</v>
      </c>
      <c r="D531" t="s">
        <v>15</v>
      </c>
      <c r="E531" t="s">
        <v>327</v>
      </c>
      <c r="F531" t="s">
        <v>23</v>
      </c>
      <c r="G531" t="s">
        <v>692</v>
      </c>
      <c r="H531" t="s">
        <v>693</v>
      </c>
      <c r="I531" t="s">
        <v>160</v>
      </c>
      <c r="J531">
        <v>3</v>
      </c>
      <c r="K531">
        <v>1784000</v>
      </c>
      <c r="L531">
        <v>0</v>
      </c>
      <c r="M531">
        <v>1286000</v>
      </c>
      <c r="N531">
        <f>(data[[#This Row],[unit_price]]*data[[#This Row],[quantity]]) * (1-data[[#This Row],[discount]])</f>
        <v>5352000</v>
      </c>
      <c r="O531">
        <f>data[[#This Row],[sales]]-data[[#This Row],[cost]]</f>
        <v>4066000</v>
      </c>
      <c r="P531" t="str">
        <f>TEXT(data[[#This Row],[order_date]],"mmm")</f>
        <v>Aug</v>
      </c>
      <c r="Q531">
        <f>YEAR(data[[#This Row],[order_date]])</f>
        <v>2024</v>
      </c>
      <c r="R531">
        <f>MONTH(data[[#This Row],[order_date]])</f>
        <v>8</v>
      </c>
      <c r="S531">
        <f>DAY(data[[#This Row],[order_date]])</f>
        <v>17</v>
      </c>
      <c r="T531">
        <f>data[[#This Row],[profit]]/data[[#This Row],[sales]]</f>
        <v>0.75971599402092671</v>
      </c>
    </row>
    <row r="532" spans="1:20" x14ac:dyDescent="0.35">
      <c r="A532" t="s">
        <v>722</v>
      </c>
      <c r="B532" s="1">
        <v>45553</v>
      </c>
      <c r="C532" t="s">
        <v>41</v>
      </c>
      <c r="D532" t="s">
        <v>42</v>
      </c>
      <c r="E532" t="s">
        <v>197</v>
      </c>
      <c r="F532" t="s">
        <v>28</v>
      </c>
      <c r="G532" t="s">
        <v>692</v>
      </c>
      <c r="H532" t="s">
        <v>693</v>
      </c>
      <c r="I532" t="s">
        <v>160</v>
      </c>
      <c r="J532">
        <v>2</v>
      </c>
      <c r="K532">
        <v>1411000</v>
      </c>
      <c r="L532">
        <v>0</v>
      </c>
      <c r="M532">
        <v>1006000</v>
      </c>
      <c r="N532">
        <f>(data[[#This Row],[unit_price]]*data[[#This Row],[quantity]]) * (1-data[[#This Row],[discount]])</f>
        <v>2822000</v>
      </c>
      <c r="O532">
        <f>data[[#This Row],[sales]]-data[[#This Row],[cost]]</f>
        <v>1816000</v>
      </c>
      <c r="P532" t="str">
        <f>TEXT(data[[#This Row],[order_date]],"mmm")</f>
        <v>Sep</v>
      </c>
      <c r="Q532">
        <f>YEAR(data[[#This Row],[order_date]])</f>
        <v>2024</v>
      </c>
      <c r="R532">
        <f>MONTH(data[[#This Row],[order_date]])</f>
        <v>9</v>
      </c>
      <c r="S532">
        <f>DAY(data[[#This Row],[order_date]])</f>
        <v>18</v>
      </c>
      <c r="T532">
        <f>data[[#This Row],[profit]]/data[[#This Row],[sales]]</f>
        <v>0.64351523742026928</v>
      </c>
    </row>
    <row r="533" spans="1:20" x14ac:dyDescent="0.35">
      <c r="A533" t="s">
        <v>723</v>
      </c>
      <c r="B533" s="1">
        <v>45584</v>
      </c>
      <c r="C533" t="s">
        <v>41</v>
      </c>
      <c r="D533" t="s">
        <v>42</v>
      </c>
      <c r="E533" t="s">
        <v>157</v>
      </c>
      <c r="F533" t="s">
        <v>23</v>
      </c>
      <c r="G533" t="s">
        <v>692</v>
      </c>
      <c r="H533" t="s">
        <v>693</v>
      </c>
      <c r="I533" t="s">
        <v>160</v>
      </c>
      <c r="J533">
        <v>1</v>
      </c>
      <c r="K533">
        <v>1283000</v>
      </c>
      <c r="L533">
        <v>0</v>
      </c>
      <c r="M533">
        <v>949000</v>
      </c>
      <c r="N533">
        <f>(data[[#This Row],[unit_price]]*data[[#This Row],[quantity]]) * (1-data[[#This Row],[discount]])</f>
        <v>1283000</v>
      </c>
      <c r="O533">
        <f>data[[#This Row],[sales]]-data[[#This Row],[cost]]</f>
        <v>334000</v>
      </c>
      <c r="P533" t="str">
        <f>TEXT(data[[#This Row],[order_date]],"mmm")</f>
        <v>Oct</v>
      </c>
      <c r="Q533">
        <f>YEAR(data[[#This Row],[order_date]])</f>
        <v>2024</v>
      </c>
      <c r="R533">
        <f>MONTH(data[[#This Row],[order_date]])</f>
        <v>10</v>
      </c>
      <c r="S533">
        <f>DAY(data[[#This Row],[order_date]])</f>
        <v>19</v>
      </c>
      <c r="T533">
        <f>data[[#This Row],[profit]]/data[[#This Row],[sales]]</f>
        <v>0.26032735775526111</v>
      </c>
    </row>
    <row r="534" spans="1:20" x14ac:dyDescent="0.35">
      <c r="A534" t="s">
        <v>724</v>
      </c>
      <c r="B534" s="1">
        <v>45644</v>
      </c>
      <c r="C534" t="s">
        <v>36</v>
      </c>
      <c r="D534" t="s">
        <v>37</v>
      </c>
      <c r="E534" t="s">
        <v>201</v>
      </c>
      <c r="F534" t="s">
        <v>58</v>
      </c>
      <c r="G534" t="s">
        <v>692</v>
      </c>
      <c r="H534" t="s">
        <v>693</v>
      </c>
      <c r="I534" t="s">
        <v>160</v>
      </c>
      <c r="J534">
        <v>1</v>
      </c>
      <c r="K534">
        <v>1600000</v>
      </c>
      <c r="L534">
        <v>0</v>
      </c>
      <c r="M534">
        <v>1150000</v>
      </c>
      <c r="N534">
        <f>(data[[#This Row],[unit_price]]*data[[#This Row],[quantity]]) * (1-data[[#This Row],[discount]])</f>
        <v>1600000</v>
      </c>
      <c r="O534">
        <f>data[[#This Row],[sales]]-data[[#This Row],[cost]]</f>
        <v>450000</v>
      </c>
      <c r="P534" t="str">
        <f>TEXT(data[[#This Row],[order_date]],"mmm")</f>
        <v>Dec</v>
      </c>
      <c r="Q534">
        <f>YEAR(data[[#This Row],[order_date]])</f>
        <v>2024</v>
      </c>
      <c r="R534">
        <f>MONTH(data[[#This Row],[order_date]])</f>
        <v>12</v>
      </c>
      <c r="S534">
        <f>DAY(data[[#This Row],[order_date]])</f>
        <v>18</v>
      </c>
      <c r="T534">
        <f>data[[#This Row],[profit]]/data[[#This Row],[sales]]</f>
        <v>0.28125</v>
      </c>
    </row>
    <row r="535" spans="1:20" x14ac:dyDescent="0.35">
      <c r="A535" t="s">
        <v>725</v>
      </c>
      <c r="B535" s="1">
        <v>45663</v>
      </c>
      <c r="C535" t="s">
        <v>14</v>
      </c>
      <c r="D535" t="s">
        <v>15</v>
      </c>
      <c r="E535" t="s">
        <v>197</v>
      </c>
      <c r="F535" t="s">
        <v>28</v>
      </c>
      <c r="G535" t="s">
        <v>692</v>
      </c>
      <c r="H535" t="s">
        <v>693</v>
      </c>
      <c r="I535" t="s">
        <v>160</v>
      </c>
      <c r="J535">
        <v>2</v>
      </c>
      <c r="K535">
        <v>1368000</v>
      </c>
      <c r="L535">
        <v>0</v>
      </c>
      <c r="M535">
        <v>981000</v>
      </c>
      <c r="N535">
        <f>(data[[#This Row],[unit_price]]*data[[#This Row],[quantity]]) * (1-data[[#This Row],[discount]])</f>
        <v>2736000</v>
      </c>
      <c r="O535">
        <f>data[[#This Row],[sales]]-data[[#This Row],[cost]]</f>
        <v>1755000</v>
      </c>
      <c r="P535" t="str">
        <f>TEXT(data[[#This Row],[order_date]],"mmm")</f>
        <v>Jan</v>
      </c>
      <c r="Q535">
        <f>YEAR(data[[#This Row],[order_date]])</f>
        <v>2025</v>
      </c>
      <c r="R535">
        <f>MONTH(data[[#This Row],[order_date]])</f>
        <v>1</v>
      </c>
      <c r="S535">
        <f>DAY(data[[#This Row],[order_date]])</f>
        <v>6</v>
      </c>
      <c r="T535">
        <f>data[[#This Row],[profit]]/data[[#This Row],[sales]]</f>
        <v>0.64144736842105265</v>
      </c>
    </row>
    <row r="536" spans="1:20" x14ac:dyDescent="0.35">
      <c r="A536" t="s">
        <v>726</v>
      </c>
      <c r="B536" s="1">
        <v>45682</v>
      </c>
      <c r="C536" t="s">
        <v>49</v>
      </c>
      <c r="D536" t="s">
        <v>50</v>
      </c>
      <c r="E536" t="s">
        <v>359</v>
      </c>
      <c r="F536" t="s">
        <v>23</v>
      </c>
      <c r="G536" t="s">
        <v>692</v>
      </c>
      <c r="H536" t="s">
        <v>693</v>
      </c>
      <c r="I536" t="s">
        <v>160</v>
      </c>
      <c r="J536">
        <v>1</v>
      </c>
      <c r="K536">
        <v>1967000</v>
      </c>
      <c r="L536">
        <v>0</v>
      </c>
      <c r="M536">
        <v>1441000</v>
      </c>
      <c r="N536">
        <f>(data[[#This Row],[unit_price]]*data[[#This Row],[quantity]]) * (1-data[[#This Row],[discount]])</f>
        <v>1967000</v>
      </c>
      <c r="O536">
        <f>data[[#This Row],[sales]]-data[[#This Row],[cost]]</f>
        <v>526000</v>
      </c>
      <c r="P536" t="str">
        <f>TEXT(data[[#This Row],[order_date]],"mmm")</f>
        <v>Jan</v>
      </c>
      <c r="Q536">
        <f>YEAR(data[[#This Row],[order_date]])</f>
        <v>2025</v>
      </c>
      <c r="R536">
        <f>MONTH(data[[#This Row],[order_date]])</f>
        <v>1</v>
      </c>
      <c r="S536">
        <f>DAY(data[[#This Row],[order_date]])</f>
        <v>25</v>
      </c>
      <c r="T536">
        <f>data[[#This Row],[profit]]/data[[#This Row],[sales]]</f>
        <v>0.26741230299949159</v>
      </c>
    </row>
    <row r="537" spans="1:20" x14ac:dyDescent="0.35">
      <c r="A537" t="s">
        <v>727</v>
      </c>
      <c r="B537" s="1">
        <v>45685</v>
      </c>
      <c r="C537" t="s">
        <v>36</v>
      </c>
      <c r="D537" t="s">
        <v>37</v>
      </c>
      <c r="E537" t="s">
        <v>402</v>
      </c>
      <c r="F537" t="s">
        <v>23</v>
      </c>
      <c r="G537" t="s">
        <v>692</v>
      </c>
      <c r="H537" t="s">
        <v>693</v>
      </c>
      <c r="I537" t="s">
        <v>160</v>
      </c>
      <c r="J537">
        <v>1</v>
      </c>
      <c r="K537">
        <v>1658000</v>
      </c>
      <c r="L537">
        <v>0</v>
      </c>
      <c r="M537">
        <v>1209000</v>
      </c>
      <c r="N537">
        <f>(data[[#This Row],[unit_price]]*data[[#This Row],[quantity]]) * (1-data[[#This Row],[discount]])</f>
        <v>1658000</v>
      </c>
      <c r="O537">
        <f>data[[#This Row],[sales]]-data[[#This Row],[cost]]</f>
        <v>449000</v>
      </c>
      <c r="P537" t="str">
        <f>TEXT(data[[#This Row],[order_date]],"mmm")</f>
        <v>Jan</v>
      </c>
      <c r="Q537">
        <f>YEAR(data[[#This Row],[order_date]])</f>
        <v>2025</v>
      </c>
      <c r="R537">
        <f>MONTH(data[[#This Row],[order_date]])</f>
        <v>1</v>
      </c>
      <c r="S537">
        <f>DAY(data[[#This Row],[order_date]])</f>
        <v>28</v>
      </c>
      <c r="T537">
        <f>data[[#This Row],[profit]]/data[[#This Row],[sales]]</f>
        <v>0.27080820265379973</v>
      </c>
    </row>
    <row r="538" spans="1:20" x14ac:dyDescent="0.35">
      <c r="A538" t="s">
        <v>728</v>
      </c>
      <c r="B538" s="1">
        <v>45710</v>
      </c>
      <c r="C538" t="s">
        <v>41</v>
      </c>
      <c r="D538" t="s">
        <v>42</v>
      </c>
      <c r="E538" t="s">
        <v>74</v>
      </c>
      <c r="F538" t="s">
        <v>23</v>
      </c>
      <c r="G538" t="s">
        <v>692</v>
      </c>
      <c r="H538" t="s">
        <v>693</v>
      </c>
      <c r="I538" t="s">
        <v>160</v>
      </c>
      <c r="J538">
        <v>1</v>
      </c>
      <c r="K538">
        <v>1860000</v>
      </c>
      <c r="L538">
        <v>0.05</v>
      </c>
      <c r="M538">
        <v>1348000</v>
      </c>
      <c r="N538">
        <f>(data[[#This Row],[unit_price]]*data[[#This Row],[quantity]]) * (1-data[[#This Row],[discount]])</f>
        <v>1767000</v>
      </c>
      <c r="O538">
        <f>data[[#This Row],[sales]]-data[[#This Row],[cost]]</f>
        <v>419000</v>
      </c>
      <c r="P538" t="str">
        <f>TEXT(data[[#This Row],[order_date]],"mmm")</f>
        <v>Feb</v>
      </c>
      <c r="Q538">
        <f>YEAR(data[[#This Row],[order_date]])</f>
        <v>2025</v>
      </c>
      <c r="R538">
        <f>MONTH(data[[#This Row],[order_date]])</f>
        <v>2</v>
      </c>
      <c r="S538">
        <f>DAY(data[[#This Row],[order_date]])</f>
        <v>22</v>
      </c>
      <c r="T538">
        <f>data[[#This Row],[profit]]/data[[#This Row],[sales]]</f>
        <v>0.23712507074136954</v>
      </c>
    </row>
    <row r="539" spans="1:20" x14ac:dyDescent="0.35">
      <c r="A539" t="s">
        <v>729</v>
      </c>
      <c r="B539" s="1">
        <v>45714</v>
      </c>
      <c r="C539" t="s">
        <v>41</v>
      </c>
      <c r="D539" t="s">
        <v>42</v>
      </c>
      <c r="E539" t="s">
        <v>51</v>
      </c>
      <c r="F539" t="s">
        <v>23</v>
      </c>
      <c r="G539" t="s">
        <v>692</v>
      </c>
      <c r="H539" t="s">
        <v>693</v>
      </c>
      <c r="I539" t="s">
        <v>160</v>
      </c>
      <c r="J539">
        <v>5</v>
      </c>
      <c r="K539">
        <v>1412000</v>
      </c>
      <c r="L539">
        <v>0</v>
      </c>
      <c r="M539">
        <v>1005000</v>
      </c>
      <c r="N539">
        <f>(data[[#This Row],[unit_price]]*data[[#This Row],[quantity]]) * (1-data[[#This Row],[discount]])</f>
        <v>7060000</v>
      </c>
      <c r="O539">
        <f>data[[#This Row],[sales]]-data[[#This Row],[cost]]</f>
        <v>6055000</v>
      </c>
      <c r="P539" t="str">
        <f>TEXT(data[[#This Row],[order_date]],"mmm")</f>
        <v>Feb</v>
      </c>
      <c r="Q539">
        <f>YEAR(data[[#This Row],[order_date]])</f>
        <v>2025</v>
      </c>
      <c r="R539">
        <f>MONTH(data[[#This Row],[order_date]])</f>
        <v>2</v>
      </c>
      <c r="S539">
        <f>DAY(data[[#This Row],[order_date]])</f>
        <v>26</v>
      </c>
      <c r="T539">
        <f>data[[#This Row],[profit]]/data[[#This Row],[sales]]</f>
        <v>0.8576487252124646</v>
      </c>
    </row>
    <row r="540" spans="1:20" x14ac:dyDescent="0.35">
      <c r="A540" t="s">
        <v>730</v>
      </c>
      <c r="B540" s="1">
        <v>45763</v>
      </c>
      <c r="C540" t="s">
        <v>14</v>
      </c>
      <c r="D540" t="s">
        <v>15</v>
      </c>
      <c r="E540" t="s">
        <v>247</v>
      </c>
      <c r="F540" t="s">
        <v>17</v>
      </c>
      <c r="G540" t="s">
        <v>692</v>
      </c>
      <c r="H540" t="s">
        <v>693</v>
      </c>
      <c r="I540" t="s">
        <v>160</v>
      </c>
      <c r="J540">
        <v>1</v>
      </c>
      <c r="K540">
        <v>1922000</v>
      </c>
      <c r="L540">
        <v>0</v>
      </c>
      <c r="M540">
        <v>1368000</v>
      </c>
      <c r="N540">
        <f>(data[[#This Row],[unit_price]]*data[[#This Row],[quantity]]) * (1-data[[#This Row],[discount]])</f>
        <v>1922000</v>
      </c>
      <c r="O540">
        <f>data[[#This Row],[sales]]-data[[#This Row],[cost]]</f>
        <v>554000</v>
      </c>
      <c r="P540" t="str">
        <f>TEXT(data[[#This Row],[order_date]],"mmm")</f>
        <v>Apr</v>
      </c>
      <c r="Q540">
        <f>YEAR(data[[#This Row],[order_date]])</f>
        <v>2025</v>
      </c>
      <c r="R540">
        <f>MONTH(data[[#This Row],[order_date]])</f>
        <v>4</v>
      </c>
      <c r="S540">
        <f>DAY(data[[#This Row],[order_date]])</f>
        <v>16</v>
      </c>
      <c r="T540">
        <f>data[[#This Row],[profit]]/data[[#This Row],[sales]]</f>
        <v>0.28824141519250779</v>
      </c>
    </row>
    <row r="541" spans="1:20" x14ac:dyDescent="0.35">
      <c r="A541" t="s">
        <v>731</v>
      </c>
      <c r="B541" s="1">
        <v>45774</v>
      </c>
      <c r="C541" t="s">
        <v>41</v>
      </c>
      <c r="D541" t="s">
        <v>42</v>
      </c>
      <c r="E541" t="s">
        <v>51</v>
      </c>
      <c r="F541" t="s">
        <v>23</v>
      </c>
      <c r="G541" t="s">
        <v>692</v>
      </c>
      <c r="H541" t="s">
        <v>693</v>
      </c>
      <c r="I541" t="s">
        <v>160</v>
      </c>
      <c r="J541">
        <v>1</v>
      </c>
      <c r="K541">
        <v>1874000</v>
      </c>
      <c r="L541">
        <v>0</v>
      </c>
      <c r="M541">
        <v>1358000</v>
      </c>
      <c r="N541">
        <f>(data[[#This Row],[unit_price]]*data[[#This Row],[quantity]]) * (1-data[[#This Row],[discount]])</f>
        <v>1874000</v>
      </c>
      <c r="O541">
        <f>data[[#This Row],[sales]]-data[[#This Row],[cost]]</f>
        <v>516000</v>
      </c>
      <c r="P541" t="str">
        <f>TEXT(data[[#This Row],[order_date]],"mmm")</f>
        <v>Apr</v>
      </c>
      <c r="Q541">
        <f>YEAR(data[[#This Row],[order_date]])</f>
        <v>2025</v>
      </c>
      <c r="R541">
        <f>MONTH(data[[#This Row],[order_date]])</f>
        <v>4</v>
      </c>
      <c r="S541">
        <f>DAY(data[[#This Row],[order_date]])</f>
        <v>27</v>
      </c>
      <c r="T541">
        <f>data[[#This Row],[profit]]/data[[#This Row],[sales]]</f>
        <v>0.27534685165421557</v>
      </c>
    </row>
    <row r="542" spans="1:20" x14ac:dyDescent="0.35">
      <c r="A542" t="s">
        <v>732</v>
      </c>
      <c r="B542" s="1">
        <v>45807</v>
      </c>
      <c r="C542" t="s">
        <v>14</v>
      </c>
      <c r="D542" t="s">
        <v>15</v>
      </c>
      <c r="E542" t="s">
        <v>287</v>
      </c>
      <c r="F542" t="s">
        <v>28</v>
      </c>
      <c r="G542" t="s">
        <v>692</v>
      </c>
      <c r="H542" t="s">
        <v>693</v>
      </c>
      <c r="I542" t="s">
        <v>160</v>
      </c>
      <c r="J542">
        <v>1</v>
      </c>
      <c r="K542">
        <v>1337000</v>
      </c>
      <c r="L542">
        <v>0.05</v>
      </c>
      <c r="M542">
        <v>986000</v>
      </c>
      <c r="N542">
        <f>(data[[#This Row],[unit_price]]*data[[#This Row],[quantity]]) * (1-data[[#This Row],[discount]])</f>
        <v>1270150</v>
      </c>
      <c r="O542">
        <f>data[[#This Row],[sales]]-data[[#This Row],[cost]]</f>
        <v>284150</v>
      </c>
      <c r="P542" t="str">
        <f>TEXT(data[[#This Row],[order_date]],"mmm")</f>
        <v>May</v>
      </c>
      <c r="Q542">
        <f>YEAR(data[[#This Row],[order_date]])</f>
        <v>2025</v>
      </c>
      <c r="R542">
        <f>MONTH(data[[#This Row],[order_date]])</f>
        <v>5</v>
      </c>
      <c r="S542">
        <f>DAY(data[[#This Row],[order_date]])</f>
        <v>30</v>
      </c>
      <c r="T542">
        <f>data[[#This Row],[profit]]/data[[#This Row],[sales]]</f>
        <v>0.22371373459827579</v>
      </c>
    </row>
    <row r="543" spans="1:20" x14ac:dyDescent="0.35">
      <c r="A543" t="s">
        <v>733</v>
      </c>
      <c r="B543" s="1">
        <v>45808</v>
      </c>
      <c r="C543" t="s">
        <v>41</v>
      </c>
      <c r="D543" t="s">
        <v>42</v>
      </c>
      <c r="E543" t="s">
        <v>613</v>
      </c>
      <c r="F543" t="s">
        <v>28</v>
      </c>
      <c r="G543" t="s">
        <v>692</v>
      </c>
      <c r="H543" t="s">
        <v>693</v>
      </c>
      <c r="I543" t="s">
        <v>160</v>
      </c>
      <c r="J543">
        <v>1</v>
      </c>
      <c r="K543">
        <v>1831000</v>
      </c>
      <c r="L543">
        <v>0</v>
      </c>
      <c r="M543">
        <v>1346000</v>
      </c>
      <c r="N543">
        <f>(data[[#This Row],[unit_price]]*data[[#This Row],[quantity]]) * (1-data[[#This Row],[discount]])</f>
        <v>1831000</v>
      </c>
      <c r="O543">
        <f>data[[#This Row],[sales]]-data[[#This Row],[cost]]</f>
        <v>485000</v>
      </c>
      <c r="P543" t="str">
        <f>TEXT(data[[#This Row],[order_date]],"mmm")</f>
        <v>May</v>
      </c>
      <c r="Q543">
        <f>YEAR(data[[#This Row],[order_date]])</f>
        <v>2025</v>
      </c>
      <c r="R543">
        <f>MONTH(data[[#This Row],[order_date]])</f>
        <v>5</v>
      </c>
      <c r="S543">
        <f>DAY(data[[#This Row],[order_date]])</f>
        <v>31</v>
      </c>
      <c r="T543">
        <f>data[[#This Row],[profit]]/data[[#This Row],[sales]]</f>
        <v>0.26488257782632441</v>
      </c>
    </row>
    <row r="544" spans="1:20" x14ac:dyDescent="0.35">
      <c r="A544" t="s">
        <v>734</v>
      </c>
      <c r="B544" s="1">
        <v>45817</v>
      </c>
      <c r="C544" t="s">
        <v>49</v>
      </c>
      <c r="D544" t="s">
        <v>50</v>
      </c>
      <c r="E544" t="s">
        <v>89</v>
      </c>
      <c r="F544" t="s">
        <v>23</v>
      </c>
      <c r="G544" t="s">
        <v>692</v>
      </c>
      <c r="H544" t="s">
        <v>693</v>
      </c>
      <c r="I544" t="s">
        <v>160</v>
      </c>
      <c r="J544">
        <v>1</v>
      </c>
      <c r="K544">
        <v>1491000</v>
      </c>
      <c r="L544">
        <v>0</v>
      </c>
      <c r="M544">
        <v>1077000</v>
      </c>
      <c r="N544">
        <f>(data[[#This Row],[unit_price]]*data[[#This Row],[quantity]]) * (1-data[[#This Row],[discount]])</f>
        <v>1491000</v>
      </c>
      <c r="O544">
        <f>data[[#This Row],[sales]]-data[[#This Row],[cost]]</f>
        <v>414000</v>
      </c>
      <c r="P544" t="str">
        <f>TEXT(data[[#This Row],[order_date]],"mmm")</f>
        <v>Jun</v>
      </c>
      <c r="Q544">
        <f>YEAR(data[[#This Row],[order_date]])</f>
        <v>2025</v>
      </c>
      <c r="R544">
        <f>MONTH(data[[#This Row],[order_date]])</f>
        <v>6</v>
      </c>
      <c r="S544">
        <f>DAY(data[[#This Row],[order_date]])</f>
        <v>9</v>
      </c>
      <c r="T544">
        <f>data[[#This Row],[profit]]/data[[#This Row],[sales]]</f>
        <v>0.27766599597585512</v>
      </c>
    </row>
    <row r="545" spans="1:20" x14ac:dyDescent="0.35">
      <c r="A545" t="s">
        <v>735</v>
      </c>
      <c r="B545" s="1">
        <v>45867</v>
      </c>
      <c r="C545" t="s">
        <v>14</v>
      </c>
      <c r="D545" t="s">
        <v>15</v>
      </c>
      <c r="E545" t="s">
        <v>291</v>
      </c>
      <c r="F545" t="s">
        <v>17</v>
      </c>
      <c r="G545" t="s">
        <v>692</v>
      </c>
      <c r="H545" t="s">
        <v>693</v>
      </c>
      <c r="I545" t="s">
        <v>160</v>
      </c>
      <c r="J545">
        <v>1</v>
      </c>
      <c r="K545">
        <v>1342000</v>
      </c>
      <c r="L545">
        <v>0</v>
      </c>
      <c r="M545">
        <v>942000</v>
      </c>
      <c r="N545">
        <f>(data[[#This Row],[unit_price]]*data[[#This Row],[quantity]]) * (1-data[[#This Row],[discount]])</f>
        <v>1342000</v>
      </c>
      <c r="O545">
        <f>data[[#This Row],[sales]]-data[[#This Row],[cost]]</f>
        <v>400000</v>
      </c>
      <c r="P545" t="str">
        <f>TEXT(data[[#This Row],[order_date]],"mmm")</f>
        <v>Jul</v>
      </c>
      <c r="Q545">
        <f>YEAR(data[[#This Row],[order_date]])</f>
        <v>2025</v>
      </c>
      <c r="R545">
        <f>MONTH(data[[#This Row],[order_date]])</f>
        <v>7</v>
      </c>
      <c r="S545">
        <f>DAY(data[[#This Row],[order_date]])</f>
        <v>29</v>
      </c>
      <c r="T545">
        <f>data[[#This Row],[profit]]/data[[#This Row],[sales]]</f>
        <v>0.29806259314456035</v>
      </c>
    </row>
    <row r="546" spans="1:20" x14ac:dyDescent="0.35">
      <c r="A546" t="s">
        <v>736</v>
      </c>
      <c r="B546" s="1">
        <v>45870</v>
      </c>
      <c r="C546" t="s">
        <v>41</v>
      </c>
      <c r="D546" t="s">
        <v>42</v>
      </c>
      <c r="E546" t="s">
        <v>413</v>
      </c>
      <c r="F546" t="s">
        <v>23</v>
      </c>
      <c r="G546" t="s">
        <v>692</v>
      </c>
      <c r="H546" t="s">
        <v>693</v>
      </c>
      <c r="I546" t="s">
        <v>160</v>
      </c>
      <c r="J546">
        <v>1</v>
      </c>
      <c r="K546">
        <v>1465000</v>
      </c>
      <c r="L546">
        <v>0</v>
      </c>
      <c r="M546">
        <v>1050000</v>
      </c>
      <c r="N546">
        <f>(data[[#This Row],[unit_price]]*data[[#This Row],[quantity]]) * (1-data[[#This Row],[discount]])</f>
        <v>1465000</v>
      </c>
      <c r="O546">
        <f>data[[#This Row],[sales]]-data[[#This Row],[cost]]</f>
        <v>415000</v>
      </c>
      <c r="P546" t="str">
        <f>TEXT(data[[#This Row],[order_date]],"mmm")</f>
        <v>Aug</v>
      </c>
      <c r="Q546">
        <f>YEAR(data[[#This Row],[order_date]])</f>
        <v>2025</v>
      </c>
      <c r="R546">
        <f>MONTH(data[[#This Row],[order_date]])</f>
        <v>8</v>
      </c>
      <c r="S546">
        <f>DAY(data[[#This Row],[order_date]])</f>
        <v>1</v>
      </c>
      <c r="T546">
        <f>data[[#This Row],[profit]]/data[[#This Row],[sales]]</f>
        <v>0.28327645051194539</v>
      </c>
    </row>
    <row r="547" spans="1:20" x14ac:dyDescent="0.35">
      <c r="A547" t="s">
        <v>737</v>
      </c>
      <c r="B547" s="1">
        <v>45904</v>
      </c>
      <c r="C547" t="s">
        <v>14</v>
      </c>
      <c r="D547" t="s">
        <v>15</v>
      </c>
      <c r="E547" t="s">
        <v>274</v>
      </c>
      <c r="F547" t="s">
        <v>58</v>
      </c>
      <c r="G547" t="s">
        <v>692</v>
      </c>
      <c r="H547" t="s">
        <v>693</v>
      </c>
      <c r="I547" t="s">
        <v>160</v>
      </c>
      <c r="J547">
        <v>1</v>
      </c>
      <c r="K547">
        <v>1359000</v>
      </c>
      <c r="L547">
        <v>0.1</v>
      </c>
      <c r="M547">
        <v>982000</v>
      </c>
      <c r="N547">
        <f>(data[[#This Row],[unit_price]]*data[[#This Row],[quantity]]) * (1-data[[#This Row],[discount]])</f>
        <v>1223100</v>
      </c>
      <c r="O547">
        <f>data[[#This Row],[sales]]-data[[#This Row],[cost]]</f>
        <v>241100</v>
      </c>
      <c r="P547" t="str">
        <f>TEXT(data[[#This Row],[order_date]],"mmm")</f>
        <v>Sep</v>
      </c>
      <c r="Q547">
        <f>YEAR(data[[#This Row],[order_date]])</f>
        <v>2025</v>
      </c>
      <c r="R547">
        <f>MONTH(data[[#This Row],[order_date]])</f>
        <v>9</v>
      </c>
      <c r="S547">
        <f>DAY(data[[#This Row],[order_date]])</f>
        <v>4</v>
      </c>
      <c r="T547">
        <f>data[[#This Row],[profit]]/data[[#This Row],[sales]]</f>
        <v>0.19712206687924128</v>
      </c>
    </row>
    <row r="548" spans="1:20" x14ac:dyDescent="0.35">
      <c r="A548" t="s">
        <v>738</v>
      </c>
      <c r="B548" s="1">
        <v>45919</v>
      </c>
      <c r="C548" t="s">
        <v>14</v>
      </c>
      <c r="D548" t="s">
        <v>15</v>
      </c>
      <c r="E548" t="s">
        <v>104</v>
      </c>
      <c r="F548" t="s">
        <v>28</v>
      </c>
      <c r="G548" t="s">
        <v>692</v>
      </c>
      <c r="H548" t="s">
        <v>693</v>
      </c>
      <c r="I548" t="s">
        <v>160</v>
      </c>
      <c r="J548">
        <v>1</v>
      </c>
      <c r="K548">
        <v>1383000</v>
      </c>
      <c r="L548">
        <v>0</v>
      </c>
      <c r="M548">
        <v>1002000</v>
      </c>
      <c r="N548">
        <f>(data[[#This Row],[unit_price]]*data[[#This Row],[quantity]]) * (1-data[[#This Row],[discount]])</f>
        <v>1383000</v>
      </c>
      <c r="O548">
        <f>data[[#This Row],[sales]]-data[[#This Row],[cost]]</f>
        <v>381000</v>
      </c>
      <c r="P548" t="str">
        <f>TEXT(data[[#This Row],[order_date]],"mmm")</f>
        <v>Sep</v>
      </c>
      <c r="Q548">
        <f>YEAR(data[[#This Row],[order_date]])</f>
        <v>2025</v>
      </c>
      <c r="R548">
        <f>MONTH(data[[#This Row],[order_date]])</f>
        <v>9</v>
      </c>
      <c r="S548">
        <f>DAY(data[[#This Row],[order_date]])</f>
        <v>19</v>
      </c>
      <c r="T548">
        <f>data[[#This Row],[profit]]/data[[#This Row],[sales]]</f>
        <v>0.27548806941431669</v>
      </c>
    </row>
    <row r="549" spans="1:20" x14ac:dyDescent="0.35">
      <c r="A549" t="s">
        <v>739</v>
      </c>
      <c r="B549" s="1">
        <v>45924</v>
      </c>
      <c r="C549" t="s">
        <v>36</v>
      </c>
      <c r="D549" t="s">
        <v>37</v>
      </c>
      <c r="E549" t="s">
        <v>93</v>
      </c>
      <c r="F549" t="s">
        <v>23</v>
      </c>
      <c r="G549" t="s">
        <v>692</v>
      </c>
      <c r="H549" t="s">
        <v>693</v>
      </c>
      <c r="I549" t="s">
        <v>160</v>
      </c>
      <c r="J549">
        <v>2</v>
      </c>
      <c r="K549">
        <v>1630000</v>
      </c>
      <c r="L549">
        <v>0.05</v>
      </c>
      <c r="M549">
        <v>1199000</v>
      </c>
      <c r="N549">
        <f>(data[[#This Row],[unit_price]]*data[[#This Row],[quantity]]) * (1-data[[#This Row],[discount]])</f>
        <v>3097000</v>
      </c>
      <c r="O549">
        <f>data[[#This Row],[sales]]-data[[#This Row],[cost]]</f>
        <v>1898000</v>
      </c>
      <c r="P549" t="str">
        <f>TEXT(data[[#This Row],[order_date]],"mmm")</f>
        <v>Sep</v>
      </c>
      <c r="Q549">
        <f>YEAR(data[[#This Row],[order_date]])</f>
        <v>2025</v>
      </c>
      <c r="R549">
        <f>MONTH(data[[#This Row],[order_date]])</f>
        <v>9</v>
      </c>
      <c r="S549">
        <f>DAY(data[[#This Row],[order_date]])</f>
        <v>24</v>
      </c>
      <c r="T549">
        <f>data[[#This Row],[profit]]/data[[#This Row],[sales]]</f>
        <v>0.61285114627058446</v>
      </c>
    </row>
    <row r="550" spans="1:20" x14ac:dyDescent="0.35">
      <c r="A550" t="s">
        <v>740</v>
      </c>
      <c r="B550" s="1">
        <v>45927</v>
      </c>
      <c r="C550" t="s">
        <v>41</v>
      </c>
      <c r="D550" t="s">
        <v>42</v>
      </c>
      <c r="E550" t="s">
        <v>741</v>
      </c>
      <c r="F550" t="s">
        <v>23</v>
      </c>
      <c r="G550" t="s">
        <v>692</v>
      </c>
      <c r="H550" t="s">
        <v>693</v>
      </c>
      <c r="I550" t="s">
        <v>160</v>
      </c>
      <c r="J550">
        <v>1</v>
      </c>
      <c r="K550">
        <v>1493000</v>
      </c>
      <c r="L550">
        <v>0</v>
      </c>
      <c r="M550">
        <v>1046000</v>
      </c>
      <c r="N550">
        <f>(data[[#This Row],[unit_price]]*data[[#This Row],[quantity]]) * (1-data[[#This Row],[discount]])</f>
        <v>1493000</v>
      </c>
      <c r="O550">
        <f>data[[#This Row],[sales]]-data[[#This Row],[cost]]</f>
        <v>447000</v>
      </c>
      <c r="P550" t="str">
        <f>TEXT(data[[#This Row],[order_date]],"mmm")</f>
        <v>Sep</v>
      </c>
      <c r="Q550">
        <f>YEAR(data[[#This Row],[order_date]])</f>
        <v>2025</v>
      </c>
      <c r="R550">
        <f>MONTH(data[[#This Row],[order_date]])</f>
        <v>9</v>
      </c>
      <c r="S550">
        <f>DAY(data[[#This Row],[order_date]])</f>
        <v>27</v>
      </c>
      <c r="T550">
        <f>data[[#This Row],[profit]]/data[[#This Row],[sales]]</f>
        <v>0.29939718687206968</v>
      </c>
    </row>
    <row r="551" spans="1:20" x14ac:dyDescent="0.35">
      <c r="A551" t="s">
        <v>742</v>
      </c>
      <c r="B551" s="1">
        <v>46025</v>
      </c>
      <c r="C551" t="s">
        <v>14</v>
      </c>
      <c r="D551" t="s">
        <v>15</v>
      </c>
      <c r="E551" t="s">
        <v>113</v>
      </c>
      <c r="F551" t="s">
        <v>23</v>
      </c>
      <c r="G551" t="s">
        <v>692</v>
      </c>
      <c r="H551" t="s">
        <v>693</v>
      </c>
      <c r="I551" t="s">
        <v>160</v>
      </c>
      <c r="J551">
        <v>1</v>
      </c>
      <c r="K551">
        <v>1594000</v>
      </c>
      <c r="L551">
        <v>0</v>
      </c>
      <c r="M551">
        <v>1132000</v>
      </c>
      <c r="N551">
        <f>(data[[#This Row],[unit_price]]*data[[#This Row],[quantity]]) * (1-data[[#This Row],[discount]])</f>
        <v>1594000</v>
      </c>
      <c r="O551">
        <f>data[[#This Row],[sales]]-data[[#This Row],[cost]]</f>
        <v>462000</v>
      </c>
      <c r="P551" t="str">
        <f>TEXT(data[[#This Row],[order_date]],"mmm")</f>
        <v>Jan</v>
      </c>
      <c r="Q551">
        <f>YEAR(data[[#This Row],[order_date]])</f>
        <v>2026</v>
      </c>
      <c r="R551">
        <f>MONTH(data[[#This Row],[order_date]])</f>
        <v>1</v>
      </c>
      <c r="S551">
        <f>DAY(data[[#This Row],[order_date]])</f>
        <v>3</v>
      </c>
      <c r="T551">
        <f>data[[#This Row],[profit]]/data[[#This Row],[sales]]</f>
        <v>0.28983688833124216</v>
      </c>
    </row>
    <row r="552" spans="1:20" x14ac:dyDescent="0.35">
      <c r="A552" t="s">
        <v>743</v>
      </c>
      <c r="B552" s="1">
        <v>46062</v>
      </c>
      <c r="C552" t="s">
        <v>14</v>
      </c>
      <c r="D552" t="s">
        <v>15</v>
      </c>
      <c r="E552" t="s">
        <v>333</v>
      </c>
      <c r="F552" t="s">
        <v>17</v>
      </c>
      <c r="G552" t="s">
        <v>692</v>
      </c>
      <c r="H552" t="s">
        <v>693</v>
      </c>
      <c r="I552" t="s">
        <v>160</v>
      </c>
      <c r="J552">
        <v>1</v>
      </c>
      <c r="K552">
        <v>2012000</v>
      </c>
      <c r="L552">
        <v>0</v>
      </c>
      <c r="M552">
        <v>1474000</v>
      </c>
      <c r="N552">
        <f>(data[[#This Row],[unit_price]]*data[[#This Row],[quantity]]) * (1-data[[#This Row],[discount]])</f>
        <v>2012000</v>
      </c>
      <c r="O552">
        <f>data[[#This Row],[sales]]-data[[#This Row],[cost]]</f>
        <v>538000</v>
      </c>
      <c r="P552" t="str">
        <f>TEXT(data[[#This Row],[order_date]],"mmm")</f>
        <v>Feb</v>
      </c>
      <c r="Q552">
        <f>YEAR(data[[#This Row],[order_date]])</f>
        <v>2026</v>
      </c>
      <c r="R552">
        <f>MONTH(data[[#This Row],[order_date]])</f>
        <v>2</v>
      </c>
      <c r="S552">
        <f>DAY(data[[#This Row],[order_date]])</f>
        <v>9</v>
      </c>
      <c r="T552">
        <f>data[[#This Row],[profit]]/data[[#This Row],[sales]]</f>
        <v>0.2673956262425447</v>
      </c>
    </row>
    <row r="553" spans="1:20" x14ac:dyDescent="0.35">
      <c r="A553" t="s">
        <v>744</v>
      </c>
      <c r="B553" s="1">
        <v>46081</v>
      </c>
      <c r="C553" t="s">
        <v>14</v>
      </c>
      <c r="D553" t="s">
        <v>15</v>
      </c>
      <c r="E553" t="s">
        <v>99</v>
      </c>
      <c r="F553" t="s">
        <v>23</v>
      </c>
      <c r="G553" t="s">
        <v>692</v>
      </c>
      <c r="H553" t="s">
        <v>693</v>
      </c>
      <c r="I553" t="s">
        <v>160</v>
      </c>
      <c r="J553">
        <v>2</v>
      </c>
      <c r="K553">
        <v>1660000</v>
      </c>
      <c r="L553">
        <v>0</v>
      </c>
      <c r="M553">
        <v>1168000</v>
      </c>
      <c r="N553">
        <f>(data[[#This Row],[unit_price]]*data[[#This Row],[quantity]]) * (1-data[[#This Row],[discount]])</f>
        <v>3320000</v>
      </c>
      <c r="O553">
        <f>data[[#This Row],[sales]]-data[[#This Row],[cost]]</f>
        <v>2152000</v>
      </c>
      <c r="P553" t="str">
        <f>TEXT(data[[#This Row],[order_date]],"mmm")</f>
        <v>Feb</v>
      </c>
      <c r="Q553">
        <f>YEAR(data[[#This Row],[order_date]])</f>
        <v>2026</v>
      </c>
      <c r="R553">
        <f>MONTH(data[[#This Row],[order_date]])</f>
        <v>2</v>
      </c>
      <c r="S553">
        <f>DAY(data[[#This Row],[order_date]])</f>
        <v>28</v>
      </c>
      <c r="T553">
        <f>data[[#This Row],[profit]]/data[[#This Row],[sales]]</f>
        <v>0.64819277108433737</v>
      </c>
    </row>
    <row r="554" spans="1:20" x14ac:dyDescent="0.35">
      <c r="A554" t="s">
        <v>745</v>
      </c>
      <c r="B554" s="1">
        <v>46096</v>
      </c>
      <c r="C554" t="s">
        <v>49</v>
      </c>
      <c r="D554" t="s">
        <v>50</v>
      </c>
      <c r="E554" t="s">
        <v>319</v>
      </c>
      <c r="F554" t="s">
        <v>23</v>
      </c>
      <c r="G554" t="s">
        <v>692</v>
      </c>
      <c r="H554" t="s">
        <v>693</v>
      </c>
      <c r="I554" t="s">
        <v>160</v>
      </c>
      <c r="J554">
        <v>2</v>
      </c>
      <c r="K554">
        <v>1680000</v>
      </c>
      <c r="L554">
        <v>0</v>
      </c>
      <c r="M554">
        <v>1238000</v>
      </c>
      <c r="N554">
        <f>(data[[#This Row],[unit_price]]*data[[#This Row],[quantity]]) * (1-data[[#This Row],[discount]])</f>
        <v>3360000</v>
      </c>
      <c r="O554">
        <f>data[[#This Row],[sales]]-data[[#This Row],[cost]]</f>
        <v>2122000</v>
      </c>
      <c r="P554" t="str">
        <f>TEXT(data[[#This Row],[order_date]],"mmm")</f>
        <v>Mar</v>
      </c>
      <c r="Q554">
        <f>YEAR(data[[#This Row],[order_date]])</f>
        <v>2026</v>
      </c>
      <c r="R554">
        <f>MONTH(data[[#This Row],[order_date]])</f>
        <v>3</v>
      </c>
      <c r="S554">
        <f>DAY(data[[#This Row],[order_date]])</f>
        <v>15</v>
      </c>
      <c r="T554">
        <f>data[[#This Row],[profit]]/data[[#This Row],[sales]]</f>
        <v>0.63154761904761902</v>
      </c>
    </row>
    <row r="555" spans="1:20" x14ac:dyDescent="0.35">
      <c r="A555" t="s">
        <v>746</v>
      </c>
      <c r="B555" s="1">
        <v>46106</v>
      </c>
      <c r="C555" t="s">
        <v>14</v>
      </c>
      <c r="D555" t="s">
        <v>15</v>
      </c>
      <c r="E555" t="s">
        <v>136</v>
      </c>
      <c r="F555" t="s">
        <v>23</v>
      </c>
      <c r="G555" t="s">
        <v>692</v>
      </c>
      <c r="H555" t="s">
        <v>693</v>
      </c>
      <c r="I555" t="s">
        <v>160</v>
      </c>
      <c r="J555">
        <v>3</v>
      </c>
      <c r="K555">
        <v>1711000</v>
      </c>
      <c r="L555">
        <v>0</v>
      </c>
      <c r="M555">
        <v>1216000</v>
      </c>
      <c r="N555">
        <f>(data[[#This Row],[unit_price]]*data[[#This Row],[quantity]]) * (1-data[[#This Row],[discount]])</f>
        <v>5133000</v>
      </c>
      <c r="O555">
        <f>data[[#This Row],[sales]]-data[[#This Row],[cost]]</f>
        <v>3917000</v>
      </c>
      <c r="P555" t="str">
        <f>TEXT(data[[#This Row],[order_date]],"mmm")</f>
        <v>Mar</v>
      </c>
      <c r="Q555">
        <f>YEAR(data[[#This Row],[order_date]])</f>
        <v>2026</v>
      </c>
      <c r="R555">
        <f>MONTH(data[[#This Row],[order_date]])</f>
        <v>3</v>
      </c>
      <c r="S555">
        <f>DAY(data[[#This Row],[order_date]])</f>
        <v>25</v>
      </c>
      <c r="T555">
        <f>data[[#This Row],[profit]]/data[[#This Row],[sales]]</f>
        <v>0.76310150009740896</v>
      </c>
    </row>
    <row r="556" spans="1:20" x14ac:dyDescent="0.35">
      <c r="A556" t="s">
        <v>747</v>
      </c>
      <c r="B556" s="1">
        <v>46171</v>
      </c>
      <c r="C556" t="s">
        <v>49</v>
      </c>
      <c r="D556" t="s">
        <v>50</v>
      </c>
      <c r="E556" t="s">
        <v>258</v>
      </c>
      <c r="F556" t="s">
        <v>23</v>
      </c>
      <c r="G556" t="s">
        <v>692</v>
      </c>
      <c r="H556" t="s">
        <v>693</v>
      </c>
      <c r="I556" t="s">
        <v>160</v>
      </c>
      <c r="J556">
        <v>1</v>
      </c>
      <c r="K556">
        <v>1745000</v>
      </c>
      <c r="L556">
        <v>0</v>
      </c>
      <c r="M556">
        <v>1279000</v>
      </c>
      <c r="N556">
        <f>(data[[#This Row],[unit_price]]*data[[#This Row],[quantity]]) * (1-data[[#This Row],[discount]])</f>
        <v>1745000</v>
      </c>
      <c r="O556">
        <f>data[[#This Row],[sales]]-data[[#This Row],[cost]]</f>
        <v>466000</v>
      </c>
      <c r="P556" t="str">
        <f>TEXT(data[[#This Row],[order_date]],"mmm")</f>
        <v>May</v>
      </c>
      <c r="Q556">
        <f>YEAR(data[[#This Row],[order_date]])</f>
        <v>2026</v>
      </c>
      <c r="R556">
        <f>MONTH(data[[#This Row],[order_date]])</f>
        <v>5</v>
      </c>
      <c r="S556">
        <f>DAY(data[[#This Row],[order_date]])</f>
        <v>29</v>
      </c>
      <c r="T556">
        <f>data[[#This Row],[profit]]/data[[#This Row],[sales]]</f>
        <v>0.2670487106017192</v>
      </c>
    </row>
    <row r="557" spans="1:20" x14ac:dyDescent="0.35">
      <c r="A557" t="s">
        <v>748</v>
      </c>
      <c r="B557" s="1">
        <v>46175</v>
      </c>
      <c r="C557" t="s">
        <v>14</v>
      </c>
      <c r="D557" t="s">
        <v>15</v>
      </c>
      <c r="E557" t="s">
        <v>208</v>
      </c>
      <c r="F557" t="s">
        <v>23</v>
      </c>
      <c r="G557" t="s">
        <v>692</v>
      </c>
      <c r="H557" t="s">
        <v>693</v>
      </c>
      <c r="I557" t="s">
        <v>160</v>
      </c>
      <c r="J557">
        <v>2</v>
      </c>
      <c r="K557">
        <v>1527818.1818181819</v>
      </c>
      <c r="L557">
        <v>0</v>
      </c>
      <c r="M557">
        <v>1080000</v>
      </c>
      <c r="N557">
        <f>(data[[#This Row],[unit_price]]*data[[#This Row],[quantity]]) * (1-data[[#This Row],[discount]])</f>
        <v>3055636.3636363638</v>
      </c>
      <c r="O557">
        <f>data[[#This Row],[sales]]-data[[#This Row],[cost]]</f>
        <v>1975636.3636363638</v>
      </c>
      <c r="P557" t="str">
        <f>TEXT(data[[#This Row],[order_date]],"mmm")</f>
        <v>Jun</v>
      </c>
      <c r="Q557">
        <f>YEAR(data[[#This Row],[order_date]])</f>
        <v>2026</v>
      </c>
      <c r="R557">
        <f>MONTH(data[[#This Row],[order_date]])</f>
        <v>6</v>
      </c>
      <c r="S557">
        <f>DAY(data[[#This Row],[order_date]])</f>
        <v>2</v>
      </c>
      <c r="T557">
        <f>data[[#This Row],[profit]]/data[[#This Row],[sales]]</f>
        <v>0.64655480185647984</v>
      </c>
    </row>
    <row r="558" spans="1:20" x14ac:dyDescent="0.35">
      <c r="A558" t="s">
        <v>749</v>
      </c>
      <c r="B558" s="1">
        <v>46178</v>
      </c>
      <c r="C558" t="s">
        <v>14</v>
      </c>
      <c r="D558" t="s">
        <v>15</v>
      </c>
      <c r="E558" t="s">
        <v>146</v>
      </c>
      <c r="F558" t="s">
        <v>17</v>
      </c>
      <c r="G558" t="s">
        <v>692</v>
      </c>
      <c r="H558" t="s">
        <v>693</v>
      </c>
      <c r="I558" t="s">
        <v>160</v>
      </c>
      <c r="J558">
        <v>2</v>
      </c>
      <c r="K558">
        <v>1638000</v>
      </c>
      <c r="L558">
        <v>0</v>
      </c>
      <c r="M558">
        <v>1195000</v>
      </c>
      <c r="N558">
        <f>(data[[#This Row],[unit_price]]*data[[#This Row],[quantity]]) * (1-data[[#This Row],[discount]])</f>
        <v>3276000</v>
      </c>
      <c r="O558">
        <f>data[[#This Row],[sales]]-data[[#This Row],[cost]]</f>
        <v>2081000</v>
      </c>
      <c r="P558" t="str">
        <f>TEXT(data[[#This Row],[order_date]],"mmm")</f>
        <v>Jun</v>
      </c>
      <c r="Q558">
        <f>YEAR(data[[#This Row],[order_date]])</f>
        <v>2026</v>
      </c>
      <c r="R558">
        <f>MONTH(data[[#This Row],[order_date]])</f>
        <v>6</v>
      </c>
      <c r="S558">
        <f>DAY(data[[#This Row],[order_date]])</f>
        <v>5</v>
      </c>
      <c r="T558">
        <f>data[[#This Row],[profit]]/data[[#This Row],[sales]]</f>
        <v>0.63522588522588519</v>
      </c>
    </row>
    <row r="559" spans="1:20" x14ac:dyDescent="0.35">
      <c r="A559" t="s">
        <v>750</v>
      </c>
      <c r="B559" s="1">
        <v>46189</v>
      </c>
      <c r="C559" t="s">
        <v>49</v>
      </c>
      <c r="D559" t="s">
        <v>50</v>
      </c>
      <c r="E559" t="s">
        <v>307</v>
      </c>
      <c r="F559" t="s">
        <v>28</v>
      </c>
      <c r="G559" t="s">
        <v>692</v>
      </c>
      <c r="H559" t="s">
        <v>693</v>
      </c>
      <c r="I559" t="s">
        <v>160</v>
      </c>
      <c r="J559">
        <v>1</v>
      </c>
      <c r="K559">
        <v>1457000</v>
      </c>
      <c r="L559">
        <v>0</v>
      </c>
      <c r="M559">
        <v>1026000</v>
      </c>
      <c r="N559">
        <f>(data[[#This Row],[unit_price]]*data[[#This Row],[quantity]]) * (1-data[[#This Row],[discount]])</f>
        <v>1457000</v>
      </c>
      <c r="O559">
        <f>data[[#This Row],[sales]]-data[[#This Row],[cost]]</f>
        <v>431000</v>
      </c>
      <c r="P559" t="str">
        <f>TEXT(data[[#This Row],[order_date]],"mmm")</f>
        <v>Jun</v>
      </c>
      <c r="Q559">
        <f>YEAR(data[[#This Row],[order_date]])</f>
        <v>2026</v>
      </c>
      <c r="R559">
        <f>MONTH(data[[#This Row],[order_date]])</f>
        <v>6</v>
      </c>
      <c r="S559">
        <f>DAY(data[[#This Row],[order_date]])</f>
        <v>16</v>
      </c>
      <c r="T559">
        <f>data[[#This Row],[profit]]/data[[#This Row],[sales]]</f>
        <v>0.29581331503088537</v>
      </c>
    </row>
    <row r="560" spans="1:20" x14ac:dyDescent="0.35">
      <c r="A560" t="s">
        <v>751</v>
      </c>
      <c r="B560" s="1">
        <v>44935</v>
      </c>
      <c r="C560" t="s">
        <v>14</v>
      </c>
      <c r="D560" t="s">
        <v>15</v>
      </c>
      <c r="E560" t="s">
        <v>63</v>
      </c>
      <c r="F560" t="s">
        <v>28</v>
      </c>
      <c r="G560" t="s">
        <v>752</v>
      </c>
      <c r="H560" t="s">
        <v>753</v>
      </c>
      <c r="I560" t="s">
        <v>754</v>
      </c>
      <c r="J560">
        <v>3</v>
      </c>
      <c r="K560">
        <v>512000</v>
      </c>
      <c r="L560">
        <v>0.05</v>
      </c>
      <c r="M560">
        <v>355000</v>
      </c>
      <c r="N560">
        <f>(data[[#This Row],[unit_price]]*data[[#This Row],[quantity]]) * (1-data[[#This Row],[discount]])</f>
        <v>1459200</v>
      </c>
      <c r="O560">
        <f>data[[#This Row],[sales]]-data[[#This Row],[cost]]</f>
        <v>1104200</v>
      </c>
      <c r="P560" t="str">
        <f>TEXT(data[[#This Row],[order_date]],"mmm")</f>
        <v>Jan</v>
      </c>
      <c r="Q560">
        <f>YEAR(data[[#This Row],[order_date]])</f>
        <v>2023</v>
      </c>
      <c r="R560">
        <f>MONTH(data[[#This Row],[order_date]])</f>
        <v>1</v>
      </c>
      <c r="S560">
        <f>DAY(data[[#This Row],[order_date]])</f>
        <v>9</v>
      </c>
      <c r="T560">
        <f>data[[#This Row],[profit]]/data[[#This Row],[sales]]</f>
        <v>0.75671600877192979</v>
      </c>
    </row>
    <row r="561" spans="1:20" x14ac:dyDescent="0.35">
      <c r="A561" t="s">
        <v>755</v>
      </c>
      <c r="B561" s="1">
        <v>44957</v>
      </c>
      <c r="C561" t="s">
        <v>36</v>
      </c>
      <c r="D561" t="s">
        <v>37</v>
      </c>
      <c r="E561" t="s">
        <v>359</v>
      </c>
      <c r="F561" t="s">
        <v>23</v>
      </c>
      <c r="G561" t="s">
        <v>752</v>
      </c>
      <c r="H561" t="s">
        <v>753</v>
      </c>
      <c r="I561" t="s">
        <v>754</v>
      </c>
      <c r="J561">
        <v>2</v>
      </c>
      <c r="K561">
        <v>325000</v>
      </c>
      <c r="L561">
        <v>0</v>
      </c>
      <c r="M561">
        <v>228000</v>
      </c>
      <c r="N561">
        <f>(data[[#This Row],[unit_price]]*data[[#This Row],[quantity]]) * (1-data[[#This Row],[discount]])</f>
        <v>650000</v>
      </c>
      <c r="O561">
        <f>data[[#This Row],[sales]]-data[[#This Row],[cost]]</f>
        <v>422000</v>
      </c>
      <c r="P561" t="str">
        <f>TEXT(data[[#This Row],[order_date]],"mmm")</f>
        <v>Jan</v>
      </c>
      <c r="Q561">
        <f>YEAR(data[[#This Row],[order_date]])</f>
        <v>2023</v>
      </c>
      <c r="R561">
        <f>MONTH(data[[#This Row],[order_date]])</f>
        <v>1</v>
      </c>
      <c r="S561">
        <f>DAY(data[[#This Row],[order_date]])</f>
        <v>31</v>
      </c>
      <c r="T561">
        <f>data[[#This Row],[profit]]/data[[#This Row],[sales]]</f>
        <v>0.64923076923076928</v>
      </c>
    </row>
    <row r="562" spans="1:20" x14ac:dyDescent="0.35">
      <c r="A562" t="s">
        <v>756</v>
      </c>
      <c r="B562" s="1">
        <v>44978</v>
      </c>
      <c r="C562" t="s">
        <v>41</v>
      </c>
      <c r="D562" t="s">
        <v>42</v>
      </c>
      <c r="E562" t="s">
        <v>79</v>
      </c>
      <c r="F562" t="s">
        <v>17</v>
      </c>
      <c r="G562" t="s">
        <v>752</v>
      </c>
      <c r="H562" t="s">
        <v>753</v>
      </c>
      <c r="I562" t="s">
        <v>754</v>
      </c>
      <c r="J562">
        <v>1</v>
      </c>
      <c r="K562">
        <v>339000</v>
      </c>
      <c r="L562">
        <v>0.15</v>
      </c>
      <c r="M562">
        <v>237000</v>
      </c>
      <c r="N562">
        <f>(data[[#This Row],[unit_price]]*data[[#This Row],[quantity]]) * (1-data[[#This Row],[discount]])</f>
        <v>288150</v>
      </c>
      <c r="O562">
        <f>data[[#This Row],[sales]]-data[[#This Row],[cost]]</f>
        <v>51150</v>
      </c>
      <c r="P562" t="str">
        <f>TEXT(data[[#This Row],[order_date]],"mmm")</f>
        <v>Feb</v>
      </c>
      <c r="Q562">
        <f>YEAR(data[[#This Row],[order_date]])</f>
        <v>2023</v>
      </c>
      <c r="R562">
        <f>MONTH(data[[#This Row],[order_date]])</f>
        <v>2</v>
      </c>
      <c r="S562">
        <f>DAY(data[[#This Row],[order_date]])</f>
        <v>21</v>
      </c>
      <c r="T562">
        <f>data[[#This Row],[profit]]/data[[#This Row],[sales]]</f>
        <v>0.17751171264966165</v>
      </c>
    </row>
    <row r="563" spans="1:20" x14ac:dyDescent="0.35">
      <c r="A563" t="s">
        <v>757</v>
      </c>
      <c r="B563" s="1">
        <v>44978</v>
      </c>
      <c r="C563" t="s">
        <v>41</v>
      </c>
      <c r="D563" t="s">
        <v>42</v>
      </c>
      <c r="E563" t="s">
        <v>319</v>
      </c>
      <c r="F563" t="s">
        <v>23</v>
      </c>
      <c r="G563" t="s">
        <v>752</v>
      </c>
      <c r="H563" t="s">
        <v>753</v>
      </c>
      <c r="I563" t="s">
        <v>754</v>
      </c>
      <c r="J563">
        <v>1</v>
      </c>
      <c r="K563">
        <v>519000</v>
      </c>
      <c r="L563">
        <v>0</v>
      </c>
      <c r="M563">
        <v>363000</v>
      </c>
      <c r="N563">
        <f>(data[[#This Row],[unit_price]]*data[[#This Row],[quantity]]) * (1-data[[#This Row],[discount]])</f>
        <v>519000</v>
      </c>
      <c r="O563">
        <f>data[[#This Row],[sales]]-data[[#This Row],[cost]]</f>
        <v>156000</v>
      </c>
      <c r="P563" t="str">
        <f>TEXT(data[[#This Row],[order_date]],"mmm")</f>
        <v>Feb</v>
      </c>
      <c r="Q563">
        <f>YEAR(data[[#This Row],[order_date]])</f>
        <v>2023</v>
      </c>
      <c r="R563">
        <f>MONTH(data[[#This Row],[order_date]])</f>
        <v>2</v>
      </c>
      <c r="S563">
        <f>DAY(data[[#This Row],[order_date]])</f>
        <v>21</v>
      </c>
      <c r="T563">
        <f>data[[#This Row],[profit]]/data[[#This Row],[sales]]</f>
        <v>0.30057803468208094</v>
      </c>
    </row>
    <row r="564" spans="1:20" x14ac:dyDescent="0.35">
      <c r="A564" t="s">
        <v>758</v>
      </c>
      <c r="B564" s="1">
        <v>44991</v>
      </c>
      <c r="C564" t="s">
        <v>41</v>
      </c>
      <c r="D564" t="s">
        <v>42</v>
      </c>
      <c r="E564" t="s">
        <v>447</v>
      </c>
      <c r="F564" t="s">
        <v>23</v>
      </c>
      <c r="G564" t="s">
        <v>752</v>
      </c>
      <c r="H564" t="s">
        <v>753</v>
      </c>
      <c r="I564" t="s">
        <v>754</v>
      </c>
      <c r="J564">
        <v>1</v>
      </c>
      <c r="K564">
        <v>486000</v>
      </c>
      <c r="L564">
        <v>0</v>
      </c>
      <c r="M564">
        <v>343000</v>
      </c>
      <c r="N564">
        <f>(data[[#This Row],[unit_price]]*data[[#This Row],[quantity]]) * (1-data[[#This Row],[discount]])</f>
        <v>486000</v>
      </c>
      <c r="O564">
        <f>data[[#This Row],[sales]]-data[[#This Row],[cost]]</f>
        <v>143000</v>
      </c>
      <c r="P564" t="str">
        <f>TEXT(data[[#This Row],[order_date]],"mmm")</f>
        <v>Mar</v>
      </c>
      <c r="Q564">
        <f>YEAR(data[[#This Row],[order_date]])</f>
        <v>2023</v>
      </c>
      <c r="R564">
        <f>MONTH(data[[#This Row],[order_date]])</f>
        <v>3</v>
      </c>
      <c r="S564">
        <f>DAY(data[[#This Row],[order_date]])</f>
        <v>6</v>
      </c>
      <c r="T564">
        <f>data[[#This Row],[profit]]/data[[#This Row],[sales]]</f>
        <v>0.29423868312757201</v>
      </c>
    </row>
    <row r="565" spans="1:20" x14ac:dyDescent="0.35">
      <c r="A565" t="s">
        <v>759</v>
      </c>
      <c r="B565" s="1">
        <v>45041</v>
      </c>
      <c r="C565" t="s">
        <v>25</v>
      </c>
      <c r="D565" t="s">
        <v>26</v>
      </c>
      <c r="E565" t="s">
        <v>311</v>
      </c>
      <c r="F565" t="s">
        <v>17</v>
      </c>
      <c r="G565" t="s">
        <v>752</v>
      </c>
      <c r="H565" t="s">
        <v>753</v>
      </c>
      <c r="I565" t="s">
        <v>754</v>
      </c>
      <c r="J565">
        <v>1</v>
      </c>
      <c r="K565">
        <v>279000</v>
      </c>
      <c r="L565">
        <v>0</v>
      </c>
      <c r="M565">
        <v>194000</v>
      </c>
      <c r="N565">
        <f>(data[[#This Row],[unit_price]]*data[[#This Row],[quantity]]) * (1-data[[#This Row],[discount]])</f>
        <v>279000</v>
      </c>
      <c r="O565">
        <f>data[[#This Row],[sales]]-data[[#This Row],[cost]]</f>
        <v>85000</v>
      </c>
      <c r="P565" t="str">
        <f>TEXT(data[[#This Row],[order_date]],"mmm")</f>
        <v>Apr</v>
      </c>
      <c r="Q565">
        <f>YEAR(data[[#This Row],[order_date]])</f>
        <v>2023</v>
      </c>
      <c r="R565">
        <f>MONTH(data[[#This Row],[order_date]])</f>
        <v>4</v>
      </c>
      <c r="S565">
        <f>DAY(data[[#This Row],[order_date]])</f>
        <v>25</v>
      </c>
      <c r="T565">
        <f>data[[#This Row],[profit]]/data[[#This Row],[sales]]</f>
        <v>0.30465949820788529</v>
      </c>
    </row>
    <row r="566" spans="1:20" x14ac:dyDescent="0.35">
      <c r="A566" t="s">
        <v>760</v>
      </c>
      <c r="B566" s="1">
        <v>45046</v>
      </c>
      <c r="C566" t="s">
        <v>41</v>
      </c>
      <c r="D566" t="s">
        <v>42</v>
      </c>
      <c r="E566" t="s">
        <v>53</v>
      </c>
      <c r="F566" t="s">
        <v>17</v>
      </c>
      <c r="G566" t="s">
        <v>752</v>
      </c>
      <c r="H566" t="s">
        <v>753</v>
      </c>
      <c r="I566" t="s">
        <v>754</v>
      </c>
      <c r="J566">
        <v>1</v>
      </c>
      <c r="K566">
        <v>500000</v>
      </c>
      <c r="L566">
        <v>0</v>
      </c>
      <c r="M566">
        <v>344000</v>
      </c>
      <c r="N566">
        <f>(data[[#This Row],[unit_price]]*data[[#This Row],[quantity]]) * (1-data[[#This Row],[discount]])</f>
        <v>500000</v>
      </c>
      <c r="O566">
        <f>data[[#This Row],[sales]]-data[[#This Row],[cost]]</f>
        <v>156000</v>
      </c>
      <c r="P566" t="str">
        <f>TEXT(data[[#This Row],[order_date]],"mmm")</f>
        <v>Apr</v>
      </c>
      <c r="Q566">
        <f>YEAR(data[[#This Row],[order_date]])</f>
        <v>2023</v>
      </c>
      <c r="R566">
        <f>MONTH(data[[#This Row],[order_date]])</f>
        <v>4</v>
      </c>
      <c r="S566">
        <f>DAY(data[[#This Row],[order_date]])</f>
        <v>30</v>
      </c>
      <c r="T566">
        <f>data[[#This Row],[profit]]/data[[#This Row],[sales]]</f>
        <v>0.312</v>
      </c>
    </row>
    <row r="567" spans="1:20" x14ac:dyDescent="0.35">
      <c r="A567" t="s">
        <v>761</v>
      </c>
      <c r="B567" s="1">
        <v>45124</v>
      </c>
      <c r="C567" t="s">
        <v>36</v>
      </c>
      <c r="D567" t="s">
        <v>37</v>
      </c>
      <c r="E567" t="s">
        <v>91</v>
      </c>
      <c r="F567" t="s">
        <v>23</v>
      </c>
      <c r="G567" t="s">
        <v>752</v>
      </c>
      <c r="H567" t="s">
        <v>753</v>
      </c>
      <c r="I567" t="s">
        <v>754</v>
      </c>
      <c r="J567">
        <v>2</v>
      </c>
      <c r="K567">
        <v>256000</v>
      </c>
      <c r="L567">
        <v>0</v>
      </c>
      <c r="M567">
        <v>183000</v>
      </c>
      <c r="N567">
        <f>(data[[#This Row],[unit_price]]*data[[#This Row],[quantity]]) * (1-data[[#This Row],[discount]])</f>
        <v>512000</v>
      </c>
      <c r="O567">
        <f>data[[#This Row],[sales]]-data[[#This Row],[cost]]</f>
        <v>329000</v>
      </c>
      <c r="P567" t="str">
        <f>TEXT(data[[#This Row],[order_date]],"mmm")</f>
        <v>Jul</v>
      </c>
      <c r="Q567">
        <f>YEAR(data[[#This Row],[order_date]])</f>
        <v>2023</v>
      </c>
      <c r="R567">
        <f>MONTH(data[[#This Row],[order_date]])</f>
        <v>7</v>
      </c>
      <c r="S567">
        <f>DAY(data[[#This Row],[order_date]])</f>
        <v>17</v>
      </c>
      <c r="T567">
        <f>data[[#This Row],[profit]]/data[[#This Row],[sales]]</f>
        <v>0.642578125</v>
      </c>
    </row>
    <row r="568" spans="1:20" x14ac:dyDescent="0.35">
      <c r="A568" t="s">
        <v>762</v>
      </c>
      <c r="B568" s="1">
        <v>45130</v>
      </c>
      <c r="C568" t="s">
        <v>14</v>
      </c>
      <c r="D568" t="s">
        <v>15</v>
      </c>
      <c r="E568" t="s">
        <v>146</v>
      </c>
      <c r="F568" t="s">
        <v>17</v>
      </c>
      <c r="G568" t="s">
        <v>752</v>
      </c>
      <c r="H568" t="s">
        <v>753</v>
      </c>
      <c r="I568" t="s">
        <v>754</v>
      </c>
      <c r="J568">
        <v>2</v>
      </c>
      <c r="K568">
        <v>530000</v>
      </c>
      <c r="L568">
        <v>0</v>
      </c>
      <c r="M568">
        <v>377000</v>
      </c>
      <c r="N568">
        <f>(data[[#This Row],[unit_price]]*data[[#This Row],[quantity]]) * (1-data[[#This Row],[discount]])</f>
        <v>1060000</v>
      </c>
      <c r="O568">
        <f>data[[#This Row],[sales]]-data[[#This Row],[cost]]</f>
        <v>683000</v>
      </c>
      <c r="P568" t="str">
        <f>TEXT(data[[#This Row],[order_date]],"mmm")</f>
        <v>Jul</v>
      </c>
      <c r="Q568">
        <f>YEAR(data[[#This Row],[order_date]])</f>
        <v>2023</v>
      </c>
      <c r="R568">
        <f>MONTH(data[[#This Row],[order_date]])</f>
        <v>7</v>
      </c>
      <c r="S568">
        <f>DAY(data[[#This Row],[order_date]])</f>
        <v>23</v>
      </c>
      <c r="T568">
        <f>data[[#This Row],[profit]]/data[[#This Row],[sales]]</f>
        <v>0.64433962264150946</v>
      </c>
    </row>
    <row r="569" spans="1:20" x14ac:dyDescent="0.35">
      <c r="A569" t="s">
        <v>763</v>
      </c>
      <c r="B569" s="1">
        <v>45142</v>
      </c>
      <c r="C569" t="s">
        <v>41</v>
      </c>
      <c r="D569" t="s">
        <v>42</v>
      </c>
      <c r="E569" t="s">
        <v>764</v>
      </c>
      <c r="F569" t="s">
        <v>17</v>
      </c>
      <c r="G569" t="s">
        <v>752</v>
      </c>
      <c r="H569" t="s">
        <v>753</v>
      </c>
      <c r="I569" t="s">
        <v>754</v>
      </c>
      <c r="J569">
        <v>1</v>
      </c>
      <c r="K569">
        <v>582000</v>
      </c>
      <c r="L569">
        <v>0</v>
      </c>
      <c r="M569">
        <v>418000</v>
      </c>
      <c r="N569">
        <f>(data[[#This Row],[unit_price]]*data[[#This Row],[quantity]]) * (1-data[[#This Row],[discount]])</f>
        <v>582000</v>
      </c>
      <c r="O569">
        <f>data[[#This Row],[sales]]-data[[#This Row],[cost]]</f>
        <v>164000</v>
      </c>
      <c r="P569" t="str">
        <f>TEXT(data[[#This Row],[order_date]],"mmm")</f>
        <v>Aug</v>
      </c>
      <c r="Q569">
        <f>YEAR(data[[#This Row],[order_date]])</f>
        <v>2023</v>
      </c>
      <c r="R569">
        <f>MONTH(data[[#This Row],[order_date]])</f>
        <v>8</v>
      </c>
      <c r="S569">
        <f>DAY(data[[#This Row],[order_date]])</f>
        <v>4</v>
      </c>
      <c r="T569">
        <f>data[[#This Row],[profit]]/data[[#This Row],[sales]]</f>
        <v>0.28178694158075601</v>
      </c>
    </row>
    <row r="570" spans="1:20" x14ac:dyDescent="0.35">
      <c r="A570" t="s">
        <v>765</v>
      </c>
      <c r="B570" s="1">
        <v>45157</v>
      </c>
      <c r="C570" t="s">
        <v>14</v>
      </c>
      <c r="D570" t="s">
        <v>15</v>
      </c>
      <c r="E570" t="s">
        <v>287</v>
      </c>
      <c r="F570" t="s">
        <v>28</v>
      </c>
      <c r="G570" t="s">
        <v>752</v>
      </c>
      <c r="H570" t="s">
        <v>753</v>
      </c>
      <c r="I570" t="s">
        <v>754</v>
      </c>
      <c r="J570">
        <v>1</v>
      </c>
      <c r="K570">
        <v>386000</v>
      </c>
      <c r="L570">
        <v>0</v>
      </c>
      <c r="M570">
        <v>270000</v>
      </c>
      <c r="N570">
        <f>(data[[#This Row],[unit_price]]*data[[#This Row],[quantity]]) * (1-data[[#This Row],[discount]])</f>
        <v>386000</v>
      </c>
      <c r="O570">
        <f>data[[#This Row],[sales]]-data[[#This Row],[cost]]</f>
        <v>116000</v>
      </c>
      <c r="P570" t="str">
        <f>TEXT(data[[#This Row],[order_date]],"mmm")</f>
        <v>Aug</v>
      </c>
      <c r="Q570">
        <f>YEAR(data[[#This Row],[order_date]])</f>
        <v>2023</v>
      </c>
      <c r="R570">
        <f>MONTH(data[[#This Row],[order_date]])</f>
        <v>8</v>
      </c>
      <c r="S570">
        <f>DAY(data[[#This Row],[order_date]])</f>
        <v>19</v>
      </c>
      <c r="T570">
        <f>data[[#This Row],[profit]]/data[[#This Row],[sales]]</f>
        <v>0.30051813471502592</v>
      </c>
    </row>
    <row r="571" spans="1:20" x14ac:dyDescent="0.35">
      <c r="A571" t="s">
        <v>766</v>
      </c>
      <c r="B571" s="1">
        <v>45223</v>
      </c>
      <c r="C571" t="s">
        <v>49</v>
      </c>
      <c r="D571" t="s">
        <v>50</v>
      </c>
      <c r="E571" t="s">
        <v>164</v>
      </c>
      <c r="F571" t="s">
        <v>23</v>
      </c>
      <c r="G571" t="s">
        <v>752</v>
      </c>
      <c r="H571" t="s">
        <v>753</v>
      </c>
      <c r="I571" t="s">
        <v>754</v>
      </c>
      <c r="J571">
        <v>1</v>
      </c>
      <c r="K571">
        <v>486000</v>
      </c>
      <c r="L571">
        <v>0</v>
      </c>
      <c r="M571">
        <v>349000</v>
      </c>
      <c r="N571">
        <f>(data[[#This Row],[unit_price]]*data[[#This Row],[quantity]]) * (1-data[[#This Row],[discount]])</f>
        <v>486000</v>
      </c>
      <c r="O571">
        <f>data[[#This Row],[sales]]-data[[#This Row],[cost]]</f>
        <v>137000</v>
      </c>
      <c r="P571" t="str">
        <f>TEXT(data[[#This Row],[order_date]],"mmm")</f>
        <v>Oct</v>
      </c>
      <c r="Q571">
        <f>YEAR(data[[#This Row],[order_date]])</f>
        <v>2023</v>
      </c>
      <c r="R571">
        <f>MONTH(data[[#This Row],[order_date]])</f>
        <v>10</v>
      </c>
      <c r="S571">
        <f>DAY(data[[#This Row],[order_date]])</f>
        <v>24</v>
      </c>
      <c r="T571">
        <f>data[[#This Row],[profit]]/data[[#This Row],[sales]]</f>
        <v>0.28189300411522633</v>
      </c>
    </row>
    <row r="572" spans="1:20" x14ac:dyDescent="0.35">
      <c r="A572" t="s">
        <v>767</v>
      </c>
      <c r="B572" s="1">
        <v>45257</v>
      </c>
      <c r="C572" t="s">
        <v>49</v>
      </c>
      <c r="D572" t="s">
        <v>50</v>
      </c>
      <c r="E572" t="s">
        <v>569</v>
      </c>
      <c r="F572" t="s">
        <v>23</v>
      </c>
      <c r="G572" t="s">
        <v>752</v>
      </c>
      <c r="H572" t="s">
        <v>753</v>
      </c>
      <c r="I572" t="s">
        <v>754</v>
      </c>
      <c r="J572">
        <v>1</v>
      </c>
      <c r="K572">
        <v>571000</v>
      </c>
      <c r="L572">
        <v>0</v>
      </c>
      <c r="M572">
        <v>395000</v>
      </c>
      <c r="N572">
        <f>(data[[#This Row],[unit_price]]*data[[#This Row],[quantity]]) * (1-data[[#This Row],[discount]])</f>
        <v>571000</v>
      </c>
      <c r="O572">
        <f>data[[#This Row],[sales]]-data[[#This Row],[cost]]</f>
        <v>176000</v>
      </c>
      <c r="P572" t="str">
        <f>TEXT(data[[#This Row],[order_date]],"mmm")</f>
        <v>Nov</v>
      </c>
      <c r="Q572">
        <f>YEAR(data[[#This Row],[order_date]])</f>
        <v>2023</v>
      </c>
      <c r="R572">
        <f>MONTH(data[[#This Row],[order_date]])</f>
        <v>11</v>
      </c>
      <c r="S572">
        <f>DAY(data[[#This Row],[order_date]])</f>
        <v>27</v>
      </c>
      <c r="T572">
        <f>data[[#This Row],[profit]]/data[[#This Row],[sales]]</f>
        <v>0.30823117338003503</v>
      </c>
    </row>
    <row r="573" spans="1:20" x14ac:dyDescent="0.35">
      <c r="A573" t="s">
        <v>768</v>
      </c>
      <c r="B573" s="1">
        <v>45276</v>
      </c>
      <c r="C573" t="s">
        <v>14</v>
      </c>
      <c r="D573" t="s">
        <v>15</v>
      </c>
      <c r="E573" t="s">
        <v>413</v>
      </c>
      <c r="F573" t="s">
        <v>23</v>
      </c>
      <c r="G573" t="s">
        <v>752</v>
      </c>
      <c r="H573" t="s">
        <v>753</v>
      </c>
      <c r="I573" t="s">
        <v>754</v>
      </c>
      <c r="J573">
        <v>1</v>
      </c>
      <c r="K573">
        <v>423000</v>
      </c>
      <c r="L573">
        <v>0</v>
      </c>
      <c r="M573">
        <v>299000</v>
      </c>
      <c r="N573">
        <f>(data[[#This Row],[unit_price]]*data[[#This Row],[quantity]]) * (1-data[[#This Row],[discount]])</f>
        <v>423000</v>
      </c>
      <c r="O573">
        <f>data[[#This Row],[sales]]-data[[#This Row],[cost]]</f>
        <v>124000</v>
      </c>
      <c r="P573" t="str">
        <f>TEXT(data[[#This Row],[order_date]],"mmm")</f>
        <v>Dec</v>
      </c>
      <c r="Q573">
        <f>YEAR(data[[#This Row],[order_date]])</f>
        <v>2023</v>
      </c>
      <c r="R573">
        <f>MONTH(data[[#This Row],[order_date]])</f>
        <v>12</v>
      </c>
      <c r="S573">
        <f>DAY(data[[#This Row],[order_date]])</f>
        <v>16</v>
      </c>
      <c r="T573">
        <f>data[[#This Row],[profit]]/data[[#This Row],[sales]]</f>
        <v>0.29314420803782504</v>
      </c>
    </row>
    <row r="574" spans="1:20" x14ac:dyDescent="0.35">
      <c r="A574" t="s">
        <v>769</v>
      </c>
      <c r="B574" s="1">
        <v>45288</v>
      </c>
      <c r="C574" t="s">
        <v>14</v>
      </c>
      <c r="D574" t="s">
        <v>15</v>
      </c>
      <c r="E574" t="s">
        <v>384</v>
      </c>
      <c r="F574" t="s">
        <v>23</v>
      </c>
      <c r="G574" t="s">
        <v>752</v>
      </c>
      <c r="H574" t="s">
        <v>753</v>
      </c>
      <c r="I574" t="s">
        <v>754</v>
      </c>
      <c r="J574">
        <v>1</v>
      </c>
      <c r="K574">
        <v>255000</v>
      </c>
      <c r="L574">
        <v>0.05</v>
      </c>
      <c r="M574">
        <v>181000</v>
      </c>
      <c r="N574">
        <f>(data[[#This Row],[unit_price]]*data[[#This Row],[quantity]]) * (1-data[[#This Row],[discount]])</f>
        <v>242250</v>
      </c>
      <c r="O574">
        <f>data[[#This Row],[sales]]-data[[#This Row],[cost]]</f>
        <v>61250</v>
      </c>
      <c r="P574" t="str">
        <f>TEXT(data[[#This Row],[order_date]],"mmm")</f>
        <v>Dec</v>
      </c>
      <c r="Q574">
        <f>YEAR(data[[#This Row],[order_date]])</f>
        <v>2023</v>
      </c>
      <c r="R574">
        <f>MONTH(data[[#This Row],[order_date]])</f>
        <v>12</v>
      </c>
      <c r="S574">
        <f>DAY(data[[#This Row],[order_date]])</f>
        <v>28</v>
      </c>
      <c r="T574">
        <f>data[[#This Row],[profit]]/data[[#This Row],[sales]]</f>
        <v>0.25283797729618163</v>
      </c>
    </row>
    <row r="575" spans="1:20" x14ac:dyDescent="0.35">
      <c r="A575" t="s">
        <v>770</v>
      </c>
      <c r="B575" s="1">
        <v>45293</v>
      </c>
      <c r="C575" t="s">
        <v>41</v>
      </c>
      <c r="D575" t="s">
        <v>42</v>
      </c>
      <c r="E575" t="s">
        <v>262</v>
      </c>
      <c r="F575" t="s">
        <v>23</v>
      </c>
      <c r="G575" t="s">
        <v>752</v>
      </c>
      <c r="H575" t="s">
        <v>753</v>
      </c>
      <c r="I575" t="s">
        <v>754</v>
      </c>
      <c r="J575">
        <v>1</v>
      </c>
      <c r="K575">
        <v>274000</v>
      </c>
      <c r="L575">
        <v>0</v>
      </c>
      <c r="M575">
        <v>188000</v>
      </c>
      <c r="N575">
        <f>(data[[#This Row],[unit_price]]*data[[#This Row],[quantity]]) * (1-data[[#This Row],[discount]])</f>
        <v>274000</v>
      </c>
      <c r="O575">
        <f>data[[#This Row],[sales]]-data[[#This Row],[cost]]</f>
        <v>86000</v>
      </c>
      <c r="P575" t="str">
        <f>TEXT(data[[#This Row],[order_date]],"mmm")</f>
        <v>Jan</v>
      </c>
      <c r="Q575">
        <f>YEAR(data[[#This Row],[order_date]])</f>
        <v>2024</v>
      </c>
      <c r="R575">
        <f>MONTH(data[[#This Row],[order_date]])</f>
        <v>1</v>
      </c>
      <c r="S575">
        <f>DAY(data[[#This Row],[order_date]])</f>
        <v>2</v>
      </c>
      <c r="T575">
        <f>data[[#This Row],[profit]]/data[[#This Row],[sales]]</f>
        <v>0.31386861313868614</v>
      </c>
    </row>
    <row r="576" spans="1:20" x14ac:dyDescent="0.35">
      <c r="A576" t="s">
        <v>771</v>
      </c>
      <c r="B576" s="1">
        <v>45313</v>
      </c>
      <c r="C576" t="s">
        <v>14</v>
      </c>
      <c r="D576" t="s">
        <v>15</v>
      </c>
      <c r="E576" t="s">
        <v>39</v>
      </c>
      <c r="F576" t="s">
        <v>23</v>
      </c>
      <c r="G576" t="s">
        <v>752</v>
      </c>
      <c r="H576" t="s">
        <v>753</v>
      </c>
      <c r="I576" t="s">
        <v>754</v>
      </c>
      <c r="J576">
        <v>1</v>
      </c>
      <c r="K576">
        <v>399000</v>
      </c>
      <c r="L576">
        <v>0</v>
      </c>
      <c r="M576">
        <v>287000</v>
      </c>
      <c r="N576">
        <f>(data[[#This Row],[unit_price]]*data[[#This Row],[quantity]]) * (1-data[[#This Row],[discount]])</f>
        <v>399000</v>
      </c>
      <c r="O576">
        <f>data[[#This Row],[sales]]-data[[#This Row],[cost]]</f>
        <v>112000</v>
      </c>
      <c r="P576" t="str">
        <f>TEXT(data[[#This Row],[order_date]],"mmm")</f>
        <v>Jan</v>
      </c>
      <c r="Q576">
        <f>YEAR(data[[#This Row],[order_date]])</f>
        <v>2024</v>
      </c>
      <c r="R576">
        <f>MONTH(data[[#This Row],[order_date]])</f>
        <v>1</v>
      </c>
      <c r="S576">
        <f>DAY(data[[#This Row],[order_date]])</f>
        <v>22</v>
      </c>
      <c r="T576">
        <f>data[[#This Row],[profit]]/data[[#This Row],[sales]]</f>
        <v>0.2807017543859649</v>
      </c>
    </row>
    <row r="577" spans="1:20" x14ac:dyDescent="0.35">
      <c r="A577" t="s">
        <v>772</v>
      </c>
      <c r="B577" s="1">
        <v>45322</v>
      </c>
      <c r="C577" t="s">
        <v>25</v>
      </c>
      <c r="D577" t="s">
        <v>26</v>
      </c>
      <c r="E577" t="s">
        <v>244</v>
      </c>
      <c r="F577" t="s">
        <v>17</v>
      </c>
      <c r="G577" t="s">
        <v>752</v>
      </c>
      <c r="H577" t="s">
        <v>753</v>
      </c>
      <c r="I577" t="s">
        <v>754</v>
      </c>
      <c r="J577">
        <v>1</v>
      </c>
      <c r="K577">
        <v>532000</v>
      </c>
      <c r="L577">
        <v>0</v>
      </c>
      <c r="M577">
        <v>372000</v>
      </c>
      <c r="N577">
        <f>(data[[#This Row],[unit_price]]*data[[#This Row],[quantity]]) * (1-data[[#This Row],[discount]])</f>
        <v>532000</v>
      </c>
      <c r="O577">
        <f>data[[#This Row],[sales]]-data[[#This Row],[cost]]</f>
        <v>160000</v>
      </c>
      <c r="P577" t="str">
        <f>TEXT(data[[#This Row],[order_date]],"mmm")</f>
        <v>Jan</v>
      </c>
      <c r="Q577">
        <f>YEAR(data[[#This Row],[order_date]])</f>
        <v>2024</v>
      </c>
      <c r="R577">
        <f>MONTH(data[[#This Row],[order_date]])</f>
        <v>1</v>
      </c>
      <c r="S577">
        <f>DAY(data[[#This Row],[order_date]])</f>
        <v>31</v>
      </c>
      <c r="T577">
        <f>data[[#This Row],[profit]]/data[[#This Row],[sales]]</f>
        <v>0.3007518796992481</v>
      </c>
    </row>
    <row r="578" spans="1:20" x14ac:dyDescent="0.35">
      <c r="A578" t="s">
        <v>773</v>
      </c>
      <c r="B578" s="1">
        <v>45349</v>
      </c>
      <c r="C578" t="s">
        <v>41</v>
      </c>
      <c r="D578" t="s">
        <v>42</v>
      </c>
      <c r="E578" t="s">
        <v>411</v>
      </c>
      <c r="F578" t="s">
        <v>28</v>
      </c>
      <c r="G578" t="s">
        <v>752</v>
      </c>
      <c r="H578" t="s">
        <v>753</v>
      </c>
      <c r="I578" t="s">
        <v>754</v>
      </c>
      <c r="J578">
        <v>1</v>
      </c>
      <c r="K578">
        <v>593000</v>
      </c>
      <c r="L578">
        <v>0</v>
      </c>
      <c r="M578">
        <v>415000</v>
      </c>
      <c r="N578">
        <f>(data[[#This Row],[unit_price]]*data[[#This Row],[quantity]]) * (1-data[[#This Row],[discount]])</f>
        <v>593000</v>
      </c>
      <c r="O578">
        <f>data[[#This Row],[sales]]-data[[#This Row],[cost]]</f>
        <v>178000</v>
      </c>
      <c r="P578" t="str">
        <f>TEXT(data[[#This Row],[order_date]],"mmm")</f>
        <v>Feb</v>
      </c>
      <c r="Q578">
        <f>YEAR(data[[#This Row],[order_date]])</f>
        <v>2024</v>
      </c>
      <c r="R578">
        <f>MONTH(data[[#This Row],[order_date]])</f>
        <v>2</v>
      </c>
      <c r="S578">
        <f>DAY(data[[#This Row],[order_date]])</f>
        <v>27</v>
      </c>
      <c r="T578">
        <f>data[[#This Row],[profit]]/data[[#This Row],[sales]]</f>
        <v>0.30016863406408095</v>
      </c>
    </row>
    <row r="579" spans="1:20" x14ac:dyDescent="0.35">
      <c r="A579" t="s">
        <v>774</v>
      </c>
      <c r="B579" s="1">
        <v>45364</v>
      </c>
      <c r="C579" t="s">
        <v>14</v>
      </c>
      <c r="D579" t="s">
        <v>15</v>
      </c>
      <c r="E579" t="s">
        <v>327</v>
      </c>
      <c r="F579" t="s">
        <v>23</v>
      </c>
      <c r="G579" t="s">
        <v>752</v>
      </c>
      <c r="H579" t="s">
        <v>753</v>
      </c>
      <c r="I579" t="s">
        <v>754</v>
      </c>
      <c r="J579">
        <v>3</v>
      </c>
      <c r="K579">
        <v>285000</v>
      </c>
      <c r="L579">
        <v>0</v>
      </c>
      <c r="M579">
        <v>201000</v>
      </c>
      <c r="N579">
        <f>(data[[#This Row],[unit_price]]*data[[#This Row],[quantity]]) * (1-data[[#This Row],[discount]])</f>
        <v>855000</v>
      </c>
      <c r="O579">
        <f>data[[#This Row],[sales]]-data[[#This Row],[cost]]</f>
        <v>654000</v>
      </c>
      <c r="P579" t="str">
        <f>TEXT(data[[#This Row],[order_date]],"mmm")</f>
        <v>Mar</v>
      </c>
      <c r="Q579">
        <f>YEAR(data[[#This Row],[order_date]])</f>
        <v>2024</v>
      </c>
      <c r="R579">
        <f>MONTH(data[[#This Row],[order_date]])</f>
        <v>3</v>
      </c>
      <c r="S579">
        <f>DAY(data[[#This Row],[order_date]])</f>
        <v>13</v>
      </c>
      <c r="T579">
        <f>data[[#This Row],[profit]]/data[[#This Row],[sales]]</f>
        <v>0.76491228070175443</v>
      </c>
    </row>
    <row r="580" spans="1:20" x14ac:dyDescent="0.35">
      <c r="A580" t="s">
        <v>775</v>
      </c>
      <c r="B580" s="1">
        <v>45380</v>
      </c>
      <c r="C580" t="s">
        <v>41</v>
      </c>
      <c r="D580" t="s">
        <v>42</v>
      </c>
      <c r="E580" t="s">
        <v>384</v>
      </c>
      <c r="F580" t="s">
        <v>23</v>
      </c>
      <c r="G580" t="s">
        <v>752</v>
      </c>
      <c r="H580" t="s">
        <v>753</v>
      </c>
      <c r="I580" t="s">
        <v>754</v>
      </c>
      <c r="J580">
        <v>1</v>
      </c>
      <c r="K580">
        <v>332000</v>
      </c>
      <c r="L580">
        <v>0.05</v>
      </c>
      <c r="M580">
        <v>233000</v>
      </c>
      <c r="N580">
        <f>(data[[#This Row],[unit_price]]*data[[#This Row],[quantity]]) * (1-data[[#This Row],[discount]])</f>
        <v>315400</v>
      </c>
      <c r="O580">
        <f>data[[#This Row],[sales]]-data[[#This Row],[cost]]</f>
        <v>82400</v>
      </c>
      <c r="P580" t="str">
        <f>TEXT(data[[#This Row],[order_date]],"mmm")</f>
        <v>Mar</v>
      </c>
      <c r="Q580">
        <f>YEAR(data[[#This Row],[order_date]])</f>
        <v>2024</v>
      </c>
      <c r="R580">
        <f>MONTH(data[[#This Row],[order_date]])</f>
        <v>3</v>
      </c>
      <c r="S580">
        <f>DAY(data[[#This Row],[order_date]])</f>
        <v>29</v>
      </c>
      <c r="T580">
        <f>data[[#This Row],[profit]]/data[[#This Row],[sales]]</f>
        <v>0.26125554850982879</v>
      </c>
    </row>
    <row r="581" spans="1:20" x14ac:dyDescent="0.35">
      <c r="A581" t="s">
        <v>776</v>
      </c>
      <c r="B581" s="1">
        <v>45405</v>
      </c>
      <c r="C581" t="s">
        <v>25</v>
      </c>
      <c r="D581" t="s">
        <v>26</v>
      </c>
      <c r="E581" t="s">
        <v>667</v>
      </c>
      <c r="F581" t="s">
        <v>23</v>
      </c>
      <c r="G581" t="s">
        <v>752</v>
      </c>
      <c r="H581" t="s">
        <v>753</v>
      </c>
      <c r="I581" t="s">
        <v>754</v>
      </c>
      <c r="J581">
        <v>2</v>
      </c>
      <c r="K581">
        <v>355000</v>
      </c>
      <c r="L581">
        <v>0</v>
      </c>
      <c r="M581">
        <v>255000</v>
      </c>
      <c r="N581">
        <f>(data[[#This Row],[unit_price]]*data[[#This Row],[quantity]]) * (1-data[[#This Row],[discount]])</f>
        <v>710000</v>
      </c>
      <c r="O581">
        <f>data[[#This Row],[sales]]-data[[#This Row],[cost]]</f>
        <v>455000</v>
      </c>
      <c r="P581" t="str">
        <f>TEXT(data[[#This Row],[order_date]],"mmm")</f>
        <v>Apr</v>
      </c>
      <c r="Q581">
        <f>YEAR(data[[#This Row],[order_date]])</f>
        <v>2024</v>
      </c>
      <c r="R581">
        <f>MONTH(data[[#This Row],[order_date]])</f>
        <v>4</v>
      </c>
      <c r="S581">
        <f>DAY(data[[#This Row],[order_date]])</f>
        <v>23</v>
      </c>
      <c r="T581">
        <f>data[[#This Row],[profit]]/data[[#This Row],[sales]]</f>
        <v>0.64084507042253525</v>
      </c>
    </row>
    <row r="582" spans="1:20" x14ac:dyDescent="0.35">
      <c r="A582" t="s">
        <v>777</v>
      </c>
      <c r="B582" s="1">
        <v>45442</v>
      </c>
      <c r="C582" t="s">
        <v>14</v>
      </c>
      <c r="D582" t="s">
        <v>15</v>
      </c>
      <c r="E582" t="s">
        <v>307</v>
      </c>
      <c r="F582" t="s">
        <v>28</v>
      </c>
      <c r="G582" t="s">
        <v>752</v>
      </c>
      <c r="H582" t="s">
        <v>753</v>
      </c>
      <c r="I582" t="s">
        <v>754</v>
      </c>
      <c r="J582">
        <v>1</v>
      </c>
      <c r="K582">
        <v>472000</v>
      </c>
      <c r="L582">
        <v>0</v>
      </c>
      <c r="M582">
        <v>338000</v>
      </c>
      <c r="N582">
        <f>(data[[#This Row],[unit_price]]*data[[#This Row],[quantity]]) * (1-data[[#This Row],[discount]])</f>
        <v>472000</v>
      </c>
      <c r="O582">
        <f>data[[#This Row],[sales]]-data[[#This Row],[cost]]</f>
        <v>134000</v>
      </c>
      <c r="P582" t="str">
        <f>TEXT(data[[#This Row],[order_date]],"mmm")</f>
        <v>May</v>
      </c>
      <c r="Q582">
        <f>YEAR(data[[#This Row],[order_date]])</f>
        <v>2024</v>
      </c>
      <c r="R582">
        <f>MONTH(data[[#This Row],[order_date]])</f>
        <v>5</v>
      </c>
      <c r="S582">
        <f>DAY(data[[#This Row],[order_date]])</f>
        <v>30</v>
      </c>
      <c r="T582">
        <f>data[[#This Row],[profit]]/data[[#This Row],[sales]]</f>
        <v>0.28389830508474578</v>
      </c>
    </row>
    <row r="583" spans="1:20" x14ac:dyDescent="0.35">
      <c r="A583" t="s">
        <v>778</v>
      </c>
      <c r="B583" s="1">
        <v>45487</v>
      </c>
      <c r="C583" t="s">
        <v>49</v>
      </c>
      <c r="D583" t="s">
        <v>50</v>
      </c>
      <c r="E583" t="s">
        <v>462</v>
      </c>
      <c r="F583" t="s">
        <v>58</v>
      </c>
      <c r="G583" t="s">
        <v>752</v>
      </c>
      <c r="H583" t="s">
        <v>753</v>
      </c>
      <c r="I583" t="s">
        <v>754</v>
      </c>
      <c r="J583">
        <v>3</v>
      </c>
      <c r="K583">
        <v>542000</v>
      </c>
      <c r="L583">
        <v>0.15</v>
      </c>
      <c r="M583">
        <v>385000</v>
      </c>
      <c r="N583">
        <f>(data[[#This Row],[unit_price]]*data[[#This Row],[quantity]]) * (1-data[[#This Row],[discount]])</f>
        <v>1382100</v>
      </c>
      <c r="O583">
        <f>data[[#This Row],[sales]]-data[[#This Row],[cost]]</f>
        <v>997100</v>
      </c>
      <c r="P583" t="str">
        <f>TEXT(data[[#This Row],[order_date]],"mmm")</f>
        <v>Jul</v>
      </c>
      <c r="Q583">
        <f>YEAR(data[[#This Row],[order_date]])</f>
        <v>2024</v>
      </c>
      <c r="R583">
        <f>MONTH(data[[#This Row],[order_date]])</f>
        <v>7</v>
      </c>
      <c r="S583">
        <f>DAY(data[[#This Row],[order_date]])</f>
        <v>14</v>
      </c>
      <c r="T583">
        <f>data[[#This Row],[profit]]/data[[#This Row],[sales]]</f>
        <v>0.72143839085449679</v>
      </c>
    </row>
    <row r="584" spans="1:20" x14ac:dyDescent="0.35">
      <c r="A584" t="s">
        <v>779</v>
      </c>
      <c r="B584" s="1">
        <v>45509</v>
      </c>
      <c r="C584" t="s">
        <v>41</v>
      </c>
      <c r="D584" t="s">
        <v>42</v>
      </c>
      <c r="E584" t="s">
        <v>323</v>
      </c>
      <c r="F584" t="s">
        <v>28</v>
      </c>
      <c r="G584" t="s">
        <v>752</v>
      </c>
      <c r="H584" t="s">
        <v>753</v>
      </c>
      <c r="I584" t="s">
        <v>754</v>
      </c>
      <c r="J584">
        <v>3</v>
      </c>
      <c r="K584">
        <v>282000</v>
      </c>
      <c r="L584">
        <v>0</v>
      </c>
      <c r="M584">
        <v>196000</v>
      </c>
      <c r="N584">
        <f>(data[[#This Row],[unit_price]]*data[[#This Row],[quantity]]) * (1-data[[#This Row],[discount]])</f>
        <v>846000</v>
      </c>
      <c r="O584">
        <f>data[[#This Row],[sales]]-data[[#This Row],[cost]]</f>
        <v>650000</v>
      </c>
      <c r="P584" t="str">
        <f>TEXT(data[[#This Row],[order_date]],"mmm")</f>
        <v>Aug</v>
      </c>
      <c r="Q584">
        <f>YEAR(data[[#This Row],[order_date]])</f>
        <v>2024</v>
      </c>
      <c r="R584">
        <f>MONTH(data[[#This Row],[order_date]])</f>
        <v>8</v>
      </c>
      <c r="S584">
        <f>DAY(data[[#This Row],[order_date]])</f>
        <v>5</v>
      </c>
      <c r="T584">
        <f>data[[#This Row],[profit]]/data[[#This Row],[sales]]</f>
        <v>0.76832151300236406</v>
      </c>
    </row>
    <row r="585" spans="1:20" x14ac:dyDescent="0.35">
      <c r="A585" t="s">
        <v>780</v>
      </c>
      <c r="B585" s="1">
        <v>45511</v>
      </c>
      <c r="C585" t="s">
        <v>14</v>
      </c>
      <c r="D585" t="s">
        <v>15</v>
      </c>
      <c r="E585" t="s">
        <v>247</v>
      </c>
      <c r="F585" t="s">
        <v>17</v>
      </c>
      <c r="G585" t="s">
        <v>752</v>
      </c>
      <c r="H585" t="s">
        <v>753</v>
      </c>
      <c r="I585" t="s">
        <v>754</v>
      </c>
      <c r="J585">
        <v>1</v>
      </c>
      <c r="K585">
        <v>427000</v>
      </c>
      <c r="L585">
        <v>0</v>
      </c>
      <c r="M585">
        <v>304000</v>
      </c>
      <c r="N585">
        <f>(data[[#This Row],[unit_price]]*data[[#This Row],[quantity]]) * (1-data[[#This Row],[discount]])</f>
        <v>427000</v>
      </c>
      <c r="O585">
        <f>data[[#This Row],[sales]]-data[[#This Row],[cost]]</f>
        <v>123000</v>
      </c>
      <c r="P585" t="str">
        <f>TEXT(data[[#This Row],[order_date]],"mmm")</f>
        <v>Aug</v>
      </c>
      <c r="Q585">
        <f>YEAR(data[[#This Row],[order_date]])</f>
        <v>2024</v>
      </c>
      <c r="R585">
        <f>MONTH(data[[#This Row],[order_date]])</f>
        <v>8</v>
      </c>
      <c r="S585">
        <f>DAY(data[[#This Row],[order_date]])</f>
        <v>7</v>
      </c>
      <c r="T585">
        <f>data[[#This Row],[profit]]/data[[#This Row],[sales]]</f>
        <v>0.28805620608899296</v>
      </c>
    </row>
    <row r="586" spans="1:20" x14ac:dyDescent="0.35">
      <c r="A586" t="s">
        <v>781</v>
      </c>
      <c r="B586" s="1">
        <v>45527</v>
      </c>
      <c r="C586" t="s">
        <v>14</v>
      </c>
      <c r="D586" t="s">
        <v>15</v>
      </c>
      <c r="E586" t="s">
        <v>741</v>
      </c>
      <c r="F586" t="s">
        <v>23</v>
      </c>
      <c r="G586" t="s">
        <v>752</v>
      </c>
      <c r="H586" t="s">
        <v>753</v>
      </c>
      <c r="I586" t="s">
        <v>754</v>
      </c>
      <c r="J586">
        <v>2</v>
      </c>
      <c r="K586">
        <v>360000</v>
      </c>
      <c r="L586">
        <v>0.05</v>
      </c>
      <c r="M586">
        <v>256000</v>
      </c>
      <c r="N586">
        <f>(data[[#This Row],[unit_price]]*data[[#This Row],[quantity]]) * (1-data[[#This Row],[discount]])</f>
        <v>684000</v>
      </c>
      <c r="O586">
        <f>data[[#This Row],[sales]]-data[[#This Row],[cost]]</f>
        <v>428000</v>
      </c>
      <c r="P586" t="str">
        <f>TEXT(data[[#This Row],[order_date]],"mmm")</f>
        <v>Aug</v>
      </c>
      <c r="Q586">
        <f>YEAR(data[[#This Row],[order_date]])</f>
        <v>2024</v>
      </c>
      <c r="R586">
        <f>MONTH(data[[#This Row],[order_date]])</f>
        <v>8</v>
      </c>
      <c r="S586">
        <f>DAY(data[[#This Row],[order_date]])</f>
        <v>23</v>
      </c>
      <c r="T586">
        <f>data[[#This Row],[profit]]/data[[#This Row],[sales]]</f>
        <v>0.6257309941520468</v>
      </c>
    </row>
    <row r="587" spans="1:20" x14ac:dyDescent="0.35">
      <c r="A587" t="s">
        <v>782</v>
      </c>
      <c r="B587" s="1">
        <v>45568</v>
      </c>
      <c r="C587" t="s">
        <v>41</v>
      </c>
      <c r="D587" t="s">
        <v>42</v>
      </c>
      <c r="E587" t="s">
        <v>613</v>
      </c>
      <c r="F587" t="s">
        <v>28</v>
      </c>
      <c r="G587" t="s">
        <v>752</v>
      </c>
      <c r="H587" t="s">
        <v>753</v>
      </c>
      <c r="I587" t="s">
        <v>754</v>
      </c>
      <c r="J587">
        <v>1</v>
      </c>
      <c r="K587">
        <v>512000</v>
      </c>
      <c r="L587">
        <v>0</v>
      </c>
      <c r="M587">
        <v>349000</v>
      </c>
      <c r="N587">
        <f>(data[[#This Row],[unit_price]]*data[[#This Row],[quantity]]) * (1-data[[#This Row],[discount]])</f>
        <v>512000</v>
      </c>
      <c r="O587">
        <f>data[[#This Row],[sales]]-data[[#This Row],[cost]]</f>
        <v>163000</v>
      </c>
      <c r="P587" t="str">
        <f>TEXT(data[[#This Row],[order_date]],"mmm")</f>
        <v>Oct</v>
      </c>
      <c r="Q587">
        <f>YEAR(data[[#This Row],[order_date]])</f>
        <v>2024</v>
      </c>
      <c r="R587">
        <f>MONTH(data[[#This Row],[order_date]])</f>
        <v>10</v>
      </c>
      <c r="S587">
        <f>DAY(data[[#This Row],[order_date]])</f>
        <v>3</v>
      </c>
      <c r="T587">
        <f>data[[#This Row],[profit]]/data[[#This Row],[sales]]</f>
        <v>0.318359375</v>
      </c>
    </row>
    <row r="588" spans="1:20" x14ac:dyDescent="0.35">
      <c r="A588" t="s">
        <v>783</v>
      </c>
      <c r="B588" s="1">
        <v>45595</v>
      </c>
      <c r="C588" t="s">
        <v>14</v>
      </c>
      <c r="D588" t="s">
        <v>15</v>
      </c>
      <c r="E588" t="s">
        <v>95</v>
      </c>
      <c r="F588" t="s">
        <v>23</v>
      </c>
      <c r="G588" t="s">
        <v>752</v>
      </c>
      <c r="H588" t="s">
        <v>753</v>
      </c>
      <c r="I588" t="s">
        <v>754</v>
      </c>
      <c r="J588">
        <v>1</v>
      </c>
      <c r="K588">
        <v>309000</v>
      </c>
      <c r="L588">
        <v>0</v>
      </c>
      <c r="M588">
        <v>218000</v>
      </c>
      <c r="N588">
        <f>(data[[#This Row],[unit_price]]*data[[#This Row],[quantity]]) * (1-data[[#This Row],[discount]])</f>
        <v>309000</v>
      </c>
      <c r="O588">
        <f>data[[#This Row],[sales]]-data[[#This Row],[cost]]</f>
        <v>91000</v>
      </c>
      <c r="P588" t="str">
        <f>TEXT(data[[#This Row],[order_date]],"mmm")</f>
        <v>Oct</v>
      </c>
      <c r="Q588">
        <f>YEAR(data[[#This Row],[order_date]])</f>
        <v>2024</v>
      </c>
      <c r="R588">
        <f>MONTH(data[[#This Row],[order_date]])</f>
        <v>10</v>
      </c>
      <c r="S588">
        <f>DAY(data[[#This Row],[order_date]])</f>
        <v>30</v>
      </c>
      <c r="T588">
        <f>data[[#This Row],[profit]]/data[[#This Row],[sales]]</f>
        <v>0.29449838187702265</v>
      </c>
    </row>
    <row r="589" spans="1:20" x14ac:dyDescent="0.35">
      <c r="A589" t="s">
        <v>784</v>
      </c>
      <c r="B589" s="1">
        <v>45646</v>
      </c>
      <c r="C589" t="s">
        <v>36</v>
      </c>
      <c r="D589" t="s">
        <v>37</v>
      </c>
      <c r="E589" t="s">
        <v>53</v>
      </c>
      <c r="F589" t="s">
        <v>17</v>
      </c>
      <c r="G589" t="s">
        <v>752</v>
      </c>
      <c r="H589" t="s">
        <v>753</v>
      </c>
      <c r="I589" t="s">
        <v>754</v>
      </c>
      <c r="J589">
        <v>1</v>
      </c>
      <c r="K589">
        <v>356000</v>
      </c>
      <c r="L589">
        <v>0</v>
      </c>
      <c r="M589">
        <v>253000</v>
      </c>
      <c r="N589">
        <f>(data[[#This Row],[unit_price]]*data[[#This Row],[quantity]]) * (1-data[[#This Row],[discount]])</f>
        <v>356000</v>
      </c>
      <c r="O589">
        <f>data[[#This Row],[sales]]-data[[#This Row],[cost]]</f>
        <v>103000</v>
      </c>
      <c r="P589" t="str">
        <f>TEXT(data[[#This Row],[order_date]],"mmm")</f>
        <v>Dec</v>
      </c>
      <c r="Q589">
        <f>YEAR(data[[#This Row],[order_date]])</f>
        <v>2024</v>
      </c>
      <c r="R589">
        <f>MONTH(data[[#This Row],[order_date]])</f>
        <v>12</v>
      </c>
      <c r="S589">
        <f>DAY(data[[#This Row],[order_date]])</f>
        <v>20</v>
      </c>
      <c r="T589">
        <f>data[[#This Row],[profit]]/data[[#This Row],[sales]]</f>
        <v>0.2893258426966292</v>
      </c>
    </row>
    <row r="590" spans="1:20" x14ac:dyDescent="0.35">
      <c r="A590" t="s">
        <v>785</v>
      </c>
      <c r="B590" s="1">
        <v>45656</v>
      </c>
      <c r="C590" t="s">
        <v>41</v>
      </c>
      <c r="D590" t="s">
        <v>42</v>
      </c>
      <c r="E590" t="s">
        <v>413</v>
      </c>
      <c r="F590" t="s">
        <v>23</v>
      </c>
      <c r="G590" t="s">
        <v>752</v>
      </c>
      <c r="H590" t="s">
        <v>753</v>
      </c>
      <c r="I590" t="s">
        <v>754</v>
      </c>
      <c r="J590">
        <v>1</v>
      </c>
      <c r="K590">
        <v>445000</v>
      </c>
      <c r="L590">
        <v>0</v>
      </c>
      <c r="M590">
        <v>317000</v>
      </c>
      <c r="N590">
        <f>(data[[#This Row],[unit_price]]*data[[#This Row],[quantity]]) * (1-data[[#This Row],[discount]])</f>
        <v>445000</v>
      </c>
      <c r="O590">
        <f>data[[#This Row],[sales]]-data[[#This Row],[cost]]</f>
        <v>128000</v>
      </c>
      <c r="P590" t="str">
        <f>TEXT(data[[#This Row],[order_date]],"mmm")</f>
        <v>Dec</v>
      </c>
      <c r="Q590">
        <f>YEAR(data[[#This Row],[order_date]])</f>
        <v>2024</v>
      </c>
      <c r="R590">
        <f>MONTH(data[[#This Row],[order_date]])</f>
        <v>12</v>
      </c>
      <c r="S590">
        <f>DAY(data[[#This Row],[order_date]])</f>
        <v>30</v>
      </c>
      <c r="T590">
        <f>data[[#This Row],[profit]]/data[[#This Row],[sales]]</f>
        <v>0.28764044943820227</v>
      </c>
    </row>
    <row r="591" spans="1:20" x14ac:dyDescent="0.35">
      <c r="A591" t="s">
        <v>786</v>
      </c>
      <c r="B591" s="1">
        <v>45677</v>
      </c>
      <c r="C591" t="s">
        <v>14</v>
      </c>
      <c r="D591" t="s">
        <v>15</v>
      </c>
      <c r="E591" t="s">
        <v>493</v>
      </c>
      <c r="F591" t="s">
        <v>23</v>
      </c>
      <c r="G591" t="s">
        <v>752</v>
      </c>
      <c r="H591" t="s">
        <v>753</v>
      </c>
      <c r="I591" t="s">
        <v>754</v>
      </c>
      <c r="J591">
        <v>1</v>
      </c>
      <c r="K591">
        <v>315000</v>
      </c>
      <c r="L591">
        <v>0.05</v>
      </c>
      <c r="M591">
        <v>223000</v>
      </c>
      <c r="N591">
        <f>(data[[#This Row],[unit_price]]*data[[#This Row],[quantity]]) * (1-data[[#This Row],[discount]])</f>
        <v>299250</v>
      </c>
      <c r="O591">
        <f>data[[#This Row],[sales]]-data[[#This Row],[cost]]</f>
        <v>76250</v>
      </c>
      <c r="P591" t="str">
        <f>TEXT(data[[#This Row],[order_date]],"mmm")</f>
        <v>Jan</v>
      </c>
      <c r="Q591">
        <f>YEAR(data[[#This Row],[order_date]])</f>
        <v>2025</v>
      </c>
      <c r="R591">
        <f>MONTH(data[[#This Row],[order_date]])</f>
        <v>1</v>
      </c>
      <c r="S591">
        <f>DAY(data[[#This Row],[order_date]])</f>
        <v>20</v>
      </c>
      <c r="T591">
        <f>data[[#This Row],[profit]]/data[[#This Row],[sales]]</f>
        <v>0.25480367585630742</v>
      </c>
    </row>
    <row r="592" spans="1:20" x14ac:dyDescent="0.35">
      <c r="A592" t="s">
        <v>787</v>
      </c>
      <c r="B592" s="1">
        <v>45718</v>
      </c>
      <c r="C592" t="s">
        <v>25</v>
      </c>
      <c r="D592" t="s">
        <v>26</v>
      </c>
      <c r="E592" t="s">
        <v>337</v>
      </c>
      <c r="F592" t="s">
        <v>23</v>
      </c>
      <c r="G592" t="s">
        <v>752</v>
      </c>
      <c r="H592" t="s">
        <v>753</v>
      </c>
      <c r="I592" t="s">
        <v>754</v>
      </c>
      <c r="J592">
        <v>2</v>
      </c>
      <c r="K592">
        <v>410000</v>
      </c>
      <c r="L592">
        <v>0</v>
      </c>
      <c r="M592">
        <v>288000</v>
      </c>
      <c r="N592">
        <f>(data[[#This Row],[unit_price]]*data[[#This Row],[quantity]]) * (1-data[[#This Row],[discount]])</f>
        <v>820000</v>
      </c>
      <c r="O592">
        <f>data[[#This Row],[sales]]-data[[#This Row],[cost]]</f>
        <v>532000</v>
      </c>
      <c r="P592" t="str">
        <f>TEXT(data[[#This Row],[order_date]],"mmm")</f>
        <v>Mar</v>
      </c>
      <c r="Q592">
        <f>YEAR(data[[#This Row],[order_date]])</f>
        <v>2025</v>
      </c>
      <c r="R592">
        <f>MONTH(data[[#This Row],[order_date]])</f>
        <v>3</v>
      </c>
      <c r="S592">
        <f>DAY(data[[#This Row],[order_date]])</f>
        <v>2</v>
      </c>
      <c r="T592">
        <f>data[[#This Row],[profit]]/data[[#This Row],[sales]]</f>
        <v>0.64878048780487807</v>
      </c>
    </row>
    <row r="593" spans="1:20" x14ac:dyDescent="0.35">
      <c r="A593" t="s">
        <v>788</v>
      </c>
      <c r="B593" s="1">
        <v>45739</v>
      </c>
      <c r="C593" t="s">
        <v>14</v>
      </c>
      <c r="D593" t="s">
        <v>15</v>
      </c>
      <c r="E593" t="s">
        <v>260</v>
      </c>
      <c r="F593" t="s">
        <v>23</v>
      </c>
      <c r="G593" t="s">
        <v>752</v>
      </c>
      <c r="H593" t="s">
        <v>753</v>
      </c>
      <c r="I593" t="s">
        <v>754</v>
      </c>
      <c r="J593">
        <v>1</v>
      </c>
      <c r="K593">
        <v>411000</v>
      </c>
      <c r="L593">
        <v>0</v>
      </c>
      <c r="M593">
        <v>284000</v>
      </c>
      <c r="N593">
        <f>(data[[#This Row],[unit_price]]*data[[#This Row],[quantity]]) * (1-data[[#This Row],[discount]])</f>
        <v>411000</v>
      </c>
      <c r="O593">
        <f>data[[#This Row],[sales]]-data[[#This Row],[cost]]</f>
        <v>127000</v>
      </c>
      <c r="P593" t="str">
        <f>TEXT(data[[#This Row],[order_date]],"mmm")</f>
        <v>Mar</v>
      </c>
      <c r="Q593">
        <f>YEAR(data[[#This Row],[order_date]])</f>
        <v>2025</v>
      </c>
      <c r="R593">
        <f>MONTH(data[[#This Row],[order_date]])</f>
        <v>3</v>
      </c>
      <c r="S593">
        <f>DAY(data[[#This Row],[order_date]])</f>
        <v>23</v>
      </c>
      <c r="T593">
        <f>data[[#This Row],[profit]]/data[[#This Row],[sales]]</f>
        <v>0.30900243309002434</v>
      </c>
    </row>
    <row r="594" spans="1:20" x14ac:dyDescent="0.35">
      <c r="A594" t="s">
        <v>789</v>
      </c>
      <c r="B594" s="1">
        <v>45752</v>
      </c>
      <c r="C594" t="s">
        <v>49</v>
      </c>
      <c r="D594" t="s">
        <v>50</v>
      </c>
      <c r="E594" t="s">
        <v>119</v>
      </c>
      <c r="F594" t="s">
        <v>23</v>
      </c>
      <c r="G594" t="s">
        <v>752</v>
      </c>
      <c r="H594" t="s">
        <v>753</v>
      </c>
      <c r="I594" t="s">
        <v>754</v>
      </c>
      <c r="J594">
        <v>1</v>
      </c>
      <c r="K594">
        <v>642000</v>
      </c>
      <c r="L594">
        <v>0</v>
      </c>
      <c r="M594">
        <v>454000</v>
      </c>
      <c r="N594">
        <f>(data[[#This Row],[unit_price]]*data[[#This Row],[quantity]]) * (1-data[[#This Row],[discount]])</f>
        <v>642000</v>
      </c>
      <c r="O594">
        <f>data[[#This Row],[sales]]-data[[#This Row],[cost]]</f>
        <v>188000</v>
      </c>
      <c r="P594" t="str">
        <f>TEXT(data[[#This Row],[order_date]],"mmm")</f>
        <v>Apr</v>
      </c>
      <c r="Q594">
        <f>YEAR(data[[#This Row],[order_date]])</f>
        <v>2025</v>
      </c>
      <c r="R594">
        <f>MONTH(data[[#This Row],[order_date]])</f>
        <v>4</v>
      </c>
      <c r="S594">
        <f>DAY(data[[#This Row],[order_date]])</f>
        <v>5</v>
      </c>
      <c r="T594">
        <f>data[[#This Row],[profit]]/data[[#This Row],[sales]]</f>
        <v>0.29283489096573206</v>
      </c>
    </row>
    <row r="595" spans="1:20" x14ac:dyDescent="0.35">
      <c r="A595" t="s">
        <v>790</v>
      </c>
      <c r="B595" s="1">
        <v>45768</v>
      </c>
      <c r="C595" t="s">
        <v>25</v>
      </c>
      <c r="D595" t="s">
        <v>26</v>
      </c>
      <c r="E595" t="s">
        <v>168</v>
      </c>
      <c r="F595" t="s">
        <v>23</v>
      </c>
      <c r="G595" t="s">
        <v>752</v>
      </c>
      <c r="H595" t="s">
        <v>753</v>
      </c>
      <c r="I595" t="s">
        <v>754</v>
      </c>
      <c r="J595">
        <v>1</v>
      </c>
      <c r="K595">
        <v>346000</v>
      </c>
      <c r="L595">
        <v>0</v>
      </c>
      <c r="M595">
        <v>239000</v>
      </c>
      <c r="N595">
        <f>(data[[#This Row],[unit_price]]*data[[#This Row],[quantity]]) * (1-data[[#This Row],[discount]])</f>
        <v>346000</v>
      </c>
      <c r="O595">
        <f>data[[#This Row],[sales]]-data[[#This Row],[cost]]</f>
        <v>107000</v>
      </c>
      <c r="P595" t="str">
        <f>TEXT(data[[#This Row],[order_date]],"mmm")</f>
        <v>Apr</v>
      </c>
      <c r="Q595">
        <f>YEAR(data[[#This Row],[order_date]])</f>
        <v>2025</v>
      </c>
      <c r="R595">
        <f>MONTH(data[[#This Row],[order_date]])</f>
        <v>4</v>
      </c>
      <c r="S595">
        <f>DAY(data[[#This Row],[order_date]])</f>
        <v>21</v>
      </c>
      <c r="T595">
        <f>data[[#This Row],[profit]]/data[[#This Row],[sales]]</f>
        <v>0.30924855491329478</v>
      </c>
    </row>
    <row r="596" spans="1:20" x14ac:dyDescent="0.35">
      <c r="A596" t="s">
        <v>791</v>
      </c>
      <c r="B596" s="1">
        <v>45790</v>
      </c>
      <c r="C596" t="s">
        <v>14</v>
      </c>
      <c r="D596" t="s">
        <v>15</v>
      </c>
      <c r="E596" t="s">
        <v>413</v>
      </c>
      <c r="F596" t="s">
        <v>23</v>
      </c>
      <c r="G596" t="s">
        <v>752</v>
      </c>
      <c r="H596" t="s">
        <v>753</v>
      </c>
      <c r="I596" t="s">
        <v>754</v>
      </c>
      <c r="J596">
        <v>1</v>
      </c>
      <c r="K596">
        <v>276000</v>
      </c>
      <c r="L596">
        <v>0</v>
      </c>
      <c r="M596">
        <v>198000</v>
      </c>
      <c r="N596">
        <f>(data[[#This Row],[unit_price]]*data[[#This Row],[quantity]]) * (1-data[[#This Row],[discount]])</f>
        <v>276000</v>
      </c>
      <c r="O596">
        <f>data[[#This Row],[sales]]-data[[#This Row],[cost]]</f>
        <v>78000</v>
      </c>
      <c r="P596" t="str">
        <f>TEXT(data[[#This Row],[order_date]],"mmm")</f>
        <v>May</v>
      </c>
      <c r="Q596">
        <f>YEAR(data[[#This Row],[order_date]])</f>
        <v>2025</v>
      </c>
      <c r="R596">
        <f>MONTH(data[[#This Row],[order_date]])</f>
        <v>5</v>
      </c>
      <c r="S596">
        <f>DAY(data[[#This Row],[order_date]])</f>
        <v>13</v>
      </c>
      <c r="T596">
        <f>data[[#This Row],[profit]]/data[[#This Row],[sales]]</f>
        <v>0.28260869565217389</v>
      </c>
    </row>
    <row r="597" spans="1:20" x14ac:dyDescent="0.35">
      <c r="A597" t="s">
        <v>792</v>
      </c>
      <c r="B597" s="1">
        <v>45793</v>
      </c>
      <c r="C597" t="s">
        <v>25</v>
      </c>
      <c r="D597" t="s">
        <v>26</v>
      </c>
      <c r="E597" t="s">
        <v>115</v>
      </c>
      <c r="F597" t="s">
        <v>23</v>
      </c>
      <c r="G597" t="s">
        <v>752</v>
      </c>
      <c r="H597" t="s">
        <v>753</v>
      </c>
      <c r="I597" t="s">
        <v>754</v>
      </c>
      <c r="J597">
        <v>2</v>
      </c>
      <c r="K597">
        <v>562000</v>
      </c>
      <c r="L597">
        <v>0</v>
      </c>
      <c r="M597">
        <v>385000</v>
      </c>
      <c r="N597">
        <f>(data[[#This Row],[unit_price]]*data[[#This Row],[quantity]]) * (1-data[[#This Row],[discount]])</f>
        <v>1124000</v>
      </c>
      <c r="O597">
        <f>data[[#This Row],[sales]]-data[[#This Row],[cost]]</f>
        <v>739000</v>
      </c>
      <c r="P597" t="str">
        <f>TEXT(data[[#This Row],[order_date]],"mmm")</f>
        <v>May</v>
      </c>
      <c r="Q597">
        <f>YEAR(data[[#This Row],[order_date]])</f>
        <v>2025</v>
      </c>
      <c r="R597">
        <f>MONTH(data[[#This Row],[order_date]])</f>
        <v>5</v>
      </c>
      <c r="S597">
        <f>DAY(data[[#This Row],[order_date]])</f>
        <v>16</v>
      </c>
      <c r="T597">
        <f>data[[#This Row],[profit]]/data[[#This Row],[sales]]</f>
        <v>0.65747330960854089</v>
      </c>
    </row>
    <row r="598" spans="1:20" x14ac:dyDescent="0.35">
      <c r="A598" t="s">
        <v>793</v>
      </c>
      <c r="B598" s="1">
        <v>45815</v>
      </c>
      <c r="C598" t="s">
        <v>14</v>
      </c>
      <c r="D598" t="s">
        <v>15</v>
      </c>
      <c r="E598" t="s">
        <v>104</v>
      </c>
      <c r="F598" t="s">
        <v>28</v>
      </c>
      <c r="G598" t="s">
        <v>752</v>
      </c>
      <c r="H598" t="s">
        <v>753</v>
      </c>
      <c r="I598" t="s">
        <v>754</v>
      </c>
      <c r="J598">
        <v>1</v>
      </c>
      <c r="K598">
        <v>313000</v>
      </c>
      <c r="L598">
        <v>0</v>
      </c>
      <c r="M598">
        <v>222000</v>
      </c>
      <c r="N598">
        <f>(data[[#This Row],[unit_price]]*data[[#This Row],[quantity]]) * (1-data[[#This Row],[discount]])</f>
        <v>313000</v>
      </c>
      <c r="O598">
        <f>data[[#This Row],[sales]]-data[[#This Row],[cost]]</f>
        <v>91000</v>
      </c>
      <c r="P598" t="str">
        <f>TEXT(data[[#This Row],[order_date]],"mmm")</f>
        <v>Jun</v>
      </c>
      <c r="Q598">
        <f>YEAR(data[[#This Row],[order_date]])</f>
        <v>2025</v>
      </c>
      <c r="R598">
        <f>MONTH(data[[#This Row],[order_date]])</f>
        <v>6</v>
      </c>
      <c r="S598">
        <f>DAY(data[[#This Row],[order_date]])</f>
        <v>7</v>
      </c>
      <c r="T598">
        <f>data[[#This Row],[profit]]/data[[#This Row],[sales]]</f>
        <v>0.29073482428115016</v>
      </c>
    </row>
    <row r="599" spans="1:20" x14ac:dyDescent="0.35">
      <c r="A599" t="s">
        <v>794</v>
      </c>
      <c r="B599" s="1">
        <v>45822</v>
      </c>
      <c r="C599" t="s">
        <v>14</v>
      </c>
      <c r="D599" t="s">
        <v>15</v>
      </c>
      <c r="E599" t="s">
        <v>244</v>
      </c>
      <c r="F599" t="s">
        <v>17</v>
      </c>
      <c r="G599" t="s">
        <v>752</v>
      </c>
      <c r="H599" t="s">
        <v>753</v>
      </c>
      <c r="I599" t="s">
        <v>754</v>
      </c>
      <c r="J599">
        <v>1</v>
      </c>
      <c r="K599">
        <v>441000</v>
      </c>
      <c r="L599">
        <v>0.05</v>
      </c>
      <c r="M599">
        <v>317000</v>
      </c>
      <c r="N599">
        <f>(data[[#This Row],[unit_price]]*data[[#This Row],[quantity]]) * (1-data[[#This Row],[discount]])</f>
        <v>418950</v>
      </c>
      <c r="O599">
        <f>data[[#This Row],[sales]]-data[[#This Row],[cost]]</f>
        <v>101950</v>
      </c>
      <c r="P599" t="str">
        <f>TEXT(data[[#This Row],[order_date]],"mmm")</f>
        <v>Jun</v>
      </c>
      <c r="Q599">
        <f>YEAR(data[[#This Row],[order_date]])</f>
        <v>2025</v>
      </c>
      <c r="R599">
        <f>MONTH(data[[#This Row],[order_date]])</f>
        <v>6</v>
      </c>
      <c r="S599">
        <f>DAY(data[[#This Row],[order_date]])</f>
        <v>14</v>
      </c>
      <c r="T599">
        <f>data[[#This Row],[profit]]/data[[#This Row],[sales]]</f>
        <v>0.24334646139157418</v>
      </c>
    </row>
    <row r="600" spans="1:20" x14ac:dyDescent="0.35">
      <c r="A600" t="s">
        <v>795</v>
      </c>
      <c r="B600" s="1">
        <v>45850</v>
      </c>
      <c r="C600" t="s">
        <v>36</v>
      </c>
      <c r="D600" t="s">
        <v>37</v>
      </c>
      <c r="E600" t="s">
        <v>613</v>
      </c>
      <c r="F600" t="s">
        <v>28</v>
      </c>
      <c r="G600" t="s">
        <v>752</v>
      </c>
      <c r="H600" t="s">
        <v>753</v>
      </c>
      <c r="I600" t="s">
        <v>754</v>
      </c>
      <c r="J600">
        <v>1</v>
      </c>
      <c r="K600">
        <v>557000</v>
      </c>
      <c r="L600">
        <v>0.1</v>
      </c>
      <c r="M600">
        <v>400000</v>
      </c>
      <c r="N600">
        <f>(data[[#This Row],[unit_price]]*data[[#This Row],[quantity]]) * (1-data[[#This Row],[discount]])</f>
        <v>501300</v>
      </c>
      <c r="O600">
        <f>data[[#This Row],[sales]]-data[[#This Row],[cost]]</f>
        <v>101300</v>
      </c>
      <c r="P600" t="str">
        <f>TEXT(data[[#This Row],[order_date]],"mmm")</f>
        <v>Jul</v>
      </c>
      <c r="Q600">
        <f>YEAR(data[[#This Row],[order_date]])</f>
        <v>2025</v>
      </c>
      <c r="R600">
        <f>MONTH(data[[#This Row],[order_date]])</f>
        <v>7</v>
      </c>
      <c r="S600">
        <f>DAY(data[[#This Row],[order_date]])</f>
        <v>12</v>
      </c>
      <c r="T600">
        <f>data[[#This Row],[profit]]/data[[#This Row],[sales]]</f>
        <v>0.20207460602433672</v>
      </c>
    </row>
    <row r="601" spans="1:20" x14ac:dyDescent="0.35">
      <c r="A601" t="s">
        <v>796</v>
      </c>
      <c r="B601" s="1">
        <v>45860</v>
      </c>
      <c r="C601" t="s">
        <v>14</v>
      </c>
      <c r="D601" t="s">
        <v>15</v>
      </c>
      <c r="E601" t="s">
        <v>319</v>
      </c>
      <c r="F601" t="s">
        <v>23</v>
      </c>
      <c r="G601" t="s">
        <v>752</v>
      </c>
      <c r="H601" t="s">
        <v>753</v>
      </c>
      <c r="I601" t="s">
        <v>754</v>
      </c>
      <c r="J601">
        <v>2</v>
      </c>
      <c r="K601">
        <v>443000</v>
      </c>
      <c r="L601">
        <v>0</v>
      </c>
      <c r="M601">
        <v>303000</v>
      </c>
      <c r="N601">
        <f>(data[[#This Row],[unit_price]]*data[[#This Row],[quantity]]) * (1-data[[#This Row],[discount]])</f>
        <v>886000</v>
      </c>
      <c r="O601">
        <f>data[[#This Row],[sales]]-data[[#This Row],[cost]]</f>
        <v>583000</v>
      </c>
      <c r="P601" t="str">
        <f>TEXT(data[[#This Row],[order_date]],"mmm")</f>
        <v>Jul</v>
      </c>
      <c r="Q601">
        <f>YEAR(data[[#This Row],[order_date]])</f>
        <v>2025</v>
      </c>
      <c r="R601">
        <f>MONTH(data[[#This Row],[order_date]])</f>
        <v>7</v>
      </c>
      <c r="S601">
        <f>DAY(data[[#This Row],[order_date]])</f>
        <v>22</v>
      </c>
      <c r="T601">
        <f>data[[#This Row],[profit]]/data[[#This Row],[sales]]</f>
        <v>0.65801354401805867</v>
      </c>
    </row>
    <row r="602" spans="1:20" x14ac:dyDescent="0.35">
      <c r="A602" t="s">
        <v>797</v>
      </c>
      <c r="B602" s="1">
        <v>45880</v>
      </c>
      <c r="C602" t="s">
        <v>49</v>
      </c>
      <c r="D602" t="s">
        <v>50</v>
      </c>
      <c r="E602" t="s">
        <v>798</v>
      </c>
      <c r="F602" t="s">
        <v>28</v>
      </c>
      <c r="G602" t="s">
        <v>752</v>
      </c>
      <c r="H602" t="s">
        <v>753</v>
      </c>
      <c r="I602" t="s">
        <v>754</v>
      </c>
      <c r="J602">
        <v>2</v>
      </c>
      <c r="K602">
        <v>351000</v>
      </c>
      <c r="L602">
        <v>0.05</v>
      </c>
      <c r="M602">
        <v>253000</v>
      </c>
      <c r="N602">
        <f>(data[[#This Row],[unit_price]]*data[[#This Row],[quantity]]) * (1-data[[#This Row],[discount]])</f>
        <v>666900</v>
      </c>
      <c r="O602">
        <f>data[[#This Row],[sales]]-data[[#This Row],[cost]]</f>
        <v>413900</v>
      </c>
      <c r="P602" t="str">
        <f>TEXT(data[[#This Row],[order_date]],"mmm")</f>
        <v>Aug</v>
      </c>
      <c r="Q602">
        <f>YEAR(data[[#This Row],[order_date]])</f>
        <v>2025</v>
      </c>
      <c r="R602">
        <f>MONTH(data[[#This Row],[order_date]])</f>
        <v>8</v>
      </c>
      <c r="S602">
        <f>DAY(data[[#This Row],[order_date]])</f>
        <v>11</v>
      </c>
      <c r="T602">
        <f>data[[#This Row],[profit]]/data[[#This Row],[sales]]</f>
        <v>0.62063277852751542</v>
      </c>
    </row>
    <row r="603" spans="1:20" x14ac:dyDescent="0.35">
      <c r="A603" t="s">
        <v>799</v>
      </c>
      <c r="B603" s="1">
        <v>45908</v>
      </c>
      <c r="C603" t="s">
        <v>41</v>
      </c>
      <c r="D603" t="s">
        <v>42</v>
      </c>
      <c r="E603" t="s">
        <v>47</v>
      </c>
      <c r="F603" t="s">
        <v>23</v>
      </c>
      <c r="G603" t="s">
        <v>752</v>
      </c>
      <c r="H603" t="s">
        <v>753</v>
      </c>
      <c r="I603" t="s">
        <v>754</v>
      </c>
      <c r="J603">
        <v>1</v>
      </c>
      <c r="K603">
        <v>626000</v>
      </c>
      <c r="L603">
        <v>0</v>
      </c>
      <c r="M603">
        <v>443000</v>
      </c>
      <c r="N603">
        <f>(data[[#This Row],[unit_price]]*data[[#This Row],[quantity]]) * (1-data[[#This Row],[discount]])</f>
        <v>626000</v>
      </c>
      <c r="O603">
        <f>data[[#This Row],[sales]]-data[[#This Row],[cost]]</f>
        <v>183000</v>
      </c>
      <c r="P603" t="str">
        <f>TEXT(data[[#This Row],[order_date]],"mmm")</f>
        <v>Sep</v>
      </c>
      <c r="Q603">
        <f>YEAR(data[[#This Row],[order_date]])</f>
        <v>2025</v>
      </c>
      <c r="R603">
        <f>MONTH(data[[#This Row],[order_date]])</f>
        <v>9</v>
      </c>
      <c r="S603">
        <f>DAY(data[[#This Row],[order_date]])</f>
        <v>8</v>
      </c>
      <c r="T603">
        <f>data[[#This Row],[profit]]/data[[#This Row],[sales]]</f>
        <v>0.29233226837060705</v>
      </c>
    </row>
    <row r="604" spans="1:20" x14ac:dyDescent="0.35">
      <c r="A604" t="s">
        <v>800</v>
      </c>
      <c r="B604" s="1">
        <v>45918</v>
      </c>
      <c r="C604" t="s">
        <v>49</v>
      </c>
      <c r="D604" t="s">
        <v>50</v>
      </c>
      <c r="E604" t="s">
        <v>146</v>
      </c>
      <c r="F604" t="s">
        <v>17</v>
      </c>
      <c r="G604" t="s">
        <v>752</v>
      </c>
      <c r="H604" t="s">
        <v>753</v>
      </c>
      <c r="I604" t="s">
        <v>754</v>
      </c>
      <c r="J604">
        <v>1</v>
      </c>
      <c r="K604">
        <v>343000</v>
      </c>
      <c r="L604">
        <v>0</v>
      </c>
      <c r="M604">
        <v>235000</v>
      </c>
      <c r="N604">
        <f>(data[[#This Row],[unit_price]]*data[[#This Row],[quantity]]) * (1-data[[#This Row],[discount]])</f>
        <v>343000</v>
      </c>
      <c r="O604">
        <f>data[[#This Row],[sales]]-data[[#This Row],[cost]]</f>
        <v>108000</v>
      </c>
      <c r="P604" t="str">
        <f>TEXT(data[[#This Row],[order_date]],"mmm")</f>
        <v>Sep</v>
      </c>
      <c r="Q604">
        <f>YEAR(data[[#This Row],[order_date]])</f>
        <v>2025</v>
      </c>
      <c r="R604">
        <f>MONTH(data[[#This Row],[order_date]])</f>
        <v>9</v>
      </c>
      <c r="S604">
        <f>DAY(data[[#This Row],[order_date]])</f>
        <v>18</v>
      </c>
      <c r="T604">
        <f>data[[#This Row],[profit]]/data[[#This Row],[sales]]</f>
        <v>0.31486880466472306</v>
      </c>
    </row>
    <row r="605" spans="1:20" x14ac:dyDescent="0.35">
      <c r="A605" t="s">
        <v>801</v>
      </c>
      <c r="B605" s="1">
        <v>45942</v>
      </c>
      <c r="C605" t="s">
        <v>14</v>
      </c>
      <c r="D605" t="s">
        <v>15</v>
      </c>
      <c r="E605" t="s">
        <v>493</v>
      </c>
      <c r="F605" t="s">
        <v>23</v>
      </c>
      <c r="G605" t="s">
        <v>752</v>
      </c>
      <c r="H605" t="s">
        <v>753</v>
      </c>
      <c r="I605" t="s">
        <v>754</v>
      </c>
      <c r="J605">
        <v>1</v>
      </c>
      <c r="K605">
        <v>301000</v>
      </c>
      <c r="L605">
        <v>0</v>
      </c>
      <c r="M605">
        <v>206000</v>
      </c>
      <c r="N605">
        <f>(data[[#This Row],[unit_price]]*data[[#This Row],[quantity]]) * (1-data[[#This Row],[discount]])</f>
        <v>301000</v>
      </c>
      <c r="O605">
        <f>data[[#This Row],[sales]]-data[[#This Row],[cost]]</f>
        <v>95000</v>
      </c>
      <c r="P605" t="str">
        <f>TEXT(data[[#This Row],[order_date]],"mmm")</f>
        <v>Oct</v>
      </c>
      <c r="Q605">
        <f>YEAR(data[[#This Row],[order_date]])</f>
        <v>2025</v>
      </c>
      <c r="R605">
        <f>MONTH(data[[#This Row],[order_date]])</f>
        <v>10</v>
      </c>
      <c r="S605">
        <f>DAY(data[[#This Row],[order_date]])</f>
        <v>12</v>
      </c>
      <c r="T605">
        <f>data[[#This Row],[profit]]/data[[#This Row],[sales]]</f>
        <v>0.31561461794019935</v>
      </c>
    </row>
    <row r="606" spans="1:20" x14ac:dyDescent="0.35">
      <c r="A606" t="s">
        <v>802</v>
      </c>
      <c r="B606" s="1">
        <v>45981</v>
      </c>
      <c r="C606" t="s">
        <v>14</v>
      </c>
      <c r="D606" t="s">
        <v>15</v>
      </c>
      <c r="E606" t="s">
        <v>309</v>
      </c>
      <c r="F606" t="s">
        <v>23</v>
      </c>
      <c r="G606" t="s">
        <v>752</v>
      </c>
      <c r="H606" t="s">
        <v>753</v>
      </c>
      <c r="I606" t="s">
        <v>754</v>
      </c>
      <c r="J606">
        <v>2</v>
      </c>
      <c r="K606">
        <v>513000</v>
      </c>
      <c r="L606">
        <v>0</v>
      </c>
      <c r="M606">
        <v>367000</v>
      </c>
      <c r="N606">
        <f>(data[[#This Row],[unit_price]]*data[[#This Row],[quantity]]) * (1-data[[#This Row],[discount]])</f>
        <v>1026000</v>
      </c>
      <c r="O606">
        <f>data[[#This Row],[sales]]-data[[#This Row],[cost]]</f>
        <v>659000</v>
      </c>
      <c r="P606" t="str">
        <f>TEXT(data[[#This Row],[order_date]],"mmm")</f>
        <v>Nov</v>
      </c>
      <c r="Q606">
        <f>YEAR(data[[#This Row],[order_date]])</f>
        <v>2025</v>
      </c>
      <c r="R606">
        <f>MONTH(data[[#This Row],[order_date]])</f>
        <v>11</v>
      </c>
      <c r="S606">
        <f>DAY(data[[#This Row],[order_date]])</f>
        <v>20</v>
      </c>
      <c r="T606">
        <f>data[[#This Row],[profit]]/data[[#This Row],[sales]]</f>
        <v>0.64230019493177393</v>
      </c>
    </row>
    <row r="607" spans="1:20" x14ac:dyDescent="0.35">
      <c r="A607" t="s">
        <v>803</v>
      </c>
      <c r="B607" s="1">
        <v>46022</v>
      </c>
      <c r="C607" t="s">
        <v>41</v>
      </c>
      <c r="D607" t="s">
        <v>42</v>
      </c>
      <c r="E607" t="s">
        <v>172</v>
      </c>
      <c r="F607" t="s">
        <v>23</v>
      </c>
      <c r="G607" t="s">
        <v>752</v>
      </c>
      <c r="H607" t="s">
        <v>753</v>
      </c>
      <c r="I607" t="s">
        <v>754</v>
      </c>
      <c r="J607">
        <v>1</v>
      </c>
      <c r="K607">
        <v>638000</v>
      </c>
      <c r="L607">
        <v>0.05</v>
      </c>
      <c r="M607">
        <v>458000</v>
      </c>
      <c r="N607">
        <f>(data[[#This Row],[unit_price]]*data[[#This Row],[quantity]]) * (1-data[[#This Row],[discount]])</f>
        <v>606100</v>
      </c>
      <c r="O607">
        <f>data[[#This Row],[sales]]-data[[#This Row],[cost]]</f>
        <v>148100</v>
      </c>
      <c r="P607" t="str">
        <f>TEXT(data[[#This Row],[order_date]],"mmm")</f>
        <v>Dec</v>
      </c>
      <c r="Q607">
        <f>YEAR(data[[#This Row],[order_date]])</f>
        <v>2025</v>
      </c>
      <c r="R607">
        <f>MONTH(data[[#This Row],[order_date]])</f>
        <v>12</v>
      </c>
      <c r="S607">
        <f>DAY(data[[#This Row],[order_date]])</f>
        <v>31</v>
      </c>
      <c r="T607">
        <f>data[[#This Row],[profit]]/data[[#This Row],[sales]]</f>
        <v>0.24434911730737502</v>
      </c>
    </row>
    <row r="608" spans="1:20" x14ac:dyDescent="0.35">
      <c r="A608" t="s">
        <v>804</v>
      </c>
      <c r="B608" s="1">
        <v>46026</v>
      </c>
      <c r="C608" t="s">
        <v>49</v>
      </c>
      <c r="D608" t="s">
        <v>50</v>
      </c>
      <c r="E608" t="s">
        <v>333</v>
      </c>
      <c r="F608" t="s">
        <v>17</v>
      </c>
      <c r="G608" t="s">
        <v>752</v>
      </c>
      <c r="H608" t="s">
        <v>753</v>
      </c>
      <c r="I608" t="s">
        <v>754</v>
      </c>
      <c r="J608">
        <v>1</v>
      </c>
      <c r="K608">
        <v>679000</v>
      </c>
      <c r="L608">
        <v>0</v>
      </c>
      <c r="M608">
        <v>475000</v>
      </c>
      <c r="N608">
        <f>(data[[#This Row],[unit_price]]*data[[#This Row],[quantity]]) * (1-data[[#This Row],[discount]])</f>
        <v>679000</v>
      </c>
      <c r="O608">
        <f>data[[#This Row],[sales]]-data[[#This Row],[cost]]</f>
        <v>204000</v>
      </c>
      <c r="P608" t="str">
        <f>TEXT(data[[#This Row],[order_date]],"mmm")</f>
        <v>Jan</v>
      </c>
      <c r="Q608">
        <f>YEAR(data[[#This Row],[order_date]])</f>
        <v>2026</v>
      </c>
      <c r="R608">
        <f>MONTH(data[[#This Row],[order_date]])</f>
        <v>1</v>
      </c>
      <c r="S608">
        <f>DAY(data[[#This Row],[order_date]])</f>
        <v>4</v>
      </c>
      <c r="T608">
        <f>data[[#This Row],[profit]]/data[[#This Row],[sales]]</f>
        <v>0.30044182621502208</v>
      </c>
    </row>
    <row r="609" spans="1:20" x14ac:dyDescent="0.35">
      <c r="A609" t="s">
        <v>805</v>
      </c>
      <c r="B609" s="1">
        <v>46028</v>
      </c>
      <c r="C609" t="s">
        <v>49</v>
      </c>
      <c r="D609" t="s">
        <v>50</v>
      </c>
      <c r="E609" t="s">
        <v>117</v>
      </c>
      <c r="F609" t="s">
        <v>23</v>
      </c>
      <c r="G609" t="s">
        <v>752</v>
      </c>
      <c r="H609" t="s">
        <v>753</v>
      </c>
      <c r="I609" t="s">
        <v>754</v>
      </c>
      <c r="J609">
        <v>5</v>
      </c>
      <c r="K609">
        <v>519000</v>
      </c>
      <c r="L609">
        <v>0</v>
      </c>
      <c r="M609">
        <v>366000</v>
      </c>
      <c r="N609">
        <f>(data[[#This Row],[unit_price]]*data[[#This Row],[quantity]]) * (1-data[[#This Row],[discount]])</f>
        <v>2595000</v>
      </c>
      <c r="O609">
        <f>data[[#This Row],[sales]]-data[[#This Row],[cost]]</f>
        <v>2229000</v>
      </c>
      <c r="P609" t="str">
        <f>TEXT(data[[#This Row],[order_date]],"mmm")</f>
        <v>Jan</v>
      </c>
      <c r="Q609">
        <f>YEAR(data[[#This Row],[order_date]])</f>
        <v>2026</v>
      </c>
      <c r="R609">
        <f>MONTH(data[[#This Row],[order_date]])</f>
        <v>1</v>
      </c>
      <c r="S609">
        <f>DAY(data[[#This Row],[order_date]])</f>
        <v>6</v>
      </c>
      <c r="T609">
        <f>data[[#This Row],[profit]]/data[[#This Row],[sales]]</f>
        <v>0.85895953757225429</v>
      </c>
    </row>
    <row r="610" spans="1:20" x14ac:dyDescent="0.35">
      <c r="A610" t="s">
        <v>806</v>
      </c>
      <c r="B610" s="1">
        <v>46030</v>
      </c>
      <c r="C610" t="s">
        <v>36</v>
      </c>
      <c r="D610" t="s">
        <v>37</v>
      </c>
      <c r="E610" t="s">
        <v>55</v>
      </c>
      <c r="F610" t="s">
        <v>17</v>
      </c>
      <c r="G610" t="s">
        <v>752</v>
      </c>
      <c r="H610" t="s">
        <v>753</v>
      </c>
      <c r="I610" t="s">
        <v>754</v>
      </c>
      <c r="J610">
        <v>2</v>
      </c>
      <c r="K610">
        <v>664000</v>
      </c>
      <c r="L610">
        <v>0</v>
      </c>
      <c r="M610">
        <v>452000</v>
      </c>
      <c r="N610">
        <f>(data[[#This Row],[unit_price]]*data[[#This Row],[quantity]]) * (1-data[[#This Row],[discount]])</f>
        <v>1328000</v>
      </c>
      <c r="O610">
        <f>data[[#This Row],[sales]]-data[[#This Row],[cost]]</f>
        <v>876000</v>
      </c>
      <c r="P610" t="str">
        <f>TEXT(data[[#This Row],[order_date]],"mmm")</f>
        <v>Jan</v>
      </c>
      <c r="Q610">
        <f>YEAR(data[[#This Row],[order_date]])</f>
        <v>2026</v>
      </c>
      <c r="R610">
        <f>MONTH(data[[#This Row],[order_date]])</f>
        <v>1</v>
      </c>
      <c r="S610">
        <f>DAY(data[[#This Row],[order_date]])</f>
        <v>8</v>
      </c>
      <c r="T610">
        <f>data[[#This Row],[profit]]/data[[#This Row],[sales]]</f>
        <v>0.65963855421686746</v>
      </c>
    </row>
    <row r="611" spans="1:20" x14ac:dyDescent="0.35">
      <c r="A611" t="s">
        <v>807</v>
      </c>
      <c r="B611" s="1">
        <v>46037</v>
      </c>
      <c r="C611" t="s">
        <v>14</v>
      </c>
      <c r="D611" t="s">
        <v>15</v>
      </c>
      <c r="E611" t="s">
        <v>115</v>
      </c>
      <c r="F611" t="s">
        <v>23</v>
      </c>
      <c r="G611" t="s">
        <v>752</v>
      </c>
      <c r="H611" t="s">
        <v>753</v>
      </c>
      <c r="I611" t="s">
        <v>754</v>
      </c>
      <c r="J611">
        <v>2</v>
      </c>
      <c r="K611">
        <v>439000</v>
      </c>
      <c r="L611">
        <v>0</v>
      </c>
      <c r="M611">
        <v>304000</v>
      </c>
      <c r="N611">
        <f>(data[[#This Row],[unit_price]]*data[[#This Row],[quantity]]) * (1-data[[#This Row],[discount]])</f>
        <v>878000</v>
      </c>
      <c r="O611">
        <f>data[[#This Row],[sales]]-data[[#This Row],[cost]]</f>
        <v>574000</v>
      </c>
      <c r="P611" t="str">
        <f>TEXT(data[[#This Row],[order_date]],"mmm")</f>
        <v>Jan</v>
      </c>
      <c r="Q611">
        <f>YEAR(data[[#This Row],[order_date]])</f>
        <v>2026</v>
      </c>
      <c r="R611">
        <f>MONTH(data[[#This Row],[order_date]])</f>
        <v>1</v>
      </c>
      <c r="S611">
        <f>DAY(data[[#This Row],[order_date]])</f>
        <v>15</v>
      </c>
      <c r="T611">
        <f>data[[#This Row],[profit]]/data[[#This Row],[sales]]</f>
        <v>0.65375854214123008</v>
      </c>
    </row>
    <row r="612" spans="1:20" x14ac:dyDescent="0.35">
      <c r="A612" t="s">
        <v>808</v>
      </c>
      <c r="B612" s="1">
        <v>46039</v>
      </c>
      <c r="C612" t="s">
        <v>14</v>
      </c>
      <c r="D612" t="s">
        <v>15</v>
      </c>
      <c r="E612" t="s">
        <v>323</v>
      </c>
      <c r="F612" t="s">
        <v>28</v>
      </c>
      <c r="G612" t="s">
        <v>752</v>
      </c>
      <c r="H612" t="s">
        <v>753</v>
      </c>
      <c r="I612" t="s">
        <v>754</v>
      </c>
      <c r="J612">
        <v>1</v>
      </c>
      <c r="K612">
        <v>645000</v>
      </c>
      <c r="L612">
        <v>0</v>
      </c>
      <c r="M612">
        <v>447000</v>
      </c>
      <c r="N612">
        <f>(data[[#This Row],[unit_price]]*data[[#This Row],[quantity]]) * (1-data[[#This Row],[discount]])</f>
        <v>645000</v>
      </c>
      <c r="O612">
        <f>data[[#This Row],[sales]]-data[[#This Row],[cost]]</f>
        <v>198000</v>
      </c>
      <c r="P612" t="str">
        <f>TEXT(data[[#This Row],[order_date]],"mmm")</f>
        <v>Jan</v>
      </c>
      <c r="Q612">
        <f>YEAR(data[[#This Row],[order_date]])</f>
        <v>2026</v>
      </c>
      <c r="R612">
        <f>MONTH(data[[#This Row],[order_date]])</f>
        <v>1</v>
      </c>
      <c r="S612">
        <f>DAY(data[[#This Row],[order_date]])</f>
        <v>17</v>
      </c>
      <c r="T612">
        <f>data[[#This Row],[profit]]/data[[#This Row],[sales]]</f>
        <v>0.30697674418604654</v>
      </c>
    </row>
    <row r="613" spans="1:20" x14ac:dyDescent="0.35">
      <c r="A613" t="s">
        <v>809</v>
      </c>
      <c r="B613" s="1">
        <v>46041</v>
      </c>
      <c r="C613" t="s">
        <v>41</v>
      </c>
      <c r="D613" t="s">
        <v>42</v>
      </c>
      <c r="E613" t="s">
        <v>27</v>
      </c>
      <c r="F613" t="s">
        <v>28</v>
      </c>
      <c r="G613" t="s">
        <v>752</v>
      </c>
      <c r="H613" t="s">
        <v>753</v>
      </c>
      <c r="I613" t="s">
        <v>754</v>
      </c>
      <c r="J613">
        <v>1</v>
      </c>
      <c r="K613">
        <v>624000</v>
      </c>
      <c r="L613">
        <v>0</v>
      </c>
      <c r="M613">
        <v>425000</v>
      </c>
      <c r="N613">
        <f>(data[[#This Row],[unit_price]]*data[[#This Row],[quantity]]) * (1-data[[#This Row],[discount]])</f>
        <v>624000</v>
      </c>
      <c r="O613">
        <f>data[[#This Row],[sales]]-data[[#This Row],[cost]]</f>
        <v>199000</v>
      </c>
      <c r="P613" t="str">
        <f>TEXT(data[[#This Row],[order_date]],"mmm")</f>
        <v>Jan</v>
      </c>
      <c r="Q613">
        <f>YEAR(data[[#This Row],[order_date]])</f>
        <v>2026</v>
      </c>
      <c r="R613">
        <f>MONTH(data[[#This Row],[order_date]])</f>
        <v>1</v>
      </c>
      <c r="S613">
        <f>DAY(data[[#This Row],[order_date]])</f>
        <v>19</v>
      </c>
      <c r="T613">
        <f>data[[#This Row],[profit]]/data[[#This Row],[sales]]</f>
        <v>0.31891025641025639</v>
      </c>
    </row>
    <row r="614" spans="1:20" x14ac:dyDescent="0.35">
      <c r="A614" t="s">
        <v>810</v>
      </c>
      <c r="B614" s="1">
        <v>46076</v>
      </c>
      <c r="C614" t="s">
        <v>14</v>
      </c>
      <c r="D614" t="s">
        <v>15</v>
      </c>
      <c r="E614" t="s">
        <v>349</v>
      </c>
      <c r="F614" t="s">
        <v>23</v>
      </c>
      <c r="G614" t="s">
        <v>752</v>
      </c>
      <c r="H614" t="s">
        <v>753</v>
      </c>
      <c r="I614" t="s">
        <v>754</v>
      </c>
      <c r="J614">
        <v>2</v>
      </c>
      <c r="K614">
        <v>459000</v>
      </c>
      <c r="L614">
        <v>0.1</v>
      </c>
      <c r="M614">
        <v>315000</v>
      </c>
      <c r="N614">
        <f>(data[[#This Row],[unit_price]]*data[[#This Row],[quantity]]) * (1-data[[#This Row],[discount]])</f>
        <v>826200</v>
      </c>
      <c r="O614">
        <f>data[[#This Row],[sales]]-data[[#This Row],[cost]]</f>
        <v>511200</v>
      </c>
      <c r="P614" t="str">
        <f>TEXT(data[[#This Row],[order_date]],"mmm")</f>
        <v>Feb</v>
      </c>
      <c r="Q614">
        <f>YEAR(data[[#This Row],[order_date]])</f>
        <v>2026</v>
      </c>
      <c r="R614">
        <f>MONTH(data[[#This Row],[order_date]])</f>
        <v>2</v>
      </c>
      <c r="S614">
        <f>DAY(data[[#This Row],[order_date]])</f>
        <v>23</v>
      </c>
      <c r="T614">
        <f>data[[#This Row],[profit]]/data[[#This Row],[sales]]</f>
        <v>0.61873638344226578</v>
      </c>
    </row>
    <row r="615" spans="1:20" x14ac:dyDescent="0.35">
      <c r="A615" t="s">
        <v>811</v>
      </c>
      <c r="B615" s="1">
        <v>46092</v>
      </c>
      <c r="C615" t="s">
        <v>14</v>
      </c>
      <c r="D615" t="s">
        <v>15</v>
      </c>
      <c r="E615" t="s">
        <v>121</v>
      </c>
      <c r="F615" t="s">
        <v>23</v>
      </c>
      <c r="G615" t="s">
        <v>752</v>
      </c>
      <c r="H615" t="s">
        <v>753</v>
      </c>
      <c r="I615" t="s">
        <v>754</v>
      </c>
      <c r="J615">
        <v>1</v>
      </c>
      <c r="K615">
        <v>616000</v>
      </c>
      <c r="L615">
        <v>0.1</v>
      </c>
      <c r="M615">
        <v>434000</v>
      </c>
      <c r="N615">
        <f>(data[[#This Row],[unit_price]]*data[[#This Row],[quantity]]) * (1-data[[#This Row],[discount]])</f>
        <v>554400</v>
      </c>
      <c r="O615">
        <f>data[[#This Row],[sales]]-data[[#This Row],[cost]]</f>
        <v>120400</v>
      </c>
      <c r="P615" t="str">
        <f>TEXT(data[[#This Row],[order_date]],"mmm")</f>
        <v>Mar</v>
      </c>
      <c r="Q615">
        <f>YEAR(data[[#This Row],[order_date]])</f>
        <v>2026</v>
      </c>
      <c r="R615">
        <f>MONTH(data[[#This Row],[order_date]])</f>
        <v>3</v>
      </c>
      <c r="S615">
        <f>DAY(data[[#This Row],[order_date]])</f>
        <v>11</v>
      </c>
      <c r="T615">
        <f>data[[#This Row],[profit]]/data[[#This Row],[sales]]</f>
        <v>0.21717171717171718</v>
      </c>
    </row>
    <row r="616" spans="1:20" x14ac:dyDescent="0.35">
      <c r="A616" t="s">
        <v>812</v>
      </c>
      <c r="B616" s="1">
        <v>46130</v>
      </c>
      <c r="C616" t="s">
        <v>41</v>
      </c>
      <c r="D616" t="s">
        <v>42</v>
      </c>
      <c r="E616" t="s">
        <v>384</v>
      </c>
      <c r="F616" t="s">
        <v>23</v>
      </c>
      <c r="G616" t="s">
        <v>752</v>
      </c>
      <c r="H616" t="s">
        <v>753</v>
      </c>
      <c r="I616" t="s">
        <v>754</v>
      </c>
      <c r="J616">
        <v>2</v>
      </c>
      <c r="K616">
        <v>431000</v>
      </c>
      <c r="L616">
        <v>0.05</v>
      </c>
      <c r="M616">
        <v>303000</v>
      </c>
      <c r="N616">
        <f>(data[[#This Row],[unit_price]]*data[[#This Row],[quantity]]) * (1-data[[#This Row],[discount]])</f>
        <v>818900</v>
      </c>
      <c r="O616">
        <f>data[[#This Row],[sales]]-data[[#This Row],[cost]]</f>
        <v>515900</v>
      </c>
      <c r="P616" t="str">
        <f>TEXT(data[[#This Row],[order_date]],"mmm")</f>
        <v>Apr</v>
      </c>
      <c r="Q616">
        <f>YEAR(data[[#This Row],[order_date]])</f>
        <v>2026</v>
      </c>
      <c r="R616">
        <f>MONTH(data[[#This Row],[order_date]])</f>
        <v>4</v>
      </c>
      <c r="S616">
        <f>DAY(data[[#This Row],[order_date]])</f>
        <v>18</v>
      </c>
      <c r="T616">
        <f>data[[#This Row],[profit]]/data[[#This Row],[sales]]</f>
        <v>0.62999145194773476</v>
      </c>
    </row>
    <row r="617" spans="1:20" x14ac:dyDescent="0.35">
      <c r="A617" t="s">
        <v>813</v>
      </c>
      <c r="B617" s="1">
        <v>46132</v>
      </c>
      <c r="C617" t="s">
        <v>14</v>
      </c>
      <c r="D617" t="s">
        <v>15</v>
      </c>
      <c r="E617" t="s">
        <v>242</v>
      </c>
      <c r="F617" t="s">
        <v>17</v>
      </c>
      <c r="G617" t="s">
        <v>752</v>
      </c>
      <c r="H617" t="s">
        <v>753</v>
      </c>
      <c r="I617" t="s">
        <v>754</v>
      </c>
      <c r="J617">
        <v>1</v>
      </c>
      <c r="K617">
        <v>302000</v>
      </c>
      <c r="L617">
        <v>0</v>
      </c>
      <c r="M617">
        <v>210000</v>
      </c>
      <c r="N617">
        <f>(data[[#This Row],[unit_price]]*data[[#This Row],[quantity]]) * (1-data[[#This Row],[discount]])</f>
        <v>302000</v>
      </c>
      <c r="O617">
        <f>data[[#This Row],[sales]]-data[[#This Row],[cost]]</f>
        <v>92000</v>
      </c>
      <c r="P617" t="str">
        <f>TEXT(data[[#This Row],[order_date]],"mmm")</f>
        <v>Apr</v>
      </c>
      <c r="Q617">
        <f>YEAR(data[[#This Row],[order_date]])</f>
        <v>2026</v>
      </c>
      <c r="R617">
        <f>MONTH(data[[#This Row],[order_date]])</f>
        <v>4</v>
      </c>
      <c r="S617">
        <f>DAY(data[[#This Row],[order_date]])</f>
        <v>20</v>
      </c>
      <c r="T617">
        <f>data[[#This Row],[profit]]/data[[#This Row],[sales]]</f>
        <v>0.30463576158940397</v>
      </c>
    </row>
    <row r="618" spans="1:20" x14ac:dyDescent="0.35">
      <c r="A618" t="s">
        <v>814</v>
      </c>
      <c r="B618" s="1">
        <v>46152</v>
      </c>
      <c r="C618" t="s">
        <v>14</v>
      </c>
      <c r="D618" t="s">
        <v>15</v>
      </c>
      <c r="E618" t="s">
        <v>76</v>
      </c>
      <c r="F618" t="s">
        <v>23</v>
      </c>
      <c r="G618" t="s">
        <v>752</v>
      </c>
      <c r="H618" t="s">
        <v>753</v>
      </c>
      <c r="I618" t="s">
        <v>754</v>
      </c>
      <c r="J618">
        <v>1</v>
      </c>
      <c r="K618">
        <v>506000</v>
      </c>
      <c r="L618">
        <v>0</v>
      </c>
      <c r="M618">
        <v>345000</v>
      </c>
      <c r="N618">
        <f>(data[[#This Row],[unit_price]]*data[[#This Row],[quantity]]) * (1-data[[#This Row],[discount]])</f>
        <v>506000</v>
      </c>
      <c r="O618">
        <f>data[[#This Row],[sales]]-data[[#This Row],[cost]]</f>
        <v>161000</v>
      </c>
      <c r="P618" t="str">
        <f>TEXT(data[[#This Row],[order_date]],"mmm")</f>
        <v>May</v>
      </c>
      <c r="Q618">
        <f>YEAR(data[[#This Row],[order_date]])</f>
        <v>2026</v>
      </c>
      <c r="R618">
        <f>MONTH(data[[#This Row],[order_date]])</f>
        <v>5</v>
      </c>
      <c r="S618">
        <f>DAY(data[[#This Row],[order_date]])</f>
        <v>10</v>
      </c>
      <c r="T618">
        <f>data[[#This Row],[profit]]/data[[#This Row],[sales]]</f>
        <v>0.31818181818181818</v>
      </c>
    </row>
    <row r="619" spans="1:20" x14ac:dyDescent="0.35">
      <c r="A619" t="s">
        <v>815</v>
      </c>
      <c r="B619" s="1">
        <v>46158</v>
      </c>
      <c r="C619" t="s">
        <v>25</v>
      </c>
      <c r="D619" t="s">
        <v>26</v>
      </c>
      <c r="E619" t="s">
        <v>186</v>
      </c>
      <c r="F619" t="s">
        <v>23</v>
      </c>
      <c r="G619" t="s">
        <v>752</v>
      </c>
      <c r="H619" t="s">
        <v>753</v>
      </c>
      <c r="I619" t="s">
        <v>754</v>
      </c>
      <c r="J619">
        <v>1</v>
      </c>
      <c r="K619">
        <v>573000</v>
      </c>
      <c r="L619">
        <v>0</v>
      </c>
      <c r="M619">
        <v>396000</v>
      </c>
      <c r="N619">
        <f>(data[[#This Row],[unit_price]]*data[[#This Row],[quantity]]) * (1-data[[#This Row],[discount]])</f>
        <v>573000</v>
      </c>
      <c r="O619">
        <f>data[[#This Row],[sales]]-data[[#This Row],[cost]]</f>
        <v>177000</v>
      </c>
      <c r="P619" t="str">
        <f>TEXT(data[[#This Row],[order_date]],"mmm")</f>
        <v>May</v>
      </c>
      <c r="Q619">
        <f>YEAR(data[[#This Row],[order_date]])</f>
        <v>2026</v>
      </c>
      <c r="R619">
        <f>MONTH(data[[#This Row],[order_date]])</f>
        <v>5</v>
      </c>
      <c r="S619">
        <f>DAY(data[[#This Row],[order_date]])</f>
        <v>16</v>
      </c>
      <c r="T619">
        <f>data[[#This Row],[profit]]/data[[#This Row],[sales]]</f>
        <v>0.30890052356020942</v>
      </c>
    </row>
    <row r="620" spans="1:20" x14ac:dyDescent="0.35">
      <c r="A620" t="s">
        <v>816</v>
      </c>
      <c r="B620" s="1">
        <v>46160</v>
      </c>
      <c r="C620" t="s">
        <v>41</v>
      </c>
      <c r="D620" t="s">
        <v>42</v>
      </c>
      <c r="E620" t="s">
        <v>104</v>
      </c>
      <c r="F620" t="s">
        <v>28</v>
      </c>
      <c r="G620" t="s">
        <v>752</v>
      </c>
      <c r="H620" t="s">
        <v>753</v>
      </c>
      <c r="I620" t="s">
        <v>754</v>
      </c>
      <c r="J620">
        <v>1</v>
      </c>
      <c r="K620">
        <v>536000</v>
      </c>
      <c r="L620">
        <v>0</v>
      </c>
      <c r="M620">
        <v>378000</v>
      </c>
      <c r="N620">
        <f>(data[[#This Row],[unit_price]]*data[[#This Row],[quantity]]) * (1-data[[#This Row],[discount]])</f>
        <v>536000</v>
      </c>
      <c r="O620">
        <f>data[[#This Row],[sales]]-data[[#This Row],[cost]]</f>
        <v>158000</v>
      </c>
      <c r="P620" t="str">
        <f>TEXT(data[[#This Row],[order_date]],"mmm")</f>
        <v>May</v>
      </c>
      <c r="Q620">
        <f>YEAR(data[[#This Row],[order_date]])</f>
        <v>2026</v>
      </c>
      <c r="R620">
        <f>MONTH(data[[#This Row],[order_date]])</f>
        <v>5</v>
      </c>
      <c r="S620">
        <f>DAY(data[[#This Row],[order_date]])</f>
        <v>18</v>
      </c>
      <c r="T620">
        <f>data[[#This Row],[profit]]/data[[#This Row],[sales]]</f>
        <v>0.29477611940298509</v>
      </c>
    </row>
    <row r="621" spans="1:20" x14ac:dyDescent="0.35">
      <c r="A621" t="s">
        <v>817</v>
      </c>
      <c r="B621" s="1">
        <v>46170</v>
      </c>
      <c r="C621" t="s">
        <v>14</v>
      </c>
      <c r="D621" t="s">
        <v>15</v>
      </c>
      <c r="E621" t="s">
        <v>57</v>
      </c>
      <c r="F621" t="s">
        <v>58</v>
      </c>
      <c r="G621" t="s">
        <v>752</v>
      </c>
      <c r="H621" t="s">
        <v>753</v>
      </c>
      <c r="I621" t="s">
        <v>754</v>
      </c>
      <c r="J621">
        <v>3</v>
      </c>
      <c r="K621">
        <v>629000</v>
      </c>
      <c r="L621">
        <v>0</v>
      </c>
      <c r="M621">
        <v>429000</v>
      </c>
      <c r="N621">
        <f>(data[[#This Row],[unit_price]]*data[[#This Row],[quantity]]) * (1-data[[#This Row],[discount]])</f>
        <v>1887000</v>
      </c>
      <c r="O621">
        <f>data[[#This Row],[sales]]-data[[#This Row],[cost]]</f>
        <v>1458000</v>
      </c>
      <c r="P621" t="str">
        <f>TEXT(data[[#This Row],[order_date]],"mmm")</f>
        <v>May</v>
      </c>
      <c r="Q621">
        <f>YEAR(data[[#This Row],[order_date]])</f>
        <v>2026</v>
      </c>
      <c r="R621">
        <f>MONTH(data[[#This Row],[order_date]])</f>
        <v>5</v>
      </c>
      <c r="S621">
        <f>DAY(data[[#This Row],[order_date]])</f>
        <v>28</v>
      </c>
      <c r="T621">
        <f>data[[#This Row],[profit]]/data[[#This Row],[sales]]</f>
        <v>0.77265500794912556</v>
      </c>
    </row>
    <row r="622" spans="1:20" x14ac:dyDescent="0.35">
      <c r="A622" t="s">
        <v>818</v>
      </c>
      <c r="B622" s="1">
        <v>46192</v>
      </c>
      <c r="C622" t="s">
        <v>14</v>
      </c>
      <c r="D622" t="s">
        <v>15</v>
      </c>
      <c r="E622" t="s">
        <v>340</v>
      </c>
      <c r="F622" t="s">
        <v>23</v>
      </c>
      <c r="G622" t="s">
        <v>752</v>
      </c>
      <c r="H622" t="s">
        <v>753</v>
      </c>
      <c r="I622" t="s">
        <v>754</v>
      </c>
      <c r="J622">
        <v>2</v>
      </c>
      <c r="K622">
        <v>593000</v>
      </c>
      <c r="L622">
        <v>0</v>
      </c>
      <c r="M622">
        <v>410000</v>
      </c>
      <c r="N622">
        <f>(data[[#This Row],[unit_price]]*data[[#This Row],[quantity]]) * (1-data[[#This Row],[discount]])</f>
        <v>1186000</v>
      </c>
      <c r="O622">
        <f>data[[#This Row],[sales]]-data[[#This Row],[cost]]</f>
        <v>776000</v>
      </c>
      <c r="P622" t="str">
        <f>TEXT(data[[#This Row],[order_date]],"mmm")</f>
        <v>Jun</v>
      </c>
      <c r="Q622">
        <f>YEAR(data[[#This Row],[order_date]])</f>
        <v>2026</v>
      </c>
      <c r="R622">
        <f>MONTH(data[[#This Row],[order_date]])</f>
        <v>6</v>
      </c>
      <c r="S622">
        <f>DAY(data[[#This Row],[order_date]])</f>
        <v>19</v>
      </c>
      <c r="T622">
        <f>data[[#This Row],[profit]]/data[[#This Row],[sales]]</f>
        <v>0.65430016863406404</v>
      </c>
    </row>
    <row r="623" spans="1:20" x14ac:dyDescent="0.35">
      <c r="A623" t="s">
        <v>819</v>
      </c>
      <c r="B623" s="1">
        <v>46197</v>
      </c>
      <c r="C623" t="s">
        <v>36</v>
      </c>
      <c r="D623" t="s">
        <v>37</v>
      </c>
      <c r="E623" t="s">
        <v>319</v>
      </c>
      <c r="F623" t="s">
        <v>23</v>
      </c>
      <c r="G623" t="s">
        <v>752</v>
      </c>
      <c r="H623" t="s">
        <v>753</v>
      </c>
      <c r="I623" t="s">
        <v>754</v>
      </c>
      <c r="J623">
        <v>1</v>
      </c>
      <c r="K623">
        <v>474000</v>
      </c>
      <c r="L623">
        <v>0</v>
      </c>
      <c r="M623">
        <v>336000</v>
      </c>
      <c r="N623">
        <f>(data[[#This Row],[unit_price]]*data[[#This Row],[quantity]]) * (1-data[[#This Row],[discount]])</f>
        <v>474000</v>
      </c>
      <c r="O623">
        <f>data[[#This Row],[sales]]-data[[#This Row],[cost]]</f>
        <v>138000</v>
      </c>
      <c r="P623" t="str">
        <f>TEXT(data[[#This Row],[order_date]],"mmm")</f>
        <v>Jun</v>
      </c>
      <c r="Q623">
        <f>YEAR(data[[#This Row],[order_date]])</f>
        <v>2026</v>
      </c>
      <c r="R623">
        <f>MONTH(data[[#This Row],[order_date]])</f>
        <v>6</v>
      </c>
      <c r="S623">
        <f>DAY(data[[#This Row],[order_date]])</f>
        <v>24</v>
      </c>
      <c r="T623">
        <f>data[[#This Row],[profit]]/data[[#This Row],[sales]]</f>
        <v>0.29113924050632911</v>
      </c>
    </row>
    <row r="624" spans="1:20" x14ac:dyDescent="0.35">
      <c r="A624" t="s">
        <v>820</v>
      </c>
      <c r="B624" s="1">
        <v>44936</v>
      </c>
      <c r="C624" t="s">
        <v>49</v>
      </c>
      <c r="D624" t="s">
        <v>50</v>
      </c>
      <c r="E624" t="s">
        <v>301</v>
      </c>
      <c r="F624" t="s">
        <v>28</v>
      </c>
      <c r="G624" t="s">
        <v>821</v>
      </c>
      <c r="H624" t="s">
        <v>822</v>
      </c>
      <c r="I624" t="s">
        <v>754</v>
      </c>
      <c r="J624">
        <v>1</v>
      </c>
      <c r="K624">
        <v>267000</v>
      </c>
      <c r="L624">
        <v>0.05</v>
      </c>
      <c r="M624">
        <v>183000</v>
      </c>
      <c r="N624">
        <f>(data[[#This Row],[unit_price]]*data[[#This Row],[quantity]]) * (1-data[[#This Row],[discount]])</f>
        <v>253650</v>
      </c>
      <c r="O624">
        <f>data[[#This Row],[sales]]-data[[#This Row],[cost]]</f>
        <v>70650</v>
      </c>
      <c r="P624" t="str">
        <f>TEXT(data[[#This Row],[order_date]],"mmm")</f>
        <v>Jan</v>
      </c>
      <c r="Q624">
        <f>YEAR(data[[#This Row],[order_date]])</f>
        <v>2023</v>
      </c>
      <c r="R624">
        <f>MONTH(data[[#This Row],[order_date]])</f>
        <v>1</v>
      </c>
      <c r="S624">
        <f>DAY(data[[#This Row],[order_date]])</f>
        <v>10</v>
      </c>
      <c r="T624">
        <f>data[[#This Row],[profit]]/data[[#This Row],[sales]]</f>
        <v>0.27853341218214073</v>
      </c>
    </row>
    <row r="625" spans="1:20" x14ac:dyDescent="0.35">
      <c r="A625" t="s">
        <v>823</v>
      </c>
      <c r="B625" s="1">
        <v>44937</v>
      </c>
      <c r="C625" t="s">
        <v>41</v>
      </c>
      <c r="D625" t="s">
        <v>42</v>
      </c>
      <c r="E625" t="s">
        <v>327</v>
      </c>
      <c r="F625" t="s">
        <v>23</v>
      </c>
      <c r="G625" t="s">
        <v>821</v>
      </c>
      <c r="H625" t="s">
        <v>822</v>
      </c>
      <c r="I625" t="s">
        <v>754</v>
      </c>
      <c r="J625">
        <v>2</v>
      </c>
      <c r="K625">
        <v>284000</v>
      </c>
      <c r="L625">
        <v>0</v>
      </c>
      <c r="M625">
        <v>189000</v>
      </c>
      <c r="N625">
        <f>(data[[#This Row],[unit_price]]*data[[#This Row],[quantity]]) * (1-data[[#This Row],[discount]])</f>
        <v>568000</v>
      </c>
      <c r="O625">
        <f>data[[#This Row],[sales]]-data[[#This Row],[cost]]</f>
        <v>379000</v>
      </c>
      <c r="P625" t="str">
        <f>TEXT(data[[#This Row],[order_date]],"mmm")</f>
        <v>Jan</v>
      </c>
      <c r="Q625">
        <f>YEAR(data[[#This Row],[order_date]])</f>
        <v>2023</v>
      </c>
      <c r="R625">
        <f>MONTH(data[[#This Row],[order_date]])</f>
        <v>1</v>
      </c>
      <c r="S625">
        <f>DAY(data[[#This Row],[order_date]])</f>
        <v>11</v>
      </c>
      <c r="T625">
        <f>data[[#This Row],[profit]]/data[[#This Row],[sales]]</f>
        <v>0.66725352112676062</v>
      </c>
    </row>
    <row r="626" spans="1:20" x14ac:dyDescent="0.35">
      <c r="A626" t="s">
        <v>824</v>
      </c>
      <c r="B626" s="1">
        <v>44957</v>
      </c>
      <c r="C626" t="s">
        <v>36</v>
      </c>
      <c r="D626" t="s">
        <v>37</v>
      </c>
      <c r="E626" t="s">
        <v>825</v>
      </c>
      <c r="F626" t="s">
        <v>23</v>
      </c>
      <c r="G626" t="s">
        <v>821</v>
      </c>
      <c r="H626" t="s">
        <v>822</v>
      </c>
      <c r="I626" t="s">
        <v>754</v>
      </c>
      <c r="J626">
        <v>1</v>
      </c>
      <c r="K626">
        <v>206000</v>
      </c>
      <c r="L626">
        <v>0</v>
      </c>
      <c r="M626">
        <v>137000</v>
      </c>
      <c r="N626">
        <f>(data[[#This Row],[unit_price]]*data[[#This Row],[quantity]]) * (1-data[[#This Row],[discount]])</f>
        <v>206000</v>
      </c>
      <c r="O626">
        <f>data[[#This Row],[sales]]-data[[#This Row],[cost]]</f>
        <v>69000</v>
      </c>
      <c r="P626" t="str">
        <f>TEXT(data[[#This Row],[order_date]],"mmm")</f>
        <v>Jan</v>
      </c>
      <c r="Q626">
        <f>YEAR(data[[#This Row],[order_date]])</f>
        <v>2023</v>
      </c>
      <c r="R626">
        <f>MONTH(data[[#This Row],[order_date]])</f>
        <v>1</v>
      </c>
      <c r="S626">
        <f>DAY(data[[#This Row],[order_date]])</f>
        <v>31</v>
      </c>
      <c r="T626">
        <f>data[[#This Row],[profit]]/data[[#This Row],[sales]]</f>
        <v>0.33495145631067963</v>
      </c>
    </row>
    <row r="627" spans="1:20" x14ac:dyDescent="0.35">
      <c r="A627" t="s">
        <v>826</v>
      </c>
      <c r="B627" s="1">
        <v>44958</v>
      </c>
      <c r="C627" t="s">
        <v>49</v>
      </c>
      <c r="D627" t="s">
        <v>50</v>
      </c>
      <c r="E627" t="s">
        <v>258</v>
      </c>
      <c r="F627" t="s">
        <v>23</v>
      </c>
      <c r="G627" t="s">
        <v>821</v>
      </c>
      <c r="H627" t="s">
        <v>822</v>
      </c>
      <c r="I627" t="s">
        <v>754</v>
      </c>
      <c r="J627">
        <v>3</v>
      </c>
      <c r="K627">
        <v>238000</v>
      </c>
      <c r="L627">
        <v>0</v>
      </c>
      <c r="M627">
        <v>160000</v>
      </c>
      <c r="N627">
        <f>(data[[#This Row],[unit_price]]*data[[#This Row],[quantity]]) * (1-data[[#This Row],[discount]])</f>
        <v>714000</v>
      </c>
      <c r="O627">
        <f>data[[#This Row],[sales]]-data[[#This Row],[cost]]</f>
        <v>554000</v>
      </c>
      <c r="P627" t="str">
        <f>TEXT(data[[#This Row],[order_date]],"mmm")</f>
        <v>Feb</v>
      </c>
      <c r="Q627">
        <f>YEAR(data[[#This Row],[order_date]])</f>
        <v>2023</v>
      </c>
      <c r="R627">
        <f>MONTH(data[[#This Row],[order_date]])</f>
        <v>2</v>
      </c>
      <c r="S627">
        <f>DAY(data[[#This Row],[order_date]])</f>
        <v>1</v>
      </c>
      <c r="T627">
        <f>data[[#This Row],[profit]]/data[[#This Row],[sales]]</f>
        <v>0.77591036414565828</v>
      </c>
    </row>
    <row r="628" spans="1:20" x14ac:dyDescent="0.35">
      <c r="A628" t="s">
        <v>827</v>
      </c>
      <c r="B628" s="1">
        <v>44978</v>
      </c>
      <c r="C628" t="s">
        <v>14</v>
      </c>
      <c r="D628" t="s">
        <v>15</v>
      </c>
      <c r="E628" t="s">
        <v>34</v>
      </c>
      <c r="F628" t="s">
        <v>17</v>
      </c>
      <c r="G628" t="s">
        <v>821</v>
      </c>
      <c r="H628" t="s">
        <v>822</v>
      </c>
      <c r="I628" t="s">
        <v>754</v>
      </c>
      <c r="J628">
        <v>1</v>
      </c>
      <c r="K628">
        <v>290000</v>
      </c>
      <c r="L628">
        <v>0</v>
      </c>
      <c r="M628">
        <v>202000</v>
      </c>
      <c r="N628">
        <f>(data[[#This Row],[unit_price]]*data[[#This Row],[quantity]]) * (1-data[[#This Row],[discount]])</f>
        <v>290000</v>
      </c>
      <c r="O628">
        <f>data[[#This Row],[sales]]-data[[#This Row],[cost]]</f>
        <v>88000</v>
      </c>
      <c r="P628" t="str">
        <f>TEXT(data[[#This Row],[order_date]],"mmm")</f>
        <v>Feb</v>
      </c>
      <c r="Q628">
        <f>YEAR(data[[#This Row],[order_date]])</f>
        <v>2023</v>
      </c>
      <c r="R628">
        <f>MONTH(data[[#This Row],[order_date]])</f>
        <v>2</v>
      </c>
      <c r="S628">
        <f>DAY(data[[#This Row],[order_date]])</f>
        <v>21</v>
      </c>
      <c r="T628">
        <f>data[[#This Row],[profit]]/data[[#This Row],[sales]]</f>
        <v>0.30344827586206896</v>
      </c>
    </row>
    <row r="629" spans="1:20" x14ac:dyDescent="0.35">
      <c r="A629" t="s">
        <v>828</v>
      </c>
      <c r="B629" s="1">
        <v>44983</v>
      </c>
      <c r="C629" t="s">
        <v>41</v>
      </c>
      <c r="D629" t="s">
        <v>42</v>
      </c>
      <c r="E629" t="s">
        <v>110</v>
      </c>
      <c r="F629" t="s">
        <v>23</v>
      </c>
      <c r="G629" t="s">
        <v>821</v>
      </c>
      <c r="H629" t="s">
        <v>822</v>
      </c>
      <c r="I629" t="s">
        <v>754</v>
      </c>
      <c r="J629">
        <v>2</v>
      </c>
      <c r="K629">
        <v>260000</v>
      </c>
      <c r="L629">
        <v>0</v>
      </c>
      <c r="M629">
        <v>177000</v>
      </c>
      <c r="N629">
        <f>(data[[#This Row],[unit_price]]*data[[#This Row],[quantity]]) * (1-data[[#This Row],[discount]])</f>
        <v>520000</v>
      </c>
      <c r="O629">
        <f>data[[#This Row],[sales]]-data[[#This Row],[cost]]</f>
        <v>343000</v>
      </c>
      <c r="P629" t="str">
        <f>TEXT(data[[#This Row],[order_date]],"mmm")</f>
        <v>Feb</v>
      </c>
      <c r="Q629">
        <f>YEAR(data[[#This Row],[order_date]])</f>
        <v>2023</v>
      </c>
      <c r="R629">
        <f>MONTH(data[[#This Row],[order_date]])</f>
        <v>2</v>
      </c>
      <c r="S629">
        <f>DAY(data[[#This Row],[order_date]])</f>
        <v>26</v>
      </c>
      <c r="T629">
        <f>data[[#This Row],[profit]]/data[[#This Row],[sales]]</f>
        <v>0.6596153846153846</v>
      </c>
    </row>
    <row r="630" spans="1:20" x14ac:dyDescent="0.35">
      <c r="A630" t="s">
        <v>829</v>
      </c>
      <c r="B630" s="1">
        <v>45008</v>
      </c>
      <c r="C630" t="s">
        <v>14</v>
      </c>
      <c r="D630" t="s">
        <v>15</v>
      </c>
      <c r="E630" t="s">
        <v>598</v>
      </c>
      <c r="F630" t="s">
        <v>23</v>
      </c>
      <c r="G630" t="s">
        <v>821</v>
      </c>
      <c r="H630" t="s">
        <v>822</v>
      </c>
      <c r="I630" t="s">
        <v>754</v>
      </c>
      <c r="J630">
        <v>1</v>
      </c>
      <c r="K630">
        <v>314000</v>
      </c>
      <c r="L630">
        <v>0.05</v>
      </c>
      <c r="M630">
        <v>216000</v>
      </c>
      <c r="N630">
        <f>(data[[#This Row],[unit_price]]*data[[#This Row],[quantity]]) * (1-data[[#This Row],[discount]])</f>
        <v>298300</v>
      </c>
      <c r="O630">
        <f>data[[#This Row],[sales]]-data[[#This Row],[cost]]</f>
        <v>82300</v>
      </c>
      <c r="P630" t="str">
        <f>TEXT(data[[#This Row],[order_date]],"mmm")</f>
        <v>Mar</v>
      </c>
      <c r="Q630">
        <f>YEAR(data[[#This Row],[order_date]])</f>
        <v>2023</v>
      </c>
      <c r="R630">
        <f>MONTH(data[[#This Row],[order_date]])</f>
        <v>3</v>
      </c>
      <c r="S630">
        <f>DAY(data[[#This Row],[order_date]])</f>
        <v>23</v>
      </c>
      <c r="T630">
        <f>data[[#This Row],[profit]]/data[[#This Row],[sales]]</f>
        <v>0.2758967482400268</v>
      </c>
    </row>
    <row r="631" spans="1:20" x14ac:dyDescent="0.35">
      <c r="A631" t="s">
        <v>830</v>
      </c>
      <c r="B631" s="1">
        <v>45014</v>
      </c>
      <c r="C631" t="s">
        <v>14</v>
      </c>
      <c r="D631" t="s">
        <v>15</v>
      </c>
      <c r="E631" t="s">
        <v>634</v>
      </c>
      <c r="F631" t="s">
        <v>17</v>
      </c>
      <c r="G631" t="s">
        <v>821</v>
      </c>
      <c r="H631" t="s">
        <v>822</v>
      </c>
      <c r="I631" t="s">
        <v>754</v>
      </c>
      <c r="J631">
        <v>1</v>
      </c>
      <c r="K631">
        <v>222000</v>
      </c>
      <c r="L631">
        <v>0</v>
      </c>
      <c r="M631">
        <v>154000</v>
      </c>
      <c r="N631">
        <f>(data[[#This Row],[unit_price]]*data[[#This Row],[quantity]]) * (1-data[[#This Row],[discount]])</f>
        <v>222000</v>
      </c>
      <c r="O631">
        <f>data[[#This Row],[sales]]-data[[#This Row],[cost]]</f>
        <v>68000</v>
      </c>
      <c r="P631" t="str">
        <f>TEXT(data[[#This Row],[order_date]],"mmm")</f>
        <v>Mar</v>
      </c>
      <c r="Q631">
        <f>YEAR(data[[#This Row],[order_date]])</f>
        <v>2023</v>
      </c>
      <c r="R631">
        <f>MONTH(data[[#This Row],[order_date]])</f>
        <v>3</v>
      </c>
      <c r="S631">
        <f>DAY(data[[#This Row],[order_date]])</f>
        <v>29</v>
      </c>
      <c r="T631">
        <f>data[[#This Row],[profit]]/data[[#This Row],[sales]]</f>
        <v>0.30630630630630629</v>
      </c>
    </row>
    <row r="632" spans="1:20" x14ac:dyDescent="0.35">
      <c r="A632" t="s">
        <v>831</v>
      </c>
      <c r="B632" s="1">
        <v>45036</v>
      </c>
      <c r="C632" t="s">
        <v>14</v>
      </c>
      <c r="D632" t="s">
        <v>15</v>
      </c>
      <c r="E632" t="s">
        <v>315</v>
      </c>
      <c r="F632" t="s">
        <v>23</v>
      </c>
      <c r="G632" t="s">
        <v>821</v>
      </c>
      <c r="H632" t="s">
        <v>822</v>
      </c>
      <c r="I632" t="s">
        <v>754</v>
      </c>
      <c r="J632">
        <v>1</v>
      </c>
      <c r="K632">
        <v>253000</v>
      </c>
      <c r="L632">
        <v>0</v>
      </c>
      <c r="M632">
        <v>176000</v>
      </c>
      <c r="N632">
        <f>(data[[#This Row],[unit_price]]*data[[#This Row],[quantity]]) * (1-data[[#This Row],[discount]])</f>
        <v>253000</v>
      </c>
      <c r="O632">
        <f>data[[#This Row],[sales]]-data[[#This Row],[cost]]</f>
        <v>77000</v>
      </c>
      <c r="P632" t="str">
        <f>TEXT(data[[#This Row],[order_date]],"mmm")</f>
        <v>Apr</v>
      </c>
      <c r="Q632">
        <f>YEAR(data[[#This Row],[order_date]])</f>
        <v>2023</v>
      </c>
      <c r="R632">
        <f>MONTH(data[[#This Row],[order_date]])</f>
        <v>4</v>
      </c>
      <c r="S632">
        <f>DAY(data[[#This Row],[order_date]])</f>
        <v>20</v>
      </c>
      <c r="T632">
        <f>data[[#This Row],[profit]]/data[[#This Row],[sales]]</f>
        <v>0.30434782608695654</v>
      </c>
    </row>
    <row r="633" spans="1:20" x14ac:dyDescent="0.35">
      <c r="A633" t="s">
        <v>832</v>
      </c>
      <c r="B633" s="1">
        <v>45071</v>
      </c>
      <c r="C633" t="s">
        <v>14</v>
      </c>
      <c r="D633" t="s">
        <v>15</v>
      </c>
      <c r="E633" t="s">
        <v>81</v>
      </c>
      <c r="F633" t="s">
        <v>17</v>
      </c>
      <c r="G633" t="s">
        <v>821</v>
      </c>
      <c r="H633" t="s">
        <v>822</v>
      </c>
      <c r="I633" t="s">
        <v>754</v>
      </c>
      <c r="J633">
        <v>2</v>
      </c>
      <c r="K633">
        <v>319000</v>
      </c>
      <c r="L633">
        <v>0</v>
      </c>
      <c r="M633">
        <v>220000</v>
      </c>
      <c r="N633">
        <f>(data[[#This Row],[unit_price]]*data[[#This Row],[quantity]]) * (1-data[[#This Row],[discount]])</f>
        <v>638000</v>
      </c>
      <c r="O633">
        <f>data[[#This Row],[sales]]-data[[#This Row],[cost]]</f>
        <v>418000</v>
      </c>
      <c r="P633" t="str">
        <f>TEXT(data[[#This Row],[order_date]],"mmm")</f>
        <v>May</v>
      </c>
      <c r="Q633">
        <f>YEAR(data[[#This Row],[order_date]])</f>
        <v>2023</v>
      </c>
      <c r="R633">
        <f>MONTH(data[[#This Row],[order_date]])</f>
        <v>5</v>
      </c>
      <c r="S633">
        <f>DAY(data[[#This Row],[order_date]])</f>
        <v>25</v>
      </c>
      <c r="T633">
        <f>data[[#This Row],[profit]]/data[[#This Row],[sales]]</f>
        <v>0.65517241379310343</v>
      </c>
    </row>
    <row r="634" spans="1:20" x14ac:dyDescent="0.35">
      <c r="A634" t="s">
        <v>833</v>
      </c>
      <c r="B634" s="1">
        <v>45087</v>
      </c>
      <c r="C634" t="s">
        <v>14</v>
      </c>
      <c r="D634" t="s">
        <v>15</v>
      </c>
      <c r="E634" t="s">
        <v>210</v>
      </c>
      <c r="F634" t="s">
        <v>23</v>
      </c>
      <c r="G634" t="s">
        <v>821</v>
      </c>
      <c r="H634" t="s">
        <v>822</v>
      </c>
      <c r="I634" t="s">
        <v>754</v>
      </c>
      <c r="J634">
        <v>2</v>
      </c>
      <c r="K634">
        <v>257000</v>
      </c>
      <c r="L634">
        <v>0</v>
      </c>
      <c r="M634">
        <v>173000</v>
      </c>
      <c r="N634">
        <f>(data[[#This Row],[unit_price]]*data[[#This Row],[quantity]]) * (1-data[[#This Row],[discount]])</f>
        <v>514000</v>
      </c>
      <c r="O634">
        <f>data[[#This Row],[sales]]-data[[#This Row],[cost]]</f>
        <v>341000</v>
      </c>
      <c r="P634" t="str">
        <f>TEXT(data[[#This Row],[order_date]],"mmm")</f>
        <v>Jun</v>
      </c>
      <c r="Q634">
        <f>YEAR(data[[#This Row],[order_date]])</f>
        <v>2023</v>
      </c>
      <c r="R634">
        <f>MONTH(data[[#This Row],[order_date]])</f>
        <v>6</v>
      </c>
      <c r="S634">
        <f>DAY(data[[#This Row],[order_date]])</f>
        <v>10</v>
      </c>
      <c r="T634">
        <f>data[[#This Row],[profit]]/data[[#This Row],[sales]]</f>
        <v>0.66342412451361865</v>
      </c>
    </row>
    <row r="635" spans="1:20" x14ac:dyDescent="0.35">
      <c r="A635" t="s">
        <v>834</v>
      </c>
      <c r="B635" s="1">
        <v>45090</v>
      </c>
      <c r="C635" t="s">
        <v>41</v>
      </c>
      <c r="D635" t="s">
        <v>42</v>
      </c>
      <c r="E635" t="s">
        <v>368</v>
      </c>
      <c r="F635" t="s">
        <v>23</v>
      </c>
      <c r="G635" t="s">
        <v>821</v>
      </c>
      <c r="H635" t="s">
        <v>822</v>
      </c>
      <c r="I635" t="s">
        <v>754</v>
      </c>
      <c r="J635">
        <v>1</v>
      </c>
      <c r="K635">
        <v>350000</v>
      </c>
      <c r="L635">
        <v>0</v>
      </c>
      <c r="M635">
        <v>243000</v>
      </c>
      <c r="N635">
        <f>(data[[#This Row],[unit_price]]*data[[#This Row],[quantity]]) * (1-data[[#This Row],[discount]])</f>
        <v>350000</v>
      </c>
      <c r="O635">
        <f>data[[#This Row],[sales]]-data[[#This Row],[cost]]</f>
        <v>107000</v>
      </c>
      <c r="P635" t="str">
        <f>TEXT(data[[#This Row],[order_date]],"mmm")</f>
        <v>Jun</v>
      </c>
      <c r="Q635">
        <f>YEAR(data[[#This Row],[order_date]])</f>
        <v>2023</v>
      </c>
      <c r="R635">
        <f>MONTH(data[[#This Row],[order_date]])</f>
        <v>6</v>
      </c>
      <c r="S635">
        <f>DAY(data[[#This Row],[order_date]])</f>
        <v>13</v>
      </c>
      <c r="T635">
        <f>data[[#This Row],[profit]]/data[[#This Row],[sales]]</f>
        <v>0.30571428571428572</v>
      </c>
    </row>
    <row r="636" spans="1:20" x14ac:dyDescent="0.35">
      <c r="A636" t="s">
        <v>835</v>
      </c>
      <c r="B636" s="1">
        <v>45119</v>
      </c>
      <c r="C636" t="s">
        <v>14</v>
      </c>
      <c r="D636" t="s">
        <v>15</v>
      </c>
      <c r="E636" t="s">
        <v>798</v>
      </c>
      <c r="F636" t="s">
        <v>28</v>
      </c>
      <c r="G636" t="s">
        <v>821</v>
      </c>
      <c r="H636" t="s">
        <v>822</v>
      </c>
      <c r="I636" t="s">
        <v>754</v>
      </c>
      <c r="J636">
        <v>1</v>
      </c>
      <c r="K636">
        <v>282000</v>
      </c>
      <c r="L636">
        <v>0.1</v>
      </c>
      <c r="M636">
        <v>192000</v>
      </c>
      <c r="N636">
        <f>(data[[#This Row],[unit_price]]*data[[#This Row],[quantity]]) * (1-data[[#This Row],[discount]])</f>
        <v>253800</v>
      </c>
      <c r="O636">
        <f>data[[#This Row],[sales]]-data[[#This Row],[cost]]</f>
        <v>61800</v>
      </c>
      <c r="P636" t="str">
        <f>TEXT(data[[#This Row],[order_date]],"mmm")</f>
        <v>Jul</v>
      </c>
      <c r="Q636">
        <f>YEAR(data[[#This Row],[order_date]])</f>
        <v>2023</v>
      </c>
      <c r="R636">
        <f>MONTH(data[[#This Row],[order_date]])</f>
        <v>7</v>
      </c>
      <c r="S636">
        <f>DAY(data[[#This Row],[order_date]])</f>
        <v>12</v>
      </c>
      <c r="T636">
        <f>data[[#This Row],[profit]]/data[[#This Row],[sales]]</f>
        <v>0.24349881796690306</v>
      </c>
    </row>
    <row r="637" spans="1:20" x14ac:dyDescent="0.35">
      <c r="A637" t="s">
        <v>836</v>
      </c>
      <c r="B637" s="1">
        <v>45133</v>
      </c>
      <c r="C637" t="s">
        <v>41</v>
      </c>
      <c r="D637" t="s">
        <v>42</v>
      </c>
      <c r="E637" t="s">
        <v>172</v>
      </c>
      <c r="F637" t="s">
        <v>23</v>
      </c>
      <c r="G637" t="s">
        <v>821</v>
      </c>
      <c r="H637" t="s">
        <v>822</v>
      </c>
      <c r="I637" t="s">
        <v>754</v>
      </c>
      <c r="J637">
        <v>1</v>
      </c>
      <c r="K637">
        <v>206000</v>
      </c>
      <c r="L637">
        <v>0.05</v>
      </c>
      <c r="M637">
        <v>141000</v>
      </c>
      <c r="N637">
        <f>(data[[#This Row],[unit_price]]*data[[#This Row],[quantity]]) * (1-data[[#This Row],[discount]])</f>
        <v>195700</v>
      </c>
      <c r="O637">
        <f>data[[#This Row],[sales]]-data[[#This Row],[cost]]</f>
        <v>54700</v>
      </c>
      <c r="P637" t="str">
        <f>TEXT(data[[#This Row],[order_date]],"mmm")</f>
        <v>Jul</v>
      </c>
      <c r="Q637">
        <f>YEAR(data[[#This Row],[order_date]])</f>
        <v>2023</v>
      </c>
      <c r="R637">
        <f>MONTH(data[[#This Row],[order_date]])</f>
        <v>7</v>
      </c>
      <c r="S637">
        <f>DAY(data[[#This Row],[order_date]])</f>
        <v>26</v>
      </c>
      <c r="T637">
        <f>data[[#This Row],[profit]]/data[[#This Row],[sales]]</f>
        <v>0.2795094532447624</v>
      </c>
    </row>
    <row r="638" spans="1:20" x14ac:dyDescent="0.35">
      <c r="A638" t="s">
        <v>837</v>
      </c>
      <c r="B638" s="1">
        <v>45160</v>
      </c>
      <c r="C638" t="s">
        <v>25</v>
      </c>
      <c r="D638" t="s">
        <v>26</v>
      </c>
      <c r="E638" t="s">
        <v>456</v>
      </c>
      <c r="F638" t="s">
        <v>23</v>
      </c>
      <c r="G638" t="s">
        <v>821</v>
      </c>
      <c r="H638" t="s">
        <v>822</v>
      </c>
      <c r="I638" t="s">
        <v>754</v>
      </c>
      <c r="J638">
        <v>2</v>
      </c>
      <c r="K638">
        <v>181000</v>
      </c>
      <c r="L638">
        <v>0</v>
      </c>
      <c r="M638">
        <v>126000</v>
      </c>
      <c r="N638">
        <f>(data[[#This Row],[unit_price]]*data[[#This Row],[quantity]]) * (1-data[[#This Row],[discount]])</f>
        <v>362000</v>
      </c>
      <c r="O638">
        <f>data[[#This Row],[sales]]-data[[#This Row],[cost]]</f>
        <v>236000</v>
      </c>
      <c r="P638" t="str">
        <f>TEXT(data[[#This Row],[order_date]],"mmm")</f>
        <v>Aug</v>
      </c>
      <c r="Q638">
        <f>YEAR(data[[#This Row],[order_date]])</f>
        <v>2023</v>
      </c>
      <c r="R638">
        <f>MONTH(data[[#This Row],[order_date]])</f>
        <v>8</v>
      </c>
      <c r="S638">
        <f>DAY(data[[#This Row],[order_date]])</f>
        <v>22</v>
      </c>
      <c r="T638">
        <f>data[[#This Row],[profit]]/data[[#This Row],[sales]]</f>
        <v>0.65193370165745856</v>
      </c>
    </row>
    <row r="639" spans="1:20" x14ac:dyDescent="0.35">
      <c r="A639" t="s">
        <v>838</v>
      </c>
      <c r="B639" s="1">
        <v>45184</v>
      </c>
      <c r="C639" t="s">
        <v>41</v>
      </c>
      <c r="D639" t="s">
        <v>42</v>
      </c>
      <c r="E639" t="s">
        <v>16</v>
      </c>
      <c r="F639" t="s">
        <v>17</v>
      </c>
      <c r="G639" t="s">
        <v>821</v>
      </c>
      <c r="H639" t="s">
        <v>822</v>
      </c>
      <c r="I639" t="s">
        <v>754</v>
      </c>
      <c r="J639">
        <v>1</v>
      </c>
      <c r="K639">
        <v>186000</v>
      </c>
      <c r="L639">
        <v>0</v>
      </c>
      <c r="M639">
        <v>126000</v>
      </c>
      <c r="N639">
        <f>(data[[#This Row],[unit_price]]*data[[#This Row],[quantity]]) * (1-data[[#This Row],[discount]])</f>
        <v>186000</v>
      </c>
      <c r="O639">
        <f>data[[#This Row],[sales]]-data[[#This Row],[cost]]</f>
        <v>60000</v>
      </c>
      <c r="P639" t="str">
        <f>TEXT(data[[#This Row],[order_date]],"mmm")</f>
        <v>Sep</v>
      </c>
      <c r="Q639">
        <f>YEAR(data[[#This Row],[order_date]])</f>
        <v>2023</v>
      </c>
      <c r="R639">
        <f>MONTH(data[[#This Row],[order_date]])</f>
        <v>9</v>
      </c>
      <c r="S639">
        <f>DAY(data[[#This Row],[order_date]])</f>
        <v>15</v>
      </c>
      <c r="T639">
        <f>data[[#This Row],[profit]]/data[[#This Row],[sales]]</f>
        <v>0.32258064516129031</v>
      </c>
    </row>
    <row r="640" spans="1:20" x14ac:dyDescent="0.35">
      <c r="A640" t="s">
        <v>839</v>
      </c>
      <c r="B640" s="1">
        <v>45189</v>
      </c>
      <c r="C640" t="s">
        <v>14</v>
      </c>
      <c r="D640" t="s">
        <v>15</v>
      </c>
      <c r="E640" t="s">
        <v>126</v>
      </c>
      <c r="F640" t="s">
        <v>17</v>
      </c>
      <c r="G640" t="s">
        <v>821</v>
      </c>
      <c r="H640" t="s">
        <v>822</v>
      </c>
      <c r="I640" t="s">
        <v>754</v>
      </c>
      <c r="J640">
        <v>1</v>
      </c>
      <c r="K640">
        <v>348000</v>
      </c>
      <c r="L640">
        <v>0</v>
      </c>
      <c r="M640">
        <v>232000</v>
      </c>
      <c r="N640">
        <f>(data[[#This Row],[unit_price]]*data[[#This Row],[quantity]]) * (1-data[[#This Row],[discount]])</f>
        <v>348000</v>
      </c>
      <c r="O640">
        <f>data[[#This Row],[sales]]-data[[#This Row],[cost]]</f>
        <v>116000</v>
      </c>
      <c r="P640" t="str">
        <f>TEXT(data[[#This Row],[order_date]],"mmm")</f>
        <v>Sep</v>
      </c>
      <c r="Q640">
        <f>YEAR(data[[#This Row],[order_date]])</f>
        <v>2023</v>
      </c>
      <c r="R640">
        <f>MONTH(data[[#This Row],[order_date]])</f>
        <v>9</v>
      </c>
      <c r="S640">
        <f>DAY(data[[#This Row],[order_date]])</f>
        <v>20</v>
      </c>
      <c r="T640">
        <f>data[[#This Row],[profit]]/data[[#This Row],[sales]]</f>
        <v>0.33333333333333331</v>
      </c>
    </row>
    <row r="641" spans="1:20" x14ac:dyDescent="0.35">
      <c r="A641" t="s">
        <v>840</v>
      </c>
      <c r="B641" s="1">
        <v>45208</v>
      </c>
      <c r="C641" t="s">
        <v>14</v>
      </c>
      <c r="D641" t="s">
        <v>15</v>
      </c>
      <c r="E641" t="s">
        <v>333</v>
      </c>
      <c r="F641" t="s">
        <v>17</v>
      </c>
      <c r="G641" t="s">
        <v>821</v>
      </c>
      <c r="H641" t="s">
        <v>822</v>
      </c>
      <c r="I641" t="s">
        <v>754</v>
      </c>
      <c r="J641">
        <v>1</v>
      </c>
      <c r="K641">
        <v>218000</v>
      </c>
      <c r="L641">
        <v>0.05</v>
      </c>
      <c r="M641">
        <v>146000</v>
      </c>
      <c r="N641">
        <f>(data[[#This Row],[unit_price]]*data[[#This Row],[quantity]]) * (1-data[[#This Row],[discount]])</f>
        <v>207100</v>
      </c>
      <c r="O641">
        <f>data[[#This Row],[sales]]-data[[#This Row],[cost]]</f>
        <v>61100</v>
      </c>
      <c r="P641" t="str">
        <f>TEXT(data[[#This Row],[order_date]],"mmm")</f>
        <v>Oct</v>
      </c>
      <c r="Q641">
        <f>YEAR(data[[#This Row],[order_date]])</f>
        <v>2023</v>
      </c>
      <c r="R641">
        <f>MONTH(data[[#This Row],[order_date]])</f>
        <v>10</v>
      </c>
      <c r="S641">
        <f>DAY(data[[#This Row],[order_date]])</f>
        <v>9</v>
      </c>
      <c r="T641">
        <f>data[[#This Row],[profit]]/data[[#This Row],[sales]]</f>
        <v>0.29502655721873489</v>
      </c>
    </row>
    <row r="642" spans="1:20" x14ac:dyDescent="0.35">
      <c r="A642" t="s">
        <v>841</v>
      </c>
      <c r="B642" s="1">
        <v>45248</v>
      </c>
      <c r="C642" t="s">
        <v>36</v>
      </c>
      <c r="D642" t="s">
        <v>37</v>
      </c>
      <c r="E642" t="s">
        <v>242</v>
      </c>
      <c r="F642" t="s">
        <v>17</v>
      </c>
      <c r="G642" t="s">
        <v>821</v>
      </c>
      <c r="H642" t="s">
        <v>822</v>
      </c>
      <c r="I642" t="s">
        <v>754</v>
      </c>
      <c r="J642">
        <v>1</v>
      </c>
      <c r="K642">
        <v>220000</v>
      </c>
      <c r="L642">
        <v>0</v>
      </c>
      <c r="M642">
        <v>151000</v>
      </c>
      <c r="N642">
        <f>(data[[#This Row],[unit_price]]*data[[#This Row],[quantity]]) * (1-data[[#This Row],[discount]])</f>
        <v>220000</v>
      </c>
      <c r="O642">
        <f>data[[#This Row],[sales]]-data[[#This Row],[cost]]</f>
        <v>69000</v>
      </c>
      <c r="P642" t="str">
        <f>TEXT(data[[#This Row],[order_date]],"mmm")</f>
        <v>Nov</v>
      </c>
      <c r="Q642">
        <f>YEAR(data[[#This Row],[order_date]])</f>
        <v>2023</v>
      </c>
      <c r="R642">
        <f>MONTH(data[[#This Row],[order_date]])</f>
        <v>11</v>
      </c>
      <c r="S642">
        <f>DAY(data[[#This Row],[order_date]])</f>
        <v>18</v>
      </c>
      <c r="T642">
        <f>data[[#This Row],[profit]]/data[[#This Row],[sales]]</f>
        <v>0.31363636363636366</v>
      </c>
    </row>
    <row r="643" spans="1:20" x14ac:dyDescent="0.35">
      <c r="A643" t="s">
        <v>842</v>
      </c>
      <c r="B643" s="1">
        <v>45256</v>
      </c>
      <c r="C643" t="s">
        <v>49</v>
      </c>
      <c r="D643" t="s">
        <v>50</v>
      </c>
      <c r="E643" t="s">
        <v>214</v>
      </c>
      <c r="F643" t="s">
        <v>23</v>
      </c>
      <c r="G643" t="s">
        <v>821</v>
      </c>
      <c r="H643" t="s">
        <v>822</v>
      </c>
      <c r="I643" t="s">
        <v>754</v>
      </c>
      <c r="J643">
        <v>1</v>
      </c>
      <c r="K643">
        <v>297000</v>
      </c>
      <c r="L643">
        <v>0</v>
      </c>
      <c r="M643">
        <v>197000</v>
      </c>
      <c r="N643">
        <f>(data[[#This Row],[unit_price]]*data[[#This Row],[quantity]]) * (1-data[[#This Row],[discount]])</f>
        <v>297000</v>
      </c>
      <c r="O643">
        <f>data[[#This Row],[sales]]-data[[#This Row],[cost]]</f>
        <v>100000</v>
      </c>
      <c r="P643" t="str">
        <f>TEXT(data[[#This Row],[order_date]],"mmm")</f>
        <v>Nov</v>
      </c>
      <c r="Q643">
        <f>YEAR(data[[#This Row],[order_date]])</f>
        <v>2023</v>
      </c>
      <c r="R643">
        <f>MONTH(data[[#This Row],[order_date]])</f>
        <v>11</v>
      </c>
      <c r="S643">
        <f>DAY(data[[#This Row],[order_date]])</f>
        <v>26</v>
      </c>
      <c r="T643">
        <f>data[[#This Row],[profit]]/data[[#This Row],[sales]]</f>
        <v>0.33670033670033672</v>
      </c>
    </row>
    <row r="644" spans="1:20" x14ac:dyDescent="0.35">
      <c r="A644" t="s">
        <v>843</v>
      </c>
      <c r="B644" s="1">
        <v>45270</v>
      </c>
      <c r="C644" t="s">
        <v>25</v>
      </c>
      <c r="D644" t="s">
        <v>26</v>
      </c>
      <c r="E644" t="s">
        <v>121</v>
      </c>
      <c r="F644" t="s">
        <v>23</v>
      </c>
      <c r="G644" t="s">
        <v>821</v>
      </c>
      <c r="H644" t="s">
        <v>822</v>
      </c>
      <c r="I644" t="s">
        <v>754</v>
      </c>
      <c r="J644">
        <v>1</v>
      </c>
      <c r="K644">
        <v>193000</v>
      </c>
      <c r="L644">
        <v>0</v>
      </c>
      <c r="M644">
        <v>135000</v>
      </c>
      <c r="N644">
        <f>(data[[#This Row],[unit_price]]*data[[#This Row],[quantity]]) * (1-data[[#This Row],[discount]])</f>
        <v>193000</v>
      </c>
      <c r="O644">
        <f>data[[#This Row],[sales]]-data[[#This Row],[cost]]</f>
        <v>58000</v>
      </c>
      <c r="P644" t="str">
        <f>TEXT(data[[#This Row],[order_date]],"mmm")</f>
        <v>Dec</v>
      </c>
      <c r="Q644">
        <f>YEAR(data[[#This Row],[order_date]])</f>
        <v>2023</v>
      </c>
      <c r="R644">
        <f>MONTH(data[[#This Row],[order_date]])</f>
        <v>12</v>
      </c>
      <c r="S644">
        <f>DAY(data[[#This Row],[order_date]])</f>
        <v>10</v>
      </c>
      <c r="T644">
        <f>data[[#This Row],[profit]]/data[[#This Row],[sales]]</f>
        <v>0.30051813471502592</v>
      </c>
    </row>
    <row r="645" spans="1:20" x14ac:dyDescent="0.35">
      <c r="A645" t="s">
        <v>844</v>
      </c>
      <c r="B645" s="1">
        <v>45300</v>
      </c>
      <c r="C645" t="s">
        <v>49</v>
      </c>
      <c r="D645" t="s">
        <v>50</v>
      </c>
      <c r="E645" t="s">
        <v>329</v>
      </c>
      <c r="F645" t="s">
        <v>28</v>
      </c>
      <c r="G645" t="s">
        <v>821</v>
      </c>
      <c r="H645" t="s">
        <v>822</v>
      </c>
      <c r="I645" t="s">
        <v>754</v>
      </c>
      <c r="J645">
        <v>1</v>
      </c>
      <c r="K645">
        <v>259000</v>
      </c>
      <c r="L645">
        <v>0</v>
      </c>
      <c r="M645">
        <v>174000</v>
      </c>
      <c r="N645">
        <f>(data[[#This Row],[unit_price]]*data[[#This Row],[quantity]]) * (1-data[[#This Row],[discount]])</f>
        <v>259000</v>
      </c>
      <c r="O645">
        <f>data[[#This Row],[sales]]-data[[#This Row],[cost]]</f>
        <v>85000</v>
      </c>
      <c r="P645" t="str">
        <f>TEXT(data[[#This Row],[order_date]],"mmm")</f>
        <v>Jan</v>
      </c>
      <c r="Q645">
        <f>YEAR(data[[#This Row],[order_date]])</f>
        <v>2024</v>
      </c>
      <c r="R645">
        <f>MONTH(data[[#This Row],[order_date]])</f>
        <v>1</v>
      </c>
      <c r="S645">
        <f>DAY(data[[#This Row],[order_date]])</f>
        <v>9</v>
      </c>
      <c r="T645">
        <f>data[[#This Row],[profit]]/data[[#This Row],[sales]]</f>
        <v>0.3281853281853282</v>
      </c>
    </row>
    <row r="646" spans="1:20" x14ac:dyDescent="0.35">
      <c r="A646" t="s">
        <v>845</v>
      </c>
      <c r="B646" s="1">
        <v>45322</v>
      </c>
      <c r="C646" t="s">
        <v>14</v>
      </c>
      <c r="D646" t="s">
        <v>15</v>
      </c>
      <c r="E646" t="s">
        <v>210</v>
      </c>
      <c r="F646" t="s">
        <v>23</v>
      </c>
      <c r="G646" t="s">
        <v>821</v>
      </c>
      <c r="H646" t="s">
        <v>822</v>
      </c>
      <c r="I646" t="s">
        <v>754</v>
      </c>
      <c r="J646">
        <v>1</v>
      </c>
      <c r="K646">
        <v>266000</v>
      </c>
      <c r="L646">
        <v>0</v>
      </c>
      <c r="M646">
        <v>176000</v>
      </c>
      <c r="N646">
        <f>(data[[#This Row],[unit_price]]*data[[#This Row],[quantity]]) * (1-data[[#This Row],[discount]])</f>
        <v>266000</v>
      </c>
      <c r="O646">
        <f>data[[#This Row],[sales]]-data[[#This Row],[cost]]</f>
        <v>90000</v>
      </c>
      <c r="P646" t="str">
        <f>TEXT(data[[#This Row],[order_date]],"mmm")</f>
        <v>Jan</v>
      </c>
      <c r="Q646">
        <f>YEAR(data[[#This Row],[order_date]])</f>
        <v>2024</v>
      </c>
      <c r="R646">
        <f>MONTH(data[[#This Row],[order_date]])</f>
        <v>1</v>
      </c>
      <c r="S646">
        <f>DAY(data[[#This Row],[order_date]])</f>
        <v>31</v>
      </c>
      <c r="T646">
        <f>data[[#This Row],[profit]]/data[[#This Row],[sales]]</f>
        <v>0.33834586466165412</v>
      </c>
    </row>
    <row r="647" spans="1:20" x14ac:dyDescent="0.35">
      <c r="A647" t="s">
        <v>846</v>
      </c>
      <c r="B647" s="1">
        <v>45349</v>
      </c>
      <c r="C647" t="s">
        <v>49</v>
      </c>
      <c r="D647" t="s">
        <v>50</v>
      </c>
      <c r="E647" t="s">
        <v>239</v>
      </c>
      <c r="F647" t="s">
        <v>23</v>
      </c>
      <c r="G647" t="s">
        <v>821</v>
      </c>
      <c r="H647" t="s">
        <v>822</v>
      </c>
      <c r="I647" t="s">
        <v>754</v>
      </c>
      <c r="J647">
        <v>1</v>
      </c>
      <c r="K647">
        <v>256000</v>
      </c>
      <c r="L647">
        <v>0.05</v>
      </c>
      <c r="M647">
        <v>176000</v>
      </c>
      <c r="N647">
        <f>(data[[#This Row],[unit_price]]*data[[#This Row],[quantity]]) * (1-data[[#This Row],[discount]])</f>
        <v>243200</v>
      </c>
      <c r="O647">
        <f>data[[#This Row],[sales]]-data[[#This Row],[cost]]</f>
        <v>67200</v>
      </c>
      <c r="P647" t="str">
        <f>TEXT(data[[#This Row],[order_date]],"mmm")</f>
        <v>Feb</v>
      </c>
      <c r="Q647">
        <f>YEAR(data[[#This Row],[order_date]])</f>
        <v>2024</v>
      </c>
      <c r="R647">
        <f>MONTH(data[[#This Row],[order_date]])</f>
        <v>2</v>
      </c>
      <c r="S647">
        <f>DAY(data[[#This Row],[order_date]])</f>
        <v>27</v>
      </c>
      <c r="T647">
        <f>data[[#This Row],[profit]]/data[[#This Row],[sales]]</f>
        <v>0.27631578947368424</v>
      </c>
    </row>
    <row r="648" spans="1:20" x14ac:dyDescent="0.35">
      <c r="A648" t="s">
        <v>847</v>
      </c>
      <c r="B648" s="1">
        <v>45351</v>
      </c>
      <c r="C648" t="s">
        <v>14</v>
      </c>
      <c r="D648" t="s">
        <v>15</v>
      </c>
      <c r="E648" t="s">
        <v>798</v>
      </c>
      <c r="F648" t="s">
        <v>28</v>
      </c>
      <c r="G648" t="s">
        <v>821</v>
      </c>
      <c r="H648" t="s">
        <v>822</v>
      </c>
      <c r="I648" t="s">
        <v>754</v>
      </c>
      <c r="J648">
        <v>2</v>
      </c>
      <c r="K648">
        <v>341000</v>
      </c>
      <c r="L648">
        <v>0</v>
      </c>
      <c r="M648">
        <v>233000</v>
      </c>
      <c r="N648">
        <f>(data[[#This Row],[unit_price]]*data[[#This Row],[quantity]]) * (1-data[[#This Row],[discount]])</f>
        <v>682000</v>
      </c>
      <c r="O648">
        <f>data[[#This Row],[sales]]-data[[#This Row],[cost]]</f>
        <v>449000</v>
      </c>
      <c r="P648" t="str">
        <f>TEXT(data[[#This Row],[order_date]],"mmm")</f>
        <v>Feb</v>
      </c>
      <c r="Q648">
        <f>YEAR(data[[#This Row],[order_date]])</f>
        <v>2024</v>
      </c>
      <c r="R648">
        <f>MONTH(data[[#This Row],[order_date]])</f>
        <v>2</v>
      </c>
      <c r="S648">
        <f>DAY(data[[#This Row],[order_date]])</f>
        <v>29</v>
      </c>
      <c r="T648">
        <f>data[[#This Row],[profit]]/data[[#This Row],[sales]]</f>
        <v>0.65835777126099704</v>
      </c>
    </row>
    <row r="649" spans="1:20" x14ac:dyDescent="0.35">
      <c r="A649" t="s">
        <v>848</v>
      </c>
      <c r="B649" s="1">
        <v>45386</v>
      </c>
      <c r="C649" t="s">
        <v>14</v>
      </c>
      <c r="D649" t="s">
        <v>15</v>
      </c>
      <c r="E649" t="s">
        <v>216</v>
      </c>
      <c r="F649" t="s">
        <v>17</v>
      </c>
      <c r="G649" t="s">
        <v>821</v>
      </c>
      <c r="H649" t="s">
        <v>822</v>
      </c>
      <c r="I649" t="s">
        <v>754</v>
      </c>
      <c r="J649">
        <v>2</v>
      </c>
      <c r="K649">
        <v>258000</v>
      </c>
      <c r="L649">
        <v>0</v>
      </c>
      <c r="M649">
        <v>180000</v>
      </c>
      <c r="N649">
        <f>(data[[#This Row],[unit_price]]*data[[#This Row],[quantity]]) * (1-data[[#This Row],[discount]])</f>
        <v>516000</v>
      </c>
      <c r="O649">
        <f>data[[#This Row],[sales]]-data[[#This Row],[cost]]</f>
        <v>336000</v>
      </c>
      <c r="P649" t="str">
        <f>TEXT(data[[#This Row],[order_date]],"mmm")</f>
        <v>Apr</v>
      </c>
      <c r="Q649">
        <f>YEAR(data[[#This Row],[order_date]])</f>
        <v>2024</v>
      </c>
      <c r="R649">
        <f>MONTH(data[[#This Row],[order_date]])</f>
        <v>4</v>
      </c>
      <c r="S649">
        <f>DAY(data[[#This Row],[order_date]])</f>
        <v>4</v>
      </c>
      <c r="T649">
        <f>data[[#This Row],[profit]]/data[[#This Row],[sales]]</f>
        <v>0.65116279069767447</v>
      </c>
    </row>
    <row r="650" spans="1:20" x14ac:dyDescent="0.35">
      <c r="A650" t="s">
        <v>849</v>
      </c>
      <c r="B650" s="1">
        <v>45405</v>
      </c>
      <c r="C650" t="s">
        <v>14</v>
      </c>
      <c r="D650" t="s">
        <v>15</v>
      </c>
      <c r="E650" t="s">
        <v>166</v>
      </c>
      <c r="F650" t="s">
        <v>28</v>
      </c>
      <c r="G650" t="s">
        <v>821</v>
      </c>
      <c r="H650" t="s">
        <v>822</v>
      </c>
      <c r="I650" t="s">
        <v>754</v>
      </c>
      <c r="J650">
        <v>2</v>
      </c>
      <c r="K650">
        <v>348000</v>
      </c>
      <c r="L650">
        <v>0</v>
      </c>
      <c r="M650">
        <v>236000</v>
      </c>
      <c r="N650">
        <f>(data[[#This Row],[unit_price]]*data[[#This Row],[quantity]]) * (1-data[[#This Row],[discount]])</f>
        <v>696000</v>
      </c>
      <c r="O650">
        <f>data[[#This Row],[sales]]-data[[#This Row],[cost]]</f>
        <v>460000</v>
      </c>
      <c r="P650" t="str">
        <f>TEXT(data[[#This Row],[order_date]],"mmm")</f>
        <v>Apr</v>
      </c>
      <c r="Q650">
        <f>YEAR(data[[#This Row],[order_date]])</f>
        <v>2024</v>
      </c>
      <c r="R650">
        <f>MONTH(data[[#This Row],[order_date]])</f>
        <v>4</v>
      </c>
      <c r="S650">
        <f>DAY(data[[#This Row],[order_date]])</f>
        <v>23</v>
      </c>
      <c r="T650">
        <f>data[[#This Row],[profit]]/data[[#This Row],[sales]]</f>
        <v>0.66091954022988508</v>
      </c>
    </row>
    <row r="651" spans="1:20" x14ac:dyDescent="0.35">
      <c r="A651" t="s">
        <v>850</v>
      </c>
      <c r="B651" s="1">
        <v>45424</v>
      </c>
      <c r="C651" t="s">
        <v>14</v>
      </c>
      <c r="D651" t="s">
        <v>15</v>
      </c>
      <c r="E651" t="s">
        <v>195</v>
      </c>
      <c r="F651" t="s">
        <v>23</v>
      </c>
      <c r="G651" t="s">
        <v>821</v>
      </c>
      <c r="H651" t="s">
        <v>822</v>
      </c>
      <c r="I651" t="s">
        <v>754</v>
      </c>
      <c r="J651">
        <v>1</v>
      </c>
      <c r="K651">
        <v>257000</v>
      </c>
      <c r="L651">
        <v>0</v>
      </c>
      <c r="M651">
        <v>176000</v>
      </c>
      <c r="N651">
        <f>(data[[#This Row],[unit_price]]*data[[#This Row],[quantity]]) * (1-data[[#This Row],[discount]])</f>
        <v>257000</v>
      </c>
      <c r="O651">
        <f>data[[#This Row],[sales]]-data[[#This Row],[cost]]</f>
        <v>81000</v>
      </c>
      <c r="P651" t="str">
        <f>TEXT(data[[#This Row],[order_date]],"mmm")</f>
        <v>May</v>
      </c>
      <c r="Q651">
        <f>YEAR(data[[#This Row],[order_date]])</f>
        <v>2024</v>
      </c>
      <c r="R651">
        <f>MONTH(data[[#This Row],[order_date]])</f>
        <v>5</v>
      </c>
      <c r="S651">
        <f>DAY(data[[#This Row],[order_date]])</f>
        <v>12</v>
      </c>
      <c r="T651">
        <f>data[[#This Row],[profit]]/data[[#This Row],[sales]]</f>
        <v>0.31517509727626458</v>
      </c>
    </row>
    <row r="652" spans="1:20" x14ac:dyDescent="0.35">
      <c r="A652" t="s">
        <v>851</v>
      </c>
      <c r="B652" s="1">
        <v>45431</v>
      </c>
      <c r="C652" t="s">
        <v>36</v>
      </c>
      <c r="D652" t="s">
        <v>37</v>
      </c>
      <c r="E652" t="s">
        <v>76</v>
      </c>
      <c r="F652" t="s">
        <v>23</v>
      </c>
      <c r="G652" t="s">
        <v>821</v>
      </c>
      <c r="H652" t="s">
        <v>822</v>
      </c>
      <c r="I652" t="s">
        <v>754</v>
      </c>
      <c r="J652">
        <v>1</v>
      </c>
      <c r="K652">
        <v>284000</v>
      </c>
      <c r="L652">
        <v>0</v>
      </c>
      <c r="M652">
        <v>195000</v>
      </c>
      <c r="N652">
        <f>(data[[#This Row],[unit_price]]*data[[#This Row],[quantity]]) * (1-data[[#This Row],[discount]])</f>
        <v>284000</v>
      </c>
      <c r="O652">
        <f>data[[#This Row],[sales]]-data[[#This Row],[cost]]</f>
        <v>89000</v>
      </c>
      <c r="P652" t="str">
        <f>TEXT(data[[#This Row],[order_date]],"mmm")</f>
        <v>May</v>
      </c>
      <c r="Q652">
        <f>YEAR(data[[#This Row],[order_date]])</f>
        <v>2024</v>
      </c>
      <c r="R652">
        <f>MONTH(data[[#This Row],[order_date]])</f>
        <v>5</v>
      </c>
      <c r="S652">
        <f>DAY(data[[#This Row],[order_date]])</f>
        <v>19</v>
      </c>
      <c r="T652">
        <f>data[[#This Row],[profit]]/data[[#This Row],[sales]]</f>
        <v>0.31338028169014087</v>
      </c>
    </row>
    <row r="653" spans="1:20" x14ac:dyDescent="0.35">
      <c r="A653" t="s">
        <v>852</v>
      </c>
      <c r="B653" s="1">
        <v>45433</v>
      </c>
      <c r="C653" t="s">
        <v>49</v>
      </c>
      <c r="D653" t="s">
        <v>50</v>
      </c>
      <c r="E653" t="s">
        <v>226</v>
      </c>
      <c r="F653" t="s">
        <v>17</v>
      </c>
      <c r="G653" t="s">
        <v>821</v>
      </c>
      <c r="H653" t="s">
        <v>822</v>
      </c>
      <c r="I653" t="s">
        <v>754</v>
      </c>
      <c r="J653">
        <v>1</v>
      </c>
      <c r="K653">
        <v>271000</v>
      </c>
      <c r="L653">
        <v>0</v>
      </c>
      <c r="M653">
        <v>179000</v>
      </c>
      <c r="N653">
        <f>(data[[#This Row],[unit_price]]*data[[#This Row],[quantity]]) * (1-data[[#This Row],[discount]])</f>
        <v>271000</v>
      </c>
      <c r="O653">
        <f>data[[#This Row],[sales]]-data[[#This Row],[cost]]</f>
        <v>92000</v>
      </c>
      <c r="P653" t="str">
        <f>TEXT(data[[#This Row],[order_date]],"mmm")</f>
        <v>May</v>
      </c>
      <c r="Q653">
        <f>YEAR(data[[#This Row],[order_date]])</f>
        <v>2024</v>
      </c>
      <c r="R653">
        <f>MONTH(data[[#This Row],[order_date]])</f>
        <v>5</v>
      </c>
      <c r="S653">
        <f>DAY(data[[#This Row],[order_date]])</f>
        <v>21</v>
      </c>
      <c r="T653">
        <f>data[[#This Row],[profit]]/data[[#This Row],[sales]]</f>
        <v>0.33948339483394835</v>
      </c>
    </row>
    <row r="654" spans="1:20" x14ac:dyDescent="0.35">
      <c r="A654" t="s">
        <v>853</v>
      </c>
      <c r="B654" s="1">
        <v>45454</v>
      </c>
      <c r="C654" t="s">
        <v>14</v>
      </c>
      <c r="D654" t="s">
        <v>15</v>
      </c>
      <c r="E654" t="s">
        <v>349</v>
      </c>
      <c r="F654" t="s">
        <v>23</v>
      </c>
      <c r="G654" t="s">
        <v>821</v>
      </c>
      <c r="H654" t="s">
        <v>822</v>
      </c>
      <c r="I654" t="s">
        <v>754</v>
      </c>
      <c r="J654">
        <v>1</v>
      </c>
      <c r="K654">
        <v>359000</v>
      </c>
      <c r="L654">
        <v>0</v>
      </c>
      <c r="M654">
        <v>250000</v>
      </c>
      <c r="N654">
        <f>(data[[#This Row],[unit_price]]*data[[#This Row],[quantity]]) * (1-data[[#This Row],[discount]])</f>
        <v>359000</v>
      </c>
      <c r="O654">
        <f>data[[#This Row],[sales]]-data[[#This Row],[cost]]</f>
        <v>109000</v>
      </c>
      <c r="P654" t="str">
        <f>TEXT(data[[#This Row],[order_date]],"mmm")</f>
        <v>Jun</v>
      </c>
      <c r="Q654">
        <f>YEAR(data[[#This Row],[order_date]])</f>
        <v>2024</v>
      </c>
      <c r="R654">
        <f>MONTH(data[[#This Row],[order_date]])</f>
        <v>6</v>
      </c>
      <c r="S654">
        <f>DAY(data[[#This Row],[order_date]])</f>
        <v>11</v>
      </c>
      <c r="T654">
        <f>data[[#This Row],[profit]]/data[[#This Row],[sales]]</f>
        <v>0.30362116991643456</v>
      </c>
    </row>
    <row r="655" spans="1:20" x14ac:dyDescent="0.35">
      <c r="A655" t="s">
        <v>854</v>
      </c>
      <c r="B655" s="1">
        <v>45455</v>
      </c>
      <c r="C655" t="s">
        <v>14</v>
      </c>
      <c r="D655" t="s">
        <v>15</v>
      </c>
      <c r="E655" t="s">
        <v>95</v>
      </c>
      <c r="F655" t="s">
        <v>23</v>
      </c>
      <c r="G655" t="s">
        <v>821</v>
      </c>
      <c r="H655" t="s">
        <v>822</v>
      </c>
      <c r="I655" t="s">
        <v>754</v>
      </c>
      <c r="J655">
        <v>1</v>
      </c>
      <c r="K655">
        <v>336000</v>
      </c>
      <c r="L655">
        <v>0</v>
      </c>
      <c r="M655">
        <v>224000</v>
      </c>
      <c r="N655">
        <f>(data[[#This Row],[unit_price]]*data[[#This Row],[quantity]]) * (1-data[[#This Row],[discount]])</f>
        <v>336000</v>
      </c>
      <c r="O655">
        <f>data[[#This Row],[sales]]-data[[#This Row],[cost]]</f>
        <v>112000</v>
      </c>
      <c r="P655" t="str">
        <f>TEXT(data[[#This Row],[order_date]],"mmm")</f>
        <v>Jun</v>
      </c>
      <c r="Q655">
        <f>YEAR(data[[#This Row],[order_date]])</f>
        <v>2024</v>
      </c>
      <c r="R655">
        <f>MONTH(data[[#This Row],[order_date]])</f>
        <v>6</v>
      </c>
      <c r="S655">
        <f>DAY(data[[#This Row],[order_date]])</f>
        <v>12</v>
      </c>
      <c r="T655">
        <f>data[[#This Row],[profit]]/data[[#This Row],[sales]]</f>
        <v>0.33333333333333331</v>
      </c>
    </row>
    <row r="656" spans="1:20" x14ac:dyDescent="0.35">
      <c r="A656" t="s">
        <v>855</v>
      </c>
      <c r="B656" s="1">
        <v>45473</v>
      </c>
      <c r="C656" t="s">
        <v>41</v>
      </c>
      <c r="D656" t="s">
        <v>42</v>
      </c>
      <c r="E656" t="s">
        <v>74</v>
      </c>
      <c r="F656" t="s">
        <v>23</v>
      </c>
      <c r="G656" t="s">
        <v>821</v>
      </c>
      <c r="H656" t="s">
        <v>822</v>
      </c>
      <c r="I656" t="s">
        <v>754</v>
      </c>
      <c r="J656">
        <v>1</v>
      </c>
      <c r="K656">
        <v>365000</v>
      </c>
      <c r="L656">
        <v>0</v>
      </c>
      <c r="M656">
        <v>252000</v>
      </c>
      <c r="N656">
        <f>(data[[#This Row],[unit_price]]*data[[#This Row],[quantity]]) * (1-data[[#This Row],[discount]])</f>
        <v>365000</v>
      </c>
      <c r="O656">
        <f>data[[#This Row],[sales]]-data[[#This Row],[cost]]</f>
        <v>113000</v>
      </c>
      <c r="P656" t="str">
        <f>TEXT(data[[#This Row],[order_date]],"mmm")</f>
        <v>Jun</v>
      </c>
      <c r="Q656">
        <f>YEAR(data[[#This Row],[order_date]])</f>
        <v>2024</v>
      </c>
      <c r="R656">
        <f>MONTH(data[[#This Row],[order_date]])</f>
        <v>6</v>
      </c>
      <c r="S656">
        <f>DAY(data[[#This Row],[order_date]])</f>
        <v>30</v>
      </c>
      <c r="T656">
        <f>data[[#This Row],[profit]]/data[[#This Row],[sales]]</f>
        <v>0.30958904109589042</v>
      </c>
    </row>
    <row r="657" spans="1:20" x14ac:dyDescent="0.35">
      <c r="A657" t="s">
        <v>856</v>
      </c>
      <c r="B657" s="1">
        <v>45483</v>
      </c>
      <c r="C657" t="s">
        <v>14</v>
      </c>
      <c r="D657" t="s">
        <v>15</v>
      </c>
      <c r="E657" t="s">
        <v>462</v>
      </c>
      <c r="F657" t="s">
        <v>58</v>
      </c>
      <c r="G657" t="s">
        <v>821</v>
      </c>
      <c r="H657" t="s">
        <v>822</v>
      </c>
      <c r="I657" t="s">
        <v>754</v>
      </c>
      <c r="J657">
        <v>1</v>
      </c>
      <c r="K657">
        <v>308000</v>
      </c>
      <c r="L657">
        <v>0</v>
      </c>
      <c r="M657">
        <v>210000</v>
      </c>
      <c r="N657">
        <f>(data[[#This Row],[unit_price]]*data[[#This Row],[quantity]]) * (1-data[[#This Row],[discount]])</f>
        <v>308000</v>
      </c>
      <c r="O657">
        <f>data[[#This Row],[sales]]-data[[#This Row],[cost]]</f>
        <v>98000</v>
      </c>
      <c r="P657" t="str">
        <f>TEXT(data[[#This Row],[order_date]],"mmm")</f>
        <v>Jul</v>
      </c>
      <c r="Q657">
        <f>YEAR(data[[#This Row],[order_date]])</f>
        <v>2024</v>
      </c>
      <c r="R657">
        <f>MONTH(data[[#This Row],[order_date]])</f>
        <v>7</v>
      </c>
      <c r="S657">
        <f>DAY(data[[#This Row],[order_date]])</f>
        <v>10</v>
      </c>
      <c r="T657">
        <f>data[[#This Row],[profit]]/data[[#This Row],[sales]]</f>
        <v>0.31818181818181818</v>
      </c>
    </row>
    <row r="658" spans="1:20" x14ac:dyDescent="0.35">
      <c r="A658" t="s">
        <v>857</v>
      </c>
      <c r="B658" s="1">
        <v>45483</v>
      </c>
      <c r="C658" t="s">
        <v>36</v>
      </c>
      <c r="D658" t="s">
        <v>37</v>
      </c>
      <c r="E658" t="s">
        <v>236</v>
      </c>
      <c r="F658" t="s">
        <v>28</v>
      </c>
      <c r="G658" t="s">
        <v>821</v>
      </c>
      <c r="H658" t="s">
        <v>822</v>
      </c>
      <c r="I658" t="s">
        <v>754</v>
      </c>
      <c r="J658">
        <v>1</v>
      </c>
      <c r="K658">
        <v>278000</v>
      </c>
      <c r="L658">
        <v>0.1</v>
      </c>
      <c r="M658">
        <v>189000</v>
      </c>
      <c r="N658">
        <f>(data[[#This Row],[unit_price]]*data[[#This Row],[quantity]]) * (1-data[[#This Row],[discount]])</f>
        <v>250200</v>
      </c>
      <c r="O658">
        <f>data[[#This Row],[sales]]-data[[#This Row],[cost]]</f>
        <v>61200</v>
      </c>
      <c r="P658" t="str">
        <f>TEXT(data[[#This Row],[order_date]],"mmm")</f>
        <v>Jul</v>
      </c>
      <c r="Q658">
        <f>YEAR(data[[#This Row],[order_date]])</f>
        <v>2024</v>
      </c>
      <c r="R658">
        <f>MONTH(data[[#This Row],[order_date]])</f>
        <v>7</v>
      </c>
      <c r="S658">
        <f>DAY(data[[#This Row],[order_date]])</f>
        <v>10</v>
      </c>
      <c r="T658">
        <f>data[[#This Row],[profit]]/data[[#This Row],[sales]]</f>
        <v>0.2446043165467626</v>
      </c>
    </row>
    <row r="659" spans="1:20" x14ac:dyDescent="0.35">
      <c r="A659" t="s">
        <v>858</v>
      </c>
      <c r="B659" s="1">
        <v>45522</v>
      </c>
      <c r="C659" t="s">
        <v>14</v>
      </c>
      <c r="D659" t="s">
        <v>15</v>
      </c>
      <c r="E659" t="s">
        <v>291</v>
      </c>
      <c r="F659" t="s">
        <v>17</v>
      </c>
      <c r="G659" t="s">
        <v>821</v>
      </c>
      <c r="H659" t="s">
        <v>822</v>
      </c>
      <c r="I659" t="s">
        <v>754</v>
      </c>
      <c r="J659">
        <v>1</v>
      </c>
      <c r="K659">
        <v>240000</v>
      </c>
      <c r="L659">
        <v>0</v>
      </c>
      <c r="M659">
        <v>160000</v>
      </c>
      <c r="N659">
        <f>(data[[#This Row],[unit_price]]*data[[#This Row],[quantity]]) * (1-data[[#This Row],[discount]])</f>
        <v>240000</v>
      </c>
      <c r="O659">
        <f>data[[#This Row],[sales]]-data[[#This Row],[cost]]</f>
        <v>80000</v>
      </c>
      <c r="P659" t="str">
        <f>TEXT(data[[#This Row],[order_date]],"mmm")</f>
        <v>Aug</v>
      </c>
      <c r="Q659">
        <f>YEAR(data[[#This Row],[order_date]])</f>
        <v>2024</v>
      </c>
      <c r="R659">
        <f>MONTH(data[[#This Row],[order_date]])</f>
        <v>8</v>
      </c>
      <c r="S659">
        <f>DAY(data[[#This Row],[order_date]])</f>
        <v>18</v>
      </c>
      <c r="T659">
        <f>data[[#This Row],[profit]]/data[[#This Row],[sales]]</f>
        <v>0.33333333333333331</v>
      </c>
    </row>
    <row r="660" spans="1:20" x14ac:dyDescent="0.35">
      <c r="A660" t="s">
        <v>859</v>
      </c>
      <c r="B660" s="1">
        <v>45541</v>
      </c>
      <c r="C660" t="s">
        <v>14</v>
      </c>
      <c r="D660" t="s">
        <v>15</v>
      </c>
      <c r="E660" t="s">
        <v>182</v>
      </c>
      <c r="F660" t="s">
        <v>23</v>
      </c>
      <c r="G660" t="s">
        <v>821</v>
      </c>
      <c r="H660" t="s">
        <v>822</v>
      </c>
      <c r="I660" t="s">
        <v>754</v>
      </c>
      <c r="J660">
        <v>1</v>
      </c>
      <c r="K660">
        <v>311000</v>
      </c>
      <c r="L660">
        <v>0.05</v>
      </c>
      <c r="M660">
        <v>216000</v>
      </c>
      <c r="N660">
        <f>(data[[#This Row],[unit_price]]*data[[#This Row],[quantity]]) * (1-data[[#This Row],[discount]])</f>
        <v>295450</v>
      </c>
      <c r="O660">
        <f>data[[#This Row],[sales]]-data[[#This Row],[cost]]</f>
        <v>79450</v>
      </c>
      <c r="P660" t="str">
        <f>TEXT(data[[#This Row],[order_date]],"mmm")</f>
        <v>Sep</v>
      </c>
      <c r="Q660">
        <f>YEAR(data[[#This Row],[order_date]])</f>
        <v>2024</v>
      </c>
      <c r="R660">
        <f>MONTH(data[[#This Row],[order_date]])</f>
        <v>9</v>
      </c>
      <c r="S660">
        <f>DAY(data[[#This Row],[order_date]])</f>
        <v>6</v>
      </c>
      <c r="T660">
        <f>data[[#This Row],[profit]]/data[[#This Row],[sales]]</f>
        <v>0.26891182941276021</v>
      </c>
    </row>
    <row r="661" spans="1:20" x14ac:dyDescent="0.35">
      <c r="A661" t="s">
        <v>860</v>
      </c>
      <c r="B661" s="1">
        <v>45583</v>
      </c>
      <c r="C661" t="s">
        <v>41</v>
      </c>
      <c r="D661" t="s">
        <v>42</v>
      </c>
      <c r="E661" t="s">
        <v>634</v>
      </c>
      <c r="F661" t="s">
        <v>17</v>
      </c>
      <c r="G661" t="s">
        <v>821</v>
      </c>
      <c r="H661" t="s">
        <v>822</v>
      </c>
      <c r="I661" t="s">
        <v>754</v>
      </c>
      <c r="J661">
        <v>1</v>
      </c>
      <c r="K661">
        <v>291590.90909090912</v>
      </c>
      <c r="L661">
        <v>0</v>
      </c>
      <c r="M661">
        <v>180000</v>
      </c>
      <c r="N661">
        <f>(data[[#This Row],[unit_price]]*data[[#This Row],[quantity]]) * (1-data[[#This Row],[discount]])</f>
        <v>291590.90909090912</v>
      </c>
      <c r="O661">
        <f>data[[#This Row],[sales]]-data[[#This Row],[cost]]</f>
        <v>111590.90909090912</v>
      </c>
      <c r="P661" t="str">
        <f>TEXT(data[[#This Row],[order_date]],"mmm")</f>
        <v>Oct</v>
      </c>
      <c r="Q661">
        <f>YEAR(data[[#This Row],[order_date]])</f>
        <v>2024</v>
      </c>
      <c r="R661">
        <f>MONTH(data[[#This Row],[order_date]])</f>
        <v>10</v>
      </c>
      <c r="S661">
        <f>DAY(data[[#This Row],[order_date]])</f>
        <v>18</v>
      </c>
      <c r="T661">
        <f>data[[#This Row],[profit]]/data[[#This Row],[sales]]</f>
        <v>0.3826968043647701</v>
      </c>
    </row>
    <row r="662" spans="1:20" x14ac:dyDescent="0.35">
      <c r="A662" t="s">
        <v>861</v>
      </c>
      <c r="B662" s="1">
        <v>45588</v>
      </c>
      <c r="C662" t="s">
        <v>49</v>
      </c>
      <c r="D662" t="s">
        <v>50</v>
      </c>
      <c r="E662" t="s">
        <v>675</v>
      </c>
      <c r="F662" t="s">
        <v>17</v>
      </c>
      <c r="G662" t="s">
        <v>821</v>
      </c>
      <c r="H662" t="s">
        <v>822</v>
      </c>
      <c r="I662" t="s">
        <v>754</v>
      </c>
      <c r="J662">
        <v>1</v>
      </c>
      <c r="K662">
        <v>306000</v>
      </c>
      <c r="L662">
        <v>0.1</v>
      </c>
      <c r="M662">
        <v>213000</v>
      </c>
      <c r="N662">
        <f>(data[[#This Row],[unit_price]]*data[[#This Row],[quantity]]) * (1-data[[#This Row],[discount]])</f>
        <v>275400</v>
      </c>
      <c r="O662">
        <f>data[[#This Row],[sales]]-data[[#This Row],[cost]]</f>
        <v>62400</v>
      </c>
      <c r="P662" t="str">
        <f>TEXT(data[[#This Row],[order_date]],"mmm")</f>
        <v>Oct</v>
      </c>
      <c r="Q662">
        <f>YEAR(data[[#This Row],[order_date]])</f>
        <v>2024</v>
      </c>
      <c r="R662">
        <f>MONTH(data[[#This Row],[order_date]])</f>
        <v>10</v>
      </c>
      <c r="S662">
        <f>DAY(data[[#This Row],[order_date]])</f>
        <v>23</v>
      </c>
      <c r="T662">
        <f>data[[#This Row],[profit]]/data[[#This Row],[sales]]</f>
        <v>0.22657952069716775</v>
      </c>
    </row>
    <row r="663" spans="1:20" x14ac:dyDescent="0.35">
      <c r="A663" t="s">
        <v>862</v>
      </c>
      <c r="B663" s="1">
        <v>45612</v>
      </c>
      <c r="C663" t="s">
        <v>14</v>
      </c>
      <c r="D663" t="s">
        <v>15</v>
      </c>
      <c r="E663" t="s">
        <v>99</v>
      </c>
      <c r="F663" t="s">
        <v>23</v>
      </c>
      <c r="G663" t="s">
        <v>821</v>
      </c>
      <c r="H663" t="s">
        <v>822</v>
      </c>
      <c r="I663" t="s">
        <v>754</v>
      </c>
      <c r="J663">
        <v>1</v>
      </c>
      <c r="K663">
        <v>219000</v>
      </c>
      <c r="L663">
        <v>0</v>
      </c>
      <c r="M663">
        <v>152000</v>
      </c>
      <c r="N663">
        <f>(data[[#This Row],[unit_price]]*data[[#This Row],[quantity]]) * (1-data[[#This Row],[discount]])</f>
        <v>219000</v>
      </c>
      <c r="O663">
        <f>data[[#This Row],[sales]]-data[[#This Row],[cost]]</f>
        <v>67000</v>
      </c>
      <c r="P663" t="str">
        <f>TEXT(data[[#This Row],[order_date]],"mmm")</f>
        <v>Nov</v>
      </c>
      <c r="Q663">
        <f>YEAR(data[[#This Row],[order_date]])</f>
        <v>2024</v>
      </c>
      <c r="R663">
        <f>MONTH(data[[#This Row],[order_date]])</f>
        <v>11</v>
      </c>
      <c r="S663">
        <f>DAY(data[[#This Row],[order_date]])</f>
        <v>16</v>
      </c>
      <c r="T663">
        <f>data[[#This Row],[profit]]/data[[#This Row],[sales]]</f>
        <v>0.30593607305936071</v>
      </c>
    </row>
    <row r="664" spans="1:20" x14ac:dyDescent="0.35">
      <c r="A664" t="s">
        <v>863</v>
      </c>
      <c r="B664" s="1">
        <v>45617</v>
      </c>
      <c r="C664" t="s">
        <v>14</v>
      </c>
      <c r="D664" t="s">
        <v>15</v>
      </c>
      <c r="E664" t="s">
        <v>119</v>
      </c>
      <c r="F664" t="s">
        <v>23</v>
      </c>
      <c r="G664" t="s">
        <v>821</v>
      </c>
      <c r="H664" t="s">
        <v>822</v>
      </c>
      <c r="I664" t="s">
        <v>754</v>
      </c>
      <c r="J664">
        <v>1</v>
      </c>
      <c r="K664">
        <v>325000</v>
      </c>
      <c r="L664">
        <v>0.05</v>
      </c>
      <c r="M664">
        <v>227000</v>
      </c>
      <c r="N664">
        <f>(data[[#This Row],[unit_price]]*data[[#This Row],[quantity]]) * (1-data[[#This Row],[discount]])</f>
        <v>308750</v>
      </c>
      <c r="O664">
        <f>data[[#This Row],[sales]]-data[[#This Row],[cost]]</f>
        <v>81750</v>
      </c>
      <c r="P664" t="str">
        <f>TEXT(data[[#This Row],[order_date]],"mmm")</f>
        <v>Nov</v>
      </c>
      <c r="Q664">
        <f>YEAR(data[[#This Row],[order_date]])</f>
        <v>2024</v>
      </c>
      <c r="R664">
        <f>MONTH(data[[#This Row],[order_date]])</f>
        <v>11</v>
      </c>
      <c r="S664">
        <f>DAY(data[[#This Row],[order_date]])</f>
        <v>21</v>
      </c>
      <c r="T664">
        <f>data[[#This Row],[profit]]/data[[#This Row],[sales]]</f>
        <v>0.26477732793522268</v>
      </c>
    </row>
    <row r="665" spans="1:20" x14ac:dyDescent="0.35">
      <c r="A665" t="s">
        <v>864</v>
      </c>
      <c r="B665" s="1">
        <v>45622</v>
      </c>
      <c r="C665" t="s">
        <v>49</v>
      </c>
      <c r="D665" t="s">
        <v>50</v>
      </c>
      <c r="E665" t="s">
        <v>493</v>
      </c>
      <c r="F665" t="s">
        <v>23</v>
      </c>
      <c r="G665" t="s">
        <v>821</v>
      </c>
      <c r="H665" t="s">
        <v>822</v>
      </c>
      <c r="I665" t="s">
        <v>754</v>
      </c>
      <c r="J665">
        <v>1</v>
      </c>
      <c r="K665">
        <v>362000</v>
      </c>
      <c r="L665">
        <v>0</v>
      </c>
      <c r="M665">
        <v>240000</v>
      </c>
      <c r="N665">
        <f>(data[[#This Row],[unit_price]]*data[[#This Row],[quantity]]) * (1-data[[#This Row],[discount]])</f>
        <v>362000</v>
      </c>
      <c r="O665">
        <f>data[[#This Row],[sales]]-data[[#This Row],[cost]]</f>
        <v>122000</v>
      </c>
      <c r="P665" t="str">
        <f>TEXT(data[[#This Row],[order_date]],"mmm")</f>
        <v>Nov</v>
      </c>
      <c r="Q665">
        <f>YEAR(data[[#This Row],[order_date]])</f>
        <v>2024</v>
      </c>
      <c r="R665">
        <f>MONTH(data[[#This Row],[order_date]])</f>
        <v>11</v>
      </c>
      <c r="S665">
        <f>DAY(data[[#This Row],[order_date]])</f>
        <v>26</v>
      </c>
      <c r="T665">
        <f>data[[#This Row],[profit]]/data[[#This Row],[sales]]</f>
        <v>0.33701657458563539</v>
      </c>
    </row>
    <row r="666" spans="1:20" x14ac:dyDescent="0.35">
      <c r="A666" t="s">
        <v>865</v>
      </c>
      <c r="B666" s="1">
        <v>45646</v>
      </c>
      <c r="C666" t="s">
        <v>14</v>
      </c>
      <c r="D666" t="s">
        <v>15</v>
      </c>
      <c r="E666" t="s">
        <v>634</v>
      </c>
      <c r="F666" t="s">
        <v>17</v>
      </c>
      <c r="G666" t="s">
        <v>821</v>
      </c>
      <c r="H666" t="s">
        <v>822</v>
      </c>
      <c r="I666" t="s">
        <v>754</v>
      </c>
      <c r="J666">
        <v>3</v>
      </c>
      <c r="K666">
        <v>194000</v>
      </c>
      <c r="L666">
        <v>0</v>
      </c>
      <c r="M666">
        <v>130000</v>
      </c>
      <c r="N666">
        <f>(data[[#This Row],[unit_price]]*data[[#This Row],[quantity]]) * (1-data[[#This Row],[discount]])</f>
        <v>582000</v>
      </c>
      <c r="O666">
        <f>data[[#This Row],[sales]]-data[[#This Row],[cost]]</f>
        <v>452000</v>
      </c>
      <c r="P666" t="str">
        <f>TEXT(data[[#This Row],[order_date]],"mmm")</f>
        <v>Dec</v>
      </c>
      <c r="Q666">
        <f>YEAR(data[[#This Row],[order_date]])</f>
        <v>2024</v>
      </c>
      <c r="R666">
        <f>MONTH(data[[#This Row],[order_date]])</f>
        <v>12</v>
      </c>
      <c r="S666">
        <f>DAY(data[[#This Row],[order_date]])</f>
        <v>20</v>
      </c>
      <c r="T666">
        <f>data[[#This Row],[profit]]/data[[#This Row],[sales]]</f>
        <v>0.7766323024054983</v>
      </c>
    </row>
    <row r="667" spans="1:20" x14ac:dyDescent="0.35">
      <c r="A667" t="s">
        <v>866</v>
      </c>
      <c r="B667" s="1">
        <v>45662</v>
      </c>
      <c r="C667" t="s">
        <v>36</v>
      </c>
      <c r="D667" t="s">
        <v>37</v>
      </c>
      <c r="E667" t="s">
        <v>559</v>
      </c>
      <c r="F667" t="s">
        <v>23</v>
      </c>
      <c r="G667" t="s">
        <v>821</v>
      </c>
      <c r="H667" t="s">
        <v>822</v>
      </c>
      <c r="I667" t="s">
        <v>754</v>
      </c>
      <c r="J667">
        <v>1</v>
      </c>
      <c r="K667">
        <v>363000</v>
      </c>
      <c r="L667">
        <v>0.05</v>
      </c>
      <c r="M667">
        <v>254000</v>
      </c>
      <c r="N667">
        <f>(data[[#This Row],[unit_price]]*data[[#This Row],[quantity]]) * (1-data[[#This Row],[discount]])</f>
        <v>344850</v>
      </c>
      <c r="O667">
        <f>data[[#This Row],[sales]]-data[[#This Row],[cost]]</f>
        <v>90850</v>
      </c>
      <c r="P667" t="str">
        <f>TEXT(data[[#This Row],[order_date]],"mmm")</f>
        <v>Jan</v>
      </c>
      <c r="Q667">
        <f>YEAR(data[[#This Row],[order_date]])</f>
        <v>2025</v>
      </c>
      <c r="R667">
        <f>MONTH(data[[#This Row],[order_date]])</f>
        <v>1</v>
      </c>
      <c r="S667">
        <f>DAY(data[[#This Row],[order_date]])</f>
        <v>5</v>
      </c>
      <c r="T667">
        <f>data[[#This Row],[profit]]/data[[#This Row],[sales]]</f>
        <v>0.26344787588806728</v>
      </c>
    </row>
    <row r="668" spans="1:20" x14ac:dyDescent="0.35">
      <c r="A668" t="s">
        <v>867</v>
      </c>
      <c r="B668" s="1">
        <v>45698</v>
      </c>
      <c r="C668" t="s">
        <v>14</v>
      </c>
      <c r="D668" t="s">
        <v>15</v>
      </c>
      <c r="E668" t="s">
        <v>63</v>
      </c>
      <c r="F668" t="s">
        <v>28</v>
      </c>
      <c r="G668" t="s">
        <v>821</v>
      </c>
      <c r="H668" t="s">
        <v>822</v>
      </c>
      <c r="I668" t="s">
        <v>754</v>
      </c>
      <c r="J668">
        <v>1</v>
      </c>
      <c r="K668">
        <v>328000</v>
      </c>
      <c r="L668">
        <v>0.1</v>
      </c>
      <c r="M668">
        <v>217000</v>
      </c>
      <c r="N668">
        <f>(data[[#This Row],[unit_price]]*data[[#This Row],[quantity]]) * (1-data[[#This Row],[discount]])</f>
        <v>295200</v>
      </c>
      <c r="O668">
        <f>data[[#This Row],[sales]]-data[[#This Row],[cost]]</f>
        <v>78200</v>
      </c>
      <c r="P668" t="str">
        <f>TEXT(data[[#This Row],[order_date]],"mmm")</f>
        <v>Feb</v>
      </c>
      <c r="Q668">
        <f>YEAR(data[[#This Row],[order_date]])</f>
        <v>2025</v>
      </c>
      <c r="R668">
        <f>MONTH(data[[#This Row],[order_date]])</f>
        <v>2</v>
      </c>
      <c r="S668">
        <f>DAY(data[[#This Row],[order_date]])</f>
        <v>10</v>
      </c>
      <c r="T668">
        <f>data[[#This Row],[profit]]/data[[#This Row],[sales]]</f>
        <v>0.26490514905149054</v>
      </c>
    </row>
    <row r="669" spans="1:20" x14ac:dyDescent="0.35">
      <c r="A669" t="s">
        <v>868</v>
      </c>
      <c r="B669" s="1">
        <v>45700</v>
      </c>
      <c r="C669" t="s">
        <v>41</v>
      </c>
      <c r="D669" t="s">
        <v>42</v>
      </c>
      <c r="E669" t="s">
        <v>45</v>
      </c>
      <c r="F669" t="s">
        <v>17</v>
      </c>
      <c r="G669" t="s">
        <v>821</v>
      </c>
      <c r="H669" t="s">
        <v>822</v>
      </c>
      <c r="I669" t="s">
        <v>754</v>
      </c>
      <c r="J669">
        <v>1</v>
      </c>
      <c r="K669">
        <v>341000</v>
      </c>
      <c r="L669">
        <v>0</v>
      </c>
      <c r="M669">
        <v>231000</v>
      </c>
      <c r="N669">
        <f>(data[[#This Row],[unit_price]]*data[[#This Row],[quantity]]) * (1-data[[#This Row],[discount]])</f>
        <v>341000</v>
      </c>
      <c r="O669">
        <f>data[[#This Row],[sales]]-data[[#This Row],[cost]]</f>
        <v>110000</v>
      </c>
      <c r="P669" t="str">
        <f>TEXT(data[[#This Row],[order_date]],"mmm")</f>
        <v>Feb</v>
      </c>
      <c r="Q669">
        <f>YEAR(data[[#This Row],[order_date]])</f>
        <v>2025</v>
      </c>
      <c r="R669">
        <f>MONTH(data[[#This Row],[order_date]])</f>
        <v>2</v>
      </c>
      <c r="S669">
        <f>DAY(data[[#This Row],[order_date]])</f>
        <v>12</v>
      </c>
      <c r="T669">
        <f>data[[#This Row],[profit]]/data[[#This Row],[sales]]</f>
        <v>0.32258064516129031</v>
      </c>
    </row>
    <row r="670" spans="1:20" x14ac:dyDescent="0.35">
      <c r="A670" t="s">
        <v>869</v>
      </c>
      <c r="B670" s="1">
        <v>45716</v>
      </c>
      <c r="C670" t="s">
        <v>36</v>
      </c>
      <c r="D670" t="s">
        <v>37</v>
      </c>
      <c r="E670" t="s">
        <v>419</v>
      </c>
      <c r="F670" t="s">
        <v>17</v>
      </c>
      <c r="G670" t="s">
        <v>821</v>
      </c>
      <c r="H670" t="s">
        <v>822</v>
      </c>
      <c r="I670" t="s">
        <v>754</v>
      </c>
      <c r="J670">
        <v>1</v>
      </c>
      <c r="K670">
        <v>244000</v>
      </c>
      <c r="L670">
        <v>0</v>
      </c>
      <c r="M670">
        <v>164000</v>
      </c>
      <c r="N670">
        <f>(data[[#This Row],[unit_price]]*data[[#This Row],[quantity]]) * (1-data[[#This Row],[discount]])</f>
        <v>244000</v>
      </c>
      <c r="O670">
        <f>data[[#This Row],[sales]]-data[[#This Row],[cost]]</f>
        <v>80000</v>
      </c>
      <c r="P670" t="str">
        <f>TEXT(data[[#This Row],[order_date]],"mmm")</f>
        <v>Feb</v>
      </c>
      <c r="Q670">
        <f>YEAR(data[[#This Row],[order_date]])</f>
        <v>2025</v>
      </c>
      <c r="R670">
        <f>MONTH(data[[#This Row],[order_date]])</f>
        <v>2</v>
      </c>
      <c r="S670">
        <f>DAY(data[[#This Row],[order_date]])</f>
        <v>28</v>
      </c>
      <c r="T670">
        <f>data[[#This Row],[profit]]/data[[#This Row],[sales]]</f>
        <v>0.32786885245901637</v>
      </c>
    </row>
    <row r="671" spans="1:20" x14ac:dyDescent="0.35">
      <c r="A671" t="s">
        <v>870</v>
      </c>
      <c r="B671" s="1">
        <v>45759</v>
      </c>
      <c r="C671" t="s">
        <v>41</v>
      </c>
      <c r="D671" t="s">
        <v>42</v>
      </c>
      <c r="E671" t="s">
        <v>221</v>
      </c>
      <c r="F671" t="s">
        <v>17</v>
      </c>
      <c r="G671" t="s">
        <v>821</v>
      </c>
      <c r="H671" t="s">
        <v>822</v>
      </c>
      <c r="I671" t="s">
        <v>754</v>
      </c>
      <c r="J671">
        <v>1</v>
      </c>
      <c r="K671">
        <v>354000</v>
      </c>
      <c r="L671">
        <v>0</v>
      </c>
      <c r="M671">
        <v>239000</v>
      </c>
      <c r="N671">
        <f>(data[[#This Row],[unit_price]]*data[[#This Row],[quantity]]) * (1-data[[#This Row],[discount]])</f>
        <v>354000</v>
      </c>
      <c r="O671">
        <f>data[[#This Row],[sales]]-data[[#This Row],[cost]]</f>
        <v>115000</v>
      </c>
      <c r="P671" t="str">
        <f>TEXT(data[[#This Row],[order_date]],"mmm")</f>
        <v>Apr</v>
      </c>
      <c r="Q671">
        <f>YEAR(data[[#This Row],[order_date]])</f>
        <v>2025</v>
      </c>
      <c r="R671">
        <f>MONTH(data[[#This Row],[order_date]])</f>
        <v>4</v>
      </c>
      <c r="S671">
        <f>DAY(data[[#This Row],[order_date]])</f>
        <v>12</v>
      </c>
      <c r="T671">
        <f>data[[#This Row],[profit]]/data[[#This Row],[sales]]</f>
        <v>0.3248587570621469</v>
      </c>
    </row>
    <row r="672" spans="1:20" x14ac:dyDescent="0.35">
      <c r="A672" t="s">
        <v>871</v>
      </c>
      <c r="B672" s="1">
        <v>45760</v>
      </c>
      <c r="C672" t="s">
        <v>41</v>
      </c>
      <c r="D672" t="s">
        <v>42</v>
      </c>
      <c r="E672" t="s">
        <v>177</v>
      </c>
      <c r="F672" t="s">
        <v>23</v>
      </c>
      <c r="G672" t="s">
        <v>821</v>
      </c>
      <c r="H672" t="s">
        <v>822</v>
      </c>
      <c r="I672" t="s">
        <v>754</v>
      </c>
      <c r="J672">
        <v>1</v>
      </c>
      <c r="K672">
        <v>291590.90909090912</v>
      </c>
      <c r="L672">
        <v>0</v>
      </c>
      <c r="M672">
        <v>180000</v>
      </c>
      <c r="N672">
        <f>(data[[#This Row],[unit_price]]*data[[#This Row],[quantity]]) * (1-data[[#This Row],[discount]])</f>
        <v>291590.90909090912</v>
      </c>
      <c r="O672">
        <f>data[[#This Row],[sales]]-data[[#This Row],[cost]]</f>
        <v>111590.90909090912</v>
      </c>
      <c r="P672" t="str">
        <f>TEXT(data[[#This Row],[order_date]],"mmm")</f>
        <v>Apr</v>
      </c>
      <c r="Q672">
        <f>YEAR(data[[#This Row],[order_date]])</f>
        <v>2025</v>
      </c>
      <c r="R672">
        <f>MONTH(data[[#This Row],[order_date]])</f>
        <v>4</v>
      </c>
      <c r="S672">
        <f>DAY(data[[#This Row],[order_date]])</f>
        <v>13</v>
      </c>
      <c r="T672">
        <f>data[[#This Row],[profit]]/data[[#This Row],[sales]]</f>
        <v>0.3826968043647701</v>
      </c>
    </row>
    <row r="673" spans="1:20" x14ac:dyDescent="0.35">
      <c r="A673" t="s">
        <v>872</v>
      </c>
      <c r="B673" s="1">
        <v>45784</v>
      </c>
      <c r="C673" t="s">
        <v>14</v>
      </c>
      <c r="D673" t="s">
        <v>15</v>
      </c>
      <c r="E673" t="s">
        <v>260</v>
      </c>
      <c r="F673" t="s">
        <v>23</v>
      </c>
      <c r="G673" t="s">
        <v>821</v>
      </c>
      <c r="H673" t="s">
        <v>822</v>
      </c>
      <c r="I673" t="s">
        <v>754</v>
      </c>
      <c r="J673">
        <v>1</v>
      </c>
      <c r="K673">
        <v>355000</v>
      </c>
      <c r="L673">
        <v>0</v>
      </c>
      <c r="M673">
        <v>237000</v>
      </c>
      <c r="N673">
        <f>(data[[#This Row],[unit_price]]*data[[#This Row],[quantity]]) * (1-data[[#This Row],[discount]])</f>
        <v>355000</v>
      </c>
      <c r="O673">
        <f>data[[#This Row],[sales]]-data[[#This Row],[cost]]</f>
        <v>118000</v>
      </c>
      <c r="P673" t="str">
        <f>TEXT(data[[#This Row],[order_date]],"mmm")</f>
        <v>May</v>
      </c>
      <c r="Q673">
        <f>YEAR(data[[#This Row],[order_date]])</f>
        <v>2025</v>
      </c>
      <c r="R673">
        <f>MONTH(data[[#This Row],[order_date]])</f>
        <v>5</v>
      </c>
      <c r="S673">
        <f>DAY(data[[#This Row],[order_date]])</f>
        <v>7</v>
      </c>
      <c r="T673">
        <f>data[[#This Row],[profit]]/data[[#This Row],[sales]]</f>
        <v>0.3323943661971831</v>
      </c>
    </row>
    <row r="674" spans="1:20" x14ac:dyDescent="0.35">
      <c r="A674" t="s">
        <v>873</v>
      </c>
      <c r="B674" s="1">
        <v>45802</v>
      </c>
      <c r="C674" t="s">
        <v>41</v>
      </c>
      <c r="D674" t="s">
        <v>42</v>
      </c>
      <c r="E674" t="s">
        <v>89</v>
      </c>
      <c r="F674" t="s">
        <v>23</v>
      </c>
      <c r="G674" t="s">
        <v>821</v>
      </c>
      <c r="H674" t="s">
        <v>822</v>
      </c>
      <c r="I674" t="s">
        <v>754</v>
      </c>
      <c r="J674">
        <v>1</v>
      </c>
      <c r="K674">
        <v>338000</v>
      </c>
      <c r="L674">
        <v>0</v>
      </c>
      <c r="M674">
        <v>234000</v>
      </c>
      <c r="N674">
        <f>(data[[#This Row],[unit_price]]*data[[#This Row],[quantity]]) * (1-data[[#This Row],[discount]])</f>
        <v>338000</v>
      </c>
      <c r="O674">
        <f>data[[#This Row],[sales]]-data[[#This Row],[cost]]</f>
        <v>104000</v>
      </c>
      <c r="P674" t="str">
        <f>TEXT(data[[#This Row],[order_date]],"mmm")</f>
        <v>May</v>
      </c>
      <c r="Q674">
        <f>YEAR(data[[#This Row],[order_date]])</f>
        <v>2025</v>
      </c>
      <c r="R674">
        <f>MONTH(data[[#This Row],[order_date]])</f>
        <v>5</v>
      </c>
      <c r="S674">
        <f>DAY(data[[#This Row],[order_date]])</f>
        <v>25</v>
      </c>
      <c r="T674">
        <f>data[[#This Row],[profit]]/data[[#This Row],[sales]]</f>
        <v>0.30769230769230771</v>
      </c>
    </row>
    <row r="675" spans="1:20" x14ac:dyDescent="0.35">
      <c r="A675" t="s">
        <v>874</v>
      </c>
      <c r="B675" s="1">
        <v>45862</v>
      </c>
      <c r="C675" t="s">
        <v>14</v>
      </c>
      <c r="D675" t="s">
        <v>15</v>
      </c>
      <c r="E675" t="s">
        <v>134</v>
      </c>
      <c r="F675" t="s">
        <v>28</v>
      </c>
      <c r="G675" t="s">
        <v>821</v>
      </c>
      <c r="H675" t="s">
        <v>822</v>
      </c>
      <c r="I675" t="s">
        <v>754</v>
      </c>
      <c r="J675">
        <v>3</v>
      </c>
      <c r="K675">
        <v>350000</v>
      </c>
      <c r="L675">
        <v>0</v>
      </c>
      <c r="M675">
        <v>237000</v>
      </c>
      <c r="N675">
        <f>(data[[#This Row],[unit_price]]*data[[#This Row],[quantity]]) * (1-data[[#This Row],[discount]])</f>
        <v>1050000</v>
      </c>
      <c r="O675">
        <f>data[[#This Row],[sales]]-data[[#This Row],[cost]]</f>
        <v>813000</v>
      </c>
      <c r="P675" t="str">
        <f>TEXT(data[[#This Row],[order_date]],"mmm")</f>
        <v>Jul</v>
      </c>
      <c r="Q675">
        <f>YEAR(data[[#This Row],[order_date]])</f>
        <v>2025</v>
      </c>
      <c r="R675">
        <f>MONTH(data[[#This Row],[order_date]])</f>
        <v>7</v>
      </c>
      <c r="S675">
        <f>DAY(data[[#This Row],[order_date]])</f>
        <v>24</v>
      </c>
      <c r="T675">
        <f>data[[#This Row],[profit]]/data[[#This Row],[sales]]</f>
        <v>0.77428571428571424</v>
      </c>
    </row>
    <row r="676" spans="1:20" x14ac:dyDescent="0.35">
      <c r="A676" t="s">
        <v>875</v>
      </c>
      <c r="B676" s="1">
        <v>45890</v>
      </c>
      <c r="C676" t="s">
        <v>14</v>
      </c>
      <c r="D676" t="s">
        <v>15</v>
      </c>
      <c r="E676" t="s">
        <v>87</v>
      </c>
      <c r="F676" t="s">
        <v>17</v>
      </c>
      <c r="G676" t="s">
        <v>821</v>
      </c>
      <c r="H676" t="s">
        <v>822</v>
      </c>
      <c r="I676" t="s">
        <v>754</v>
      </c>
      <c r="J676">
        <v>1</v>
      </c>
      <c r="K676">
        <v>223000</v>
      </c>
      <c r="L676">
        <v>0</v>
      </c>
      <c r="M676">
        <v>156000</v>
      </c>
      <c r="N676">
        <f>(data[[#This Row],[unit_price]]*data[[#This Row],[quantity]]) * (1-data[[#This Row],[discount]])</f>
        <v>223000</v>
      </c>
      <c r="O676">
        <f>data[[#This Row],[sales]]-data[[#This Row],[cost]]</f>
        <v>67000</v>
      </c>
      <c r="P676" t="str">
        <f>TEXT(data[[#This Row],[order_date]],"mmm")</f>
        <v>Aug</v>
      </c>
      <c r="Q676">
        <f>YEAR(data[[#This Row],[order_date]])</f>
        <v>2025</v>
      </c>
      <c r="R676">
        <f>MONTH(data[[#This Row],[order_date]])</f>
        <v>8</v>
      </c>
      <c r="S676">
        <f>DAY(data[[#This Row],[order_date]])</f>
        <v>21</v>
      </c>
      <c r="T676">
        <f>data[[#This Row],[profit]]/data[[#This Row],[sales]]</f>
        <v>0.30044843049327352</v>
      </c>
    </row>
    <row r="677" spans="1:20" x14ac:dyDescent="0.35">
      <c r="A677" t="s">
        <v>876</v>
      </c>
      <c r="B677" s="1">
        <v>45891</v>
      </c>
      <c r="C677" t="s">
        <v>36</v>
      </c>
      <c r="D677" t="s">
        <v>37</v>
      </c>
      <c r="E677" t="s">
        <v>313</v>
      </c>
      <c r="F677" t="s">
        <v>17</v>
      </c>
      <c r="G677" t="s">
        <v>821</v>
      </c>
      <c r="H677" t="s">
        <v>822</v>
      </c>
      <c r="I677" t="s">
        <v>754</v>
      </c>
      <c r="J677">
        <v>1</v>
      </c>
      <c r="K677">
        <v>380000</v>
      </c>
      <c r="L677">
        <v>0</v>
      </c>
      <c r="M677">
        <v>252000</v>
      </c>
      <c r="N677">
        <f>(data[[#This Row],[unit_price]]*data[[#This Row],[quantity]]) * (1-data[[#This Row],[discount]])</f>
        <v>380000</v>
      </c>
      <c r="O677">
        <f>data[[#This Row],[sales]]-data[[#This Row],[cost]]</f>
        <v>128000</v>
      </c>
      <c r="P677" t="str">
        <f>TEXT(data[[#This Row],[order_date]],"mmm")</f>
        <v>Aug</v>
      </c>
      <c r="Q677">
        <f>YEAR(data[[#This Row],[order_date]])</f>
        <v>2025</v>
      </c>
      <c r="R677">
        <f>MONTH(data[[#This Row],[order_date]])</f>
        <v>8</v>
      </c>
      <c r="S677">
        <f>DAY(data[[#This Row],[order_date]])</f>
        <v>22</v>
      </c>
      <c r="T677">
        <f>data[[#This Row],[profit]]/data[[#This Row],[sales]]</f>
        <v>0.33684210526315789</v>
      </c>
    </row>
    <row r="678" spans="1:20" x14ac:dyDescent="0.35">
      <c r="A678" t="s">
        <v>877</v>
      </c>
      <c r="B678" s="1">
        <v>45920</v>
      </c>
      <c r="C678" t="s">
        <v>41</v>
      </c>
      <c r="D678" t="s">
        <v>42</v>
      </c>
      <c r="E678" t="s">
        <v>741</v>
      </c>
      <c r="F678" t="s">
        <v>23</v>
      </c>
      <c r="G678" t="s">
        <v>821</v>
      </c>
      <c r="H678" t="s">
        <v>822</v>
      </c>
      <c r="I678" t="s">
        <v>754</v>
      </c>
      <c r="J678">
        <v>1</v>
      </c>
      <c r="K678">
        <v>258000</v>
      </c>
      <c r="L678">
        <v>0</v>
      </c>
      <c r="M678">
        <v>176000</v>
      </c>
      <c r="N678">
        <f>(data[[#This Row],[unit_price]]*data[[#This Row],[quantity]]) * (1-data[[#This Row],[discount]])</f>
        <v>258000</v>
      </c>
      <c r="O678">
        <f>data[[#This Row],[sales]]-data[[#This Row],[cost]]</f>
        <v>82000</v>
      </c>
      <c r="P678" t="str">
        <f>TEXT(data[[#This Row],[order_date]],"mmm")</f>
        <v>Sep</v>
      </c>
      <c r="Q678">
        <f>YEAR(data[[#This Row],[order_date]])</f>
        <v>2025</v>
      </c>
      <c r="R678">
        <f>MONTH(data[[#This Row],[order_date]])</f>
        <v>9</v>
      </c>
      <c r="S678">
        <f>DAY(data[[#This Row],[order_date]])</f>
        <v>20</v>
      </c>
      <c r="T678">
        <f>data[[#This Row],[profit]]/data[[#This Row],[sales]]</f>
        <v>0.31782945736434109</v>
      </c>
    </row>
    <row r="679" spans="1:20" x14ac:dyDescent="0.35">
      <c r="A679" t="s">
        <v>878</v>
      </c>
      <c r="B679" s="1">
        <v>45987</v>
      </c>
      <c r="C679" t="s">
        <v>36</v>
      </c>
      <c r="D679" t="s">
        <v>37</v>
      </c>
      <c r="E679" t="s">
        <v>126</v>
      </c>
      <c r="F679" t="s">
        <v>17</v>
      </c>
      <c r="G679" t="s">
        <v>821</v>
      </c>
      <c r="H679" t="s">
        <v>822</v>
      </c>
      <c r="I679" t="s">
        <v>754</v>
      </c>
      <c r="J679">
        <v>1</v>
      </c>
      <c r="K679">
        <v>314000</v>
      </c>
      <c r="L679">
        <v>0</v>
      </c>
      <c r="M679">
        <v>211000</v>
      </c>
      <c r="N679">
        <f>(data[[#This Row],[unit_price]]*data[[#This Row],[quantity]]) * (1-data[[#This Row],[discount]])</f>
        <v>314000</v>
      </c>
      <c r="O679">
        <f>data[[#This Row],[sales]]-data[[#This Row],[cost]]</f>
        <v>103000</v>
      </c>
      <c r="P679" t="str">
        <f>TEXT(data[[#This Row],[order_date]],"mmm")</f>
        <v>Nov</v>
      </c>
      <c r="Q679">
        <f>YEAR(data[[#This Row],[order_date]])</f>
        <v>2025</v>
      </c>
      <c r="R679">
        <f>MONTH(data[[#This Row],[order_date]])</f>
        <v>11</v>
      </c>
      <c r="S679">
        <f>DAY(data[[#This Row],[order_date]])</f>
        <v>26</v>
      </c>
      <c r="T679">
        <f>data[[#This Row],[profit]]/data[[#This Row],[sales]]</f>
        <v>0.32802547770700635</v>
      </c>
    </row>
    <row r="680" spans="1:20" x14ac:dyDescent="0.35">
      <c r="A680" t="s">
        <v>879</v>
      </c>
      <c r="B680" s="1">
        <v>45995</v>
      </c>
      <c r="C680" t="s">
        <v>14</v>
      </c>
      <c r="D680" t="s">
        <v>15</v>
      </c>
      <c r="E680" t="s">
        <v>287</v>
      </c>
      <c r="F680" t="s">
        <v>28</v>
      </c>
      <c r="G680" t="s">
        <v>821</v>
      </c>
      <c r="H680" t="s">
        <v>822</v>
      </c>
      <c r="I680" t="s">
        <v>754</v>
      </c>
      <c r="J680">
        <v>1</v>
      </c>
      <c r="K680">
        <v>331000</v>
      </c>
      <c r="L680">
        <v>0</v>
      </c>
      <c r="M680">
        <v>226000</v>
      </c>
      <c r="N680">
        <f>(data[[#This Row],[unit_price]]*data[[#This Row],[quantity]]) * (1-data[[#This Row],[discount]])</f>
        <v>331000</v>
      </c>
      <c r="O680">
        <f>data[[#This Row],[sales]]-data[[#This Row],[cost]]</f>
        <v>105000</v>
      </c>
      <c r="P680" t="str">
        <f>TEXT(data[[#This Row],[order_date]],"mmm")</f>
        <v>Dec</v>
      </c>
      <c r="Q680">
        <f>YEAR(data[[#This Row],[order_date]])</f>
        <v>2025</v>
      </c>
      <c r="R680">
        <f>MONTH(data[[#This Row],[order_date]])</f>
        <v>12</v>
      </c>
      <c r="S680">
        <f>DAY(data[[#This Row],[order_date]])</f>
        <v>4</v>
      </c>
      <c r="T680">
        <f>data[[#This Row],[profit]]/data[[#This Row],[sales]]</f>
        <v>0.31722054380664655</v>
      </c>
    </row>
    <row r="681" spans="1:20" x14ac:dyDescent="0.35">
      <c r="A681" t="s">
        <v>880</v>
      </c>
      <c r="B681" s="1">
        <v>46005</v>
      </c>
      <c r="C681" t="s">
        <v>36</v>
      </c>
      <c r="D681" t="s">
        <v>37</v>
      </c>
      <c r="E681" t="s">
        <v>123</v>
      </c>
      <c r="F681" t="s">
        <v>28</v>
      </c>
      <c r="G681" t="s">
        <v>821</v>
      </c>
      <c r="H681" t="s">
        <v>822</v>
      </c>
      <c r="I681" t="s">
        <v>754</v>
      </c>
      <c r="J681">
        <v>1</v>
      </c>
      <c r="K681">
        <v>296000</v>
      </c>
      <c r="L681">
        <v>0</v>
      </c>
      <c r="M681">
        <v>204000</v>
      </c>
      <c r="N681">
        <f>(data[[#This Row],[unit_price]]*data[[#This Row],[quantity]]) * (1-data[[#This Row],[discount]])</f>
        <v>296000</v>
      </c>
      <c r="O681">
        <f>data[[#This Row],[sales]]-data[[#This Row],[cost]]</f>
        <v>92000</v>
      </c>
      <c r="P681" t="str">
        <f>TEXT(data[[#This Row],[order_date]],"mmm")</f>
        <v>Dec</v>
      </c>
      <c r="Q681">
        <f>YEAR(data[[#This Row],[order_date]])</f>
        <v>2025</v>
      </c>
      <c r="R681">
        <f>MONTH(data[[#This Row],[order_date]])</f>
        <v>12</v>
      </c>
      <c r="S681">
        <f>DAY(data[[#This Row],[order_date]])</f>
        <v>14</v>
      </c>
      <c r="T681">
        <f>data[[#This Row],[profit]]/data[[#This Row],[sales]]</f>
        <v>0.3108108108108108</v>
      </c>
    </row>
    <row r="682" spans="1:20" x14ac:dyDescent="0.35">
      <c r="A682" t="s">
        <v>881</v>
      </c>
      <c r="B682" s="1">
        <v>46007</v>
      </c>
      <c r="C682" t="s">
        <v>14</v>
      </c>
      <c r="D682" t="s">
        <v>15</v>
      </c>
      <c r="E682" t="s">
        <v>119</v>
      </c>
      <c r="F682" t="s">
        <v>23</v>
      </c>
      <c r="G682" t="s">
        <v>821</v>
      </c>
      <c r="H682" t="s">
        <v>822</v>
      </c>
      <c r="I682" t="s">
        <v>754</v>
      </c>
      <c r="J682">
        <v>5</v>
      </c>
      <c r="K682">
        <v>342000</v>
      </c>
      <c r="L682">
        <v>0</v>
      </c>
      <c r="M682">
        <v>235000</v>
      </c>
      <c r="N682">
        <f>(data[[#This Row],[unit_price]]*data[[#This Row],[quantity]]) * (1-data[[#This Row],[discount]])</f>
        <v>1710000</v>
      </c>
      <c r="O682">
        <f>data[[#This Row],[sales]]-data[[#This Row],[cost]]</f>
        <v>1475000</v>
      </c>
      <c r="P682" t="str">
        <f>TEXT(data[[#This Row],[order_date]],"mmm")</f>
        <v>Dec</v>
      </c>
      <c r="Q682">
        <f>YEAR(data[[#This Row],[order_date]])</f>
        <v>2025</v>
      </c>
      <c r="R682">
        <f>MONTH(data[[#This Row],[order_date]])</f>
        <v>12</v>
      </c>
      <c r="S682">
        <f>DAY(data[[#This Row],[order_date]])</f>
        <v>16</v>
      </c>
      <c r="T682">
        <f>data[[#This Row],[profit]]/data[[#This Row],[sales]]</f>
        <v>0.86257309941520466</v>
      </c>
    </row>
    <row r="683" spans="1:20" x14ac:dyDescent="0.35">
      <c r="A683" t="s">
        <v>882</v>
      </c>
      <c r="B683" s="1">
        <v>46056</v>
      </c>
      <c r="C683" t="s">
        <v>49</v>
      </c>
      <c r="D683" t="s">
        <v>50</v>
      </c>
      <c r="E683" t="s">
        <v>228</v>
      </c>
      <c r="F683" t="s">
        <v>17</v>
      </c>
      <c r="G683" t="s">
        <v>821</v>
      </c>
      <c r="H683" t="s">
        <v>822</v>
      </c>
      <c r="I683" t="s">
        <v>754</v>
      </c>
      <c r="J683">
        <v>1</v>
      </c>
      <c r="K683">
        <v>387000</v>
      </c>
      <c r="L683">
        <v>0</v>
      </c>
      <c r="M683">
        <v>262000</v>
      </c>
      <c r="N683">
        <f>(data[[#This Row],[unit_price]]*data[[#This Row],[quantity]]) * (1-data[[#This Row],[discount]])</f>
        <v>387000</v>
      </c>
      <c r="O683">
        <f>data[[#This Row],[sales]]-data[[#This Row],[cost]]</f>
        <v>125000</v>
      </c>
      <c r="P683" t="str">
        <f>TEXT(data[[#This Row],[order_date]],"mmm")</f>
        <v>Feb</v>
      </c>
      <c r="Q683">
        <f>YEAR(data[[#This Row],[order_date]])</f>
        <v>2026</v>
      </c>
      <c r="R683">
        <f>MONTH(data[[#This Row],[order_date]])</f>
        <v>2</v>
      </c>
      <c r="S683">
        <f>DAY(data[[#This Row],[order_date]])</f>
        <v>3</v>
      </c>
      <c r="T683">
        <f>data[[#This Row],[profit]]/data[[#This Row],[sales]]</f>
        <v>0.32299741602067183</v>
      </c>
    </row>
    <row r="684" spans="1:20" x14ac:dyDescent="0.35">
      <c r="A684" t="s">
        <v>883</v>
      </c>
      <c r="B684" s="1">
        <v>46064</v>
      </c>
      <c r="C684" t="s">
        <v>49</v>
      </c>
      <c r="D684" t="s">
        <v>50</v>
      </c>
      <c r="E684" t="s">
        <v>61</v>
      </c>
      <c r="F684" t="s">
        <v>23</v>
      </c>
      <c r="G684" t="s">
        <v>821</v>
      </c>
      <c r="H684" t="s">
        <v>822</v>
      </c>
      <c r="I684" t="s">
        <v>754</v>
      </c>
      <c r="J684">
        <v>1</v>
      </c>
      <c r="K684">
        <v>382000</v>
      </c>
      <c r="L684">
        <v>0.05</v>
      </c>
      <c r="M684">
        <v>253000</v>
      </c>
      <c r="N684">
        <f>(data[[#This Row],[unit_price]]*data[[#This Row],[quantity]]) * (1-data[[#This Row],[discount]])</f>
        <v>362900</v>
      </c>
      <c r="O684">
        <f>data[[#This Row],[sales]]-data[[#This Row],[cost]]</f>
        <v>109900</v>
      </c>
      <c r="P684" t="str">
        <f>TEXT(data[[#This Row],[order_date]],"mmm")</f>
        <v>Feb</v>
      </c>
      <c r="Q684">
        <f>YEAR(data[[#This Row],[order_date]])</f>
        <v>2026</v>
      </c>
      <c r="R684">
        <f>MONTH(data[[#This Row],[order_date]])</f>
        <v>2</v>
      </c>
      <c r="S684">
        <f>DAY(data[[#This Row],[order_date]])</f>
        <v>11</v>
      </c>
      <c r="T684">
        <f>data[[#This Row],[profit]]/data[[#This Row],[sales]]</f>
        <v>0.30283824745108845</v>
      </c>
    </row>
    <row r="685" spans="1:20" x14ac:dyDescent="0.35">
      <c r="A685" t="s">
        <v>884</v>
      </c>
      <c r="B685" s="1">
        <v>46071</v>
      </c>
      <c r="C685" t="s">
        <v>49</v>
      </c>
      <c r="D685" t="s">
        <v>50</v>
      </c>
      <c r="E685" t="s">
        <v>226</v>
      </c>
      <c r="F685" t="s">
        <v>17</v>
      </c>
      <c r="G685" t="s">
        <v>821</v>
      </c>
      <c r="H685" t="s">
        <v>822</v>
      </c>
      <c r="I685" t="s">
        <v>754</v>
      </c>
      <c r="J685">
        <v>1</v>
      </c>
      <c r="K685">
        <v>356000</v>
      </c>
      <c r="L685">
        <v>0</v>
      </c>
      <c r="M685">
        <v>246000</v>
      </c>
      <c r="N685">
        <f>(data[[#This Row],[unit_price]]*data[[#This Row],[quantity]]) * (1-data[[#This Row],[discount]])</f>
        <v>356000</v>
      </c>
      <c r="O685">
        <f>data[[#This Row],[sales]]-data[[#This Row],[cost]]</f>
        <v>110000</v>
      </c>
      <c r="P685" t="str">
        <f>TEXT(data[[#This Row],[order_date]],"mmm")</f>
        <v>Feb</v>
      </c>
      <c r="Q685">
        <f>YEAR(data[[#This Row],[order_date]])</f>
        <v>2026</v>
      </c>
      <c r="R685">
        <f>MONTH(data[[#This Row],[order_date]])</f>
        <v>2</v>
      </c>
      <c r="S685">
        <f>DAY(data[[#This Row],[order_date]])</f>
        <v>18</v>
      </c>
      <c r="T685">
        <f>data[[#This Row],[profit]]/data[[#This Row],[sales]]</f>
        <v>0.3089887640449438</v>
      </c>
    </row>
    <row r="686" spans="1:20" x14ac:dyDescent="0.35">
      <c r="A686" t="s">
        <v>885</v>
      </c>
      <c r="B686" s="1">
        <v>46117</v>
      </c>
      <c r="C686" t="s">
        <v>49</v>
      </c>
      <c r="D686" t="s">
        <v>50</v>
      </c>
      <c r="E686" t="s">
        <v>825</v>
      </c>
      <c r="F686" t="s">
        <v>23</v>
      </c>
      <c r="G686" t="s">
        <v>821</v>
      </c>
      <c r="H686" t="s">
        <v>822</v>
      </c>
      <c r="I686" t="s">
        <v>754</v>
      </c>
      <c r="J686">
        <v>1</v>
      </c>
      <c r="K686">
        <v>372000</v>
      </c>
      <c r="L686">
        <v>0</v>
      </c>
      <c r="M686">
        <v>254000</v>
      </c>
      <c r="N686">
        <f>(data[[#This Row],[unit_price]]*data[[#This Row],[quantity]]) * (1-data[[#This Row],[discount]])</f>
        <v>372000</v>
      </c>
      <c r="O686">
        <f>data[[#This Row],[sales]]-data[[#This Row],[cost]]</f>
        <v>118000</v>
      </c>
      <c r="P686" t="str">
        <f>TEXT(data[[#This Row],[order_date]],"mmm")</f>
        <v>Apr</v>
      </c>
      <c r="Q686">
        <f>YEAR(data[[#This Row],[order_date]])</f>
        <v>2026</v>
      </c>
      <c r="R686">
        <f>MONTH(data[[#This Row],[order_date]])</f>
        <v>4</v>
      </c>
      <c r="S686">
        <f>DAY(data[[#This Row],[order_date]])</f>
        <v>5</v>
      </c>
      <c r="T686">
        <f>data[[#This Row],[profit]]/data[[#This Row],[sales]]</f>
        <v>0.31720430107526881</v>
      </c>
    </row>
    <row r="687" spans="1:20" x14ac:dyDescent="0.35">
      <c r="A687" t="s">
        <v>886</v>
      </c>
      <c r="B687" s="1">
        <v>46123</v>
      </c>
      <c r="C687" t="s">
        <v>14</v>
      </c>
      <c r="D687" t="s">
        <v>15</v>
      </c>
      <c r="E687" t="s">
        <v>352</v>
      </c>
      <c r="F687" t="s">
        <v>23</v>
      </c>
      <c r="G687" t="s">
        <v>821</v>
      </c>
      <c r="H687" t="s">
        <v>822</v>
      </c>
      <c r="I687" t="s">
        <v>754</v>
      </c>
      <c r="J687">
        <v>1</v>
      </c>
      <c r="K687">
        <v>231000</v>
      </c>
      <c r="L687">
        <v>0.05</v>
      </c>
      <c r="M687">
        <v>156000</v>
      </c>
      <c r="N687">
        <f>(data[[#This Row],[unit_price]]*data[[#This Row],[quantity]]) * (1-data[[#This Row],[discount]])</f>
        <v>219450</v>
      </c>
      <c r="O687">
        <f>data[[#This Row],[sales]]-data[[#This Row],[cost]]</f>
        <v>63450</v>
      </c>
      <c r="P687" t="str">
        <f>TEXT(data[[#This Row],[order_date]],"mmm")</f>
        <v>Apr</v>
      </c>
      <c r="Q687">
        <f>YEAR(data[[#This Row],[order_date]])</f>
        <v>2026</v>
      </c>
      <c r="R687">
        <f>MONTH(data[[#This Row],[order_date]])</f>
        <v>4</v>
      </c>
      <c r="S687">
        <f>DAY(data[[#This Row],[order_date]])</f>
        <v>11</v>
      </c>
      <c r="T687">
        <f>data[[#This Row],[profit]]/data[[#This Row],[sales]]</f>
        <v>0.28913192071086807</v>
      </c>
    </row>
    <row r="688" spans="1:20" x14ac:dyDescent="0.35">
      <c r="A688" t="s">
        <v>887</v>
      </c>
      <c r="B688" s="1">
        <v>46132</v>
      </c>
      <c r="C688" t="s">
        <v>14</v>
      </c>
      <c r="D688" t="s">
        <v>15</v>
      </c>
      <c r="E688" t="s">
        <v>569</v>
      </c>
      <c r="F688" t="s">
        <v>23</v>
      </c>
      <c r="G688" t="s">
        <v>821</v>
      </c>
      <c r="H688" t="s">
        <v>822</v>
      </c>
      <c r="I688" t="s">
        <v>754</v>
      </c>
      <c r="J688">
        <v>2</v>
      </c>
      <c r="K688">
        <v>209000</v>
      </c>
      <c r="L688">
        <v>0.15</v>
      </c>
      <c r="M688">
        <v>146000</v>
      </c>
      <c r="N688">
        <f>(data[[#This Row],[unit_price]]*data[[#This Row],[quantity]]) * (1-data[[#This Row],[discount]])</f>
        <v>355300</v>
      </c>
      <c r="O688">
        <f>data[[#This Row],[sales]]-data[[#This Row],[cost]]</f>
        <v>209300</v>
      </c>
      <c r="P688" t="str">
        <f>TEXT(data[[#This Row],[order_date]],"mmm")</f>
        <v>Apr</v>
      </c>
      <c r="Q688">
        <f>YEAR(data[[#This Row],[order_date]])</f>
        <v>2026</v>
      </c>
      <c r="R688">
        <f>MONTH(data[[#This Row],[order_date]])</f>
        <v>4</v>
      </c>
      <c r="S688">
        <f>DAY(data[[#This Row],[order_date]])</f>
        <v>20</v>
      </c>
      <c r="T688">
        <f>data[[#This Row],[profit]]/data[[#This Row],[sales]]</f>
        <v>0.5890796509991556</v>
      </c>
    </row>
    <row r="689" spans="1:20" x14ac:dyDescent="0.35">
      <c r="A689" t="s">
        <v>888</v>
      </c>
      <c r="B689" s="1">
        <v>46147</v>
      </c>
      <c r="C689" t="s">
        <v>14</v>
      </c>
      <c r="D689" t="s">
        <v>15</v>
      </c>
      <c r="E689" t="s">
        <v>419</v>
      </c>
      <c r="F689" t="s">
        <v>17</v>
      </c>
      <c r="G689" t="s">
        <v>821</v>
      </c>
      <c r="H689" t="s">
        <v>822</v>
      </c>
      <c r="I689" t="s">
        <v>754</v>
      </c>
      <c r="J689">
        <v>1</v>
      </c>
      <c r="K689">
        <v>350000</v>
      </c>
      <c r="L689">
        <v>0.05</v>
      </c>
      <c r="M689">
        <v>241000</v>
      </c>
      <c r="N689">
        <f>(data[[#This Row],[unit_price]]*data[[#This Row],[quantity]]) * (1-data[[#This Row],[discount]])</f>
        <v>332500</v>
      </c>
      <c r="O689">
        <f>data[[#This Row],[sales]]-data[[#This Row],[cost]]</f>
        <v>91500</v>
      </c>
      <c r="P689" t="str">
        <f>TEXT(data[[#This Row],[order_date]],"mmm")</f>
        <v>May</v>
      </c>
      <c r="Q689">
        <f>YEAR(data[[#This Row],[order_date]])</f>
        <v>2026</v>
      </c>
      <c r="R689">
        <f>MONTH(data[[#This Row],[order_date]])</f>
        <v>5</v>
      </c>
      <c r="S689">
        <f>DAY(data[[#This Row],[order_date]])</f>
        <v>5</v>
      </c>
      <c r="T689">
        <f>data[[#This Row],[profit]]/data[[#This Row],[sales]]</f>
        <v>0.27518796992481204</v>
      </c>
    </row>
    <row r="690" spans="1:20" x14ac:dyDescent="0.35">
      <c r="A690" t="s">
        <v>889</v>
      </c>
      <c r="B690" s="1">
        <v>46171</v>
      </c>
      <c r="C690" t="s">
        <v>14</v>
      </c>
      <c r="D690" t="s">
        <v>15</v>
      </c>
      <c r="E690" t="s">
        <v>613</v>
      </c>
      <c r="F690" t="s">
        <v>28</v>
      </c>
      <c r="G690" t="s">
        <v>821</v>
      </c>
      <c r="H690" t="s">
        <v>822</v>
      </c>
      <c r="I690" t="s">
        <v>754</v>
      </c>
      <c r="J690">
        <v>1</v>
      </c>
      <c r="K690">
        <v>397000</v>
      </c>
      <c r="L690">
        <v>0</v>
      </c>
      <c r="M690">
        <v>274000</v>
      </c>
      <c r="N690">
        <f>(data[[#This Row],[unit_price]]*data[[#This Row],[quantity]]) * (1-data[[#This Row],[discount]])</f>
        <v>397000</v>
      </c>
      <c r="O690">
        <f>data[[#This Row],[sales]]-data[[#This Row],[cost]]</f>
        <v>123000</v>
      </c>
      <c r="P690" t="str">
        <f>TEXT(data[[#This Row],[order_date]],"mmm")</f>
        <v>May</v>
      </c>
      <c r="Q690">
        <f>YEAR(data[[#This Row],[order_date]])</f>
        <v>2026</v>
      </c>
      <c r="R690">
        <f>MONTH(data[[#This Row],[order_date]])</f>
        <v>5</v>
      </c>
      <c r="S690">
        <f>DAY(data[[#This Row],[order_date]])</f>
        <v>29</v>
      </c>
      <c r="T690">
        <f>data[[#This Row],[profit]]/data[[#This Row],[sales]]</f>
        <v>0.30982367758186397</v>
      </c>
    </row>
    <row r="691" spans="1:20" x14ac:dyDescent="0.35">
      <c r="A691" t="s">
        <v>890</v>
      </c>
      <c r="B691" s="1">
        <v>46196</v>
      </c>
      <c r="C691" t="s">
        <v>49</v>
      </c>
      <c r="D691" t="s">
        <v>50</v>
      </c>
      <c r="E691" t="s">
        <v>212</v>
      </c>
      <c r="F691" t="s">
        <v>28</v>
      </c>
      <c r="G691" t="s">
        <v>821</v>
      </c>
      <c r="H691" t="s">
        <v>822</v>
      </c>
      <c r="I691" t="s">
        <v>754</v>
      </c>
      <c r="J691">
        <v>1</v>
      </c>
      <c r="K691">
        <v>210000</v>
      </c>
      <c r="L691">
        <v>0.1</v>
      </c>
      <c r="M691">
        <v>144000</v>
      </c>
      <c r="N691">
        <f>(data[[#This Row],[unit_price]]*data[[#This Row],[quantity]]) * (1-data[[#This Row],[discount]])</f>
        <v>189000</v>
      </c>
      <c r="O691">
        <f>data[[#This Row],[sales]]-data[[#This Row],[cost]]</f>
        <v>45000</v>
      </c>
      <c r="P691" t="str">
        <f>TEXT(data[[#This Row],[order_date]],"mmm")</f>
        <v>Jun</v>
      </c>
      <c r="Q691">
        <f>YEAR(data[[#This Row],[order_date]])</f>
        <v>2026</v>
      </c>
      <c r="R691">
        <f>MONTH(data[[#This Row],[order_date]])</f>
        <v>6</v>
      </c>
      <c r="S691">
        <f>DAY(data[[#This Row],[order_date]])</f>
        <v>23</v>
      </c>
      <c r="T691">
        <f>data[[#This Row],[profit]]/data[[#This Row],[sales]]</f>
        <v>0.23809523809523808</v>
      </c>
    </row>
    <row r="692" spans="1:20" x14ac:dyDescent="0.35">
      <c r="A692" t="s">
        <v>891</v>
      </c>
      <c r="B692" s="1">
        <v>44937</v>
      </c>
      <c r="C692" t="s">
        <v>14</v>
      </c>
      <c r="D692" t="s">
        <v>15</v>
      </c>
      <c r="E692" t="s">
        <v>47</v>
      </c>
      <c r="F692" t="s">
        <v>23</v>
      </c>
      <c r="G692" t="s">
        <v>892</v>
      </c>
      <c r="H692" t="s">
        <v>893</v>
      </c>
      <c r="I692" t="s">
        <v>363</v>
      </c>
      <c r="J692">
        <v>1</v>
      </c>
      <c r="K692">
        <v>144000</v>
      </c>
      <c r="L692">
        <v>0</v>
      </c>
      <c r="M692">
        <v>91000</v>
      </c>
      <c r="N692">
        <f>(data[[#This Row],[unit_price]]*data[[#This Row],[quantity]]) * (1-data[[#This Row],[discount]])</f>
        <v>144000</v>
      </c>
      <c r="O692">
        <f>data[[#This Row],[sales]]-data[[#This Row],[cost]]</f>
        <v>53000</v>
      </c>
      <c r="P692" t="str">
        <f>TEXT(data[[#This Row],[order_date]],"mmm")</f>
        <v>Jan</v>
      </c>
      <c r="Q692">
        <f>YEAR(data[[#This Row],[order_date]])</f>
        <v>2023</v>
      </c>
      <c r="R692">
        <f>MONTH(data[[#This Row],[order_date]])</f>
        <v>1</v>
      </c>
      <c r="S692">
        <f>DAY(data[[#This Row],[order_date]])</f>
        <v>11</v>
      </c>
      <c r="T692">
        <f>data[[#This Row],[profit]]/data[[#This Row],[sales]]</f>
        <v>0.36805555555555558</v>
      </c>
    </row>
    <row r="693" spans="1:20" x14ac:dyDescent="0.35">
      <c r="A693" t="s">
        <v>894</v>
      </c>
      <c r="B693" s="1">
        <v>45007</v>
      </c>
      <c r="C693" t="s">
        <v>25</v>
      </c>
      <c r="D693" t="s">
        <v>26</v>
      </c>
      <c r="E693" t="s">
        <v>270</v>
      </c>
      <c r="F693" t="s">
        <v>23</v>
      </c>
      <c r="G693" t="s">
        <v>892</v>
      </c>
      <c r="H693" t="s">
        <v>893</v>
      </c>
      <c r="I693" t="s">
        <v>363</v>
      </c>
      <c r="J693">
        <v>1</v>
      </c>
      <c r="K693">
        <v>99000</v>
      </c>
      <c r="L693">
        <v>0</v>
      </c>
      <c r="M693">
        <v>66000</v>
      </c>
      <c r="N693">
        <f>(data[[#This Row],[unit_price]]*data[[#This Row],[quantity]]) * (1-data[[#This Row],[discount]])</f>
        <v>99000</v>
      </c>
      <c r="O693">
        <f>data[[#This Row],[sales]]-data[[#This Row],[cost]]</f>
        <v>33000</v>
      </c>
      <c r="P693" t="str">
        <f>TEXT(data[[#This Row],[order_date]],"mmm")</f>
        <v>Mar</v>
      </c>
      <c r="Q693">
        <f>YEAR(data[[#This Row],[order_date]])</f>
        <v>2023</v>
      </c>
      <c r="R693">
        <f>MONTH(data[[#This Row],[order_date]])</f>
        <v>3</v>
      </c>
      <c r="S693">
        <f>DAY(data[[#This Row],[order_date]])</f>
        <v>22</v>
      </c>
      <c r="T693">
        <f>data[[#This Row],[profit]]/data[[#This Row],[sales]]</f>
        <v>0.33333333333333331</v>
      </c>
    </row>
    <row r="694" spans="1:20" x14ac:dyDescent="0.35">
      <c r="A694" t="s">
        <v>895</v>
      </c>
      <c r="B694" s="1">
        <v>45072</v>
      </c>
      <c r="C694" t="s">
        <v>49</v>
      </c>
      <c r="D694" t="s">
        <v>50</v>
      </c>
      <c r="E694" t="s">
        <v>522</v>
      </c>
      <c r="F694" t="s">
        <v>23</v>
      </c>
      <c r="G694" t="s">
        <v>892</v>
      </c>
      <c r="H694" t="s">
        <v>893</v>
      </c>
      <c r="I694" t="s">
        <v>363</v>
      </c>
      <c r="J694">
        <v>2</v>
      </c>
      <c r="K694">
        <v>82000</v>
      </c>
      <c r="L694">
        <v>0.05</v>
      </c>
      <c r="M694">
        <v>54000</v>
      </c>
      <c r="N694">
        <f>(data[[#This Row],[unit_price]]*data[[#This Row],[quantity]]) * (1-data[[#This Row],[discount]])</f>
        <v>155800</v>
      </c>
      <c r="O694">
        <f>data[[#This Row],[sales]]-data[[#This Row],[cost]]</f>
        <v>101800</v>
      </c>
      <c r="P694" t="str">
        <f>TEXT(data[[#This Row],[order_date]],"mmm")</f>
        <v>May</v>
      </c>
      <c r="Q694">
        <f>YEAR(data[[#This Row],[order_date]])</f>
        <v>2023</v>
      </c>
      <c r="R694">
        <f>MONTH(data[[#This Row],[order_date]])</f>
        <v>5</v>
      </c>
      <c r="S694">
        <f>DAY(data[[#This Row],[order_date]])</f>
        <v>26</v>
      </c>
      <c r="T694">
        <f>data[[#This Row],[profit]]/data[[#This Row],[sales]]</f>
        <v>0.65340179717586655</v>
      </c>
    </row>
    <row r="695" spans="1:20" x14ac:dyDescent="0.35">
      <c r="A695" t="s">
        <v>896</v>
      </c>
      <c r="B695" s="1">
        <v>45082</v>
      </c>
      <c r="C695" t="s">
        <v>36</v>
      </c>
      <c r="D695" t="s">
        <v>37</v>
      </c>
      <c r="E695" t="s">
        <v>212</v>
      </c>
      <c r="F695" t="s">
        <v>28</v>
      </c>
      <c r="G695" t="s">
        <v>892</v>
      </c>
      <c r="H695" t="s">
        <v>893</v>
      </c>
      <c r="I695" t="s">
        <v>363</v>
      </c>
      <c r="J695">
        <v>1</v>
      </c>
      <c r="K695">
        <v>81000</v>
      </c>
      <c r="L695">
        <v>0</v>
      </c>
      <c r="M695">
        <v>53000</v>
      </c>
      <c r="N695">
        <f>(data[[#This Row],[unit_price]]*data[[#This Row],[quantity]]) * (1-data[[#This Row],[discount]])</f>
        <v>81000</v>
      </c>
      <c r="O695">
        <f>data[[#This Row],[sales]]-data[[#This Row],[cost]]</f>
        <v>28000</v>
      </c>
      <c r="P695" t="str">
        <f>TEXT(data[[#This Row],[order_date]],"mmm")</f>
        <v>Jun</v>
      </c>
      <c r="Q695">
        <f>YEAR(data[[#This Row],[order_date]])</f>
        <v>2023</v>
      </c>
      <c r="R695">
        <f>MONTH(data[[#This Row],[order_date]])</f>
        <v>6</v>
      </c>
      <c r="S695">
        <f>DAY(data[[#This Row],[order_date]])</f>
        <v>5</v>
      </c>
      <c r="T695">
        <f>data[[#This Row],[profit]]/data[[#This Row],[sales]]</f>
        <v>0.34567901234567899</v>
      </c>
    </row>
    <row r="696" spans="1:20" x14ac:dyDescent="0.35">
      <c r="A696" t="s">
        <v>897</v>
      </c>
      <c r="B696" s="1">
        <v>45131</v>
      </c>
      <c r="C696" t="s">
        <v>14</v>
      </c>
      <c r="D696" t="s">
        <v>15</v>
      </c>
      <c r="E696" t="s">
        <v>89</v>
      </c>
      <c r="F696" t="s">
        <v>23</v>
      </c>
      <c r="G696" t="s">
        <v>892</v>
      </c>
      <c r="H696" t="s">
        <v>893</v>
      </c>
      <c r="I696" t="s">
        <v>363</v>
      </c>
      <c r="J696">
        <v>2</v>
      </c>
      <c r="K696">
        <v>128000</v>
      </c>
      <c r="L696">
        <v>0</v>
      </c>
      <c r="M696">
        <v>85000</v>
      </c>
      <c r="N696">
        <f>(data[[#This Row],[unit_price]]*data[[#This Row],[quantity]]) * (1-data[[#This Row],[discount]])</f>
        <v>256000</v>
      </c>
      <c r="O696">
        <f>data[[#This Row],[sales]]-data[[#This Row],[cost]]</f>
        <v>171000</v>
      </c>
      <c r="P696" t="str">
        <f>TEXT(data[[#This Row],[order_date]],"mmm")</f>
        <v>Jul</v>
      </c>
      <c r="Q696">
        <f>YEAR(data[[#This Row],[order_date]])</f>
        <v>2023</v>
      </c>
      <c r="R696">
        <f>MONTH(data[[#This Row],[order_date]])</f>
        <v>7</v>
      </c>
      <c r="S696">
        <f>DAY(data[[#This Row],[order_date]])</f>
        <v>24</v>
      </c>
      <c r="T696">
        <f>data[[#This Row],[profit]]/data[[#This Row],[sales]]</f>
        <v>0.66796875</v>
      </c>
    </row>
    <row r="697" spans="1:20" x14ac:dyDescent="0.35">
      <c r="A697" t="s">
        <v>898</v>
      </c>
      <c r="B697" s="1">
        <v>45136</v>
      </c>
      <c r="C697" t="s">
        <v>36</v>
      </c>
      <c r="D697" t="s">
        <v>37</v>
      </c>
      <c r="E697" t="s">
        <v>53</v>
      </c>
      <c r="F697" t="s">
        <v>17</v>
      </c>
      <c r="G697" t="s">
        <v>892</v>
      </c>
      <c r="H697" t="s">
        <v>893</v>
      </c>
      <c r="I697" t="s">
        <v>363</v>
      </c>
      <c r="J697">
        <v>1</v>
      </c>
      <c r="K697">
        <v>167000</v>
      </c>
      <c r="L697">
        <v>0</v>
      </c>
      <c r="M697">
        <v>111000</v>
      </c>
      <c r="N697">
        <f>(data[[#This Row],[unit_price]]*data[[#This Row],[quantity]]) * (1-data[[#This Row],[discount]])</f>
        <v>167000</v>
      </c>
      <c r="O697">
        <f>data[[#This Row],[sales]]-data[[#This Row],[cost]]</f>
        <v>56000</v>
      </c>
      <c r="P697" t="str">
        <f>TEXT(data[[#This Row],[order_date]],"mmm")</f>
        <v>Jul</v>
      </c>
      <c r="Q697">
        <f>YEAR(data[[#This Row],[order_date]])</f>
        <v>2023</v>
      </c>
      <c r="R697">
        <f>MONTH(data[[#This Row],[order_date]])</f>
        <v>7</v>
      </c>
      <c r="S697">
        <f>DAY(data[[#This Row],[order_date]])</f>
        <v>29</v>
      </c>
      <c r="T697">
        <f>data[[#This Row],[profit]]/data[[#This Row],[sales]]</f>
        <v>0.33532934131736525</v>
      </c>
    </row>
    <row r="698" spans="1:20" x14ac:dyDescent="0.35">
      <c r="A698" t="s">
        <v>899</v>
      </c>
      <c r="B698" s="1">
        <v>45148</v>
      </c>
      <c r="C698" t="s">
        <v>49</v>
      </c>
      <c r="D698" t="s">
        <v>50</v>
      </c>
      <c r="E698" t="s">
        <v>55</v>
      </c>
      <c r="F698" t="s">
        <v>17</v>
      </c>
      <c r="G698" t="s">
        <v>892</v>
      </c>
      <c r="H698" t="s">
        <v>893</v>
      </c>
      <c r="I698" t="s">
        <v>363</v>
      </c>
      <c r="J698">
        <v>1</v>
      </c>
      <c r="K698">
        <v>140000</v>
      </c>
      <c r="L698">
        <v>0</v>
      </c>
      <c r="M698">
        <v>89000</v>
      </c>
      <c r="N698">
        <f>(data[[#This Row],[unit_price]]*data[[#This Row],[quantity]]) * (1-data[[#This Row],[discount]])</f>
        <v>140000</v>
      </c>
      <c r="O698">
        <f>data[[#This Row],[sales]]-data[[#This Row],[cost]]</f>
        <v>51000</v>
      </c>
      <c r="P698" t="str">
        <f>TEXT(data[[#This Row],[order_date]],"mmm")</f>
        <v>Aug</v>
      </c>
      <c r="Q698">
        <f>YEAR(data[[#This Row],[order_date]])</f>
        <v>2023</v>
      </c>
      <c r="R698">
        <f>MONTH(data[[#This Row],[order_date]])</f>
        <v>8</v>
      </c>
      <c r="S698">
        <f>DAY(data[[#This Row],[order_date]])</f>
        <v>10</v>
      </c>
      <c r="T698">
        <f>data[[#This Row],[profit]]/data[[#This Row],[sales]]</f>
        <v>0.36428571428571427</v>
      </c>
    </row>
    <row r="699" spans="1:20" x14ac:dyDescent="0.35">
      <c r="A699" t="s">
        <v>900</v>
      </c>
      <c r="B699" s="1">
        <v>45158</v>
      </c>
      <c r="C699" t="s">
        <v>14</v>
      </c>
      <c r="D699" t="s">
        <v>15</v>
      </c>
      <c r="E699" t="s">
        <v>93</v>
      </c>
      <c r="F699" t="s">
        <v>23</v>
      </c>
      <c r="G699" t="s">
        <v>892</v>
      </c>
      <c r="H699" t="s">
        <v>893</v>
      </c>
      <c r="I699" t="s">
        <v>363</v>
      </c>
      <c r="J699">
        <v>1</v>
      </c>
      <c r="K699">
        <v>131000</v>
      </c>
      <c r="L699">
        <v>0</v>
      </c>
      <c r="M699">
        <v>86000</v>
      </c>
      <c r="N699">
        <f>(data[[#This Row],[unit_price]]*data[[#This Row],[quantity]]) * (1-data[[#This Row],[discount]])</f>
        <v>131000</v>
      </c>
      <c r="O699">
        <f>data[[#This Row],[sales]]-data[[#This Row],[cost]]</f>
        <v>45000</v>
      </c>
      <c r="P699" t="str">
        <f>TEXT(data[[#This Row],[order_date]],"mmm")</f>
        <v>Aug</v>
      </c>
      <c r="Q699">
        <f>YEAR(data[[#This Row],[order_date]])</f>
        <v>2023</v>
      </c>
      <c r="R699">
        <f>MONTH(data[[#This Row],[order_date]])</f>
        <v>8</v>
      </c>
      <c r="S699">
        <f>DAY(data[[#This Row],[order_date]])</f>
        <v>20</v>
      </c>
      <c r="T699">
        <f>data[[#This Row],[profit]]/data[[#This Row],[sales]]</f>
        <v>0.34351145038167941</v>
      </c>
    </row>
    <row r="700" spans="1:20" x14ac:dyDescent="0.35">
      <c r="A700" t="s">
        <v>901</v>
      </c>
      <c r="B700" s="1">
        <v>45182</v>
      </c>
      <c r="C700" t="s">
        <v>14</v>
      </c>
      <c r="D700" t="s">
        <v>15</v>
      </c>
      <c r="E700" t="s">
        <v>218</v>
      </c>
      <c r="F700" t="s">
        <v>23</v>
      </c>
      <c r="G700" t="s">
        <v>892</v>
      </c>
      <c r="H700" t="s">
        <v>893</v>
      </c>
      <c r="I700" t="s">
        <v>363</v>
      </c>
      <c r="J700">
        <v>1</v>
      </c>
      <c r="K700">
        <v>161000</v>
      </c>
      <c r="L700">
        <v>0</v>
      </c>
      <c r="M700">
        <v>102000</v>
      </c>
      <c r="N700">
        <f>(data[[#This Row],[unit_price]]*data[[#This Row],[quantity]]) * (1-data[[#This Row],[discount]])</f>
        <v>161000</v>
      </c>
      <c r="O700">
        <f>data[[#This Row],[sales]]-data[[#This Row],[cost]]</f>
        <v>59000</v>
      </c>
      <c r="P700" t="str">
        <f>TEXT(data[[#This Row],[order_date]],"mmm")</f>
        <v>Sep</v>
      </c>
      <c r="Q700">
        <f>YEAR(data[[#This Row],[order_date]])</f>
        <v>2023</v>
      </c>
      <c r="R700">
        <f>MONTH(data[[#This Row],[order_date]])</f>
        <v>9</v>
      </c>
      <c r="S700">
        <f>DAY(data[[#This Row],[order_date]])</f>
        <v>13</v>
      </c>
      <c r="T700">
        <f>data[[#This Row],[profit]]/data[[#This Row],[sales]]</f>
        <v>0.36645962732919257</v>
      </c>
    </row>
    <row r="701" spans="1:20" x14ac:dyDescent="0.35">
      <c r="A701" t="s">
        <v>902</v>
      </c>
      <c r="B701" s="1">
        <v>45183</v>
      </c>
      <c r="C701" t="s">
        <v>41</v>
      </c>
      <c r="D701" t="s">
        <v>42</v>
      </c>
      <c r="E701" t="s">
        <v>130</v>
      </c>
      <c r="F701" t="s">
        <v>28</v>
      </c>
      <c r="G701" t="s">
        <v>892</v>
      </c>
      <c r="H701" t="s">
        <v>893</v>
      </c>
      <c r="I701" t="s">
        <v>363</v>
      </c>
      <c r="J701">
        <v>1</v>
      </c>
      <c r="K701">
        <v>132000</v>
      </c>
      <c r="L701">
        <v>0</v>
      </c>
      <c r="M701">
        <v>86000</v>
      </c>
      <c r="N701">
        <f>(data[[#This Row],[unit_price]]*data[[#This Row],[quantity]]) * (1-data[[#This Row],[discount]])</f>
        <v>132000</v>
      </c>
      <c r="O701">
        <f>data[[#This Row],[sales]]-data[[#This Row],[cost]]</f>
        <v>46000</v>
      </c>
      <c r="P701" t="str">
        <f>TEXT(data[[#This Row],[order_date]],"mmm")</f>
        <v>Sep</v>
      </c>
      <c r="Q701">
        <f>YEAR(data[[#This Row],[order_date]])</f>
        <v>2023</v>
      </c>
      <c r="R701">
        <f>MONTH(data[[#This Row],[order_date]])</f>
        <v>9</v>
      </c>
      <c r="S701">
        <f>DAY(data[[#This Row],[order_date]])</f>
        <v>14</v>
      </c>
      <c r="T701">
        <f>data[[#This Row],[profit]]/data[[#This Row],[sales]]</f>
        <v>0.34848484848484851</v>
      </c>
    </row>
    <row r="702" spans="1:20" x14ac:dyDescent="0.35">
      <c r="A702" t="s">
        <v>903</v>
      </c>
      <c r="B702" s="1">
        <v>45190</v>
      </c>
      <c r="C702" t="s">
        <v>36</v>
      </c>
      <c r="D702" t="s">
        <v>37</v>
      </c>
      <c r="E702" t="s">
        <v>311</v>
      </c>
      <c r="F702" t="s">
        <v>17</v>
      </c>
      <c r="G702" t="s">
        <v>892</v>
      </c>
      <c r="H702" t="s">
        <v>893</v>
      </c>
      <c r="I702" t="s">
        <v>363</v>
      </c>
      <c r="J702">
        <v>1</v>
      </c>
      <c r="K702">
        <v>164000</v>
      </c>
      <c r="L702">
        <v>0</v>
      </c>
      <c r="M702">
        <v>105000</v>
      </c>
      <c r="N702">
        <f>(data[[#This Row],[unit_price]]*data[[#This Row],[quantity]]) * (1-data[[#This Row],[discount]])</f>
        <v>164000</v>
      </c>
      <c r="O702">
        <f>data[[#This Row],[sales]]-data[[#This Row],[cost]]</f>
        <v>59000</v>
      </c>
      <c r="P702" t="str">
        <f>TEXT(data[[#This Row],[order_date]],"mmm")</f>
        <v>Sep</v>
      </c>
      <c r="Q702">
        <f>YEAR(data[[#This Row],[order_date]])</f>
        <v>2023</v>
      </c>
      <c r="R702">
        <f>MONTH(data[[#This Row],[order_date]])</f>
        <v>9</v>
      </c>
      <c r="S702">
        <f>DAY(data[[#This Row],[order_date]])</f>
        <v>21</v>
      </c>
      <c r="T702">
        <f>data[[#This Row],[profit]]/data[[#This Row],[sales]]</f>
        <v>0.3597560975609756</v>
      </c>
    </row>
    <row r="703" spans="1:20" x14ac:dyDescent="0.35">
      <c r="A703" t="s">
        <v>904</v>
      </c>
      <c r="B703" s="1">
        <v>45199</v>
      </c>
      <c r="C703" t="s">
        <v>14</v>
      </c>
      <c r="D703" t="s">
        <v>15</v>
      </c>
      <c r="E703" t="s">
        <v>53</v>
      </c>
      <c r="F703" t="s">
        <v>17</v>
      </c>
      <c r="G703" t="s">
        <v>892</v>
      </c>
      <c r="H703" t="s">
        <v>893</v>
      </c>
      <c r="I703" t="s">
        <v>363</v>
      </c>
      <c r="J703">
        <v>1</v>
      </c>
      <c r="K703">
        <v>86000</v>
      </c>
      <c r="L703">
        <v>0</v>
      </c>
      <c r="M703">
        <v>55000</v>
      </c>
      <c r="N703">
        <f>(data[[#This Row],[unit_price]]*data[[#This Row],[quantity]]) * (1-data[[#This Row],[discount]])</f>
        <v>86000</v>
      </c>
      <c r="O703">
        <f>data[[#This Row],[sales]]-data[[#This Row],[cost]]</f>
        <v>31000</v>
      </c>
      <c r="P703" t="str">
        <f>TEXT(data[[#This Row],[order_date]],"mmm")</f>
        <v>Sep</v>
      </c>
      <c r="Q703">
        <f>YEAR(data[[#This Row],[order_date]])</f>
        <v>2023</v>
      </c>
      <c r="R703">
        <f>MONTH(data[[#This Row],[order_date]])</f>
        <v>9</v>
      </c>
      <c r="S703">
        <f>DAY(data[[#This Row],[order_date]])</f>
        <v>30</v>
      </c>
      <c r="T703">
        <f>data[[#This Row],[profit]]/data[[#This Row],[sales]]</f>
        <v>0.36046511627906974</v>
      </c>
    </row>
    <row r="704" spans="1:20" x14ac:dyDescent="0.35">
      <c r="A704" t="s">
        <v>905</v>
      </c>
      <c r="B704" s="1">
        <v>45230</v>
      </c>
      <c r="C704" t="s">
        <v>14</v>
      </c>
      <c r="D704" t="s">
        <v>15</v>
      </c>
      <c r="E704" t="s">
        <v>99</v>
      </c>
      <c r="F704" t="s">
        <v>23</v>
      </c>
      <c r="G704" t="s">
        <v>892</v>
      </c>
      <c r="H704" t="s">
        <v>893</v>
      </c>
      <c r="I704" t="s">
        <v>363</v>
      </c>
      <c r="J704">
        <v>1</v>
      </c>
      <c r="K704">
        <v>166000</v>
      </c>
      <c r="L704">
        <v>0</v>
      </c>
      <c r="M704">
        <v>106000</v>
      </c>
      <c r="N704">
        <f>(data[[#This Row],[unit_price]]*data[[#This Row],[quantity]]) * (1-data[[#This Row],[discount]])</f>
        <v>166000</v>
      </c>
      <c r="O704">
        <f>data[[#This Row],[sales]]-data[[#This Row],[cost]]</f>
        <v>60000</v>
      </c>
      <c r="P704" t="str">
        <f>TEXT(data[[#This Row],[order_date]],"mmm")</f>
        <v>Oct</v>
      </c>
      <c r="Q704">
        <f>YEAR(data[[#This Row],[order_date]])</f>
        <v>2023</v>
      </c>
      <c r="R704">
        <f>MONTH(data[[#This Row],[order_date]])</f>
        <v>10</v>
      </c>
      <c r="S704">
        <f>DAY(data[[#This Row],[order_date]])</f>
        <v>31</v>
      </c>
      <c r="T704">
        <f>data[[#This Row],[profit]]/data[[#This Row],[sales]]</f>
        <v>0.36144578313253012</v>
      </c>
    </row>
    <row r="705" spans="1:20" x14ac:dyDescent="0.35">
      <c r="A705" t="s">
        <v>906</v>
      </c>
      <c r="B705" s="1">
        <v>45293</v>
      </c>
      <c r="C705" t="s">
        <v>49</v>
      </c>
      <c r="D705" t="s">
        <v>50</v>
      </c>
      <c r="E705" t="s">
        <v>230</v>
      </c>
      <c r="F705" t="s">
        <v>23</v>
      </c>
      <c r="G705" t="s">
        <v>892</v>
      </c>
      <c r="H705" t="s">
        <v>893</v>
      </c>
      <c r="I705" t="s">
        <v>363</v>
      </c>
      <c r="J705">
        <v>1</v>
      </c>
      <c r="K705">
        <v>91000</v>
      </c>
      <c r="L705">
        <v>0</v>
      </c>
      <c r="M705">
        <v>58000</v>
      </c>
      <c r="N705">
        <f>(data[[#This Row],[unit_price]]*data[[#This Row],[quantity]]) * (1-data[[#This Row],[discount]])</f>
        <v>91000</v>
      </c>
      <c r="O705">
        <f>data[[#This Row],[sales]]-data[[#This Row],[cost]]</f>
        <v>33000</v>
      </c>
      <c r="P705" t="str">
        <f>TEXT(data[[#This Row],[order_date]],"mmm")</f>
        <v>Jan</v>
      </c>
      <c r="Q705">
        <f>YEAR(data[[#This Row],[order_date]])</f>
        <v>2024</v>
      </c>
      <c r="R705">
        <f>MONTH(data[[#This Row],[order_date]])</f>
        <v>1</v>
      </c>
      <c r="S705">
        <f>DAY(data[[#This Row],[order_date]])</f>
        <v>2</v>
      </c>
      <c r="T705">
        <f>data[[#This Row],[profit]]/data[[#This Row],[sales]]</f>
        <v>0.36263736263736263</v>
      </c>
    </row>
    <row r="706" spans="1:20" x14ac:dyDescent="0.35">
      <c r="A706" t="s">
        <v>907</v>
      </c>
      <c r="B706" s="1">
        <v>45311</v>
      </c>
      <c r="C706" t="s">
        <v>25</v>
      </c>
      <c r="D706" t="s">
        <v>26</v>
      </c>
      <c r="E706" t="s">
        <v>168</v>
      </c>
      <c r="F706" t="s">
        <v>23</v>
      </c>
      <c r="G706" t="s">
        <v>892</v>
      </c>
      <c r="H706" t="s">
        <v>893</v>
      </c>
      <c r="I706" t="s">
        <v>363</v>
      </c>
      <c r="J706">
        <v>1</v>
      </c>
      <c r="K706">
        <v>144000</v>
      </c>
      <c r="L706">
        <v>0</v>
      </c>
      <c r="M706">
        <v>93000</v>
      </c>
      <c r="N706">
        <f>(data[[#This Row],[unit_price]]*data[[#This Row],[quantity]]) * (1-data[[#This Row],[discount]])</f>
        <v>144000</v>
      </c>
      <c r="O706">
        <f>data[[#This Row],[sales]]-data[[#This Row],[cost]]</f>
        <v>51000</v>
      </c>
      <c r="P706" t="str">
        <f>TEXT(data[[#This Row],[order_date]],"mmm")</f>
        <v>Jan</v>
      </c>
      <c r="Q706">
        <f>YEAR(data[[#This Row],[order_date]])</f>
        <v>2024</v>
      </c>
      <c r="R706">
        <f>MONTH(data[[#This Row],[order_date]])</f>
        <v>1</v>
      </c>
      <c r="S706">
        <f>DAY(data[[#This Row],[order_date]])</f>
        <v>20</v>
      </c>
      <c r="T706">
        <f>data[[#This Row],[profit]]/data[[#This Row],[sales]]</f>
        <v>0.35416666666666669</v>
      </c>
    </row>
    <row r="707" spans="1:20" x14ac:dyDescent="0.35">
      <c r="A707" t="s">
        <v>908</v>
      </c>
      <c r="B707" s="1">
        <v>45315</v>
      </c>
      <c r="C707" t="s">
        <v>14</v>
      </c>
      <c r="D707" t="s">
        <v>15</v>
      </c>
      <c r="E707" t="s">
        <v>335</v>
      </c>
      <c r="F707" t="s">
        <v>23</v>
      </c>
      <c r="G707" t="s">
        <v>892</v>
      </c>
      <c r="H707" t="s">
        <v>893</v>
      </c>
      <c r="I707" t="s">
        <v>363</v>
      </c>
      <c r="J707">
        <v>1</v>
      </c>
      <c r="K707">
        <v>141000</v>
      </c>
      <c r="L707">
        <v>0.1</v>
      </c>
      <c r="M707">
        <v>94000</v>
      </c>
      <c r="N707">
        <f>(data[[#This Row],[unit_price]]*data[[#This Row],[quantity]]) * (1-data[[#This Row],[discount]])</f>
        <v>126900</v>
      </c>
      <c r="O707">
        <f>data[[#This Row],[sales]]-data[[#This Row],[cost]]</f>
        <v>32900</v>
      </c>
      <c r="P707" t="str">
        <f>TEXT(data[[#This Row],[order_date]],"mmm")</f>
        <v>Jan</v>
      </c>
      <c r="Q707">
        <f>YEAR(data[[#This Row],[order_date]])</f>
        <v>2024</v>
      </c>
      <c r="R707">
        <f>MONTH(data[[#This Row],[order_date]])</f>
        <v>1</v>
      </c>
      <c r="S707">
        <f>DAY(data[[#This Row],[order_date]])</f>
        <v>24</v>
      </c>
      <c r="T707">
        <f>data[[#This Row],[profit]]/data[[#This Row],[sales]]</f>
        <v>0.25925925925925924</v>
      </c>
    </row>
    <row r="708" spans="1:20" x14ac:dyDescent="0.35">
      <c r="A708" t="s">
        <v>909</v>
      </c>
      <c r="B708" s="1">
        <v>45323</v>
      </c>
      <c r="C708" t="s">
        <v>14</v>
      </c>
      <c r="D708" t="s">
        <v>15</v>
      </c>
      <c r="E708" t="s">
        <v>79</v>
      </c>
      <c r="F708" t="s">
        <v>17</v>
      </c>
      <c r="G708" t="s">
        <v>892</v>
      </c>
      <c r="H708" t="s">
        <v>893</v>
      </c>
      <c r="I708" t="s">
        <v>363</v>
      </c>
      <c r="J708">
        <v>1</v>
      </c>
      <c r="K708">
        <v>161000</v>
      </c>
      <c r="L708">
        <v>0</v>
      </c>
      <c r="M708">
        <v>107000</v>
      </c>
      <c r="N708">
        <f>(data[[#This Row],[unit_price]]*data[[#This Row],[quantity]]) * (1-data[[#This Row],[discount]])</f>
        <v>161000</v>
      </c>
      <c r="O708">
        <f>data[[#This Row],[sales]]-data[[#This Row],[cost]]</f>
        <v>54000</v>
      </c>
      <c r="P708" t="str">
        <f>TEXT(data[[#This Row],[order_date]],"mmm")</f>
        <v>Feb</v>
      </c>
      <c r="Q708">
        <f>YEAR(data[[#This Row],[order_date]])</f>
        <v>2024</v>
      </c>
      <c r="R708">
        <f>MONTH(data[[#This Row],[order_date]])</f>
        <v>2</v>
      </c>
      <c r="S708">
        <f>DAY(data[[#This Row],[order_date]])</f>
        <v>1</v>
      </c>
      <c r="T708">
        <f>data[[#This Row],[profit]]/data[[#This Row],[sales]]</f>
        <v>0.33540372670807456</v>
      </c>
    </row>
    <row r="709" spans="1:20" x14ac:dyDescent="0.35">
      <c r="A709" t="s">
        <v>910</v>
      </c>
      <c r="B709" s="1">
        <v>45328</v>
      </c>
      <c r="C709" t="s">
        <v>41</v>
      </c>
      <c r="D709" t="s">
        <v>42</v>
      </c>
      <c r="E709" t="s">
        <v>97</v>
      </c>
      <c r="F709" t="s">
        <v>23</v>
      </c>
      <c r="G709" t="s">
        <v>892</v>
      </c>
      <c r="H709" t="s">
        <v>893</v>
      </c>
      <c r="I709" t="s">
        <v>363</v>
      </c>
      <c r="J709">
        <v>1</v>
      </c>
      <c r="K709">
        <v>170000</v>
      </c>
      <c r="L709">
        <v>0</v>
      </c>
      <c r="M709">
        <v>112000</v>
      </c>
      <c r="N709">
        <f>(data[[#This Row],[unit_price]]*data[[#This Row],[quantity]]) * (1-data[[#This Row],[discount]])</f>
        <v>170000</v>
      </c>
      <c r="O709">
        <f>data[[#This Row],[sales]]-data[[#This Row],[cost]]</f>
        <v>58000</v>
      </c>
      <c r="P709" t="str">
        <f>TEXT(data[[#This Row],[order_date]],"mmm")</f>
        <v>Feb</v>
      </c>
      <c r="Q709">
        <f>YEAR(data[[#This Row],[order_date]])</f>
        <v>2024</v>
      </c>
      <c r="R709">
        <f>MONTH(data[[#This Row],[order_date]])</f>
        <v>2</v>
      </c>
      <c r="S709">
        <f>DAY(data[[#This Row],[order_date]])</f>
        <v>6</v>
      </c>
      <c r="T709">
        <f>data[[#This Row],[profit]]/data[[#This Row],[sales]]</f>
        <v>0.3411764705882353</v>
      </c>
    </row>
    <row r="710" spans="1:20" x14ac:dyDescent="0.35">
      <c r="A710" t="s">
        <v>911</v>
      </c>
      <c r="B710" s="1">
        <v>45332</v>
      </c>
      <c r="C710" t="s">
        <v>36</v>
      </c>
      <c r="D710" t="s">
        <v>37</v>
      </c>
      <c r="E710" t="s">
        <v>394</v>
      </c>
      <c r="F710" t="s">
        <v>23</v>
      </c>
      <c r="G710" t="s">
        <v>892</v>
      </c>
      <c r="H710" t="s">
        <v>893</v>
      </c>
      <c r="I710" t="s">
        <v>363</v>
      </c>
      <c r="J710">
        <v>1</v>
      </c>
      <c r="K710">
        <v>107000</v>
      </c>
      <c r="L710">
        <v>0</v>
      </c>
      <c r="M710">
        <v>68000</v>
      </c>
      <c r="N710">
        <f>(data[[#This Row],[unit_price]]*data[[#This Row],[quantity]]) * (1-data[[#This Row],[discount]])</f>
        <v>107000</v>
      </c>
      <c r="O710">
        <f>data[[#This Row],[sales]]-data[[#This Row],[cost]]</f>
        <v>39000</v>
      </c>
      <c r="P710" t="str">
        <f>TEXT(data[[#This Row],[order_date]],"mmm")</f>
        <v>Feb</v>
      </c>
      <c r="Q710">
        <f>YEAR(data[[#This Row],[order_date]])</f>
        <v>2024</v>
      </c>
      <c r="R710">
        <f>MONTH(data[[#This Row],[order_date]])</f>
        <v>2</v>
      </c>
      <c r="S710">
        <f>DAY(data[[#This Row],[order_date]])</f>
        <v>10</v>
      </c>
      <c r="T710">
        <f>data[[#This Row],[profit]]/data[[#This Row],[sales]]</f>
        <v>0.3644859813084112</v>
      </c>
    </row>
    <row r="711" spans="1:20" x14ac:dyDescent="0.35">
      <c r="A711" t="s">
        <v>912</v>
      </c>
      <c r="B711" s="1">
        <v>45355</v>
      </c>
      <c r="C711" t="s">
        <v>14</v>
      </c>
      <c r="D711" t="s">
        <v>15</v>
      </c>
      <c r="E711" t="s">
        <v>764</v>
      </c>
      <c r="F711" t="s">
        <v>17</v>
      </c>
      <c r="G711" t="s">
        <v>892</v>
      </c>
      <c r="H711" t="s">
        <v>893</v>
      </c>
      <c r="I711" t="s">
        <v>363</v>
      </c>
      <c r="J711">
        <v>1</v>
      </c>
      <c r="K711">
        <v>157000</v>
      </c>
      <c r="L711">
        <v>0</v>
      </c>
      <c r="M711">
        <v>101000</v>
      </c>
      <c r="N711">
        <f>(data[[#This Row],[unit_price]]*data[[#This Row],[quantity]]) * (1-data[[#This Row],[discount]])</f>
        <v>157000</v>
      </c>
      <c r="O711">
        <f>data[[#This Row],[sales]]-data[[#This Row],[cost]]</f>
        <v>56000</v>
      </c>
      <c r="P711" t="str">
        <f>TEXT(data[[#This Row],[order_date]],"mmm")</f>
        <v>Mar</v>
      </c>
      <c r="Q711">
        <f>YEAR(data[[#This Row],[order_date]])</f>
        <v>2024</v>
      </c>
      <c r="R711">
        <f>MONTH(data[[#This Row],[order_date]])</f>
        <v>3</v>
      </c>
      <c r="S711">
        <f>DAY(data[[#This Row],[order_date]])</f>
        <v>4</v>
      </c>
      <c r="T711">
        <f>data[[#This Row],[profit]]/data[[#This Row],[sales]]</f>
        <v>0.35668789808917195</v>
      </c>
    </row>
    <row r="712" spans="1:20" x14ac:dyDescent="0.35">
      <c r="A712" t="s">
        <v>913</v>
      </c>
      <c r="B712" s="1">
        <v>45356</v>
      </c>
      <c r="C712" t="s">
        <v>14</v>
      </c>
      <c r="D712" t="s">
        <v>15</v>
      </c>
      <c r="E712" t="s">
        <v>311</v>
      </c>
      <c r="F712" t="s">
        <v>17</v>
      </c>
      <c r="G712" t="s">
        <v>892</v>
      </c>
      <c r="H712" t="s">
        <v>893</v>
      </c>
      <c r="I712" t="s">
        <v>363</v>
      </c>
      <c r="J712">
        <v>2</v>
      </c>
      <c r="K712">
        <v>160000</v>
      </c>
      <c r="L712">
        <v>0</v>
      </c>
      <c r="M712">
        <v>101000</v>
      </c>
      <c r="N712">
        <f>(data[[#This Row],[unit_price]]*data[[#This Row],[quantity]]) * (1-data[[#This Row],[discount]])</f>
        <v>320000</v>
      </c>
      <c r="O712">
        <f>data[[#This Row],[sales]]-data[[#This Row],[cost]]</f>
        <v>219000</v>
      </c>
      <c r="P712" t="str">
        <f>TEXT(data[[#This Row],[order_date]],"mmm")</f>
        <v>Mar</v>
      </c>
      <c r="Q712">
        <f>YEAR(data[[#This Row],[order_date]])</f>
        <v>2024</v>
      </c>
      <c r="R712">
        <f>MONTH(data[[#This Row],[order_date]])</f>
        <v>3</v>
      </c>
      <c r="S712">
        <f>DAY(data[[#This Row],[order_date]])</f>
        <v>5</v>
      </c>
      <c r="T712">
        <f>data[[#This Row],[profit]]/data[[#This Row],[sales]]</f>
        <v>0.68437499999999996</v>
      </c>
    </row>
    <row r="713" spans="1:20" x14ac:dyDescent="0.35">
      <c r="A713" t="s">
        <v>914</v>
      </c>
      <c r="B713" s="1">
        <v>45359</v>
      </c>
      <c r="C713" t="s">
        <v>49</v>
      </c>
      <c r="D713" t="s">
        <v>50</v>
      </c>
      <c r="E713" t="s">
        <v>108</v>
      </c>
      <c r="F713" t="s">
        <v>23</v>
      </c>
      <c r="G713" t="s">
        <v>892</v>
      </c>
      <c r="H713" t="s">
        <v>893</v>
      </c>
      <c r="I713" t="s">
        <v>363</v>
      </c>
      <c r="J713">
        <v>1</v>
      </c>
      <c r="K713">
        <v>89000</v>
      </c>
      <c r="L713">
        <v>0.05</v>
      </c>
      <c r="M713">
        <v>58000</v>
      </c>
      <c r="N713">
        <f>(data[[#This Row],[unit_price]]*data[[#This Row],[quantity]]) * (1-data[[#This Row],[discount]])</f>
        <v>84550</v>
      </c>
      <c r="O713">
        <f>data[[#This Row],[sales]]-data[[#This Row],[cost]]</f>
        <v>26550</v>
      </c>
      <c r="P713" t="str">
        <f>TEXT(data[[#This Row],[order_date]],"mmm")</f>
        <v>Mar</v>
      </c>
      <c r="Q713">
        <f>YEAR(data[[#This Row],[order_date]])</f>
        <v>2024</v>
      </c>
      <c r="R713">
        <f>MONTH(data[[#This Row],[order_date]])</f>
        <v>3</v>
      </c>
      <c r="S713">
        <f>DAY(data[[#This Row],[order_date]])</f>
        <v>8</v>
      </c>
      <c r="T713">
        <f>data[[#This Row],[profit]]/data[[#This Row],[sales]]</f>
        <v>0.31401537551744529</v>
      </c>
    </row>
    <row r="714" spans="1:20" x14ac:dyDescent="0.35">
      <c r="A714" t="s">
        <v>915</v>
      </c>
      <c r="B714" s="1">
        <v>45362</v>
      </c>
      <c r="C714" t="s">
        <v>41</v>
      </c>
      <c r="D714" t="s">
        <v>42</v>
      </c>
      <c r="E714" t="s">
        <v>174</v>
      </c>
      <c r="F714" t="s">
        <v>23</v>
      </c>
      <c r="G714" t="s">
        <v>892</v>
      </c>
      <c r="H714" t="s">
        <v>893</v>
      </c>
      <c r="I714" t="s">
        <v>363</v>
      </c>
      <c r="J714">
        <v>3</v>
      </c>
      <c r="K714">
        <v>136000</v>
      </c>
      <c r="L714">
        <v>0</v>
      </c>
      <c r="M714">
        <v>89000</v>
      </c>
      <c r="N714">
        <f>(data[[#This Row],[unit_price]]*data[[#This Row],[quantity]]) * (1-data[[#This Row],[discount]])</f>
        <v>408000</v>
      </c>
      <c r="O714">
        <f>data[[#This Row],[sales]]-data[[#This Row],[cost]]</f>
        <v>319000</v>
      </c>
      <c r="P714" t="str">
        <f>TEXT(data[[#This Row],[order_date]],"mmm")</f>
        <v>Mar</v>
      </c>
      <c r="Q714">
        <f>YEAR(data[[#This Row],[order_date]])</f>
        <v>2024</v>
      </c>
      <c r="R714">
        <f>MONTH(data[[#This Row],[order_date]])</f>
        <v>3</v>
      </c>
      <c r="S714">
        <f>DAY(data[[#This Row],[order_date]])</f>
        <v>11</v>
      </c>
      <c r="T714">
        <f>data[[#This Row],[profit]]/data[[#This Row],[sales]]</f>
        <v>0.78186274509803921</v>
      </c>
    </row>
    <row r="715" spans="1:20" x14ac:dyDescent="0.35">
      <c r="A715" t="s">
        <v>916</v>
      </c>
      <c r="B715" s="1">
        <v>45440</v>
      </c>
      <c r="C715" t="s">
        <v>49</v>
      </c>
      <c r="D715" t="s">
        <v>50</v>
      </c>
      <c r="E715" t="s">
        <v>373</v>
      </c>
      <c r="F715" t="s">
        <v>23</v>
      </c>
      <c r="G715" t="s">
        <v>892</v>
      </c>
      <c r="H715" t="s">
        <v>893</v>
      </c>
      <c r="I715" t="s">
        <v>363</v>
      </c>
      <c r="J715">
        <v>1</v>
      </c>
      <c r="K715">
        <v>174000</v>
      </c>
      <c r="L715">
        <v>0.05</v>
      </c>
      <c r="M715">
        <v>110000</v>
      </c>
      <c r="N715">
        <f>(data[[#This Row],[unit_price]]*data[[#This Row],[quantity]]) * (1-data[[#This Row],[discount]])</f>
        <v>165300</v>
      </c>
      <c r="O715">
        <f>data[[#This Row],[sales]]-data[[#This Row],[cost]]</f>
        <v>55300</v>
      </c>
      <c r="P715" t="str">
        <f>TEXT(data[[#This Row],[order_date]],"mmm")</f>
        <v>May</v>
      </c>
      <c r="Q715">
        <f>YEAR(data[[#This Row],[order_date]])</f>
        <v>2024</v>
      </c>
      <c r="R715">
        <f>MONTH(data[[#This Row],[order_date]])</f>
        <v>5</v>
      </c>
      <c r="S715">
        <f>DAY(data[[#This Row],[order_date]])</f>
        <v>28</v>
      </c>
      <c r="T715">
        <f>data[[#This Row],[profit]]/data[[#This Row],[sales]]</f>
        <v>0.33454325468844526</v>
      </c>
    </row>
    <row r="716" spans="1:20" x14ac:dyDescent="0.35">
      <c r="A716" t="s">
        <v>917</v>
      </c>
      <c r="B716" s="1">
        <v>45459</v>
      </c>
      <c r="C716" t="s">
        <v>36</v>
      </c>
      <c r="D716" t="s">
        <v>37</v>
      </c>
      <c r="E716" t="s">
        <v>613</v>
      </c>
      <c r="F716" t="s">
        <v>28</v>
      </c>
      <c r="G716" t="s">
        <v>892</v>
      </c>
      <c r="H716" t="s">
        <v>893</v>
      </c>
      <c r="I716" t="s">
        <v>363</v>
      </c>
      <c r="J716">
        <v>1</v>
      </c>
      <c r="K716">
        <v>103000</v>
      </c>
      <c r="L716">
        <v>0</v>
      </c>
      <c r="M716">
        <v>65000</v>
      </c>
      <c r="N716">
        <f>(data[[#This Row],[unit_price]]*data[[#This Row],[quantity]]) * (1-data[[#This Row],[discount]])</f>
        <v>103000</v>
      </c>
      <c r="O716">
        <f>data[[#This Row],[sales]]-data[[#This Row],[cost]]</f>
        <v>38000</v>
      </c>
      <c r="P716" t="str">
        <f>TEXT(data[[#This Row],[order_date]],"mmm")</f>
        <v>Jun</v>
      </c>
      <c r="Q716">
        <f>YEAR(data[[#This Row],[order_date]])</f>
        <v>2024</v>
      </c>
      <c r="R716">
        <f>MONTH(data[[#This Row],[order_date]])</f>
        <v>6</v>
      </c>
      <c r="S716">
        <f>DAY(data[[#This Row],[order_date]])</f>
        <v>16</v>
      </c>
      <c r="T716">
        <f>data[[#This Row],[profit]]/data[[#This Row],[sales]]</f>
        <v>0.36893203883495146</v>
      </c>
    </row>
    <row r="717" spans="1:20" x14ac:dyDescent="0.35">
      <c r="A717" t="s">
        <v>918</v>
      </c>
      <c r="B717" s="1">
        <v>45469</v>
      </c>
      <c r="C717" t="s">
        <v>14</v>
      </c>
      <c r="D717" t="s">
        <v>15</v>
      </c>
      <c r="E717" t="s">
        <v>242</v>
      </c>
      <c r="F717" t="s">
        <v>17</v>
      </c>
      <c r="G717" t="s">
        <v>892</v>
      </c>
      <c r="H717" t="s">
        <v>893</v>
      </c>
      <c r="I717" t="s">
        <v>363</v>
      </c>
      <c r="J717">
        <v>1</v>
      </c>
      <c r="K717">
        <v>132000</v>
      </c>
      <c r="L717">
        <v>0</v>
      </c>
      <c r="M717">
        <v>87000</v>
      </c>
      <c r="N717">
        <f>(data[[#This Row],[unit_price]]*data[[#This Row],[quantity]]) * (1-data[[#This Row],[discount]])</f>
        <v>132000</v>
      </c>
      <c r="O717">
        <f>data[[#This Row],[sales]]-data[[#This Row],[cost]]</f>
        <v>45000</v>
      </c>
      <c r="P717" t="str">
        <f>TEXT(data[[#This Row],[order_date]],"mmm")</f>
        <v>Jun</v>
      </c>
      <c r="Q717">
        <f>YEAR(data[[#This Row],[order_date]])</f>
        <v>2024</v>
      </c>
      <c r="R717">
        <f>MONTH(data[[#This Row],[order_date]])</f>
        <v>6</v>
      </c>
      <c r="S717">
        <f>DAY(data[[#This Row],[order_date]])</f>
        <v>26</v>
      </c>
      <c r="T717">
        <f>data[[#This Row],[profit]]/data[[#This Row],[sales]]</f>
        <v>0.34090909090909088</v>
      </c>
    </row>
    <row r="718" spans="1:20" x14ac:dyDescent="0.35">
      <c r="A718" t="s">
        <v>919</v>
      </c>
      <c r="B718" s="1">
        <v>45512</v>
      </c>
      <c r="C718" t="s">
        <v>14</v>
      </c>
      <c r="D718" t="s">
        <v>15</v>
      </c>
      <c r="E718" t="s">
        <v>102</v>
      </c>
      <c r="F718" t="s">
        <v>58</v>
      </c>
      <c r="G718" t="s">
        <v>892</v>
      </c>
      <c r="H718" t="s">
        <v>893</v>
      </c>
      <c r="I718" t="s">
        <v>363</v>
      </c>
      <c r="J718">
        <v>1</v>
      </c>
      <c r="K718">
        <v>167000</v>
      </c>
      <c r="L718">
        <v>0</v>
      </c>
      <c r="M718">
        <v>111000</v>
      </c>
      <c r="N718">
        <f>(data[[#This Row],[unit_price]]*data[[#This Row],[quantity]]) * (1-data[[#This Row],[discount]])</f>
        <v>167000</v>
      </c>
      <c r="O718">
        <f>data[[#This Row],[sales]]-data[[#This Row],[cost]]</f>
        <v>56000</v>
      </c>
      <c r="P718" t="str">
        <f>TEXT(data[[#This Row],[order_date]],"mmm")</f>
        <v>Aug</v>
      </c>
      <c r="Q718">
        <f>YEAR(data[[#This Row],[order_date]])</f>
        <v>2024</v>
      </c>
      <c r="R718">
        <f>MONTH(data[[#This Row],[order_date]])</f>
        <v>8</v>
      </c>
      <c r="S718">
        <f>DAY(data[[#This Row],[order_date]])</f>
        <v>8</v>
      </c>
      <c r="T718">
        <f>data[[#This Row],[profit]]/data[[#This Row],[sales]]</f>
        <v>0.33532934131736525</v>
      </c>
    </row>
    <row r="719" spans="1:20" x14ac:dyDescent="0.35">
      <c r="A719" t="s">
        <v>920</v>
      </c>
      <c r="B719" s="1">
        <v>45520</v>
      </c>
      <c r="C719" t="s">
        <v>25</v>
      </c>
      <c r="D719" t="s">
        <v>26</v>
      </c>
      <c r="E719" t="s">
        <v>313</v>
      </c>
      <c r="F719" t="s">
        <v>17</v>
      </c>
      <c r="G719" t="s">
        <v>892</v>
      </c>
      <c r="H719" t="s">
        <v>893</v>
      </c>
      <c r="I719" t="s">
        <v>363</v>
      </c>
      <c r="J719">
        <v>1</v>
      </c>
      <c r="K719">
        <v>97000</v>
      </c>
      <c r="L719">
        <v>0</v>
      </c>
      <c r="M719">
        <v>63000</v>
      </c>
      <c r="N719">
        <f>(data[[#This Row],[unit_price]]*data[[#This Row],[quantity]]) * (1-data[[#This Row],[discount]])</f>
        <v>97000</v>
      </c>
      <c r="O719">
        <f>data[[#This Row],[sales]]-data[[#This Row],[cost]]</f>
        <v>34000</v>
      </c>
      <c r="P719" t="str">
        <f>TEXT(data[[#This Row],[order_date]],"mmm")</f>
        <v>Aug</v>
      </c>
      <c r="Q719">
        <f>YEAR(data[[#This Row],[order_date]])</f>
        <v>2024</v>
      </c>
      <c r="R719">
        <f>MONTH(data[[#This Row],[order_date]])</f>
        <v>8</v>
      </c>
      <c r="S719">
        <f>DAY(data[[#This Row],[order_date]])</f>
        <v>16</v>
      </c>
      <c r="T719">
        <f>data[[#This Row],[profit]]/data[[#This Row],[sales]]</f>
        <v>0.35051546391752575</v>
      </c>
    </row>
    <row r="720" spans="1:20" x14ac:dyDescent="0.35">
      <c r="A720" t="s">
        <v>921</v>
      </c>
      <c r="B720" s="1">
        <v>45523</v>
      </c>
      <c r="C720" t="s">
        <v>25</v>
      </c>
      <c r="D720" t="s">
        <v>26</v>
      </c>
      <c r="E720" t="s">
        <v>212</v>
      </c>
      <c r="F720" t="s">
        <v>28</v>
      </c>
      <c r="G720" t="s">
        <v>892</v>
      </c>
      <c r="H720" t="s">
        <v>893</v>
      </c>
      <c r="I720" t="s">
        <v>363</v>
      </c>
      <c r="J720">
        <v>2</v>
      </c>
      <c r="K720">
        <v>166000</v>
      </c>
      <c r="L720">
        <v>0</v>
      </c>
      <c r="M720">
        <v>105000</v>
      </c>
      <c r="N720">
        <f>(data[[#This Row],[unit_price]]*data[[#This Row],[quantity]]) * (1-data[[#This Row],[discount]])</f>
        <v>332000</v>
      </c>
      <c r="O720">
        <f>data[[#This Row],[sales]]-data[[#This Row],[cost]]</f>
        <v>227000</v>
      </c>
      <c r="P720" t="str">
        <f>TEXT(data[[#This Row],[order_date]],"mmm")</f>
        <v>Aug</v>
      </c>
      <c r="Q720">
        <f>YEAR(data[[#This Row],[order_date]])</f>
        <v>2024</v>
      </c>
      <c r="R720">
        <f>MONTH(data[[#This Row],[order_date]])</f>
        <v>8</v>
      </c>
      <c r="S720">
        <f>DAY(data[[#This Row],[order_date]])</f>
        <v>19</v>
      </c>
      <c r="T720">
        <f>data[[#This Row],[profit]]/data[[#This Row],[sales]]</f>
        <v>0.6837349397590361</v>
      </c>
    </row>
    <row r="721" spans="1:20" x14ac:dyDescent="0.35">
      <c r="A721" t="s">
        <v>922</v>
      </c>
      <c r="B721" s="1">
        <v>45554</v>
      </c>
      <c r="C721" t="s">
        <v>25</v>
      </c>
      <c r="D721" t="s">
        <v>26</v>
      </c>
      <c r="E721" t="s">
        <v>95</v>
      </c>
      <c r="F721" t="s">
        <v>23</v>
      </c>
      <c r="G721" t="s">
        <v>892</v>
      </c>
      <c r="H721" t="s">
        <v>893</v>
      </c>
      <c r="I721" t="s">
        <v>363</v>
      </c>
      <c r="J721">
        <v>1</v>
      </c>
      <c r="K721">
        <v>141592.59259259258</v>
      </c>
      <c r="L721">
        <v>0</v>
      </c>
      <c r="M721">
        <v>84000</v>
      </c>
      <c r="N721">
        <f>(data[[#This Row],[unit_price]]*data[[#This Row],[quantity]]) * (1-data[[#This Row],[discount]])</f>
        <v>141592.59259259258</v>
      </c>
      <c r="O721">
        <f>data[[#This Row],[sales]]-data[[#This Row],[cost]]</f>
        <v>57592.592592592584</v>
      </c>
      <c r="P721" t="str">
        <f>TEXT(data[[#This Row],[order_date]],"mmm")</f>
        <v>Sep</v>
      </c>
      <c r="Q721">
        <f>YEAR(data[[#This Row],[order_date]])</f>
        <v>2024</v>
      </c>
      <c r="R721">
        <f>MONTH(data[[#This Row],[order_date]])</f>
        <v>9</v>
      </c>
      <c r="S721">
        <f>DAY(data[[#This Row],[order_date]])</f>
        <v>19</v>
      </c>
      <c r="T721">
        <f>data[[#This Row],[profit]]/data[[#This Row],[sales]]</f>
        <v>0.40674862673293222</v>
      </c>
    </row>
    <row r="722" spans="1:20" x14ac:dyDescent="0.35">
      <c r="A722" t="s">
        <v>923</v>
      </c>
      <c r="B722" s="1">
        <v>45602</v>
      </c>
      <c r="C722" t="s">
        <v>41</v>
      </c>
      <c r="D722" t="s">
        <v>42</v>
      </c>
      <c r="E722" t="s">
        <v>146</v>
      </c>
      <c r="F722" t="s">
        <v>17</v>
      </c>
      <c r="G722" t="s">
        <v>892</v>
      </c>
      <c r="H722" t="s">
        <v>893</v>
      </c>
      <c r="I722" t="s">
        <v>363</v>
      </c>
      <c r="J722">
        <v>2</v>
      </c>
      <c r="K722">
        <v>170000</v>
      </c>
      <c r="L722">
        <v>0</v>
      </c>
      <c r="M722">
        <v>109000</v>
      </c>
      <c r="N722">
        <f>(data[[#This Row],[unit_price]]*data[[#This Row],[quantity]]) * (1-data[[#This Row],[discount]])</f>
        <v>340000</v>
      </c>
      <c r="O722">
        <f>data[[#This Row],[sales]]-data[[#This Row],[cost]]</f>
        <v>231000</v>
      </c>
      <c r="P722" t="str">
        <f>TEXT(data[[#This Row],[order_date]],"mmm")</f>
        <v>Nov</v>
      </c>
      <c r="Q722">
        <f>YEAR(data[[#This Row],[order_date]])</f>
        <v>2024</v>
      </c>
      <c r="R722">
        <f>MONTH(data[[#This Row],[order_date]])</f>
        <v>11</v>
      </c>
      <c r="S722">
        <f>DAY(data[[#This Row],[order_date]])</f>
        <v>6</v>
      </c>
      <c r="T722">
        <f>data[[#This Row],[profit]]/data[[#This Row],[sales]]</f>
        <v>0.67941176470588238</v>
      </c>
    </row>
    <row r="723" spans="1:20" x14ac:dyDescent="0.35">
      <c r="A723" t="s">
        <v>924</v>
      </c>
      <c r="B723" s="1">
        <v>45631</v>
      </c>
      <c r="C723" t="s">
        <v>14</v>
      </c>
      <c r="D723" t="s">
        <v>15</v>
      </c>
      <c r="E723" t="s">
        <v>456</v>
      </c>
      <c r="F723" t="s">
        <v>23</v>
      </c>
      <c r="G723" t="s">
        <v>892</v>
      </c>
      <c r="H723" t="s">
        <v>893</v>
      </c>
      <c r="I723" t="s">
        <v>363</v>
      </c>
      <c r="J723">
        <v>1</v>
      </c>
      <c r="K723">
        <v>113000</v>
      </c>
      <c r="L723">
        <v>0.05</v>
      </c>
      <c r="M723">
        <v>73000</v>
      </c>
      <c r="N723">
        <f>(data[[#This Row],[unit_price]]*data[[#This Row],[quantity]]) * (1-data[[#This Row],[discount]])</f>
        <v>107350</v>
      </c>
      <c r="O723">
        <f>data[[#This Row],[sales]]-data[[#This Row],[cost]]</f>
        <v>34350</v>
      </c>
      <c r="P723" t="str">
        <f>TEXT(data[[#This Row],[order_date]],"mmm")</f>
        <v>Dec</v>
      </c>
      <c r="Q723">
        <f>YEAR(data[[#This Row],[order_date]])</f>
        <v>2024</v>
      </c>
      <c r="R723">
        <f>MONTH(data[[#This Row],[order_date]])</f>
        <v>12</v>
      </c>
      <c r="S723">
        <f>DAY(data[[#This Row],[order_date]])</f>
        <v>5</v>
      </c>
      <c r="T723">
        <f>data[[#This Row],[profit]]/data[[#This Row],[sales]]</f>
        <v>0.31998136935258498</v>
      </c>
    </row>
    <row r="724" spans="1:20" x14ac:dyDescent="0.35">
      <c r="A724" t="s">
        <v>925</v>
      </c>
      <c r="B724" s="1">
        <v>45662</v>
      </c>
      <c r="C724" t="s">
        <v>49</v>
      </c>
      <c r="D724" t="s">
        <v>50</v>
      </c>
      <c r="E724" t="s">
        <v>462</v>
      </c>
      <c r="F724" t="s">
        <v>58</v>
      </c>
      <c r="G724" t="s">
        <v>892</v>
      </c>
      <c r="H724" t="s">
        <v>893</v>
      </c>
      <c r="I724" t="s">
        <v>363</v>
      </c>
      <c r="J724">
        <v>1</v>
      </c>
      <c r="K724">
        <v>153000</v>
      </c>
      <c r="L724">
        <v>0</v>
      </c>
      <c r="M724">
        <v>99000</v>
      </c>
      <c r="N724">
        <f>(data[[#This Row],[unit_price]]*data[[#This Row],[quantity]]) * (1-data[[#This Row],[discount]])</f>
        <v>153000</v>
      </c>
      <c r="O724">
        <f>data[[#This Row],[sales]]-data[[#This Row],[cost]]</f>
        <v>54000</v>
      </c>
      <c r="P724" t="str">
        <f>TEXT(data[[#This Row],[order_date]],"mmm")</f>
        <v>Jan</v>
      </c>
      <c r="Q724">
        <f>YEAR(data[[#This Row],[order_date]])</f>
        <v>2025</v>
      </c>
      <c r="R724">
        <f>MONTH(data[[#This Row],[order_date]])</f>
        <v>1</v>
      </c>
      <c r="S724">
        <f>DAY(data[[#This Row],[order_date]])</f>
        <v>5</v>
      </c>
      <c r="T724">
        <f>data[[#This Row],[profit]]/data[[#This Row],[sales]]</f>
        <v>0.35294117647058826</v>
      </c>
    </row>
    <row r="725" spans="1:20" x14ac:dyDescent="0.35">
      <c r="A725" t="s">
        <v>926</v>
      </c>
      <c r="B725" s="1">
        <v>45683</v>
      </c>
      <c r="C725" t="s">
        <v>14</v>
      </c>
      <c r="D725" t="s">
        <v>15</v>
      </c>
      <c r="E725" t="s">
        <v>97</v>
      </c>
      <c r="F725" t="s">
        <v>23</v>
      </c>
      <c r="G725" t="s">
        <v>892</v>
      </c>
      <c r="H725" t="s">
        <v>893</v>
      </c>
      <c r="I725" t="s">
        <v>363</v>
      </c>
      <c r="J725">
        <v>1</v>
      </c>
      <c r="K725">
        <v>154000</v>
      </c>
      <c r="L725">
        <v>0</v>
      </c>
      <c r="M725">
        <v>102000</v>
      </c>
      <c r="N725">
        <f>(data[[#This Row],[unit_price]]*data[[#This Row],[quantity]]) * (1-data[[#This Row],[discount]])</f>
        <v>154000</v>
      </c>
      <c r="O725">
        <f>data[[#This Row],[sales]]-data[[#This Row],[cost]]</f>
        <v>52000</v>
      </c>
      <c r="P725" t="str">
        <f>TEXT(data[[#This Row],[order_date]],"mmm")</f>
        <v>Jan</v>
      </c>
      <c r="Q725">
        <f>YEAR(data[[#This Row],[order_date]])</f>
        <v>2025</v>
      </c>
      <c r="R725">
        <f>MONTH(data[[#This Row],[order_date]])</f>
        <v>1</v>
      </c>
      <c r="S725">
        <f>DAY(data[[#This Row],[order_date]])</f>
        <v>26</v>
      </c>
      <c r="T725">
        <f>data[[#This Row],[profit]]/data[[#This Row],[sales]]</f>
        <v>0.33766233766233766</v>
      </c>
    </row>
    <row r="726" spans="1:20" x14ac:dyDescent="0.35">
      <c r="A726" t="s">
        <v>927</v>
      </c>
      <c r="B726" s="1">
        <v>45713</v>
      </c>
      <c r="C726" t="s">
        <v>36</v>
      </c>
      <c r="D726" t="s">
        <v>37</v>
      </c>
      <c r="E726" t="s">
        <v>117</v>
      </c>
      <c r="F726" t="s">
        <v>23</v>
      </c>
      <c r="G726" t="s">
        <v>892</v>
      </c>
      <c r="H726" t="s">
        <v>893</v>
      </c>
      <c r="I726" t="s">
        <v>363</v>
      </c>
      <c r="J726">
        <v>1</v>
      </c>
      <c r="K726">
        <v>189000</v>
      </c>
      <c r="L726">
        <v>0</v>
      </c>
      <c r="M726">
        <v>122000</v>
      </c>
      <c r="N726">
        <f>(data[[#This Row],[unit_price]]*data[[#This Row],[quantity]]) * (1-data[[#This Row],[discount]])</f>
        <v>189000</v>
      </c>
      <c r="O726">
        <f>data[[#This Row],[sales]]-data[[#This Row],[cost]]</f>
        <v>67000</v>
      </c>
      <c r="P726" t="str">
        <f>TEXT(data[[#This Row],[order_date]],"mmm")</f>
        <v>Feb</v>
      </c>
      <c r="Q726">
        <f>YEAR(data[[#This Row],[order_date]])</f>
        <v>2025</v>
      </c>
      <c r="R726">
        <f>MONTH(data[[#This Row],[order_date]])</f>
        <v>2</v>
      </c>
      <c r="S726">
        <f>DAY(data[[#This Row],[order_date]])</f>
        <v>25</v>
      </c>
      <c r="T726">
        <f>data[[#This Row],[profit]]/data[[#This Row],[sales]]</f>
        <v>0.35449735449735448</v>
      </c>
    </row>
    <row r="727" spans="1:20" x14ac:dyDescent="0.35">
      <c r="A727" t="s">
        <v>928</v>
      </c>
      <c r="B727" s="1">
        <v>45734</v>
      </c>
      <c r="C727" t="s">
        <v>41</v>
      </c>
      <c r="D727" t="s">
        <v>42</v>
      </c>
      <c r="E727" t="s">
        <v>667</v>
      </c>
      <c r="F727" t="s">
        <v>23</v>
      </c>
      <c r="G727" t="s">
        <v>892</v>
      </c>
      <c r="H727" t="s">
        <v>893</v>
      </c>
      <c r="I727" t="s">
        <v>363</v>
      </c>
      <c r="J727">
        <v>1</v>
      </c>
      <c r="K727">
        <v>187000</v>
      </c>
      <c r="L727">
        <v>0.15</v>
      </c>
      <c r="M727">
        <v>118000</v>
      </c>
      <c r="N727">
        <f>(data[[#This Row],[unit_price]]*data[[#This Row],[quantity]]) * (1-data[[#This Row],[discount]])</f>
        <v>158950</v>
      </c>
      <c r="O727">
        <f>data[[#This Row],[sales]]-data[[#This Row],[cost]]</f>
        <v>40950</v>
      </c>
      <c r="P727" t="str">
        <f>TEXT(data[[#This Row],[order_date]],"mmm")</f>
        <v>Mar</v>
      </c>
      <c r="Q727">
        <f>YEAR(data[[#This Row],[order_date]])</f>
        <v>2025</v>
      </c>
      <c r="R727">
        <f>MONTH(data[[#This Row],[order_date]])</f>
        <v>3</v>
      </c>
      <c r="S727">
        <f>DAY(data[[#This Row],[order_date]])</f>
        <v>18</v>
      </c>
      <c r="T727">
        <f>data[[#This Row],[profit]]/data[[#This Row],[sales]]</f>
        <v>0.25762818496382511</v>
      </c>
    </row>
    <row r="728" spans="1:20" x14ac:dyDescent="0.35">
      <c r="A728" t="s">
        <v>929</v>
      </c>
      <c r="B728" s="1">
        <v>45756</v>
      </c>
      <c r="C728" t="s">
        <v>49</v>
      </c>
      <c r="D728" t="s">
        <v>50</v>
      </c>
      <c r="E728" t="s">
        <v>352</v>
      </c>
      <c r="F728" t="s">
        <v>23</v>
      </c>
      <c r="G728" t="s">
        <v>892</v>
      </c>
      <c r="H728" t="s">
        <v>893</v>
      </c>
      <c r="I728" t="s">
        <v>363</v>
      </c>
      <c r="J728">
        <v>2</v>
      </c>
      <c r="K728">
        <v>159000</v>
      </c>
      <c r="L728">
        <v>0</v>
      </c>
      <c r="M728">
        <v>104000</v>
      </c>
      <c r="N728">
        <f>(data[[#This Row],[unit_price]]*data[[#This Row],[quantity]]) * (1-data[[#This Row],[discount]])</f>
        <v>318000</v>
      </c>
      <c r="O728">
        <f>data[[#This Row],[sales]]-data[[#This Row],[cost]]</f>
        <v>214000</v>
      </c>
      <c r="P728" t="str">
        <f>TEXT(data[[#This Row],[order_date]],"mmm")</f>
        <v>Apr</v>
      </c>
      <c r="Q728">
        <f>YEAR(data[[#This Row],[order_date]])</f>
        <v>2025</v>
      </c>
      <c r="R728">
        <f>MONTH(data[[#This Row],[order_date]])</f>
        <v>4</v>
      </c>
      <c r="S728">
        <f>DAY(data[[#This Row],[order_date]])</f>
        <v>9</v>
      </c>
      <c r="T728">
        <f>data[[#This Row],[profit]]/data[[#This Row],[sales]]</f>
        <v>0.67295597484276726</v>
      </c>
    </row>
    <row r="729" spans="1:20" x14ac:dyDescent="0.35">
      <c r="A729" t="s">
        <v>930</v>
      </c>
      <c r="B729" s="1">
        <v>45766</v>
      </c>
      <c r="C729" t="s">
        <v>41</v>
      </c>
      <c r="D729" t="s">
        <v>42</v>
      </c>
      <c r="E729" t="s">
        <v>108</v>
      </c>
      <c r="F729" t="s">
        <v>23</v>
      </c>
      <c r="G729" t="s">
        <v>892</v>
      </c>
      <c r="H729" t="s">
        <v>893</v>
      </c>
      <c r="I729" t="s">
        <v>363</v>
      </c>
      <c r="J729">
        <v>1</v>
      </c>
      <c r="K729">
        <v>175000</v>
      </c>
      <c r="L729">
        <v>0</v>
      </c>
      <c r="M729">
        <v>114000</v>
      </c>
      <c r="N729">
        <f>(data[[#This Row],[unit_price]]*data[[#This Row],[quantity]]) * (1-data[[#This Row],[discount]])</f>
        <v>175000</v>
      </c>
      <c r="O729">
        <f>data[[#This Row],[sales]]-data[[#This Row],[cost]]</f>
        <v>61000</v>
      </c>
      <c r="P729" t="str">
        <f>TEXT(data[[#This Row],[order_date]],"mmm")</f>
        <v>Apr</v>
      </c>
      <c r="Q729">
        <f>YEAR(data[[#This Row],[order_date]])</f>
        <v>2025</v>
      </c>
      <c r="R729">
        <f>MONTH(data[[#This Row],[order_date]])</f>
        <v>4</v>
      </c>
      <c r="S729">
        <f>DAY(data[[#This Row],[order_date]])</f>
        <v>19</v>
      </c>
      <c r="T729">
        <f>data[[#This Row],[profit]]/data[[#This Row],[sales]]</f>
        <v>0.34857142857142859</v>
      </c>
    </row>
    <row r="730" spans="1:20" x14ac:dyDescent="0.35">
      <c r="A730" t="s">
        <v>931</v>
      </c>
      <c r="B730" s="1">
        <v>45766</v>
      </c>
      <c r="C730" t="s">
        <v>14</v>
      </c>
      <c r="D730" t="s">
        <v>15</v>
      </c>
      <c r="E730" t="s">
        <v>384</v>
      </c>
      <c r="F730" t="s">
        <v>23</v>
      </c>
      <c r="G730" t="s">
        <v>892</v>
      </c>
      <c r="H730" t="s">
        <v>893</v>
      </c>
      <c r="I730" t="s">
        <v>363</v>
      </c>
      <c r="J730">
        <v>1</v>
      </c>
      <c r="K730">
        <v>122000</v>
      </c>
      <c r="L730">
        <v>0</v>
      </c>
      <c r="M730">
        <v>80000</v>
      </c>
      <c r="N730">
        <f>(data[[#This Row],[unit_price]]*data[[#This Row],[quantity]]) * (1-data[[#This Row],[discount]])</f>
        <v>122000</v>
      </c>
      <c r="O730">
        <f>data[[#This Row],[sales]]-data[[#This Row],[cost]]</f>
        <v>42000</v>
      </c>
      <c r="P730" t="str">
        <f>TEXT(data[[#This Row],[order_date]],"mmm")</f>
        <v>Apr</v>
      </c>
      <c r="Q730">
        <f>YEAR(data[[#This Row],[order_date]])</f>
        <v>2025</v>
      </c>
      <c r="R730">
        <f>MONTH(data[[#This Row],[order_date]])</f>
        <v>4</v>
      </c>
      <c r="S730">
        <f>DAY(data[[#This Row],[order_date]])</f>
        <v>19</v>
      </c>
      <c r="T730">
        <f>data[[#This Row],[profit]]/data[[#This Row],[sales]]</f>
        <v>0.34426229508196721</v>
      </c>
    </row>
    <row r="731" spans="1:20" x14ac:dyDescent="0.35">
      <c r="A731" t="s">
        <v>932</v>
      </c>
      <c r="B731" s="1">
        <v>45775</v>
      </c>
      <c r="C731" t="s">
        <v>14</v>
      </c>
      <c r="D731" t="s">
        <v>15</v>
      </c>
      <c r="E731" t="s">
        <v>81</v>
      </c>
      <c r="F731" t="s">
        <v>17</v>
      </c>
      <c r="G731" t="s">
        <v>892</v>
      </c>
      <c r="H731" t="s">
        <v>893</v>
      </c>
      <c r="I731" t="s">
        <v>363</v>
      </c>
      <c r="J731">
        <v>3</v>
      </c>
      <c r="K731">
        <v>174000</v>
      </c>
      <c r="L731">
        <v>0.1</v>
      </c>
      <c r="M731">
        <v>112000</v>
      </c>
      <c r="N731">
        <f>(data[[#This Row],[unit_price]]*data[[#This Row],[quantity]]) * (1-data[[#This Row],[discount]])</f>
        <v>469800</v>
      </c>
      <c r="O731">
        <f>data[[#This Row],[sales]]-data[[#This Row],[cost]]</f>
        <v>357800</v>
      </c>
      <c r="P731" t="str">
        <f>TEXT(data[[#This Row],[order_date]],"mmm")</f>
        <v>Apr</v>
      </c>
      <c r="Q731">
        <f>YEAR(data[[#This Row],[order_date]])</f>
        <v>2025</v>
      </c>
      <c r="R731">
        <f>MONTH(data[[#This Row],[order_date]])</f>
        <v>4</v>
      </c>
      <c r="S731">
        <f>DAY(data[[#This Row],[order_date]])</f>
        <v>28</v>
      </c>
      <c r="T731">
        <f>data[[#This Row],[profit]]/data[[#This Row],[sales]]</f>
        <v>0.76160068114091106</v>
      </c>
    </row>
    <row r="732" spans="1:20" x14ac:dyDescent="0.35">
      <c r="A732" t="s">
        <v>933</v>
      </c>
      <c r="B732" s="1">
        <v>45841</v>
      </c>
      <c r="C732" t="s">
        <v>41</v>
      </c>
      <c r="D732" t="s">
        <v>42</v>
      </c>
      <c r="E732" t="s">
        <v>323</v>
      </c>
      <c r="F732" t="s">
        <v>28</v>
      </c>
      <c r="G732" t="s">
        <v>892</v>
      </c>
      <c r="H732" t="s">
        <v>893</v>
      </c>
      <c r="I732" t="s">
        <v>363</v>
      </c>
      <c r="J732">
        <v>1</v>
      </c>
      <c r="K732">
        <v>179000</v>
      </c>
      <c r="L732">
        <v>0</v>
      </c>
      <c r="M732">
        <v>115000</v>
      </c>
      <c r="N732">
        <f>(data[[#This Row],[unit_price]]*data[[#This Row],[quantity]]) * (1-data[[#This Row],[discount]])</f>
        <v>179000</v>
      </c>
      <c r="O732">
        <f>data[[#This Row],[sales]]-data[[#This Row],[cost]]</f>
        <v>64000</v>
      </c>
      <c r="P732" t="str">
        <f>TEXT(data[[#This Row],[order_date]],"mmm")</f>
        <v>Jul</v>
      </c>
      <c r="Q732">
        <f>YEAR(data[[#This Row],[order_date]])</f>
        <v>2025</v>
      </c>
      <c r="R732">
        <f>MONTH(data[[#This Row],[order_date]])</f>
        <v>7</v>
      </c>
      <c r="S732">
        <f>DAY(data[[#This Row],[order_date]])</f>
        <v>3</v>
      </c>
      <c r="T732">
        <f>data[[#This Row],[profit]]/data[[#This Row],[sales]]</f>
        <v>0.35754189944134079</v>
      </c>
    </row>
    <row r="733" spans="1:20" x14ac:dyDescent="0.35">
      <c r="A733" t="s">
        <v>934</v>
      </c>
      <c r="B733" s="1">
        <v>45876</v>
      </c>
      <c r="C733" t="s">
        <v>14</v>
      </c>
      <c r="D733" t="s">
        <v>15</v>
      </c>
      <c r="E733" t="s">
        <v>613</v>
      </c>
      <c r="F733" t="s">
        <v>28</v>
      </c>
      <c r="G733" t="s">
        <v>892</v>
      </c>
      <c r="H733" t="s">
        <v>893</v>
      </c>
      <c r="I733" t="s">
        <v>363</v>
      </c>
      <c r="J733">
        <v>1</v>
      </c>
      <c r="K733">
        <v>173000</v>
      </c>
      <c r="L733">
        <v>0</v>
      </c>
      <c r="M733">
        <v>111000</v>
      </c>
      <c r="N733">
        <f>(data[[#This Row],[unit_price]]*data[[#This Row],[quantity]]) * (1-data[[#This Row],[discount]])</f>
        <v>173000</v>
      </c>
      <c r="O733">
        <f>data[[#This Row],[sales]]-data[[#This Row],[cost]]</f>
        <v>62000</v>
      </c>
      <c r="P733" t="str">
        <f>TEXT(data[[#This Row],[order_date]],"mmm")</f>
        <v>Aug</v>
      </c>
      <c r="Q733">
        <f>YEAR(data[[#This Row],[order_date]])</f>
        <v>2025</v>
      </c>
      <c r="R733">
        <f>MONTH(data[[#This Row],[order_date]])</f>
        <v>8</v>
      </c>
      <c r="S733">
        <f>DAY(data[[#This Row],[order_date]])</f>
        <v>7</v>
      </c>
      <c r="T733">
        <f>data[[#This Row],[profit]]/data[[#This Row],[sales]]</f>
        <v>0.3583815028901734</v>
      </c>
    </row>
    <row r="734" spans="1:20" x14ac:dyDescent="0.35">
      <c r="A734" t="s">
        <v>935</v>
      </c>
      <c r="B734" s="1">
        <v>45877</v>
      </c>
      <c r="C734" t="s">
        <v>14</v>
      </c>
      <c r="D734" t="s">
        <v>15</v>
      </c>
      <c r="E734" t="s">
        <v>411</v>
      </c>
      <c r="F734" t="s">
        <v>28</v>
      </c>
      <c r="G734" t="s">
        <v>892</v>
      </c>
      <c r="H734" t="s">
        <v>893</v>
      </c>
      <c r="I734" t="s">
        <v>363</v>
      </c>
      <c r="J734">
        <v>2</v>
      </c>
      <c r="K734">
        <v>161000</v>
      </c>
      <c r="L734">
        <v>0.05</v>
      </c>
      <c r="M734">
        <v>102000</v>
      </c>
      <c r="N734">
        <f>(data[[#This Row],[unit_price]]*data[[#This Row],[quantity]]) * (1-data[[#This Row],[discount]])</f>
        <v>305900</v>
      </c>
      <c r="O734">
        <f>data[[#This Row],[sales]]-data[[#This Row],[cost]]</f>
        <v>203900</v>
      </c>
      <c r="P734" t="str">
        <f>TEXT(data[[#This Row],[order_date]],"mmm")</f>
        <v>Aug</v>
      </c>
      <c r="Q734">
        <f>YEAR(data[[#This Row],[order_date]])</f>
        <v>2025</v>
      </c>
      <c r="R734">
        <f>MONTH(data[[#This Row],[order_date]])</f>
        <v>8</v>
      </c>
      <c r="S734">
        <f>DAY(data[[#This Row],[order_date]])</f>
        <v>8</v>
      </c>
      <c r="T734">
        <f>data[[#This Row],[profit]]/data[[#This Row],[sales]]</f>
        <v>0.66655769859431191</v>
      </c>
    </row>
    <row r="735" spans="1:20" x14ac:dyDescent="0.35">
      <c r="A735" t="s">
        <v>936</v>
      </c>
      <c r="B735" s="1">
        <v>45881</v>
      </c>
      <c r="C735" t="s">
        <v>41</v>
      </c>
      <c r="D735" t="s">
        <v>42</v>
      </c>
      <c r="E735" t="s">
        <v>126</v>
      </c>
      <c r="F735" t="s">
        <v>17</v>
      </c>
      <c r="G735" t="s">
        <v>892</v>
      </c>
      <c r="H735" t="s">
        <v>893</v>
      </c>
      <c r="I735" t="s">
        <v>363</v>
      </c>
      <c r="J735">
        <v>1</v>
      </c>
      <c r="K735">
        <v>118000</v>
      </c>
      <c r="L735">
        <v>0</v>
      </c>
      <c r="M735">
        <v>78000</v>
      </c>
      <c r="N735">
        <f>(data[[#This Row],[unit_price]]*data[[#This Row],[quantity]]) * (1-data[[#This Row],[discount]])</f>
        <v>118000</v>
      </c>
      <c r="O735">
        <f>data[[#This Row],[sales]]-data[[#This Row],[cost]]</f>
        <v>40000</v>
      </c>
      <c r="P735" t="str">
        <f>TEXT(data[[#This Row],[order_date]],"mmm")</f>
        <v>Aug</v>
      </c>
      <c r="Q735">
        <f>YEAR(data[[#This Row],[order_date]])</f>
        <v>2025</v>
      </c>
      <c r="R735">
        <f>MONTH(data[[#This Row],[order_date]])</f>
        <v>8</v>
      </c>
      <c r="S735">
        <f>DAY(data[[#This Row],[order_date]])</f>
        <v>12</v>
      </c>
      <c r="T735">
        <f>data[[#This Row],[profit]]/data[[#This Row],[sales]]</f>
        <v>0.33898305084745761</v>
      </c>
    </row>
    <row r="736" spans="1:20" x14ac:dyDescent="0.35">
      <c r="A736" t="s">
        <v>937</v>
      </c>
      <c r="B736" s="1">
        <v>45899</v>
      </c>
      <c r="C736" t="s">
        <v>41</v>
      </c>
      <c r="D736" t="s">
        <v>42</v>
      </c>
      <c r="E736" t="s">
        <v>195</v>
      </c>
      <c r="F736" t="s">
        <v>23</v>
      </c>
      <c r="G736" t="s">
        <v>892</v>
      </c>
      <c r="H736" t="s">
        <v>893</v>
      </c>
      <c r="I736" t="s">
        <v>363</v>
      </c>
      <c r="J736">
        <v>3</v>
      </c>
      <c r="K736">
        <v>192000</v>
      </c>
      <c r="L736">
        <v>0</v>
      </c>
      <c r="M736">
        <v>126000</v>
      </c>
      <c r="N736">
        <f>(data[[#This Row],[unit_price]]*data[[#This Row],[quantity]]) * (1-data[[#This Row],[discount]])</f>
        <v>576000</v>
      </c>
      <c r="O736">
        <f>data[[#This Row],[sales]]-data[[#This Row],[cost]]</f>
        <v>450000</v>
      </c>
      <c r="P736" t="str">
        <f>TEXT(data[[#This Row],[order_date]],"mmm")</f>
        <v>Aug</v>
      </c>
      <c r="Q736">
        <f>YEAR(data[[#This Row],[order_date]])</f>
        <v>2025</v>
      </c>
      <c r="R736">
        <f>MONTH(data[[#This Row],[order_date]])</f>
        <v>8</v>
      </c>
      <c r="S736">
        <f>DAY(data[[#This Row],[order_date]])</f>
        <v>30</v>
      </c>
      <c r="T736">
        <f>data[[#This Row],[profit]]/data[[#This Row],[sales]]</f>
        <v>0.78125</v>
      </c>
    </row>
    <row r="737" spans="1:20" x14ac:dyDescent="0.35">
      <c r="A737" t="s">
        <v>938</v>
      </c>
      <c r="B737" s="1">
        <v>45939</v>
      </c>
      <c r="C737" t="s">
        <v>14</v>
      </c>
      <c r="D737" t="s">
        <v>15</v>
      </c>
      <c r="E737" t="s">
        <v>45</v>
      </c>
      <c r="F737" t="s">
        <v>17</v>
      </c>
      <c r="G737" t="s">
        <v>892</v>
      </c>
      <c r="H737" t="s">
        <v>893</v>
      </c>
      <c r="I737" t="s">
        <v>363</v>
      </c>
      <c r="J737">
        <v>1</v>
      </c>
      <c r="K737">
        <v>124000</v>
      </c>
      <c r="L737">
        <v>0.05</v>
      </c>
      <c r="M737">
        <v>81000</v>
      </c>
      <c r="N737">
        <f>(data[[#This Row],[unit_price]]*data[[#This Row],[quantity]]) * (1-data[[#This Row],[discount]])</f>
        <v>117800</v>
      </c>
      <c r="O737">
        <f>data[[#This Row],[sales]]-data[[#This Row],[cost]]</f>
        <v>36800</v>
      </c>
      <c r="P737" t="str">
        <f>TEXT(data[[#This Row],[order_date]],"mmm")</f>
        <v>Oct</v>
      </c>
      <c r="Q737">
        <f>YEAR(data[[#This Row],[order_date]])</f>
        <v>2025</v>
      </c>
      <c r="R737">
        <f>MONTH(data[[#This Row],[order_date]])</f>
        <v>10</v>
      </c>
      <c r="S737">
        <f>DAY(data[[#This Row],[order_date]])</f>
        <v>9</v>
      </c>
      <c r="T737">
        <f>data[[#This Row],[profit]]/data[[#This Row],[sales]]</f>
        <v>0.31239388794567063</v>
      </c>
    </row>
    <row r="738" spans="1:20" x14ac:dyDescent="0.35">
      <c r="A738" t="s">
        <v>939</v>
      </c>
      <c r="B738" s="1">
        <v>45961</v>
      </c>
      <c r="C738" t="s">
        <v>14</v>
      </c>
      <c r="D738" t="s">
        <v>15</v>
      </c>
      <c r="E738" t="s">
        <v>55</v>
      </c>
      <c r="F738" t="s">
        <v>17</v>
      </c>
      <c r="G738" t="s">
        <v>892</v>
      </c>
      <c r="H738" t="s">
        <v>893</v>
      </c>
      <c r="I738" t="s">
        <v>363</v>
      </c>
      <c r="J738">
        <v>2</v>
      </c>
      <c r="K738">
        <v>129000</v>
      </c>
      <c r="L738">
        <v>0</v>
      </c>
      <c r="M738">
        <v>86000</v>
      </c>
      <c r="N738">
        <f>(data[[#This Row],[unit_price]]*data[[#This Row],[quantity]]) * (1-data[[#This Row],[discount]])</f>
        <v>258000</v>
      </c>
      <c r="O738">
        <f>data[[#This Row],[sales]]-data[[#This Row],[cost]]</f>
        <v>172000</v>
      </c>
      <c r="P738" t="str">
        <f>TEXT(data[[#This Row],[order_date]],"mmm")</f>
        <v>Oct</v>
      </c>
      <c r="Q738">
        <f>YEAR(data[[#This Row],[order_date]])</f>
        <v>2025</v>
      </c>
      <c r="R738">
        <f>MONTH(data[[#This Row],[order_date]])</f>
        <v>10</v>
      </c>
      <c r="S738">
        <f>DAY(data[[#This Row],[order_date]])</f>
        <v>31</v>
      </c>
      <c r="T738">
        <f>data[[#This Row],[profit]]/data[[#This Row],[sales]]</f>
        <v>0.66666666666666663</v>
      </c>
    </row>
    <row r="739" spans="1:20" x14ac:dyDescent="0.35">
      <c r="A739" t="s">
        <v>940</v>
      </c>
      <c r="B739" s="1">
        <v>45962</v>
      </c>
      <c r="C739" t="s">
        <v>41</v>
      </c>
      <c r="D739" t="s">
        <v>42</v>
      </c>
      <c r="E739" t="s">
        <v>524</v>
      </c>
      <c r="F739" t="s">
        <v>17</v>
      </c>
      <c r="G739" t="s">
        <v>892</v>
      </c>
      <c r="H739" t="s">
        <v>893</v>
      </c>
      <c r="I739" t="s">
        <v>363</v>
      </c>
      <c r="J739">
        <v>3</v>
      </c>
      <c r="K739">
        <v>141592.59259259258</v>
      </c>
      <c r="L739">
        <v>0</v>
      </c>
      <c r="M739">
        <v>0</v>
      </c>
      <c r="N739">
        <f>(data[[#This Row],[unit_price]]*data[[#This Row],[quantity]]) * (1-data[[#This Row],[discount]])</f>
        <v>424777.77777777775</v>
      </c>
      <c r="O739">
        <f>data[[#This Row],[sales]]-data[[#This Row],[cost]]</f>
        <v>424777.77777777775</v>
      </c>
      <c r="P739" t="str">
        <f>TEXT(data[[#This Row],[order_date]],"mmm")</f>
        <v>Nov</v>
      </c>
      <c r="Q739">
        <f>YEAR(data[[#This Row],[order_date]])</f>
        <v>2025</v>
      </c>
      <c r="R739">
        <f>MONTH(data[[#This Row],[order_date]])</f>
        <v>11</v>
      </c>
      <c r="S739">
        <f>DAY(data[[#This Row],[order_date]])</f>
        <v>1</v>
      </c>
      <c r="T739">
        <f>data[[#This Row],[profit]]/data[[#This Row],[sales]]</f>
        <v>1</v>
      </c>
    </row>
    <row r="740" spans="1:20" x14ac:dyDescent="0.35">
      <c r="A740" t="s">
        <v>941</v>
      </c>
      <c r="B740" s="1">
        <v>45986</v>
      </c>
      <c r="C740" t="s">
        <v>14</v>
      </c>
      <c r="D740" t="s">
        <v>15</v>
      </c>
      <c r="E740" t="s">
        <v>419</v>
      </c>
      <c r="F740" t="s">
        <v>17</v>
      </c>
      <c r="G740" t="s">
        <v>892</v>
      </c>
      <c r="H740" t="s">
        <v>893</v>
      </c>
      <c r="I740" t="s">
        <v>363</v>
      </c>
      <c r="J740">
        <v>1</v>
      </c>
      <c r="K740">
        <v>117000</v>
      </c>
      <c r="L740">
        <v>0</v>
      </c>
      <c r="M740">
        <v>76000</v>
      </c>
      <c r="N740">
        <f>(data[[#This Row],[unit_price]]*data[[#This Row],[quantity]]) * (1-data[[#This Row],[discount]])</f>
        <v>117000</v>
      </c>
      <c r="O740">
        <f>data[[#This Row],[sales]]-data[[#This Row],[cost]]</f>
        <v>41000</v>
      </c>
      <c r="P740" t="str">
        <f>TEXT(data[[#This Row],[order_date]],"mmm")</f>
        <v>Nov</v>
      </c>
      <c r="Q740">
        <f>YEAR(data[[#This Row],[order_date]])</f>
        <v>2025</v>
      </c>
      <c r="R740">
        <f>MONTH(data[[#This Row],[order_date]])</f>
        <v>11</v>
      </c>
      <c r="S740">
        <f>DAY(data[[#This Row],[order_date]])</f>
        <v>25</v>
      </c>
      <c r="T740">
        <f>data[[#This Row],[profit]]/data[[#This Row],[sales]]</f>
        <v>0.3504273504273504</v>
      </c>
    </row>
    <row r="741" spans="1:20" x14ac:dyDescent="0.35">
      <c r="A741" t="s">
        <v>942</v>
      </c>
      <c r="B741" s="1">
        <v>46021</v>
      </c>
      <c r="C741" t="s">
        <v>14</v>
      </c>
      <c r="D741" t="s">
        <v>15</v>
      </c>
      <c r="E741" t="s">
        <v>164</v>
      </c>
      <c r="F741" t="s">
        <v>23</v>
      </c>
      <c r="G741" t="s">
        <v>892</v>
      </c>
      <c r="H741" t="s">
        <v>893</v>
      </c>
      <c r="I741" t="s">
        <v>363</v>
      </c>
      <c r="J741">
        <v>1</v>
      </c>
      <c r="K741">
        <v>89000</v>
      </c>
      <c r="L741">
        <v>0</v>
      </c>
      <c r="M741">
        <v>59000</v>
      </c>
      <c r="N741">
        <f>(data[[#This Row],[unit_price]]*data[[#This Row],[quantity]]) * (1-data[[#This Row],[discount]])</f>
        <v>89000</v>
      </c>
      <c r="O741">
        <f>data[[#This Row],[sales]]-data[[#This Row],[cost]]</f>
        <v>30000</v>
      </c>
      <c r="P741" t="str">
        <f>TEXT(data[[#This Row],[order_date]],"mmm")</f>
        <v>Dec</v>
      </c>
      <c r="Q741">
        <f>YEAR(data[[#This Row],[order_date]])</f>
        <v>2025</v>
      </c>
      <c r="R741">
        <f>MONTH(data[[#This Row],[order_date]])</f>
        <v>12</v>
      </c>
      <c r="S741">
        <f>DAY(data[[#This Row],[order_date]])</f>
        <v>30</v>
      </c>
      <c r="T741">
        <f>data[[#This Row],[profit]]/data[[#This Row],[sales]]</f>
        <v>0.33707865168539325</v>
      </c>
    </row>
    <row r="742" spans="1:20" x14ac:dyDescent="0.35">
      <c r="A742" t="s">
        <v>943</v>
      </c>
      <c r="B742" s="1">
        <v>46035</v>
      </c>
      <c r="C742" t="s">
        <v>14</v>
      </c>
      <c r="D742" t="s">
        <v>15</v>
      </c>
      <c r="E742" t="s">
        <v>224</v>
      </c>
      <c r="F742" t="s">
        <v>23</v>
      </c>
      <c r="G742" t="s">
        <v>892</v>
      </c>
      <c r="H742" t="s">
        <v>893</v>
      </c>
      <c r="I742" t="s">
        <v>363</v>
      </c>
      <c r="J742">
        <v>1</v>
      </c>
      <c r="K742">
        <v>138000</v>
      </c>
      <c r="L742">
        <v>0.1</v>
      </c>
      <c r="M742">
        <v>88000</v>
      </c>
      <c r="N742">
        <f>(data[[#This Row],[unit_price]]*data[[#This Row],[quantity]]) * (1-data[[#This Row],[discount]])</f>
        <v>124200</v>
      </c>
      <c r="O742">
        <f>data[[#This Row],[sales]]-data[[#This Row],[cost]]</f>
        <v>36200</v>
      </c>
      <c r="P742" t="str">
        <f>TEXT(data[[#This Row],[order_date]],"mmm")</f>
        <v>Jan</v>
      </c>
      <c r="Q742">
        <f>YEAR(data[[#This Row],[order_date]])</f>
        <v>2026</v>
      </c>
      <c r="R742">
        <f>MONTH(data[[#This Row],[order_date]])</f>
        <v>1</v>
      </c>
      <c r="S742">
        <f>DAY(data[[#This Row],[order_date]])</f>
        <v>13</v>
      </c>
      <c r="T742">
        <f>data[[#This Row],[profit]]/data[[#This Row],[sales]]</f>
        <v>0.29146537842190018</v>
      </c>
    </row>
    <row r="743" spans="1:20" x14ac:dyDescent="0.35">
      <c r="A743" t="s">
        <v>944</v>
      </c>
      <c r="B743" s="1">
        <v>46050</v>
      </c>
      <c r="C743" t="s">
        <v>14</v>
      </c>
      <c r="D743" t="s">
        <v>15</v>
      </c>
      <c r="E743" t="s">
        <v>239</v>
      </c>
      <c r="F743" t="s">
        <v>23</v>
      </c>
      <c r="G743" t="s">
        <v>892</v>
      </c>
      <c r="H743" t="s">
        <v>893</v>
      </c>
      <c r="I743" t="s">
        <v>363</v>
      </c>
      <c r="J743">
        <v>1</v>
      </c>
      <c r="K743">
        <v>153000</v>
      </c>
      <c r="L743">
        <v>0</v>
      </c>
      <c r="M743">
        <v>101000</v>
      </c>
      <c r="N743">
        <f>(data[[#This Row],[unit_price]]*data[[#This Row],[quantity]]) * (1-data[[#This Row],[discount]])</f>
        <v>153000</v>
      </c>
      <c r="O743">
        <f>data[[#This Row],[sales]]-data[[#This Row],[cost]]</f>
        <v>52000</v>
      </c>
      <c r="P743" t="str">
        <f>TEXT(data[[#This Row],[order_date]],"mmm")</f>
        <v>Jan</v>
      </c>
      <c r="Q743">
        <f>YEAR(data[[#This Row],[order_date]])</f>
        <v>2026</v>
      </c>
      <c r="R743">
        <f>MONTH(data[[#This Row],[order_date]])</f>
        <v>1</v>
      </c>
      <c r="S743">
        <f>DAY(data[[#This Row],[order_date]])</f>
        <v>28</v>
      </c>
      <c r="T743">
        <f>data[[#This Row],[profit]]/data[[#This Row],[sales]]</f>
        <v>0.33986928104575165</v>
      </c>
    </row>
    <row r="744" spans="1:20" x14ac:dyDescent="0.35">
      <c r="A744" t="s">
        <v>945</v>
      </c>
      <c r="B744" s="1">
        <v>46059</v>
      </c>
      <c r="C744" t="s">
        <v>14</v>
      </c>
      <c r="D744" t="s">
        <v>15</v>
      </c>
      <c r="E744" t="s">
        <v>89</v>
      </c>
      <c r="F744" t="s">
        <v>23</v>
      </c>
      <c r="G744" t="s">
        <v>892</v>
      </c>
      <c r="H744" t="s">
        <v>893</v>
      </c>
      <c r="I744" t="s">
        <v>363</v>
      </c>
      <c r="J744">
        <v>2</v>
      </c>
      <c r="K744">
        <v>94000</v>
      </c>
      <c r="L744">
        <v>0</v>
      </c>
      <c r="M744">
        <v>60000</v>
      </c>
      <c r="N744">
        <f>(data[[#This Row],[unit_price]]*data[[#This Row],[quantity]]) * (1-data[[#This Row],[discount]])</f>
        <v>188000</v>
      </c>
      <c r="O744">
        <f>data[[#This Row],[sales]]-data[[#This Row],[cost]]</f>
        <v>128000</v>
      </c>
      <c r="P744" t="str">
        <f>TEXT(data[[#This Row],[order_date]],"mmm")</f>
        <v>Feb</v>
      </c>
      <c r="Q744">
        <f>YEAR(data[[#This Row],[order_date]])</f>
        <v>2026</v>
      </c>
      <c r="R744">
        <f>MONTH(data[[#This Row],[order_date]])</f>
        <v>2</v>
      </c>
      <c r="S744">
        <f>DAY(data[[#This Row],[order_date]])</f>
        <v>6</v>
      </c>
      <c r="T744">
        <f>data[[#This Row],[profit]]/data[[#This Row],[sales]]</f>
        <v>0.68085106382978722</v>
      </c>
    </row>
    <row r="745" spans="1:20" x14ac:dyDescent="0.35">
      <c r="A745" t="s">
        <v>946</v>
      </c>
      <c r="B745" s="1">
        <v>46137</v>
      </c>
      <c r="C745" t="s">
        <v>14</v>
      </c>
      <c r="D745" t="s">
        <v>15</v>
      </c>
      <c r="E745" t="s">
        <v>239</v>
      </c>
      <c r="F745" t="s">
        <v>23</v>
      </c>
      <c r="G745" t="s">
        <v>892</v>
      </c>
      <c r="H745" t="s">
        <v>893</v>
      </c>
      <c r="I745" t="s">
        <v>363</v>
      </c>
      <c r="J745">
        <v>1</v>
      </c>
      <c r="K745">
        <v>165000</v>
      </c>
      <c r="L745">
        <v>0.05</v>
      </c>
      <c r="M745">
        <v>106000</v>
      </c>
      <c r="N745">
        <f>(data[[#This Row],[unit_price]]*data[[#This Row],[quantity]]) * (1-data[[#This Row],[discount]])</f>
        <v>156750</v>
      </c>
      <c r="O745">
        <f>data[[#This Row],[sales]]-data[[#This Row],[cost]]</f>
        <v>50750</v>
      </c>
      <c r="P745" t="str">
        <f>TEXT(data[[#This Row],[order_date]],"mmm")</f>
        <v>Apr</v>
      </c>
      <c r="Q745">
        <f>YEAR(data[[#This Row],[order_date]])</f>
        <v>2026</v>
      </c>
      <c r="R745">
        <f>MONTH(data[[#This Row],[order_date]])</f>
        <v>4</v>
      </c>
      <c r="S745">
        <f>DAY(data[[#This Row],[order_date]])</f>
        <v>25</v>
      </c>
      <c r="T745">
        <f>data[[#This Row],[profit]]/data[[#This Row],[sales]]</f>
        <v>0.3237639553429027</v>
      </c>
    </row>
    <row r="746" spans="1:20" x14ac:dyDescent="0.35">
      <c r="A746" t="s">
        <v>947</v>
      </c>
      <c r="B746" s="1">
        <v>46152</v>
      </c>
      <c r="C746" t="s">
        <v>14</v>
      </c>
      <c r="D746" t="s">
        <v>15</v>
      </c>
      <c r="E746" t="s">
        <v>327</v>
      </c>
      <c r="F746" t="s">
        <v>23</v>
      </c>
      <c r="G746" t="s">
        <v>892</v>
      </c>
      <c r="H746" t="s">
        <v>893</v>
      </c>
      <c r="I746" t="s">
        <v>363</v>
      </c>
      <c r="J746">
        <v>1</v>
      </c>
      <c r="K746">
        <v>159000</v>
      </c>
      <c r="L746">
        <v>0.15</v>
      </c>
      <c r="M746">
        <v>105000</v>
      </c>
      <c r="N746">
        <f>(data[[#This Row],[unit_price]]*data[[#This Row],[quantity]]) * (1-data[[#This Row],[discount]])</f>
        <v>135150</v>
      </c>
      <c r="O746">
        <f>data[[#This Row],[sales]]-data[[#This Row],[cost]]</f>
        <v>30150</v>
      </c>
      <c r="P746" t="str">
        <f>TEXT(data[[#This Row],[order_date]],"mmm")</f>
        <v>May</v>
      </c>
      <c r="Q746">
        <f>YEAR(data[[#This Row],[order_date]])</f>
        <v>2026</v>
      </c>
      <c r="R746">
        <f>MONTH(data[[#This Row],[order_date]])</f>
        <v>5</v>
      </c>
      <c r="S746">
        <f>DAY(data[[#This Row],[order_date]])</f>
        <v>10</v>
      </c>
      <c r="T746">
        <f>data[[#This Row],[profit]]/data[[#This Row],[sales]]</f>
        <v>0.22308546059933407</v>
      </c>
    </row>
    <row r="747" spans="1:20" x14ac:dyDescent="0.35">
      <c r="A747" t="s">
        <v>948</v>
      </c>
      <c r="B747" s="1">
        <v>46198</v>
      </c>
      <c r="C747" t="s">
        <v>14</v>
      </c>
      <c r="D747" t="s">
        <v>15</v>
      </c>
      <c r="E747" t="s">
        <v>394</v>
      </c>
      <c r="F747" t="s">
        <v>23</v>
      </c>
      <c r="G747" t="s">
        <v>892</v>
      </c>
      <c r="H747" t="s">
        <v>893</v>
      </c>
      <c r="I747" t="s">
        <v>363</v>
      </c>
      <c r="J747">
        <v>3</v>
      </c>
      <c r="K747">
        <v>183000</v>
      </c>
      <c r="L747">
        <v>0</v>
      </c>
      <c r="M747">
        <v>120000</v>
      </c>
      <c r="N747">
        <f>(data[[#This Row],[unit_price]]*data[[#This Row],[quantity]]) * (1-data[[#This Row],[discount]])</f>
        <v>549000</v>
      </c>
      <c r="O747">
        <f>data[[#This Row],[sales]]-data[[#This Row],[cost]]</f>
        <v>429000</v>
      </c>
      <c r="P747" t="str">
        <f>TEXT(data[[#This Row],[order_date]],"mmm")</f>
        <v>Jun</v>
      </c>
      <c r="Q747">
        <f>YEAR(data[[#This Row],[order_date]])</f>
        <v>2026</v>
      </c>
      <c r="R747">
        <f>MONTH(data[[#This Row],[order_date]])</f>
        <v>6</v>
      </c>
      <c r="S747">
        <f>DAY(data[[#This Row],[order_date]])</f>
        <v>25</v>
      </c>
      <c r="T747">
        <f>data[[#This Row],[profit]]/data[[#This Row],[sales]]</f>
        <v>0.78142076502732238</v>
      </c>
    </row>
    <row r="748" spans="1:20" x14ac:dyDescent="0.35">
      <c r="A748" t="s">
        <v>949</v>
      </c>
      <c r="B748" s="1">
        <v>44937</v>
      </c>
      <c r="C748" t="s">
        <v>41</v>
      </c>
      <c r="D748" t="s">
        <v>42</v>
      </c>
      <c r="E748" t="s">
        <v>741</v>
      </c>
      <c r="F748" t="s">
        <v>23</v>
      </c>
      <c r="G748" t="s">
        <v>950</v>
      </c>
      <c r="H748" t="s">
        <v>951</v>
      </c>
      <c r="I748" t="s">
        <v>20</v>
      </c>
      <c r="J748">
        <v>1</v>
      </c>
      <c r="K748">
        <v>939000</v>
      </c>
      <c r="L748">
        <v>0.15</v>
      </c>
      <c r="M748">
        <v>672000</v>
      </c>
      <c r="N748">
        <f>(data[[#This Row],[unit_price]]*data[[#This Row],[quantity]]) * (1-data[[#This Row],[discount]])</f>
        <v>798150</v>
      </c>
      <c r="O748">
        <f>data[[#This Row],[sales]]-data[[#This Row],[cost]]</f>
        <v>126150</v>
      </c>
      <c r="P748" t="str">
        <f>TEXT(data[[#This Row],[order_date]],"mmm")</f>
        <v>Jan</v>
      </c>
      <c r="Q748">
        <f>YEAR(data[[#This Row],[order_date]])</f>
        <v>2023</v>
      </c>
      <c r="R748">
        <f>MONTH(data[[#This Row],[order_date]])</f>
        <v>1</v>
      </c>
      <c r="S748">
        <f>DAY(data[[#This Row],[order_date]])</f>
        <v>11</v>
      </c>
      <c r="T748">
        <f>data[[#This Row],[profit]]/data[[#This Row],[sales]]</f>
        <v>0.15805299755685021</v>
      </c>
    </row>
    <row r="749" spans="1:20" x14ac:dyDescent="0.35">
      <c r="A749" t="s">
        <v>952</v>
      </c>
      <c r="B749" s="1">
        <v>44941</v>
      </c>
      <c r="C749" t="s">
        <v>14</v>
      </c>
      <c r="D749" t="s">
        <v>15</v>
      </c>
      <c r="E749" t="s">
        <v>498</v>
      </c>
      <c r="F749" t="s">
        <v>23</v>
      </c>
      <c r="G749" t="s">
        <v>950</v>
      </c>
      <c r="H749" t="s">
        <v>951</v>
      </c>
      <c r="I749" t="s">
        <v>20</v>
      </c>
      <c r="J749">
        <v>1</v>
      </c>
      <c r="K749">
        <v>814000</v>
      </c>
      <c r="L749">
        <v>0</v>
      </c>
      <c r="M749">
        <v>590000</v>
      </c>
      <c r="N749">
        <f>(data[[#This Row],[unit_price]]*data[[#This Row],[quantity]]) * (1-data[[#This Row],[discount]])</f>
        <v>814000</v>
      </c>
      <c r="O749">
        <f>data[[#This Row],[sales]]-data[[#This Row],[cost]]</f>
        <v>224000</v>
      </c>
      <c r="P749" t="str">
        <f>TEXT(data[[#This Row],[order_date]],"mmm")</f>
        <v>Jan</v>
      </c>
      <c r="Q749">
        <f>YEAR(data[[#This Row],[order_date]])</f>
        <v>2023</v>
      </c>
      <c r="R749">
        <f>MONTH(data[[#This Row],[order_date]])</f>
        <v>1</v>
      </c>
      <c r="S749">
        <f>DAY(data[[#This Row],[order_date]])</f>
        <v>15</v>
      </c>
      <c r="T749">
        <f>data[[#This Row],[profit]]/data[[#This Row],[sales]]</f>
        <v>0.27518427518427518</v>
      </c>
    </row>
    <row r="750" spans="1:20" x14ac:dyDescent="0.35">
      <c r="A750" t="s">
        <v>953</v>
      </c>
      <c r="B750" s="1">
        <v>44943</v>
      </c>
      <c r="C750" t="s">
        <v>49</v>
      </c>
      <c r="D750" t="s">
        <v>50</v>
      </c>
      <c r="E750" t="s">
        <v>166</v>
      </c>
      <c r="F750" t="s">
        <v>28</v>
      </c>
      <c r="G750" t="s">
        <v>950</v>
      </c>
      <c r="H750" t="s">
        <v>951</v>
      </c>
      <c r="I750" t="s">
        <v>20</v>
      </c>
      <c r="J750">
        <v>1</v>
      </c>
      <c r="K750">
        <v>806000</v>
      </c>
      <c r="L750">
        <v>0</v>
      </c>
      <c r="M750">
        <v>588000</v>
      </c>
      <c r="N750">
        <f>(data[[#This Row],[unit_price]]*data[[#This Row],[quantity]]) * (1-data[[#This Row],[discount]])</f>
        <v>806000</v>
      </c>
      <c r="O750">
        <f>data[[#This Row],[sales]]-data[[#This Row],[cost]]</f>
        <v>218000</v>
      </c>
      <c r="P750" t="str">
        <f>TEXT(data[[#This Row],[order_date]],"mmm")</f>
        <v>Jan</v>
      </c>
      <c r="Q750">
        <f>YEAR(data[[#This Row],[order_date]])</f>
        <v>2023</v>
      </c>
      <c r="R750">
        <f>MONTH(data[[#This Row],[order_date]])</f>
        <v>1</v>
      </c>
      <c r="S750">
        <f>DAY(data[[#This Row],[order_date]])</f>
        <v>17</v>
      </c>
      <c r="T750">
        <f>data[[#This Row],[profit]]/data[[#This Row],[sales]]</f>
        <v>0.27047146401985112</v>
      </c>
    </row>
    <row r="751" spans="1:20" x14ac:dyDescent="0.35">
      <c r="A751" t="s">
        <v>954</v>
      </c>
      <c r="B751" s="1">
        <v>44987</v>
      </c>
      <c r="C751" t="s">
        <v>41</v>
      </c>
      <c r="D751" t="s">
        <v>42</v>
      </c>
      <c r="E751" t="s">
        <v>195</v>
      </c>
      <c r="F751" t="s">
        <v>23</v>
      </c>
      <c r="G751" t="s">
        <v>950</v>
      </c>
      <c r="H751" t="s">
        <v>951</v>
      </c>
      <c r="I751" t="s">
        <v>20</v>
      </c>
      <c r="J751">
        <v>1</v>
      </c>
      <c r="K751">
        <v>1218000</v>
      </c>
      <c r="L751">
        <v>0</v>
      </c>
      <c r="M751">
        <v>896000</v>
      </c>
      <c r="N751">
        <f>(data[[#This Row],[unit_price]]*data[[#This Row],[quantity]]) * (1-data[[#This Row],[discount]])</f>
        <v>1218000</v>
      </c>
      <c r="O751">
        <f>data[[#This Row],[sales]]-data[[#This Row],[cost]]</f>
        <v>322000</v>
      </c>
      <c r="P751" t="str">
        <f>TEXT(data[[#This Row],[order_date]],"mmm")</f>
        <v>Mar</v>
      </c>
      <c r="Q751">
        <f>YEAR(data[[#This Row],[order_date]])</f>
        <v>2023</v>
      </c>
      <c r="R751">
        <f>MONTH(data[[#This Row],[order_date]])</f>
        <v>3</v>
      </c>
      <c r="S751">
        <f>DAY(data[[#This Row],[order_date]])</f>
        <v>2</v>
      </c>
      <c r="T751">
        <f>data[[#This Row],[profit]]/data[[#This Row],[sales]]</f>
        <v>0.26436781609195403</v>
      </c>
    </row>
    <row r="752" spans="1:20" x14ac:dyDescent="0.35">
      <c r="A752" t="s">
        <v>955</v>
      </c>
      <c r="B752" s="1">
        <v>45085</v>
      </c>
      <c r="C752" t="s">
        <v>49</v>
      </c>
      <c r="D752" t="s">
        <v>50</v>
      </c>
      <c r="E752" t="s">
        <v>102</v>
      </c>
      <c r="F752" t="s">
        <v>58</v>
      </c>
      <c r="G752" t="s">
        <v>950</v>
      </c>
      <c r="H752" t="s">
        <v>951</v>
      </c>
      <c r="I752" t="s">
        <v>20</v>
      </c>
      <c r="J752">
        <v>1</v>
      </c>
      <c r="K752">
        <v>927000</v>
      </c>
      <c r="L752">
        <v>0</v>
      </c>
      <c r="M752">
        <v>667000</v>
      </c>
      <c r="N752">
        <f>(data[[#This Row],[unit_price]]*data[[#This Row],[quantity]]) * (1-data[[#This Row],[discount]])</f>
        <v>927000</v>
      </c>
      <c r="O752">
        <f>data[[#This Row],[sales]]-data[[#This Row],[cost]]</f>
        <v>260000</v>
      </c>
      <c r="P752" t="str">
        <f>TEXT(data[[#This Row],[order_date]],"mmm")</f>
        <v>Jun</v>
      </c>
      <c r="Q752">
        <f>YEAR(data[[#This Row],[order_date]])</f>
        <v>2023</v>
      </c>
      <c r="R752">
        <f>MONTH(data[[#This Row],[order_date]])</f>
        <v>6</v>
      </c>
      <c r="S752">
        <f>DAY(data[[#This Row],[order_date]])</f>
        <v>8</v>
      </c>
      <c r="T752">
        <f>data[[#This Row],[profit]]/data[[#This Row],[sales]]</f>
        <v>0.28047464940668826</v>
      </c>
    </row>
    <row r="753" spans="1:20" x14ac:dyDescent="0.35">
      <c r="A753" t="s">
        <v>956</v>
      </c>
      <c r="B753" s="1">
        <v>45126</v>
      </c>
      <c r="C753" t="s">
        <v>14</v>
      </c>
      <c r="D753" t="s">
        <v>15</v>
      </c>
      <c r="E753" t="s">
        <v>203</v>
      </c>
      <c r="F753" t="s">
        <v>17</v>
      </c>
      <c r="G753" t="s">
        <v>950</v>
      </c>
      <c r="H753" t="s">
        <v>951</v>
      </c>
      <c r="I753" t="s">
        <v>20</v>
      </c>
      <c r="J753">
        <v>1</v>
      </c>
      <c r="K753">
        <v>1235000</v>
      </c>
      <c r="L753">
        <v>0</v>
      </c>
      <c r="M753">
        <v>907000</v>
      </c>
      <c r="N753">
        <f>(data[[#This Row],[unit_price]]*data[[#This Row],[quantity]]) * (1-data[[#This Row],[discount]])</f>
        <v>1235000</v>
      </c>
      <c r="O753">
        <f>data[[#This Row],[sales]]-data[[#This Row],[cost]]</f>
        <v>328000</v>
      </c>
      <c r="P753" t="str">
        <f>TEXT(data[[#This Row],[order_date]],"mmm")</f>
        <v>Jul</v>
      </c>
      <c r="Q753">
        <f>YEAR(data[[#This Row],[order_date]])</f>
        <v>2023</v>
      </c>
      <c r="R753">
        <f>MONTH(data[[#This Row],[order_date]])</f>
        <v>7</v>
      </c>
      <c r="S753">
        <f>DAY(data[[#This Row],[order_date]])</f>
        <v>19</v>
      </c>
      <c r="T753">
        <f>data[[#This Row],[profit]]/data[[#This Row],[sales]]</f>
        <v>0.26558704453441295</v>
      </c>
    </row>
    <row r="754" spans="1:20" x14ac:dyDescent="0.35">
      <c r="A754" t="s">
        <v>957</v>
      </c>
      <c r="B754" s="1">
        <v>45128</v>
      </c>
      <c r="C754" t="s">
        <v>14</v>
      </c>
      <c r="D754" t="s">
        <v>15</v>
      </c>
      <c r="E754" t="s">
        <v>186</v>
      </c>
      <c r="F754" t="s">
        <v>23</v>
      </c>
      <c r="G754" t="s">
        <v>950</v>
      </c>
      <c r="H754" t="s">
        <v>951</v>
      </c>
      <c r="I754" t="s">
        <v>20</v>
      </c>
      <c r="J754">
        <v>3</v>
      </c>
      <c r="K754">
        <v>996000</v>
      </c>
      <c r="L754">
        <v>0</v>
      </c>
      <c r="M754">
        <v>735000</v>
      </c>
      <c r="N754">
        <f>(data[[#This Row],[unit_price]]*data[[#This Row],[quantity]]) * (1-data[[#This Row],[discount]])</f>
        <v>2988000</v>
      </c>
      <c r="O754">
        <f>data[[#This Row],[sales]]-data[[#This Row],[cost]]</f>
        <v>2253000</v>
      </c>
      <c r="P754" t="str">
        <f>TEXT(data[[#This Row],[order_date]],"mmm")</f>
        <v>Jul</v>
      </c>
      <c r="Q754">
        <f>YEAR(data[[#This Row],[order_date]])</f>
        <v>2023</v>
      </c>
      <c r="R754">
        <f>MONTH(data[[#This Row],[order_date]])</f>
        <v>7</v>
      </c>
      <c r="S754">
        <f>DAY(data[[#This Row],[order_date]])</f>
        <v>21</v>
      </c>
      <c r="T754">
        <f>data[[#This Row],[profit]]/data[[#This Row],[sales]]</f>
        <v>0.75401606425702816</v>
      </c>
    </row>
    <row r="755" spans="1:20" x14ac:dyDescent="0.35">
      <c r="A755" t="s">
        <v>958</v>
      </c>
      <c r="B755" s="1">
        <v>45221</v>
      </c>
      <c r="C755" t="s">
        <v>14</v>
      </c>
      <c r="D755" t="s">
        <v>15</v>
      </c>
      <c r="E755" t="s">
        <v>130</v>
      </c>
      <c r="F755" t="s">
        <v>28</v>
      </c>
      <c r="G755" t="s">
        <v>950</v>
      </c>
      <c r="H755" t="s">
        <v>951</v>
      </c>
      <c r="I755" t="s">
        <v>20</v>
      </c>
      <c r="J755">
        <v>1</v>
      </c>
      <c r="K755">
        <v>1050000</v>
      </c>
      <c r="L755">
        <v>0</v>
      </c>
      <c r="M755">
        <v>772000</v>
      </c>
      <c r="N755">
        <f>(data[[#This Row],[unit_price]]*data[[#This Row],[quantity]]) * (1-data[[#This Row],[discount]])</f>
        <v>1050000</v>
      </c>
      <c r="O755">
        <f>data[[#This Row],[sales]]-data[[#This Row],[cost]]</f>
        <v>278000</v>
      </c>
      <c r="P755" t="str">
        <f>TEXT(data[[#This Row],[order_date]],"mmm")</f>
        <v>Oct</v>
      </c>
      <c r="Q755">
        <f>YEAR(data[[#This Row],[order_date]])</f>
        <v>2023</v>
      </c>
      <c r="R755">
        <f>MONTH(data[[#This Row],[order_date]])</f>
        <v>10</v>
      </c>
      <c r="S755">
        <f>DAY(data[[#This Row],[order_date]])</f>
        <v>22</v>
      </c>
      <c r="T755">
        <f>data[[#This Row],[profit]]/data[[#This Row],[sales]]</f>
        <v>0.26476190476190475</v>
      </c>
    </row>
    <row r="756" spans="1:20" x14ac:dyDescent="0.35">
      <c r="A756" t="s">
        <v>959</v>
      </c>
      <c r="B756" s="1">
        <v>45269</v>
      </c>
      <c r="C756" t="s">
        <v>14</v>
      </c>
      <c r="D756" t="s">
        <v>15</v>
      </c>
      <c r="E756" t="s">
        <v>123</v>
      </c>
      <c r="F756" t="s">
        <v>28</v>
      </c>
      <c r="G756" t="s">
        <v>950</v>
      </c>
      <c r="H756" t="s">
        <v>951</v>
      </c>
      <c r="I756" t="s">
        <v>20</v>
      </c>
      <c r="J756">
        <v>1</v>
      </c>
      <c r="K756">
        <v>1286000</v>
      </c>
      <c r="L756">
        <v>0</v>
      </c>
      <c r="M756">
        <v>935000</v>
      </c>
      <c r="N756">
        <f>(data[[#This Row],[unit_price]]*data[[#This Row],[quantity]]) * (1-data[[#This Row],[discount]])</f>
        <v>1286000</v>
      </c>
      <c r="O756">
        <f>data[[#This Row],[sales]]-data[[#This Row],[cost]]</f>
        <v>351000</v>
      </c>
      <c r="P756" t="str">
        <f>TEXT(data[[#This Row],[order_date]],"mmm")</f>
        <v>Dec</v>
      </c>
      <c r="Q756">
        <f>YEAR(data[[#This Row],[order_date]])</f>
        <v>2023</v>
      </c>
      <c r="R756">
        <f>MONTH(data[[#This Row],[order_date]])</f>
        <v>12</v>
      </c>
      <c r="S756">
        <f>DAY(data[[#This Row],[order_date]])</f>
        <v>9</v>
      </c>
      <c r="T756">
        <f>data[[#This Row],[profit]]/data[[#This Row],[sales]]</f>
        <v>0.27293934681181958</v>
      </c>
    </row>
    <row r="757" spans="1:20" x14ac:dyDescent="0.35">
      <c r="A757" t="s">
        <v>960</v>
      </c>
      <c r="B757" s="1">
        <v>45276</v>
      </c>
      <c r="C757" t="s">
        <v>25</v>
      </c>
      <c r="D757" t="s">
        <v>26</v>
      </c>
      <c r="E757" t="s">
        <v>825</v>
      </c>
      <c r="F757" t="s">
        <v>23</v>
      </c>
      <c r="G757" t="s">
        <v>950</v>
      </c>
      <c r="H757" t="s">
        <v>951</v>
      </c>
      <c r="I757" t="s">
        <v>20</v>
      </c>
      <c r="J757">
        <v>1</v>
      </c>
      <c r="K757">
        <v>1153000</v>
      </c>
      <c r="L757">
        <v>0</v>
      </c>
      <c r="M757">
        <v>813000</v>
      </c>
      <c r="N757">
        <f>(data[[#This Row],[unit_price]]*data[[#This Row],[quantity]]) * (1-data[[#This Row],[discount]])</f>
        <v>1153000</v>
      </c>
      <c r="O757">
        <f>data[[#This Row],[sales]]-data[[#This Row],[cost]]</f>
        <v>340000</v>
      </c>
      <c r="P757" t="str">
        <f>TEXT(data[[#This Row],[order_date]],"mmm")</f>
        <v>Dec</v>
      </c>
      <c r="Q757">
        <f>YEAR(data[[#This Row],[order_date]])</f>
        <v>2023</v>
      </c>
      <c r="R757">
        <f>MONTH(data[[#This Row],[order_date]])</f>
        <v>12</v>
      </c>
      <c r="S757">
        <f>DAY(data[[#This Row],[order_date]])</f>
        <v>16</v>
      </c>
      <c r="T757">
        <f>data[[#This Row],[profit]]/data[[#This Row],[sales]]</f>
        <v>0.29488291413703382</v>
      </c>
    </row>
    <row r="758" spans="1:20" x14ac:dyDescent="0.35">
      <c r="A758" t="s">
        <v>961</v>
      </c>
      <c r="B758" s="1">
        <v>45294</v>
      </c>
      <c r="C758" t="s">
        <v>25</v>
      </c>
      <c r="D758" t="s">
        <v>26</v>
      </c>
      <c r="E758" t="s">
        <v>224</v>
      </c>
      <c r="F758" t="s">
        <v>23</v>
      </c>
      <c r="G758" t="s">
        <v>950</v>
      </c>
      <c r="H758" t="s">
        <v>951</v>
      </c>
      <c r="I758" t="s">
        <v>20</v>
      </c>
      <c r="J758">
        <v>1</v>
      </c>
      <c r="K758">
        <v>960000</v>
      </c>
      <c r="L758">
        <v>0</v>
      </c>
      <c r="M758">
        <v>706000</v>
      </c>
      <c r="N758">
        <f>(data[[#This Row],[unit_price]]*data[[#This Row],[quantity]]) * (1-data[[#This Row],[discount]])</f>
        <v>960000</v>
      </c>
      <c r="O758">
        <f>data[[#This Row],[sales]]-data[[#This Row],[cost]]</f>
        <v>254000</v>
      </c>
      <c r="P758" t="str">
        <f>TEXT(data[[#This Row],[order_date]],"mmm")</f>
        <v>Jan</v>
      </c>
      <c r="Q758">
        <f>YEAR(data[[#This Row],[order_date]])</f>
        <v>2024</v>
      </c>
      <c r="R758">
        <f>MONTH(data[[#This Row],[order_date]])</f>
        <v>1</v>
      </c>
      <c r="S758">
        <f>DAY(data[[#This Row],[order_date]])</f>
        <v>3</v>
      </c>
      <c r="T758">
        <f>data[[#This Row],[profit]]/data[[#This Row],[sales]]</f>
        <v>0.26458333333333334</v>
      </c>
    </row>
    <row r="759" spans="1:20" x14ac:dyDescent="0.35">
      <c r="A759" t="s">
        <v>962</v>
      </c>
      <c r="B759" s="1">
        <v>45331</v>
      </c>
      <c r="C759" t="s">
        <v>36</v>
      </c>
      <c r="D759" t="s">
        <v>37</v>
      </c>
      <c r="E759" t="s">
        <v>152</v>
      </c>
      <c r="F759" t="s">
        <v>23</v>
      </c>
      <c r="G759" t="s">
        <v>950</v>
      </c>
      <c r="H759" t="s">
        <v>951</v>
      </c>
      <c r="I759" t="s">
        <v>20</v>
      </c>
      <c r="J759">
        <v>5</v>
      </c>
      <c r="K759">
        <v>897000</v>
      </c>
      <c r="L759">
        <v>0</v>
      </c>
      <c r="M759">
        <v>649000</v>
      </c>
      <c r="N759">
        <f>(data[[#This Row],[unit_price]]*data[[#This Row],[quantity]]) * (1-data[[#This Row],[discount]])</f>
        <v>4485000</v>
      </c>
      <c r="O759">
        <f>data[[#This Row],[sales]]-data[[#This Row],[cost]]</f>
        <v>3836000</v>
      </c>
      <c r="P759" t="str">
        <f>TEXT(data[[#This Row],[order_date]],"mmm")</f>
        <v>Feb</v>
      </c>
      <c r="Q759">
        <f>YEAR(data[[#This Row],[order_date]])</f>
        <v>2024</v>
      </c>
      <c r="R759">
        <f>MONTH(data[[#This Row],[order_date]])</f>
        <v>2</v>
      </c>
      <c r="S759">
        <f>DAY(data[[#This Row],[order_date]])</f>
        <v>9</v>
      </c>
      <c r="T759">
        <f>data[[#This Row],[profit]]/data[[#This Row],[sales]]</f>
        <v>0.85529542920847268</v>
      </c>
    </row>
    <row r="760" spans="1:20" x14ac:dyDescent="0.35">
      <c r="A760" t="s">
        <v>963</v>
      </c>
      <c r="B760" s="1">
        <v>45347</v>
      </c>
      <c r="C760" t="s">
        <v>14</v>
      </c>
      <c r="D760" t="s">
        <v>15</v>
      </c>
      <c r="E760" t="s">
        <v>63</v>
      </c>
      <c r="F760" t="s">
        <v>28</v>
      </c>
      <c r="G760" t="s">
        <v>950</v>
      </c>
      <c r="H760" t="s">
        <v>951</v>
      </c>
      <c r="I760" t="s">
        <v>20</v>
      </c>
      <c r="J760">
        <v>1</v>
      </c>
      <c r="K760">
        <v>1308000</v>
      </c>
      <c r="L760">
        <v>0.1</v>
      </c>
      <c r="M760">
        <v>945000</v>
      </c>
      <c r="N760">
        <f>(data[[#This Row],[unit_price]]*data[[#This Row],[quantity]]) * (1-data[[#This Row],[discount]])</f>
        <v>1177200</v>
      </c>
      <c r="O760">
        <f>data[[#This Row],[sales]]-data[[#This Row],[cost]]</f>
        <v>232200</v>
      </c>
      <c r="P760" t="str">
        <f>TEXT(data[[#This Row],[order_date]],"mmm")</f>
        <v>Feb</v>
      </c>
      <c r="Q760">
        <f>YEAR(data[[#This Row],[order_date]])</f>
        <v>2024</v>
      </c>
      <c r="R760">
        <f>MONTH(data[[#This Row],[order_date]])</f>
        <v>2</v>
      </c>
      <c r="S760">
        <f>DAY(data[[#This Row],[order_date]])</f>
        <v>25</v>
      </c>
      <c r="T760">
        <f>data[[#This Row],[profit]]/data[[#This Row],[sales]]</f>
        <v>0.19724770642201836</v>
      </c>
    </row>
    <row r="761" spans="1:20" x14ac:dyDescent="0.35">
      <c r="A761" t="s">
        <v>964</v>
      </c>
      <c r="B761" s="1">
        <v>45386</v>
      </c>
      <c r="C761" t="s">
        <v>14</v>
      </c>
      <c r="D761" t="s">
        <v>15</v>
      </c>
      <c r="E761" t="s">
        <v>208</v>
      </c>
      <c r="F761" t="s">
        <v>23</v>
      </c>
      <c r="G761" t="s">
        <v>950</v>
      </c>
      <c r="H761" t="s">
        <v>951</v>
      </c>
      <c r="I761" t="s">
        <v>20</v>
      </c>
      <c r="J761">
        <v>3</v>
      </c>
      <c r="K761">
        <v>883000</v>
      </c>
      <c r="L761">
        <v>0.05</v>
      </c>
      <c r="M761">
        <v>651000</v>
      </c>
      <c r="N761">
        <f>(data[[#This Row],[unit_price]]*data[[#This Row],[quantity]]) * (1-data[[#This Row],[discount]])</f>
        <v>2516550</v>
      </c>
      <c r="O761">
        <f>data[[#This Row],[sales]]-data[[#This Row],[cost]]</f>
        <v>1865550</v>
      </c>
      <c r="P761" t="str">
        <f>TEXT(data[[#This Row],[order_date]],"mmm")</f>
        <v>Apr</v>
      </c>
      <c r="Q761">
        <f>YEAR(data[[#This Row],[order_date]])</f>
        <v>2024</v>
      </c>
      <c r="R761">
        <f>MONTH(data[[#This Row],[order_date]])</f>
        <v>4</v>
      </c>
      <c r="S761">
        <f>DAY(data[[#This Row],[order_date]])</f>
        <v>4</v>
      </c>
      <c r="T761">
        <f>data[[#This Row],[profit]]/data[[#This Row],[sales]]</f>
        <v>0.74131251117601482</v>
      </c>
    </row>
    <row r="762" spans="1:20" x14ac:dyDescent="0.35">
      <c r="A762" t="s">
        <v>965</v>
      </c>
      <c r="B762" s="1">
        <v>45402</v>
      </c>
      <c r="C762" t="s">
        <v>14</v>
      </c>
      <c r="D762" t="s">
        <v>15</v>
      </c>
      <c r="E762" t="s">
        <v>76</v>
      </c>
      <c r="F762" t="s">
        <v>23</v>
      </c>
      <c r="G762" t="s">
        <v>950</v>
      </c>
      <c r="H762" t="s">
        <v>951</v>
      </c>
      <c r="I762" t="s">
        <v>20</v>
      </c>
      <c r="J762">
        <v>1</v>
      </c>
      <c r="K762">
        <v>1231000</v>
      </c>
      <c r="L762">
        <v>0</v>
      </c>
      <c r="M762">
        <v>867000</v>
      </c>
      <c r="N762">
        <f>(data[[#This Row],[unit_price]]*data[[#This Row],[quantity]]) * (1-data[[#This Row],[discount]])</f>
        <v>1231000</v>
      </c>
      <c r="O762">
        <f>data[[#This Row],[sales]]-data[[#This Row],[cost]]</f>
        <v>364000</v>
      </c>
      <c r="P762" t="str">
        <f>TEXT(data[[#This Row],[order_date]],"mmm")</f>
        <v>Apr</v>
      </c>
      <c r="Q762">
        <f>YEAR(data[[#This Row],[order_date]])</f>
        <v>2024</v>
      </c>
      <c r="R762">
        <f>MONTH(data[[#This Row],[order_date]])</f>
        <v>4</v>
      </c>
      <c r="S762">
        <f>DAY(data[[#This Row],[order_date]])</f>
        <v>20</v>
      </c>
      <c r="T762">
        <f>data[[#This Row],[profit]]/data[[#This Row],[sales]]</f>
        <v>0.2956945572705118</v>
      </c>
    </row>
    <row r="763" spans="1:20" x14ac:dyDescent="0.35">
      <c r="A763" t="s">
        <v>966</v>
      </c>
      <c r="B763" s="1">
        <v>45408</v>
      </c>
      <c r="C763" t="s">
        <v>49</v>
      </c>
      <c r="D763" t="s">
        <v>50</v>
      </c>
      <c r="E763" t="s">
        <v>208</v>
      </c>
      <c r="F763" t="s">
        <v>23</v>
      </c>
      <c r="G763" t="s">
        <v>950</v>
      </c>
      <c r="H763" t="s">
        <v>951</v>
      </c>
      <c r="I763" t="s">
        <v>20</v>
      </c>
      <c r="J763">
        <v>1</v>
      </c>
      <c r="K763">
        <v>899000</v>
      </c>
      <c r="L763">
        <v>0</v>
      </c>
      <c r="M763">
        <v>633000</v>
      </c>
      <c r="N763">
        <f>(data[[#This Row],[unit_price]]*data[[#This Row],[quantity]]) * (1-data[[#This Row],[discount]])</f>
        <v>899000</v>
      </c>
      <c r="O763">
        <f>data[[#This Row],[sales]]-data[[#This Row],[cost]]</f>
        <v>266000</v>
      </c>
      <c r="P763" t="str">
        <f>TEXT(data[[#This Row],[order_date]],"mmm")</f>
        <v>Apr</v>
      </c>
      <c r="Q763">
        <f>YEAR(data[[#This Row],[order_date]])</f>
        <v>2024</v>
      </c>
      <c r="R763">
        <f>MONTH(data[[#This Row],[order_date]])</f>
        <v>4</v>
      </c>
      <c r="S763">
        <f>DAY(data[[#This Row],[order_date]])</f>
        <v>26</v>
      </c>
      <c r="T763">
        <f>data[[#This Row],[profit]]/data[[#This Row],[sales]]</f>
        <v>0.29588431590656283</v>
      </c>
    </row>
    <row r="764" spans="1:20" x14ac:dyDescent="0.35">
      <c r="A764" t="s">
        <v>967</v>
      </c>
      <c r="B764" s="1">
        <v>45432</v>
      </c>
      <c r="C764" t="s">
        <v>14</v>
      </c>
      <c r="D764" t="s">
        <v>15</v>
      </c>
      <c r="E764" t="s">
        <v>489</v>
      </c>
      <c r="F764" t="s">
        <v>17</v>
      </c>
      <c r="G764" t="s">
        <v>950</v>
      </c>
      <c r="H764" t="s">
        <v>951</v>
      </c>
      <c r="I764" t="s">
        <v>20</v>
      </c>
      <c r="J764">
        <v>1</v>
      </c>
      <c r="K764">
        <v>900000</v>
      </c>
      <c r="L764">
        <v>0</v>
      </c>
      <c r="M764">
        <v>643000</v>
      </c>
      <c r="N764">
        <f>(data[[#This Row],[unit_price]]*data[[#This Row],[quantity]]) * (1-data[[#This Row],[discount]])</f>
        <v>900000</v>
      </c>
      <c r="O764">
        <f>data[[#This Row],[sales]]-data[[#This Row],[cost]]</f>
        <v>257000</v>
      </c>
      <c r="P764" t="str">
        <f>TEXT(data[[#This Row],[order_date]],"mmm")</f>
        <v>May</v>
      </c>
      <c r="Q764">
        <f>YEAR(data[[#This Row],[order_date]])</f>
        <v>2024</v>
      </c>
      <c r="R764">
        <f>MONTH(data[[#This Row],[order_date]])</f>
        <v>5</v>
      </c>
      <c r="S764">
        <f>DAY(data[[#This Row],[order_date]])</f>
        <v>20</v>
      </c>
      <c r="T764">
        <f>data[[#This Row],[profit]]/data[[#This Row],[sales]]</f>
        <v>0.28555555555555556</v>
      </c>
    </row>
    <row r="765" spans="1:20" x14ac:dyDescent="0.35">
      <c r="A765" t="s">
        <v>968</v>
      </c>
      <c r="B765" s="1">
        <v>45435</v>
      </c>
      <c r="C765" t="s">
        <v>36</v>
      </c>
      <c r="D765" t="s">
        <v>37</v>
      </c>
      <c r="E765" t="s">
        <v>359</v>
      </c>
      <c r="F765" t="s">
        <v>23</v>
      </c>
      <c r="G765" t="s">
        <v>950</v>
      </c>
      <c r="H765" t="s">
        <v>951</v>
      </c>
      <c r="I765" t="s">
        <v>20</v>
      </c>
      <c r="J765">
        <v>1</v>
      </c>
      <c r="K765">
        <v>1342000</v>
      </c>
      <c r="L765">
        <v>0</v>
      </c>
      <c r="M765">
        <v>965000</v>
      </c>
      <c r="N765">
        <f>(data[[#This Row],[unit_price]]*data[[#This Row],[quantity]]) * (1-data[[#This Row],[discount]])</f>
        <v>1342000</v>
      </c>
      <c r="O765">
        <f>data[[#This Row],[sales]]-data[[#This Row],[cost]]</f>
        <v>377000</v>
      </c>
      <c r="P765" t="str">
        <f>TEXT(data[[#This Row],[order_date]],"mmm")</f>
        <v>May</v>
      </c>
      <c r="Q765">
        <f>YEAR(data[[#This Row],[order_date]])</f>
        <v>2024</v>
      </c>
      <c r="R765">
        <f>MONTH(data[[#This Row],[order_date]])</f>
        <v>5</v>
      </c>
      <c r="S765">
        <f>DAY(data[[#This Row],[order_date]])</f>
        <v>23</v>
      </c>
      <c r="T765">
        <f>data[[#This Row],[profit]]/data[[#This Row],[sales]]</f>
        <v>0.28092399403874813</v>
      </c>
    </row>
    <row r="766" spans="1:20" x14ac:dyDescent="0.35">
      <c r="A766" t="s">
        <v>969</v>
      </c>
      <c r="B766" s="1">
        <v>45441</v>
      </c>
      <c r="C766" t="s">
        <v>36</v>
      </c>
      <c r="D766" t="s">
        <v>37</v>
      </c>
      <c r="E766" t="s">
        <v>489</v>
      </c>
      <c r="F766" t="s">
        <v>17</v>
      </c>
      <c r="G766" t="s">
        <v>950</v>
      </c>
      <c r="H766" t="s">
        <v>951</v>
      </c>
      <c r="I766" t="s">
        <v>20</v>
      </c>
      <c r="J766">
        <v>1</v>
      </c>
      <c r="K766">
        <v>885000</v>
      </c>
      <c r="L766">
        <v>0</v>
      </c>
      <c r="M766">
        <v>645000</v>
      </c>
      <c r="N766">
        <f>(data[[#This Row],[unit_price]]*data[[#This Row],[quantity]]) * (1-data[[#This Row],[discount]])</f>
        <v>885000</v>
      </c>
      <c r="O766">
        <f>data[[#This Row],[sales]]-data[[#This Row],[cost]]</f>
        <v>240000</v>
      </c>
      <c r="P766" t="str">
        <f>TEXT(data[[#This Row],[order_date]],"mmm")</f>
        <v>May</v>
      </c>
      <c r="Q766">
        <f>YEAR(data[[#This Row],[order_date]])</f>
        <v>2024</v>
      </c>
      <c r="R766">
        <f>MONTH(data[[#This Row],[order_date]])</f>
        <v>5</v>
      </c>
      <c r="S766">
        <f>DAY(data[[#This Row],[order_date]])</f>
        <v>29</v>
      </c>
      <c r="T766">
        <f>data[[#This Row],[profit]]/data[[#This Row],[sales]]</f>
        <v>0.2711864406779661</v>
      </c>
    </row>
    <row r="767" spans="1:20" x14ac:dyDescent="0.35">
      <c r="A767" t="s">
        <v>970</v>
      </c>
      <c r="B767" s="1">
        <v>45442</v>
      </c>
      <c r="C767" t="s">
        <v>36</v>
      </c>
      <c r="D767" t="s">
        <v>37</v>
      </c>
      <c r="E767" t="s">
        <v>203</v>
      </c>
      <c r="F767" t="s">
        <v>17</v>
      </c>
      <c r="G767" t="s">
        <v>950</v>
      </c>
      <c r="H767" t="s">
        <v>951</v>
      </c>
      <c r="I767" t="s">
        <v>20</v>
      </c>
      <c r="J767">
        <v>1</v>
      </c>
      <c r="K767">
        <v>868000</v>
      </c>
      <c r="L767">
        <v>0.05</v>
      </c>
      <c r="M767">
        <v>634000</v>
      </c>
      <c r="N767">
        <f>(data[[#This Row],[unit_price]]*data[[#This Row],[quantity]]) * (1-data[[#This Row],[discount]])</f>
        <v>824600</v>
      </c>
      <c r="O767">
        <f>data[[#This Row],[sales]]-data[[#This Row],[cost]]</f>
        <v>190600</v>
      </c>
      <c r="P767" t="str">
        <f>TEXT(data[[#This Row],[order_date]],"mmm")</f>
        <v>May</v>
      </c>
      <c r="Q767">
        <f>YEAR(data[[#This Row],[order_date]])</f>
        <v>2024</v>
      </c>
      <c r="R767">
        <f>MONTH(data[[#This Row],[order_date]])</f>
        <v>5</v>
      </c>
      <c r="S767">
        <f>DAY(data[[#This Row],[order_date]])</f>
        <v>30</v>
      </c>
      <c r="T767">
        <f>data[[#This Row],[profit]]/data[[#This Row],[sales]]</f>
        <v>0.2311423720591802</v>
      </c>
    </row>
    <row r="768" spans="1:20" x14ac:dyDescent="0.35">
      <c r="A768" t="s">
        <v>971</v>
      </c>
      <c r="B768" s="1">
        <v>45459</v>
      </c>
      <c r="C768" t="s">
        <v>49</v>
      </c>
      <c r="D768" t="s">
        <v>50</v>
      </c>
      <c r="E768" t="s">
        <v>115</v>
      </c>
      <c r="F768" t="s">
        <v>23</v>
      </c>
      <c r="G768" t="s">
        <v>950</v>
      </c>
      <c r="H768" t="s">
        <v>951</v>
      </c>
      <c r="I768" t="s">
        <v>20</v>
      </c>
      <c r="J768">
        <v>1</v>
      </c>
      <c r="K768">
        <v>1185000</v>
      </c>
      <c r="L768">
        <v>0</v>
      </c>
      <c r="M768">
        <v>869000</v>
      </c>
      <c r="N768">
        <f>(data[[#This Row],[unit_price]]*data[[#This Row],[quantity]]) * (1-data[[#This Row],[discount]])</f>
        <v>1185000</v>
      </c>
      <c r="O768">
        <f>data[[#This Row],[sales]]-data[[#This Row],[cost]]</f>
        <v>316000</v>
      </c>
      <c r="P768" t="str">
        <f>TEXT(data[[#This Row],[order_date]],"mmm")</f>
        <v>Jun</v>
      </c>
      <c r="Q768">
        <f>YEAR(data[[#This Row],[order_date]])</f>
        <v>2024</v>
      </c>
      <c r="R768">
        <f>MONTH(data[[#This Row],[order_date]])</f>
        <v>6</v>
      </c>
      <c r="S768">
        <f>DAY(data[[#This Row],[order_date]])</f>
        <v>16</v>
      </c>
      <c r="T768">
        <f>data[[#This Row],[profit]]/data[[#This Row],[sales]]</f>
        <v>0.26666666666666666</v>
      </c>
    </row>
    <row r="769" spans="1:20" x14ac:dyDescent="0.35">
      <c r="A769" t="s">
        <v>972</v>
      </c>
      <c r="B769" s="1">
        <v>45469</v>
      </c>
      <c r="C769" t="s">
        <v>41</v>
      </c>
      <c r="D769" t="s">
        <v>42</v>
      </c>
      <c r="E769" t="s">
        <v>99</v>
      </c>
      <c r="F769" t="s">
        <v>23</v>
      </c>
      <c r="G769" t="s">
        <v>950</v>
      </c>
      <c r="H769" t="s">
        <v>951</v>
      </c>
      <c r="I769" t="s">
        <v>20</v>
      </c>
      <c r="J769">
        <v>1</v>
      </c>
      <c r="K769">
        <v>1131000</v>
      </c>
      <c r="L769">
        <v>0</v>
      </c>
      <c r="M769">
        <v>818000</v>
      </c>
      <c r="N769">
        <f>(data[[#This Row],[unit_price]]*data[[#This Row],[quantity]]) * (1-data[[#This Row],[discount]])</f>
        <v>1131000</v>
      </c>
      <c r="O769">
        <f>data[[#This Row],[sales]]-data[[#This Row],[cost]]</f>
        <v>313000</v>
      </c>
      <c r="P769" t="str">
        <f>TEXT(data[[#This Row],[order_date]],"mmm")</f>
        <v>Jun</v>
      </c>
      <c r="Q769">
        <f>YEAR(data[[#This Row],[order_date]])</f>
        <v>2024</v>
      </c>
      <c r="R769">
        <f>MONTH(data[[#This Row],[order_date]])</f>
        <v>6</v>
      </c>
      <c r="S769">
        <f>DAY(data[[#This Row],[order_date]])</f>
        <v>26</v>
      </c>
      <c r="T769">
        <f>data[[#This Row],[profit]]/data[[#This Row],[sales]]</f>
        <v>0.27674624226348365</v>
      </c>
    </row>
    <row r="770" spans="1:20" x14ac:dyDescent="0.35">
      <c r="A770" t="s">
        <v>973</v>
      </c>
      <c r="B770" s="1">
        <v>45545</v>
      </c>
      <c r="C770" t="s">
        <v>49</v>
      </c>
      <c r="D770" t="s">
        <v>50</v>
      </c>
      <c r="E770" t="s">
        <v>32</v>
      </c>
      <c r="F770" t="s">
        <v>23</v>
      </c>
      <c r="G770" t="s">
        <v>950</v>
      </c>
      <c r="H770" t="s">
        <v>951</v>
      </c>
      <c r="I770" t="s">
        <v>20</v>
      </c>
      <c r="J770">
        <v>2</v>
      </c>
      <c r="K770">
        <v>930000</v>
      </c>
      <c r="L770">
        <v>0</v>
      </c>
      <c r="M770">
        <v>671000</v>
      </c>
      <c r="N770">
        <f>(data[[#This Row],[unit_price]]*data[[#This Row],[quantity]]) * (1-data[[#This Row],[discount]])</f>
        <v>1860000</v>
      </c>
      <c r="O770">
        <f>data[[#This Row],[sales]]-data[[#This Row],[cost]]</f>
        <v>1189000</v>
      </c>
      <c r="P770" t="str">
        <f>TEXT(data[[#This Row],[order_date]],"mmm")</f>
        <v>Sep</v>
      </c>
      <c r="Q770">
        <f>YEAR(data[[#This Row],[order_date]])</f>
        <v>2024</v>
      </c>
      <c r="R770">
        <f>MONTH(data[[#This Row],[order_date]])</f>
        <v>9</v>
      </c>
      <c r="S770">
        <f>DAY(data[[#This Row],[order_date]])</f>
        <v>10</v>
      </c>
      <c r="T770">
        <f>data[[#This Row],[profit]]/data[[#This Row],[sales]]</f>
        <v>0.63924731182795702</v>
      </c>
    </row>
    <row r="771" spans="1:20" x14ac:dyDescent="0.35">
      <c r="A771" t="s">
        <v>974</v>
      </c>
      <c r="B771" s="1">
        <v>45564</v>
      </c>
      <c r="C771" t="s">
        <v>14</v>
      </c>
      <c r="D771" t="s">
        <v>15</v>
      </c>
      <c r="E771" t="s">
        <v>210</v>
      </c>
      <c r="F771" t="s">
        <v>23</v>
      </c>
      <c r="G771" t="s">
        <v>950</v>
      </c>
      <c r="H771" t="s">
        <v>951</v>
      </c>
      <c r="I771" t="s">
        <v>20</v>
      </c>
      <c r="J771">
        <v>1</v>
      </c>
      <c r="K771">
        <v>1287000</v>
      </c>
      <c r="L771">
        <v>0</v>
      </c>
      <c r="M771">
        <v>932000</v>
      </c>
      <c r="N771">
        <f>(data[[#This Row],[unit_price]]*data[[#This Row],[quantity]]) * (1-data[[#This Row],[discount]])</f>
        <v>1287000</v>
      </c>
      <c r="O771">
        <f>data[[#This Row],[sales]]-data[[#This Row],[cost]]</f>
        <v>355000</v>
      </c>
      <c r="P771" t="str">
        <f>TEXT(data[[#This Row],[order_date]],"mmm")</f>
        <v>Sep</v>
      </c>
      <c r="Q771">
        <f>YEAR(data[[#This Row],[order_date]])</f>
        <v>2024</v>
      </c>
      <c r="R771">
        <f>MONTH(data[[#This Row],[order_date]])</f>
        <v>9</v>
      </c>
      <c r="S771">
        <f>DAY(data[[#This Row],[order_date]])</f>
        <v>29</v>
      </c>
      <c r="T771">
        <f>data[[#This Row],[profit]]/data[[#This Row],[sales]]</f>
        <v>0.27583527583527584</v>
      </c>
    </row>
    <row r="772" spans="1:20" x14ac:dyDescent="0.35">
      <c r="A772" t="s">
        <v>975</v>
      </c>
      <c r="B772" s="1">
        <v>45578</v>
      </c>
      <c r="C772" t="s">
        <v>41</v>
      </c>
      <c r="D772" t="s">
        <v>42</v>
      </c>
      <c r="E772" t="s">
        <v>85</v>
      </c>
      <c r="F772" t="s">
        <v>23</v>
      </c>
      <c r="G772" t="s">
        <v>950</v>
      </c>
      <c r="H772" t="s">
        <v>951</v>
      </c>
      <c r="I772" t="s">
        <v>20</v>
      </c>
      <c r="J772">
        <v>2</v>
      </c>
      <c r="K772">
        <v>1226000</v>
      </c>
      <c r="L772">
        <v>0.05</v>
      </c>
      <c r="M772">
        <v>879000</v>
      </c>
      <c r="N772">
        <f>(data[[#This Row],[unit_price]]*data[[#This Row],[quantity]]) * (1-data[[#This Row],[discount]])</f>
        <v>2329400</v>
      </c>
      <c r="O772">
        <f>data[[#This Row],[sales]]-data[[#This Row],[cost]]</f>
        <v>1450400</v>
      </c>
      <c r="P772" t="str">
        <f>TEXT(data[[#This Row],[order_date]],"mmm")</f>
        <v>Oct</v>
      </c>
      <c r="Q772">
        <f>YEAR(data[[#This Row],[order_date]])</f>
        <v>2024</v>
      </c>
      <c r="R772">
        <f>MONTH(data[[#This Row],[order_date]])</f>
        <v>10</v>
      </c>
      <c r="S772">
        <f>DAY(data[[#This Row],[order_date]])</f>
        <v>13</v>
      </c>
      <c r="T772">
        <f>data[[#This Row],[profit]]/data[[#This Row],[sales]]</f>
        <v>0.6226496093414613</v>
      </c>
    </row>
    <row r="773" spans="1:20" x14ac:dyDescent="0.35">
      <c r="A773" t="s">
        <v>976</v>
      </c>
      <c r="B773" s="1">
        <v>45584</v>
      </c>
      <c r="C773" t="s">
        <v>36</v>
      </c>
      <c r="D773" t="s">
        <v>37</v>
      </c>
      <c r="E773" t="s">
        <v>524</v>
      </c>
      <c r="F773" t="s">
        <v>17</v>
      </c>
      <c r="G773" t="s">
        <v>950</v>
      </c>
      <c r="H773" t="s">
        <v>951</v>
      </c>
      <c r="I773" t="s">
        <v>20</v>
      </c>
      <c r="J773">
        <v>2</v>
      </c>
      <c r="K773">
        <v>1280000</v>
      </c>
      <c r="L773">
        <v>0</v>
      </c>
      <c r="M773">
        <v>912000</v>
      </c>
      <c r="N773">
        <f>(data[[#This Row],[unit_price]]*data[[#This Row],[quantity]]) * (1-data[[#This Row],[discount]])</f>
        <v>2560000</v>
      </c>
      <c r="O773">
        <f>data[[#This Row],[sales]]-data[[#This Row],[cost]]</f>
        <v>1648000</v>
      </c>
      <c r="P773" t="str">
        <f>TEXT(data[[#This Row],[order_date]],"mmm")</f>
        <v>Oct</v>
      </c>
      <c r="Q773">
        <f>YEAR(data[[#This Row],[order_date]])</f>
        <v>2024</v>
      </c>
      <c r="R773">
        <f>MONTH(data[[#This Row],[order_date]])</f>
        <v>10</v>
      </c>
      <c r="S773">
        <f>DAY(data[[#This Row],[order_date]])</f>
        <v>19</v>
      </c>
      <c r="T773">
        <f>data[[#This Row],[profit]]/data[[#This Row],[sales]]</f>
        <v>0.64375000000000004</v>
      </c>
    </row>
    <row r="774" spans="1:20" x14ac:dyDescent="0.35">
      <c r="A774" t="s">
        <v>977</v>
      </c>
      <c r="B774" s="1">
        <v>45599</v>
      </c>
      <c r="C774" t="s">
        <v>14</v>
      </c>
      <c r="D774" t="s">
        <v>15</v>
      </c>
      <c r="E774" t="s">
        <v>45</v>
      </c>
      <c r="F774" t="s">
        <v>17</v>
      </c>
      <c r="G774" t="s">
        <v>950</v>
      </c>
      <c r="H774" t="s">
        <v>951</v>
      </c>
      <c r="I774" t="s">
        <v>20</v>
      </c>
      <c r="J774">
        <v>1</v>
      </c>
      <c r="K774">
        <v>1107000</v>
      </c>
      <c r="L774">
        <v>0</v>
      </c>
      <c r="M774">
        <v>804000</v>
      </c>
      <c r="N774">
        <f>(data[[#This Row],[unit_price]]*data[[#This Row],[quantity]]) * (1-data[[#This Row],[discount]])</f>
        <v>1107000</v>
      </c>
      <c r="O774">
        <f>data[[#This Row],[sales]]-data[[#This Row],[cost]]</f>
        <v>303000</v>
      </c>
      <c r="P774" t="str">
        <f>TEXT(data[[#This Row],[order_date]],"mmm")</f>
        <v>Nov</v>
      </c>
      <c r="Q774">
        <f>YEAR(data[[#This Row],[order_date]])</f>
        <v>2024</v>
      </c>
      <c r="R774">
        <f>MONTH(data[[#This Row],[order_date]])</f>
        <v>11</v>
      </c>
      <c r="S774">
        <f>DAY(data[[#This Row],[order_date]])</f>
        <v>3</v>
      </c>
      <c r="T774">
        <f>data[[#This Row],[profit]]/data[[#This Row],[sales]]</f>
        <v>0.27371273712737126</v>
      </c>
    </row>
    <row r="775" spans="1:20" x14ac:dyDescent="0.35">
      <c r="A775" t="s">
        <v>978</v>
      </c>
      <c r="B775" s="1">
        <v>45607</v>
      </c>
      <c r="C775" t="s">
        <v>14</v>
      </c>
      <c r="D775" t="s">
        <v>15</v>
      </c>
      <c r="E775" t="s">
        <v>311</v>
      </c>
      <c r="F775" t="s">
        <v>17</v>
      </c>
      <c r="G775" t="s">
        <v>950</v>
      </c>
      <c r="H775" t="s">
        <v>951</v>
      </c>
      <c r="I775" t="s">
        <v>20</v>
      </c>
      <c r="J775">
        <v>2</v>
      </c>
      <c r="K775">
        <v>1178000</v>
      </c>
      <c r="L775">
        <v>0</v>
      </c>
      <c r="M775">
        <v>856000</v>
      </c>
      <c r="N775">
        <f>(data[[#This Row],[unit_price]]*data[[#This Row],[quantity]]) * (1-data[[#This Row],[discount]])</f>
        <v>2356000</v>
      </c>
      <c r="O775">
        <f>data[[#This Row],[sales]]-data[[#This Row],[cost]]</f>
        <v>1500000</v>
      </c>
      <c r="P775" t="str">
        <f>TEXT(data[[#This Row],[order_date]],"mmm")</f>
        <v>Nov</v>
      </c>
      <c r="Q775">
        <f>YEAR(data[[#This Row],[order_date]])</f>
        <v>2024</v>
      </c>
      <c r="R775">
        <f>MONTH(data[[#This Row],[order_date]])</f>
        <v>11</v>
      </c>
      <c r="S775">
        <f>DAY(data[[#This Row],[order_date]])</f>
        <v>11</v>
      </c>
      <c r="T775">
        <f>data[[#This Row],[profit]]/data[[#This Row],[sales]]</f>
        <v>0.63667232597623091</v>
      </c>
    </row>
    <row r="776" spans="1:20" x14ac:dyDescent="0.35">
      <c r="A776" t="s">
        <v>979</v>
      </c>
      <c r="B776" s="1">
        <v>45611</v>
      </c>
      <c r="C776" t="s">
        <v>14</v>
      </c>
      <c r="D776" t="s">
        <v>15</v>
      </c>
      <c r="E776" t="s">
        <v>315</v>
      </c>
      <c r="F776" t="s">
        <v>23</v>
      </c>
      <c r="G776" t="s">
        <v>950</v>
      </c>
      <c r="H776" t="s">
        <v>951</v>
      </c>
      <c r="I776" t="s">
        <v>20</v>
      </c>
      <c r="J776">
        <v>1</v>
      </c>
      <c r="K776">
        <v>969000</v>
      </c>
      <c r="L776">
        <v>0</v>
      </c>
      <c r="M776">
        <v>690000</v>
      </c>
      <c r="N776">
        <f>(data[[#This Row],[unit_price]]*data[[#This Row],[quantity]]) * (1-data[[#This Row],[discount]])</f>
        <v>969000</v>
      </c>
      <c r="O776">
        <f>data[[#This Row],[sales]]-data[[#This Row],[cost]]</f>
        <v>279000</v>
      </c>
      <c r="P776" t="str">
        <f>TEXT(data[[#This Row],[order_date]],"mmm")</f>
        <v>Nov</v>
      </c>
      <c r="Q776">
        <f>YEAR(data[[#This Row],[order_date]])</f>
        <v>2024</v>
      </c>
      <c r="R776">
        <f>MONTH(data[[#This Row],[order_date]])</f>
        <v>11</v>
      </c>
      <c r="S776">
        <f>DAY(data[[#This Row],[order_date]])</f>
        <v>15</v>
      </c>
      <c r="T776">
        <f>data[[#This Row],[profit]]/data[[#This Row],[sales]]</f>
        <v>0.28792569659442724</v>
      </c>
    </row>
    <row r="777" spans="1:20" x14ac:dyDescent="0.35">
      <c r="A777" t="s">
        <v>980</v>
      </c>
      <c r="B777" s="1">
        <v>45620</v>
      </c>
      <c r="C777" t="s">
        <v>14</v>
      </c>
      <c r="D777" t="s">
        <v>15</v>
      </c>
      <c r="E777" t="s">
        <v>432</v>
      </c>
      <c r="F777" t="s">
        <v>23</v>
      </c>
      <c r="G777" t="s">
        <v>950</v>
      </c>
      <c r="H777" t="s">
        <v>951</v>
      </c>
      <c r="I777" t="s">
        <v>20</v>
      </c>
      <c r="J777">
        <v>2</v>
      </c>
      <c r="K777">
        <v>1198000</v>
      </c>
      <c r="L777">
        <v>0</v>
      </c>
      <c r="M777">
        <v>868000</v>
      </c>
      <c r="N777">
        <f>(data[[#This Row],[unit_price]]*data[[#This Row],[quantity]]) * (1-data[[#This Row],[discount]])</f>
        <v>2396000</v>
      </c>
      <c r="O777">
        <f>data[[#This Row],[sales]]-data[[#This Row],[cost]]</f>
        <v>1528000</v>
      </c>
      <c r="P777" t="str">
        <f>TEXT(data[[#This Row],[order_date]],"mmm")</f>
        <v>Nov</v>
      </c>
      <c r="Q777">
        <f>YEAR(data[[#This Row],[order_date]])</f>
        <v>2024</v>
      </c>
      <c r="R777">
        <f>MONTH(data[[#This Row],[order_date]])</f>
        <v>11</v>
      </c>
      <c r="S777">
        <f>DAY(data[[#This Row],[order_date]])</f>
        <v>24</v>
      </c>
      <c r="T777">
        <f>data[[#This Row],[profit]]/data[[#This Row],[sales]]</f>
        <v>0.63772954924874792</v>
      </c>
    </row>
    <row r="778" spans="1:20" x14ac:dyDescent="0.35">
      <c r="A778" t="s">
        <v>981</v>
      </c>
      <c r="B778" s="1">
        <v>45624</v>
      </c>
      <c r="C778" t="s">
        <v>49</v>
      </c>
      <c r="D778" t="s">
        <v>50</v>
      </c>
      <c r="E778" t="s">
        <v>195</v>
      </c>
      <c r="F778" t="s">
        <v>23</v>
      </c>
      <c r="G778" t="s">
        <v>950</v>
      </c>
      <c r="H778" t="s">
        <v>951</v>
      </c>
      <c r="I778" t="s">
        <v>20</v>
      </c>
      <c r="J778">
        <v>2</v>
      </c>
      <c r="K778">
        <v>894000</v>
      </c>
      <c r="L778">
        <v>0</v>
      </c>
      <c r="M778">
        <v>644000</v>
      </c>
      <c r="N778">
        <f>(data[[#This Row],[unit_price]]*data[[#This Row],[quantity]]) * (1-data[[#This Row],[discount]])</f>
        <v>1788000</v>
      </c>
      <c r="O778">
        <f>data[[#This Row],[sales]]-data[[#This Row],[cost]]</f>
        <v>1144000</v>
      </c>
      <c r="P778" t="str">
        <f>TEXT(data[[#This Row],[order_date]],"mmm")</f>
        <v>Nov</v>
      </c>
      <c r="Q778">
        <f>YEAR(data[[#This Row],[order_date]])</f>
        <v>2024</v>
      </c>
      <c r="R778">
        <f>MONTH(data[[#This Row],[order_date]])</f>
        <v>11</v>
      </c>
      <c r="S778">
        <f>DAY(data[[#This Row],[order_date]])</f>
        <v>28</v>
      </c>
      <c r="T778">
        <f>data[[#This Row],[profit]]/data[[#This Row],[sales]]</f>
        <v>0.63982102908277405</v>
      </c>
    </row>
    <row r="779" spans="1:20" x14ac:dyDescent="0.35">
      <c r="A779" t="s">
        <v>982</v>
      </c>
      <c r="B779" s="1">
        <v>45641</v>
      </c>
      <c r="C779" t="s">
        <v>36</v>
      </c>
      <c r="D779" t="s">
        <v>37</v>
      </c>
      <c r="E779" t="s">
        <v>432</v>
      </c>
      <c r="F779" t="s">
        <v>23</v>
      </c>
      <c r="G779" t="s">
        <v>950</v>
      </c>
      <c r="H779" t="s">
        <v>951</v>
      </c>
      <c r="I779" t="s">
        <v>20</v>
      </c>
      <c r="J779">
        <v>1</v>
      </c>
      <c r="K779">
        <v>1114000</v>
      </c>
      <c r="L779">
        <v>0</v>
      </c>
      <c r="M779">
        <v>798000</v>
      </c>
      <c r="N779">
        <f>(data[[#This Row],[unit_price]]*data[[#This Row],[quantity]]) * (1-data[[#This Row],[discount]])</f>
        <v>1114000</v>
      </c>
      <c r="O779">
        <f>data[[#This Row],[sales]]-data[[#This Row],[cost]]</f>
        <v>316000</v>
      </c>
      <c r="P779" t="str">
        <f>TEXT(data[[#This Row],[order_date]],"mmm")</f>
        <v>Dec</v>
      </c>
      <c r="Q779">
        <f>YEAR(data[[#This Row],[order_date]])</f>
        <v>2024</v>
      </c>
      <c r="R779">
        <f>MONTH(data[[#This Row],[order_date]])</f>
        <v>12</v>
      </c>
      <c r="S779">
        <f>DAY(data[[#This Row],[order_date]])</f>
        <v>15</v>
      </c>
      <c r="T779">
        <f>data[[#This Row],[profit]]/data[[#This Row],[sales]]</f>
        <v>0.28366247755834828</v>
      </c>
    </row>
    <row r="780" spans="1:20" x14ac:dyDescent="0.35">
      <c r="A780" t="s">
        <v>983</v>
      </c>
      <c r="B780" s="1">
        <v>45651</v>
      </c>
      <c r="C780" t="s">
        <v>14</v>
      </c>
      <c r="D780" t="s">
        <v>15</v>
      </c>
      <c r="E780" t="s">
        <v>182</v>
      </c>
      <c r="F780" t="s">
        <v>23</v>
      </c>
      <c r="G780" t="s">
        <v>950</v>
      </c>
      <c r="H780" t="s">
        <v>951</v>
      </c>
      <c r="I780" t="s">
        <v>20</v>
      </c>
      <c r="J780">
        <v>2</v>
      </c>
      <c r="K780">
        <v>1120000</v>
      </c>
      <c r="L780">
        <v>0</v>
      </c>
      <c r="M780">
        <v>791000</v>
      </c>
      <c r="N780">
        <f>(data[[#This Row],[unit_price]]*data[[#This Row],[quantity]]) * (1-data[[#This Row],[discount]])</f>
        <v>2240000</v>
      </c>
      <c r="O780">
        <f>data[[#This Row],[sales]]-data[[#This Row],[cost]]</f>
        <v>1449000</v>
      </c>
      <c r="P780" t="str">
        <f>TEXT(data[[#This Row],[order_date]],"mmm")</f>
        <v>Dec</v>
      </c>
      <c r="Q780">
        <f>YEAR(data[[#This Row],[order_date]])</f>
        <v>2024</v>
      </c>
      <c r="R780">
        <f>MONTH(data[[#This Row],[order_date]])</f>
        <v>12</v>
      </c>
      <c r="S780">
        <f>DAY(data[[#This Row],[order_date]])</f>
        <v>25</v>
      </c>
      <c r="T780">
        <f>data[[#This Row],[profit]]/data[[#This Row],[sales]]</f>
        <v>0.64687499999999998</v>
      </c>
    </row>
    <row r="781" spans="1:20" x14ac:dyDescent="0.35">
      <c r="A781" t="s">
        <v>984</v>
      </c>
      <c r="B781" s="1">
        <v>45703</v>
      </c>
      <c r="C781" t="s">
        <v>41</v>
      </c>
      <c r="D781" t="s">
        <v>42</v>
      </c>
      <c r="E781" t="s">
        <v>301</v>
      </c>
      <c r="F781" t="s">
        <v>28</v>
      </c>
      <c r="G781" t="s">
        <v>950</v>
      </c>
      <c r="H781" t="s">
        <v>951</v>
      </c>
      <c r="I781" t="s">
        <v>20</v>
      </c>
      <c r="J781">
        <v>1</v>
      </c>
      <c r="K781">
        <v>1161000</v>
      </c>
      <c r="L781">
        <v>0</v>
      </c>
      <c r="M781">
        <v>819000</v>
      </c>
      <c r="N781">
        <f>(data[[#This Row],[unit_price]]*data[[#This Row],[quantity]]) * (1-data[[#This Row],[discount]])</f>
        <v>1161000</v>
      </c>
      <c r="O781">
        <f>data[[#This Row],[sales]]-data[[#This Row],[cost]]</f>
        <v>342000</v>
      </c>
      <c r="P781" t="str">
        <f>TEXT(data[[#This Row],[order_date]],"mmm")</f>
        <v>Feb</v>
      </c>
      <c r="Q781">
        <f>YEAR(data[[#This Row],[order_date]])</f>
        <v>2025</v>
      </c>
      <c r="R781">
        <f>MONTH(data[[#This Row],[order_date]])</f>
        <v>2</v>
      </c>
      <c r="S781">
        <f>DAY(data[[#This Row],[order_date]])</f>
        <v>15</v>
      </c>
      <c r="T781">
        <f>data[[#This Row],[profit]]/data[[#This Row],[sales]]</f>
        <v>0.29457364341085274</v>
      </c>
    </row>
    <row r="782" spans="1:20" x14ac:dyDescent="0.35">
      <c r="A782" t="s">
        <v>985</v>
      </c>
      <c r="B782" s="1">
        <v>45706</v>
      </c>
      <c r="C782" t="s">
        <v>41</v>
      </c>
      <c r="D782" t="s">
        <v>42</v>
      </c>
      <c r="E782" t="s">
        <v>447</v>
      </c>
      <c r="F782" t="s">
        <v>23</v>
      </c>
      <c r="G782" t="s">
        <v>950</v>
      </c>
      <c r="H782" t="s">
        <v>951</v>
      </c>
      <c r="I782" t="s">
        <v>20</v>
      </c>
      <c r="J782">
        <v>1</v>
      </c>
      <c r="K782">
        <v>905000</v>
      </c>
      <c r="L782">
        <v>0</v>
      </c>
      <c r="M782">
        <v>664000</v>
      </c>
      <c r="N782">
        <f>(data[[#This Row],[unit_price]]*data[[#This Row],[quantity]]) * (1-data[[#This Row],[discount]])</f>
        <v>905000</v>
      </c>
      <c r="O782">
        <f>data[[#This Row],[sales]]-data[[#This Row],[cost]]</f>
        <v>241000</v>
      </c>
      <c r="P782" t="str">
        <f>TEXT(data[[#This Row],[order_date]],"mmm")</f>
        <v>Feb</v>
      </c>
      <c r="Q782">
        <f>YEAR(data[[#This Row],[order_date]])</f>
        <v>2025</v>
      </c>
      <c r="R782">
        <f>MONTH(data[[#This Row],[order_date]])</f>
        <v>2</v>
      </c>
      <c r="S782">
        <f>DAY(data[[#This Row],[order_date]])</f>
        <v>18</v>
      </c>
      <c r="T782">
        <f>data[[#This Row],[profit]]/data[[#This Row],[sales]]</f>
        <v>0.26629834254143647</v>
      </c>
    </row>
    <row r="783" spans="1:20" x14ac:dyDescent="0.35">
      <c r="A783" t="s">
        <v>986</v>
      </c>
      <c r="B783" s="1">
        <v>45763</v>
      </c>
      <c r="C783" t="s">
        <v>14</v>
      </c>
      <c r="D783" t="s">
        <v>15</v>
      </c>
      <c r="E783" t="s">
        <v>69</v>
      </c>
      <c r="F783" t="s">
        <v>23</v>
      </c>
      <c r="G783" t="s">
        <v>950</v>
      </c>
      <c r="H783" t="s">
        <v>951</v>
      </c>
      <c r="I783" t="s">
        <v>20</v>
      </c>
      <c r="J783">
        <v>1</v>
      </c>
      <c r="K783">
        <v>1265000</v>
      </c>
      <c r="L783">
        <v>0.05</v>
      </c>
      <c r="M783">
        <v>898000</v>
      </c>
      <c r="N783">
        <f>(data[[#This Row],[unit_price]]*data[[#This Row],[quantity]]) * (1-data[[#This Row],[discount]])</f>
        <v>1201750</v>
      </c>
      <c r="O783">
        <f>data[[#This Row],[sales]]-data[[#This Row],[cost]]</f>
        <v>303750</v>
      </c>
      <c r="P783" t="str">
        <f>TEXT(data[[#This Row],[order_date]],"mmm")</f>
        <v>Apr</v>
      </c>
      <c r="Q783">
        <f>YEAR(data[[#This Row],[order_date]])</f>
        <v>2025</v>
      </c>
      <c r="R783">
        <f>MONTH(data[[#This Row],[order_date]])</f>
        <v>4</v>
      </c>
      <c r="S783">
        <f>DAY(data[[#This Row],[order_date]])</f>
        <v>16</v>
      </c>
      <c r="T783">
        <f>data[[#This Row],[profit]]/data[[#This Row],[sales]]</f>
        <v>0.25275639692115665</v>
      </c>
    </row>
    <row r="784" spans="1:20" x14ac:dyDescent="0.35">
      <c r="A784" t="s">
        <v>987</v>
      </c>
      <c r="B784" s="1">
        <v>45783</v>
      </c>
      <c r="C784" t="s">
        <v>49</v>
      </c>
      <c r="D784" t="s">
        <v>50</v>
      </c>
      <c r="E784" t="s">
        <v>71</v>
      </c>
      <c r="F784" t="s">
        <v>23</v>
      </c>
      <c r="G784" t="s">
        <v>950</v>
      </c>
      <c r="H784" t="s">
        <v>951</v>
      </c>
      <c r="I784" t="s">
        <v>20</v>
      </c>
      <c r="J784">
        <v>1</v>
      </c>
      <c r="K784">
        <v>910000</v>
      </c>
      <c r="L784">
        <v>0</v>
      </c>
      <c r="M784">
        <v>653000</v>
      </c>
      <c r="N784">
        <f>(data[[#This Row],[unit_price]]*data[[#This Row],[quantity]]) * (1-data[[#This Row],[discount]])</f>
        <v>910000</v>
      </c>
      <c r="O784">
        <f>data[[#This Row],[sales]]-data[[#This Row],[cost]]</f>
        <v>257000</v>
      </c>
      <c r="P784" t="str">
        <f>TEXT(data[[#This Row],[order_date]],"mmm")</f>
        <v>May</v>
      </c>
      <c r="Q784">
        <f>YEAR(data[[#This Row],[order_date]])</f>
        <v>2025</v>
      </c>
      <c r="R784">
        <f>MONTH(data[[#This Row],[order_date]])</f>
        <v>5</v>
      </c>
      <c r="S784">
        <f>DAY(data[[#This Row],[order_date]])</f>
        <v>6</v>
      </c>
      <c r="T784">
        <f>data[[#This Row],[profit]]/data[[#This Row],[sales]]</f>
        <v>0.28241758241758241</v>
      </c>
    </row>
    <row r="785" spans="1:20" x14ac:dyDescent="0.35">
      <c r="A785" t="s">
        <v>988</v>
      </c>
      <c r="B785" s="1">
        <v>45813</v>
      </c>
      <c r="C785" t="s">
        <v>14</v>
      </c>
      <c r="D785" t="s">
        <v>15</v>
      </c>
      <c r="E785" t="s">
        <v>333</v>
      </c>
      <c r="F785" t="s">
        <v>17</v>
      </c>
      <c r="G785" t="s">
        <v>950</v>
      </c>
      <c r="H785" t="s">
        <v>951</v>
      </c>
      <c r="I785" t="s">
        <v>20</v>
      </c>
      <c r="J785">
        <v>1</v>
      </c>
      <c r="K785">
        <v>1058000</v>
      </c>
      <c r="L785">
        <v>0</v>
      </c>
      <c r="M785">
        <v>756000</v>
      </c>
      <c r="N785">
        <f>(data[[#This Row],[unit_price]]*data[[#This Row],[quantity]]) * (1-data[[#This Row],[discount]])</f>
        <v>1058000</v>
      </c>
      <c r="O785">
        <f>data[[#This Row],[sales]]-data[[#This Row],[cost]]</f>
        <v>302000</v>
      </c>
      <c r="P785" t="str">
        <f>TEXT(data[[#This Row],[order_date]],"mmm")</f>
        <v>Jun</v>
      </c>
      <c r="Q785">
        <f>YEAR(data[[#This Row],[order_date]])</f>
        <v>2025</v>
      </c>
      <c r="R785">
        <f>MONTH(data[[#This Row],[order_date]])</f>
        <v>6</v>
      </c>
      <c r="S785">
        <f>DAY(data[[#This Row],[order_date]])</f>
        <v>5</v>
      </c>
      <c r="T785">
        <f>data[[#This Row],[profit]]/data[[#This Row],[sales]]</f>
        <v>0.28544423440453687</v>
      </c>
    </row>
    <row r="786" spans="1:20" x14ac:dyDescent="0.35">
      <c r="A786" t="s">
        <v>989</v>
      </c>
      <c r="B786" s="1">
        <v>45819</v>
      </c>
      <c r="C786" t="s">
        <v>36</v>
      </c>
      <c r="D786" t="s">
        <v>37</v>
      </c>
      <c r="E786" t="s">
        <v>402</v>
      </c>
      <c r="F786" t="s">
        <v>23</v>
      </c>
      <c r="G786" t="s">
        <v>950</v>
      </c>
      <c r="H786" t="s">
        <v>951</v>
      </c>
      <c r="I786" t="s">
        <v>20</v>
      </c>
      <c r="J786">
        <v>1</v>
      </c>
      <c r="K786">
        <v>1408000</v>
      </c>
      <c r="L786">
        <v>0.1</v>
      </c>
      <c r="M786">
        <v>987000</v>
      </c>
      <c r="N786">
        <f>(data[[#This Row],[unit_price]]*data[[#This Row],[quantity]]) * (1-data[[#This Row],[discount]])</f>
        <v>1267200</v>
      </c>
      <c r="O786">
        <f>data[[#This Row],[sales]]-data[[#This Row],[cost]]</f>
        <v>280200</v>
      </c>
      <c r="P786" t="str">
        <f>TEXT(data[[#This Row],[order_date]],"mmm")</f>
        <v>Jun</v>
      </c>
      <c r="Q786">
        <f>YEAR(data[[#This Row],[order_date]])</f>
        <v>2025</v>
      </c>
      <c r="R786">
        <f>MONTH(data[[#This Row],[order_date]])</f>
        <v>6</v>
      </c>
      <c r="S786">
        <f>DAY(data[[#This Row],[order_date]])</f>
        <v>11</v>
      </c>
      <c r="T786">
        <f>data[[#This Row],[profit]]/data[[#This Row],[sales]]</f>
        <v>0.22111742424242425</v>
      </c>
    </row>
    <row r="787" spans="1:20" x14ac:dyDescent="0.35">
      <c r="A787" t="s">
        <v>990</v>
      </c>
      <c r="B787" s="1">
        <v>45826</v>
      </c>
      <c r="C787" t="s">
        <v>41</v>
      </c>
      <c r="D787" t="s">
        <v>42</v>
      </c>
      <c r="E787" t="s">
        <v>76</v>
      </c>
      <c r="F787" t="s">
        <v>23</v>
      </c>
      <c r="G787" t="s">
        <v>950</v>
      </c>
      <c r="H787" t="s">
        <v>951</v>
      </c>
      <c r="I787" t="s">
        <v>20</v>
      </c>
      <c r="J787">
        <v>5</v>
      </c>
      <c r="K787">
        <v>1133885.2459016393</v>
      </c>
      <c r="L787">
        <v>0</v>
      </c>
      <c r="M787">
        <v>756000</v>
      </c>
      <c r="N787">
        <f>(data[[#This Row],[unit_price]]*data[[#This Row],[quantity]]) * (1-data[[#This Row],[discount]])</f>
        <v>5669426.2295081969</v>
      </c>
      <c r="O787">
        <f>data[[#This Row],[sales]]-data[[#This Row],[cost]]</f>
        <v>4913426.2295081969</v>
      </c>
      <c r="P787" t="str">
        <f>TEXT(data[[#This Row],[order_date]],"mmm")</f>
        <v>Jun</v>
      </c>
      <c r="Q787">
        <f>YEAR(data[[#This Row],[order_date]])</f>
        <v>2025</v>
      </c>
      <c r="R787">
        <f>MONTH(data[[#This Row],[order_date]])</f>
        <v>6</v>
      </c>
      <c r="S787">
        <f>DAY(data[[#This Row],[order_date]])</f>
        <v>18</v>
      </c>
      <c r="T787">
        <f>data[[#This Row],[profit]]/data[[#This Row],[sales]]</f>
        <v>0.8666531727557939</v>
      </c>
    </row>
    <row r="788" spans="1:20" x14ac:dyDescent="0.35">
      <c r="A788" t="s">
        <v>991</v>
      </c>
      <c r="B788" s="1">
        <v>45829</v>
      </c>
      <c r="C788" t="s">
        <v>36</v>
      </c>
      <c r="D788" t="s">
        <v>37</v>
      </c>
      <c r="E788" t="s">
        <v>274</v>
      </c>
      <c r="F788" t="s">
        <v>58</v>
      </c>
      <c r="G788" t="s">
        <v>950</v>
      </c>
      <c r="H788" t="s">
        <v>951</v>
      </c>
      <c r="I788" t="s">
        <v>20</v>
      </c>
      <c r="J788">
        <v>2</v>
      </c>
      <c r="K788">
        <v>1056000</v>
      </c>
      <c r="L788">
        <v>0.15</v>
      </c>
      <c r="M788">
        <v>752000</v>
      </c>
      <c r="N788">
        <f>(data[[#This Row],[unit_price]]*data[[#This Row],[quantity]]) * (1-data[[#This Row],[discount]])</f>
        <v>1795200</v>
      </c>
      <c r="O788">
        <f>data[[#This Row],[sales]]-data[[#This Row],[cost]]</f>
        <v>1043200</v>
      </c>
      <c r="P788" t="str">
        <f>TEXT(data[[#This Row],[order_date]],"mmm")</f>
        <v>Jun</v>
      </c>
      <c r="Q788">
        <f>YEAR(data[[#This Row],[order_date]])</f>
        <v>2025</v>
      </c>
      <c r="R788">
        <f>MONTH(data[[#This Row],[order_date]])</f>
        <v>6</v>
      </c>
      <c r="S788">
        <f>DAY(data[[#This Row],[order_date]])</f>
        <v>21</v>
      </c>
      <c r="T788">
        <f>data[[#This Row],[profit]]/data[[#This Row],[sales]]</f>
        <v>0.58110516934046341</v>
      </c>
    </row>
    <row r="789" spans="1:20" x14ac:dyDescent="0.35">
      <c r="A789" t="s">
        <v>992</v>
      </c>
      <c r="B789" s="1">
        <v>45831</v>
      </c>
      <c r="C789" t="s">
        <v>49</v>
      </c>
      <c r="D789" t="s">
        <v>50</v>
      </c>
      <c r="E789" t="s">
        <v>255</v>
      </c>
      <c r="F789" t="s">
        <v>17</v>
      </c>
      <c r="G789" t="s">
        <v>950</v>
      </c>
      <c r="H789" t="s">
        <v>951</v>
      </c>
      <c r="I789" t="s">
        <v>20</v>
      </c>
      <c r="J789">
        <v>3</v>
      </c>
      <c r="K789">
        <v>1295000</v>
      </c>
      <c r="L789">
        <v>0</v>
      </c>
      <c r="M789">
        <v>944000</v>
      </c>
      <c r="N789">
        <f>(data[[#This Row],[unit_price]]*data[[#This Row],[quantity]]) * (1-data[[#This Row],[discount]])</f>
        <v>3885000</v>
      </c>
      <c r="O789">
        <f>data[[#This Row],[sales]]-data[[#This Row],[cost]]</f>
        <v>2941000</v>
      </c>
      <c r="P789" t="str">
        <f>TEXT(data[[#This Row],[order_date]],"mmm")</f>
        <v>Jun</v>
      </c>
      <c r="Q789">
        <f>YEAR(data[[#This Row],[order_date]])</f>
        <v>2025</v>
      </c>
      <c r="R789">
        <f>MONTH(data[[#This Row],[order_date]])</f>
        <v>6</v>
      </c>
      <c r="S789">
        <f>DAY(data[[#This Row],[order_date]])</f>
        <v>23</v>
      </c>
      <c r="T789">
        <f>data[[#This Row],[profit]]/data[[#This Row],[sales]]</f>
        <v>0.75701415701415697</v>
      </c>
    </row>
    <row r="790" spans="1:20" x14ac:dyDescent="0.35">
      <c r="A790" t="s">
        <v>993</v>
      </c>
      <c r="B790" s="1">
        <v>45847</v>
      </c>
      <c r="C790" t="s">
        <v>14</v>
      </c>
      <c r="D790" t="s">
        <v>15</v>
      </c>
      <c r="E790" t="s">
        <v>239</v>
      </c>
      <c r="F790" t="s">
        <v>23</v>
      </c>
      <c r="G790" t="s">
        <v>950</v>
      </c>
      <c r="H790" t="s">
        <v>951</v>
      </c>
      <c r="I790" t="s">
        <v>20</v>
      </c>
      <c r="J790">
        <v>3</v>
      </c>
      <c r="K790">
        <v>1051000</v>
      </c>
      <c r="L790">
        <v>0</v>
      </c>
      <c r="M790">
        <v>739000</v>
      </c>
      <c r="N790">
        <f>(data[[#This Row],[unit_price]]*data[[#This Row],[quantity]]) * (1-data[[#This Row],[discount]])</f>
        <v>3153000</v>
      </c>
      <c r="O790">
        <f>data[[#This Row],[sales]]-data[[#This Row],[cost]]</f>
        <v>2414000</v>
      </c>
      <c r="P790" t="str">
        <f>TEXT(data[[#This Row],[order_date]],"mmm")</f>
        <v>Jul</v>
      </c>
      <c r="Q790">
        <f>YEAR(data[[#This Row],[order_date]])</f>
        <v>2025</v>
      </c>
      <c r="R790">
        <f>MONTH(data[[#This Row],[order_date]])</f>
        <v>7</v>
      </c>
      <c r="S790">
        <f>DAY(data[[#This Row],[order_date]])</f>
        <v>9</v>
      </c>
      <c r="T790">
        <f>data[[#This Row],[profit]]/data[[#This Row],[sales]]</f>
        <v>0.7656200444021567</v>
      </c>
    </row>
    <row r="791" spans="1:20" x14ac:dyDescent="0.35">
      <c r="A791" t="s">
        <v>994</v>
      </c>
      <c r="B791" s="1">
        <v>45856</v>
      </c>
      <c r="C791" t="s">
        <v>14</v>
      </c>
      <c r="D791" t="s">
        <v>15</v>
      </c>
      <c r="E791" t="s">
        <v>764</v>
      </c>
      <c r="F791" t="s">
        <v>17</v>
      </c>
      <c r="G791" t="s">
        <v>950</v>
      </c>
      <c r="H791" t="s">
        <v>951</v>
      </c>
      <c r="I791" t="s">
        <v>20</v>
      </c>
      <c r="J791">
        <v>1</v>
      </c>
      <c r="K791">
        <v>1428000</v>
      </c>
      <c r="L791">
        <v>0</v>
      </c>
      <c r="M791">
        <v>1044000</v>
      </c>
      <c r="N791">
        <f>(data[[#This Row],[unit_price]]*data[[#This Row],[quantity]]) * (1-data[[#This Row],[discount]])</f>
        <v>1428000</v>
      </c>
      <c r="O791">
        <f>data[[#This Row],[sales]]-data[[#This Row],[cost]]</f>
        <v>384000</v>
      </c>
      <c r="P791" t="str">
        <f>TEXT(data[[#This Row],[order_date]],"mmm")</f>
        <v>Jul</v>
      </c>
      <c r="Q791">
        <f>YEAR(data[[#This Row],[order_date]])</f>
        <v>2025</v>
      </c>
      <c r="R791">
        <f>MONTH(data[[#This Row],[order_date]])</f>
        <v>7</v>
      </c>
      <c r="S791">
        <f>DAY(data[[#This Row],[order_date]])</f>
        <v>18</v>
      </c>
      <c r="T791">
        <f>data[[#This Row],[profit]]/data[[#This Row],[sales]]</f>
        <v>0.26890756302521007</v>
      </c>
    </row>
    <row r="792" spans="1:20" x14ac:dyDescent="0.35">
      <c r="A792" t="s">
        <v>995</v>
      </c>
      <c r="B792" s="1">
        <v>45858</v>
      </c>
      <c r="C792" t="s">
        <v>14</v>
      </c>
      <c r="D792" t="s">
        <v>15</v>
      </c>
      <c r="E792" t="s">
        <v>825</v>
      </c>
      <c r="F792" t="s">
        <v>23</v>
      </c>
      <c r="G792" t="s">
        <v>950</v>
      </c>
      <c r="H792" t="s">
        <v>951</v>
      </c>
      <c r="I792" t="s">
        <v>20</v>
      </c>
      <c r="J792">
        <v>1</v>
      </c>
      <c r="K792">
        <v>1375000</v>
      </c>
      <c r="L792">
        <v>0</v>
      </c>
      <c r="M792">
        <v>990000</v>
      </c>
      <c r="N792">
        <f>(data[[#This Row],[unit_price]]*data[[#This Row],[quantity]]) * (1-data[[#This Row],[discount]])</f>
        <v>1375000</v>
      </c>
      <c r="O792">
        <f>data[[#This Row],[sales]]-data[[#This Row],[cost]]</f>
        <v>385000</v>
      </c>
      <c r="P792" t="str">
        <f>TEXT(data[[#This Row],[order_date]],"mmm")</f>
        <v>Jul</v>
      </c>
      <c r="Q792">
        <f>YEAR(data[[#This Row],[order_date]])</f>
        <v>2025</v>
      </c>
      <c r="R792">
        <f>MONTH(data[[#This Row],[order_date]])</f>
        <v>7</v>
      </c>
      <c r="S792">
        <f>DAY(data[[#This Row],[order_date]])</f>
        <v>20</v>
      </c>
      <c r="T792">
        <f>data[[#This Row],[profit]]/data[[#This Row],[sales]]</f>
        <v>0.28000000000000003</v>
      </c>
    </row>
    <row r="793" spans="1:20" x14ac:dyDescent="0.35">
      <c r="A793" t="s">
        <v>996</v>
      </c>
      <c r="B793" s="1">
        <v>45865</v>
      </c>
      <c r="C793" t="s">
        <v>41</v>
      </c>
      <c r="D793" t="s">
        <v>42</v>
      </c>
      <c r="E793" t="s">
        <v>634</v>
      </c>
      <c r="F793" t="s">
        <v>17</v>
      </c>
      <c r="G793" t="s">
        <v>950</v>
      </c>
      <c r="H793" t="s">
        <v>951</v>
      </c>
      <c r="I793" t="s">
        <v>20</v>
      </c>
      <c r="J793">
        <v>1</v>
      </c>
      <c r="K793">
        <v>1376000</v>
      </c>
      <c r="L793">
        <v>0</v>
      </c>
      <c r="M793">
        <v>1003000</v>
      </c>
      <c r="N793">
        <f>(data[[#This Row],[unit_price]]*data[[#This Row],[quantity]]) * (1-data[[#This Row],[discount]])</f>
        <v>1376000</v>
      </c>
      <c r="O793">
        <f>data[[#This Row],[sales]]-data[[#This Row],[cost]]</f>
        <v>373000</v>
      </c>
      <c r="P793" t="str">
        <f>TEXT(data[[#This Row],[order_date]],"mmm")</f>
        <v>Jul</v>
      </c>
      <c r="Q793">
        <f>YEAR(data[[#This Row],[order_date]])</f>
        <v>2025</v>
      </c>
      <c r="R793">
        <f>MONTH(data[[#This Row],[order_date]])</f>
        <v>7</v>
      </c>
      <c r="S793">
        <f>DAY(data[[#This Row],[order_date]])</f>
        <v>27</v>
      </c>
      <c r="T793">
        <f>data[[#This Row],[profit]]/data[[#This Row],[sales]]</f>
        <v>0.27107558139534882</v>
      </c>
    </row>
    <row r="794" spans="1:20" x14ac:dyDescent="0.35">
      <c r="A794" t="s">
        <v>997</v>
      </c>
      <c r="B794" s="1">
        <v>45881</v>
      </c>
      <c r="C794" t="s">
        <v>25</v>
      </c>
      <c r="D794" t="s">
        <v>26</v>
      </c>
      <c r="E794" t="s">
        <v>182</v>
      </c>
      <c r="F794" t="s">
        <v>23</v>
      </c>
      <c r="G794" t="s">
        <v>950</v>
      </c>
      <c r="H794" t="s">
        <v>951</v>
      </c>
      <c r="I794" t="s">
        <v>20</v>
      </c>
      <c r="J794">
        <v>2</v>
      </c>
      <c r="K794">
        <v>1194000</v>
      </c>
      <c r="L794">
        <v>0</v>
      </c>
      <c r="M794">
        <v>861000</v>
      </c>
      <c r="N794">
        <f>(data[[#This Row],[unit_price]]*data[[#This Row],[quantity]]) * (1-data[[#This Row],[discount]])</f>
        <v>2388000</v>
      </c>
      <c r="O794">
        <f>data[[#This Row],[sales]]-data[[#This Row],[cost]]</f>
        <v>1527000</v>
      </c>
      <c r="P794" t="str">
        <f>TEXT(data[[#This Row],[order_date]],"mmm")</f>
        <v>Aug</v>
      </c>
      <c r="Q794">
        <f>YEAR(data[[#This Row],[order_date]])</f>
        <v>2025</v>
      </c>
      <c r="R794">
        <f>MONTH(data[[#This Row],[order_date]])</f>
        <v>8</v>
      </c>
      <c r="S794">
        <f>DAY(data[[#This Row],[order_date]])</f>
        <v>12</v>
      </c>
      <c r="T794">
        <f>data[[#This Row],[profit]]/data[[#This Row],[sales]]</f>
        <v>0.63944723618090449</v>
      </c>
    </row>
    <row r="795" spans="1:20" x14ac:dyDescent="0.35">
      <c r="A795" t="s">
        <v>998</v>
      </c>
      <c r="B795" s="1">
        <v>45976</v>
      </c>
      <c r="C795" t="s">
        <v>36</v>
      </c>
      <c r="D795" t="s">
        <v>37</v>
      </c>
      <c r="E795" t="s">
        <v>432</v>
      </c>
      <c r="F795" t="s">
        <v>23</v>
      </c>
      <c r="G795" t="s">
        <v>950</v>
      </c>
      <c r="H795" t="s">
        <v>951</v>
      </c>
      <c r="I795" t="s">
        <v>20</v>
      </c>
      <c r="J795">
        <v>1</v>
      </c>
      <c r="K795">
        <v>1155000</v>
      </c>
      <c r="L795">
        <v>0</v>
      </c>
      <c r="M795">
        <v>814000</v>
      </c>
      <c r="N795">
        <f>(data[[#This Row],[unit_price]]*data[[#This Row],[quantity]]) * (1-data[[#This Row],[discount]])</f>
        <v>1155000</v>
      </c>
      <c r="O795">
        <f>data[[#This Row],[sales]]-data[[#This Row],[cost]]</f>
        <v>341000</v>
      </c>
      <c r="P795" t="str">
        <f>TEXT(data[[#This Row],[order_date]],"mmm")</f>
        <v>Nov</v>
      </c>
      <c r="Q795">
        <f>YEAR(data[[#This Row],[order_date]])</f>
        <v>2025</v>
      </c>
      <c r="R795">
        <f>MONTH(data[[#This Row],[order_date]])</f>
        <v>11</v>
      </c>
      <c r="S795">
        <f>DAY(data[[#This Row],[order_date]])</f>
        <v>15</v>
      </c>
      <c r="T795">
        <f>data[[#This Row],[profit]]/data[[#This Row],[sales]]</f>
        <v>0.29523809523809524</v>
      </c>
    </row>
    <row r="796" spans="1:20" x14ac:dyDescent="0.35">
      <c r="A796" t="s">
        <v>999</v>
      </c>
      <c r="B796" s="1">
        <v>45990</v>
      </c>
      <c r="C796" t="s">
        <v>36</v>
      </c>
      <c r="D796" t="s">
        <v>37</v>
      </c>
      <c r="E796" t="s">
        <v>136</v>
      </c>
      <c r="F796" t="s">
        <v>23</v>
      </c>
      <c r="G796" t="s">
        <v>950</v>
      </c>
      <c r="H796" t="s">
        <v>951</v>
      </c>
      <c r="I796" t="s">
        <v>20</v>
      </c>
      <c r="J796">
        <v>1</v>
      </c>
      <c r="K796">
        <v>1133885.2459016393</v>
      </c>
      <c r="L796">
        <v>0.05</v>
      </c>
      <c r="M796">
        <v>0</v>
      </c>
      <c r="N796">
        <f>(data[[#This Row],[unit_price]]*data[[#This Row],[quantity]]) * (1-data[[#This Row],[discount]])</f>
        <v>1077190.9836065574</v>
      </c>
      <c r="O796">
        <f>data[[#This Row],[sales]]-data[[#This Row],[cost]]</f>
        <v>1077190.9836065574</v>
      </c>
      <c r="P796" t="str">
        <f>TEXT(data[[#This Row],[order_date]],"mmm")</f>
        <v>Nov</v>
      </c>
      <c r="Q796">
        <f>YEAR(data[[#This Row],[order_date]])</f>
        <v>2025</v>
      </c>
      <c r="R796">
        <f>MONTH(data[[#This Row],[order_date]])</f>
        <v>11</v>
      </c>
      <c r="S796">
        <f>DAY(data[[#This Row],[order_date]])</f>
        <v>29</v>
      </c>
      <c r="T796">
        <f>data[[#This Row],[profit]]/data[[#This Row],[sales]]</f>
        <v>1</v>
      </c>
    </row>
    <row r="797" spans="1:20" x14ac:dyDescent="0.35">
      <c r="A797" t="s">
        <v>1000</v>
      </c>
      <c r="B797" s="1">
        <v>45992</v>
      </c>
      <c r="C797" t="s">
        <v>25</v>
      </c>
      <c r="D797" t="s">
        <v>26</v>
      </c>
      <c r="E797" t="s">
        <v>74</v>
      </c>
      <c r="F797" t="s">
        <v>23</v>
      </c>
      <c r="G797" t="s">
        <v>950</v>
      </c>
      <c r="H797" t="s">
        <v>951</v>
      </c>
      <c r="I797" t="s">
        <v>20</v>
      </c>
      <c r="J797">
        <v>1</v>
      </c>
      <c r="K797">
        <v>1133885.2459016393</v>
      </c>
      <c r="L797">
        <v>0</v>
      </c>
      <c r="M797">
        <v>756000</v>
      </c>
      <c r="N797">
        <f>(data[[#This Row],[unit_price]]*data[[#This Row],[quantity]]) * (1-data[[#This Row],[discount]])</f>
        <v>1133885.2459016393</v>
      </c>
      <c r="O797">
        <f>data[[#This Row],[sales]]-data[[#This Row],[cost]]</f>
        <v>377885.24590163934</v>
      </c>
      <c r="P797" t="str">
        <f>TEXT(data[[#This Row],[order_date]],"mmm")</f>
        <v>Dec</v>
      </c>
      <c r="Q797">
        <f>YEAR(data[[#This Row],[order_date]])</f>
        <v>2025</v>
      </c>
      <c r="R797">
        <f>MONTH(data[[#This Row],[order_date]])</f>
        <v>12</v>
      </c>
      <c r="S797">
        <f>DAY(data[[#This Row],[order_date]])</f>
        <v>1</v>
      </c>
      <c r="T797">
        <f>data[[#This Row],[profit]]/data[[#This Row],[sales]]</f>
        <v>0.33326586377896972</v>
      </c>
    </row>
    <row r="798" spans="1:20" x14ac:dyDescent="0.35">
      <c r="A798" t="s">
        <v>1001</v>
      </c>
      <c r="B798" s="1">
        <v>46057</v>
      </c>
      <c r="C798" t="s">
        <v>49</v>
      </c>
      <c r="D798" t="s">
        <v>50</v>
      </c>
      <c r="E798" t="s">
        <v>102</v>
      </c>
      <c r="F798" t="s">
        <v>58</v>
      </c>
      <c r="G798" t="s">
        <v>950</v>
      </c>
      <c r="H798" t="s">
        <v>951</v>
      </c>
      <c r="I798" t="s">
        <v>20</v>
      </c>
      <c r="J798">
        <v>1</v>
      </c>
      <c r="K798">
        <v>936000</v>
      </c>
      <c r="L798">
        <v>0</v>
      </c>
      <c r="M798">
        <v>676000</v>
      </c>
      <c r="N798">
        <f>(data[[#This Row],[unit_price]]*data[[#This Row],[quantity]]) * (1-data[[#This Row],[discount]])</f>
        <v>936000</v>
      </c>
      <c r="O798">
        <f>data[[#This Row],[sales]]-data[[#This Row],[cost]]</f>
        <v>260000</v>
      </c>
      <c r="P798" t="str">
        <f>TEXT(data[[#This Row],[order_date]],"mmm")</f>
        <v>Feb</v>
      </c>
      <c r="Q798">
        <f>YEAR(data[[#This Row],[order_date]])</f>
        <v>2026</v>
      </c>
      <c r="R798">
        <f>MONTH(data[[#This Row],[order_date]])</f>
        <v>2</v>
      </c>
      <c r="S798">
        <f>DAY(data[[#This Row],[order_date]])</f>
        <v>4</v>
      </c>
      <c r="T798">
        <f>data[[#This Row],[profit]]/data[[#This Row],[sales]]</f>
        <v>0.27777777777777779</v>
      </c>
    </row>
    <row r="799" spans="1:20" x14ac:dyDescent="0.35">
      <c r="A799" t="s">
        <v>1002</v>
      </c>
      <c r="B799" s="1">
        <v>46063</v>
      </c>
      <c r="C799" t="s">
        <v>36</v>
      </c>
      <c r="D799" t="s">
        <v>37</v>
      </c>
      <c r="E799" t="s">
        <v>65</v>
      </c>
      <c r="F799" t="s">
        <v>17</v>
      </c>
      <c r="G799" t="s">
        <v>950</v>
      </c>
      <c r="H799" t="s">
        <v>951</v>
      </c>
      <c r="I799" t="s">
        <v>20</v>
      </c>
      <c r="J799">
        <v>2</v>
      </c>
      <c r="K799">
        <v>1444000</v>
      </c>
      <c r="L799">
        <v>0</v>
      </c>
      <c r="M799">
        <v>1021000</v>
      </c>
      <c r="N799">
        <f>(data[[#This Row],[unit_price]]*data[[#This Row],[quantity]]) * (1-data[[#This Row],[discount]])</f>
        <v>2888000</v>
      </c>
      <c r="O799">
        <f>data[[#This Row],[sales]]-data[[#This Row],[cost]]</f>
        <v>1867000</v>
      </c>
      <c r="P799" t="str">
        <f>TEXT(data[[#This Row],[order_date]],"mmm")</f>
        <v>Feb</v>
      </c>
      <c r="Q799">
        <f>YEAR(data[[#This Row],[order_date]])</f>
        <v>2026</v>
      </c>
      <c r="R799">
        <f>MONTH(data[[#This Row],[order_date]])</f>
        <v>2</v>
      </c>
      <c r="S799">
        <f>DAY(data[[#This Row],[order_date]])</f>
        <v>10</v>
      </c>
      <c r="T799">
        <f>data[[#This Row],[profit]]/data[[#This Row],[sales]]</f>
        <v>0.64646814404432129</v>
      </c>
    </row>
    <row r="800" spans="1:20" x14ac:dyDescent="0.35">
      <c r="A800" t="s">
        <v>1003</v>
      </c>
      <c r="B800" s="1">
        <v>46074</v>
      </c>
      <c r="C800" t="s">
        <v>14</v>
      </c>
      <c r="D800" t="s">
        <v>15</v>
      </c>
      <c r="E800" t="s">
        <v>155</v>
      </c>
      <c r="F800" t="s">
        <v>58</v>
      </c>
      <c r="G800" t="s">
        <v>950</v>
      </c>
      <c r="H800" t="s">
        <v>951</v>
      </c>
      <c r="I800" t="s">
        <v>20</v>
      </c>
      <c r="J800">
        <v>1</v>
      </c>
      <c r="K800">
        <v>1469000</v>
      </c>
      <c r="L800">
        <v>0.05</v>
      </c>
      <c r="M800">
        <v>1075000</v>
      </c>
      <c r="N800">
        <f>(data[[#This Row],[unit_price]]*data[[#This Row],[quantity]]) * (1-data[[#This Row],[discount]])</f>
        <v>1395550</v>
      </c>
      <c r="O800">
        <f>data[[#This Row],[sales]]-data[[#This Row],[cost]]</f>
        <v>320550</v>
      </c>
      <c r="P800" t="str">
        <f>TEXT(data[[#This Row],[order_date]],"mmm")</f>
        <v>Feb</v>
      </c>
      <c r="Q800">
        <f>YEAR(data[[#This Row],[order_date]])</f>
        <v>2026</v>
      </c>
      <c r="R800">
        <f>MONTH(data[[#This Row],[order_date]])</f>
        <v>2</v>
      </c>
      <c r="S800">
        <f>DAY(data[[#This Row],[order_date]])</f>
        <v>21</v>
      </c>
      <c r="T800">
        <f>data[[#This Row],[profit]]/data[[#This Row],[sales]]</f>
        <v>0.22969438572605783</v>
      </c>
    </row>
    <row r="801" spans="1:20" x14ac:dyDescent="0.35">
      <c r="A801" t="s">
        <v>1004</v>
      </c>
      <c r="B801" s="1">
        <v>46075</v>
      </c>
      <c r="C801" t="s">
        <v>49</v>
      </c>
      <c r="D801" t="s">
        <v>50</v>
      </c>
      <c r="E801" t="s">
        <v>221</v>
      </c>
      <c r="F801" t="s">
        <v>17</v>
      </c>
      <c r="G801" t="s">
        <v>950</v>
      </c>
      <c r="H801" t="s">
        <v>951</v>
      </c>
      <c r="I801" t="s">
        <v>20</v>
      </c>
      <c r="J801">
        <v>1</v>
      </c>
      <c r="K801">
        <v>1220000</v>
      </c>
      <c r="L801">
        <v>0</v>
      </c>
      <c r="M801">
        <v>878000</v>
      </c>
      <c r="N801">
        <f>(data[[#This Row],[unit_price]]*data[[#This Row],[quantity]]) * (1-data[[#This Row],[discount]])</f>
        <v>1220000</v>
      </c>
      <c r="O801">
        <f>data[[#This Row],[sales]]-data[[#This Row],[cost]]</f>
        <v>342000</v>
      </c>
      <c r="P801" t="str">
        <f>TEXT(data[[#This Row],[order_date]],"mmm")</f>
        <v>Feb</v>
      </c>
      <c r="Q801">
        <f>YEAR(data[[#This Row],[order_date]])</f>
        <v>2026</v>
      </c>
      <c r="R801">
        <f>MONTH(data[[#This Row],[order_date]])</f>
        <v>2</v>
      </c>
      <c r="S801">
        <f>DAY(data[[#This Row],[order_date]])</f>
        <v>22</v>
      </c>
      <c r="T801">
        <f>data[[#This Row],[profit]]/data[[#This Row],[sales]]</f>
        <v>0.28032786885245903</v>
      </c>
    </row>
    <row r="802" spans="1:20" x14ac:dyDescent="0.35">
      <c r="A802" t="s">
        <v>1005</v>
      </c>
      <c r="B802" s="1">
        <v>46111</v>
      </c>
      <c r="C802" t="s">
        <v>14</v>
      </c>
      <c r="D802" t="s">
        <v>15</v>
      </c>
      <c r="E802" t="s">
        <v>329</v>
      </c>
      <c r="F802" t="s">
        <v>28</v>
      </c>
      <c r="G802" t="s">
        <v>950</v>
      </c>
      <c r="H802" t="s">
        <v>951</v>
      </c>
      <c r="I802" t="s">
        <v>20</v>
      </c>
      <c r="J802">
        <v>2</v>
      </c>
      <c r="K802">
        <v>1365000</v>
      </c>
      <c r="L802">
        <v>0</v>
      </c>
      <c r="M802">
        <v>993000</v>
      </c>
      <c r="N802">
        <f>(data[[#This Row],[unit_price]]*data[[#This Row],[quantity]]) * (1-data[[#This Row],[discount]])</f>
        <v>2730000</v>
      </c>
      <c r="O802">
        <f>data[[#This Row],[sales]]-data[[#This Row],[cost]]</f>
        <v>1737000</v>
      </c>
      <c r="P802" t="str">
        <f>TEXT(data[[#This Row],[order_date]],"mmm")</f>
        <v>Mar</v>
      </c>
      <c r="Q802">
        <f>YEAR(data[[#This Row],[order_date]])</f>
        <v>2026</v>
      </c>
      <c r="R802">
        <f>MONTH(data[[#This Row],[order_date]])</f>
        <v>3</v>
      </c>
      <c r="S802">
        <f>DAY(data[[#This Row],[order_date]])</f>
        <v>30</v>
      </c>
      <c r="T802">
        <f>data[[#This Row],[profit]]/data[[#This Row],[sales]]</f>
        <v>0.63626373626373622</v>
      </c>
    </row>
    <row r="803" spans="1:20" x14ac:dyDescent="0.35">
      <c r="A803" t="s">
        <v>1006</v>
      </c>
      <c r="B803" s="1">
        <v>46138</v>
      </c>
      <c r="C803" t="s">
        <v>14</v>
      </c>
      <c r="D803" t="s">
        <v>15</v>
      </c>
      <c r="E803" t="s">
        <v>34</v>
      </c>
      <c r="F803" t="s">
        <v>17</v>
      </c>
      <c r="G803" t="s">
        <v>950</v>
      </c>
      <c r="H803" t="s">
        <v>951</v>
      </c>
      <c r="I803" t="s">
        <v>20</v>
      </c>
      <c r="J803">
        <v>2</v>
      </c>
      <c r="K803">
        <v>1169000</v>
      </c>
      <c r="L803">
        <v>0.1</v>
      </c>
      <c r="M803">
        <v>856000</v>
      </c>
      <c r="N803">
        <f>(data[[#This Row],[unit_price]]*data[[#This Row],[quantity]]) * (1-data[[#This Row],[discount]])</f>
        <v>2104200</v>
      </c>
      <c r="O803">
        <f>data[[#This Row],[sales]]-data[[#This Row],[cost]]</f>
        <v>1248200</v>
      </c>
      <c r="P803" t="str">
        <f>TEXT(data[[#This Row],[order_date]],"mmm")</f>
        <v>Apr</v>
      </c>
      <c r="Q803">
        <f>YEAR(data[[#This Row],[order_date]])</f>
        <v>2026</v>
      </c>
      <c r="R803">
        <f>MONTH(data[[#This Row],[order_date]])</f>
        <v>4</v>
      </c>
      <c r="S803">
        <f>DAY(data[[#This Row],[order_date]])</f>
        <v>26</v>
      </c>
      <c r="T803">
        <f>data[[#This Row],[profit]]/data[[#This Row],[sales]]</f>
        <v>0.59319456325444353</v>
      </c>
    </row>
    <row r="804" spans="1:20" x14ac:dyDescent="0.35">
      <c r="A804" t="s">
        <v>1007</v>
      </c>
      <c r="B804" s="1">
        <v>46168</v>
      </c>
      <c r="C804" t="s">
        <v>25</v>
      </c>
      <c r="D804" t="s">
        <v>26</v>
      </c>
      <c r="E804" t="s">
        <v>319</v>
      </c>
      <c r="F804" t="s">
        <v>23</v>
      </c>
      <c r="G804" t="s">
        <v>950</v>
      </c>
      <c r="H804" t="s">
        <v>951</v>
      </c>
      <c r="I804" t="s">
        <v>20</v>
      </c>
      <c r="J804">
        <v>1</v>
      </c>
      <c r="K804">
        <v>1280000</v>
      </c>
      <c r="L804">
        <v>0</v>
      </c>
      <c r="M804">
        <v>923000</v>
      </c>
      <c r="N804">
        <f>(data[[#This Row],[unit_price]]*data[[#This Row],[quantity]]) * (1-data[[#This Row],[discount]])</f>
        <v>1280000</v>
      </c>
      <c r="O804">
        <f>data[[#This Row],[sales]]-data[[#This Row],[cost]]</f>
        <v>357000</v>
      </c>
      <c r="P804" t="str">
        <f>TEXT(data[[#This Row],[order_date]],"mmm")</f>
        <v>May</v>
      </c>
      <c r="Q804">
        <f>YEAR(data[[#This Row],[order_date]])</f>
        <v>2026</v>
      </c>
      <c r="R804">
        <f>MONTH(data[[#This Row],[order_date]])</f>
        <v>5</v>
      </c>
      <c r="S804">
        <f>DAY(data[[#This Row],[order_date]])</f>
        <v>26</v>
      </c>
      <c r="T804">
        <f>data[[#This Row],[profit]]/data[[#This Row],[sales]]</f>
        <v>0.27890625000000002</v>
      </c>
    </row>
    <row r="805" spans="1:20" x14ac:dyDescent="0.35">
      <c r="A805" t="s">
        <v>1008</v>
      </c>
      <c r="B805" s="1">
        <v>46173</v>
      </c>
      <c r="C805" t="s">
        <v>25</v>
      </c>
      <c r="D805" t="s">
        <v>26</v>
      </c>
      <c r="E805" t="s">
        <v>489</v>
      </c>
      <c r="F805" t="s">
        <v>17</v>
      </c>
      <c r="G805" t="s">
        <v>950</v>
      </c>
      <c r="H805" t="s">
        <v>951</v>
      </c>
      <c r="I805" t="s">
        <v>20</v>
      </c>
      <c r="J805">
        <v>1</v>
      </c>
      <c r="K805">
        <v>1414000</v>
      </c>
      <c r="L805">
        <v>0</v>
      </c>
      <c r="M805">
        <v>1041000</v>
      </c>
      <c r="N805">
        <f>(data[[#This Row],[unit_price]]*data[[#This Row],[quantity]]) * (1-data[[#This Row],[discount]])</f>
        <v>1414000</v>
      </c>
      <c r="O805">
        <f>data[[#This Row],[sales]]-data[[#This Row],[cost]]</f>
        <v>373000</v>
      </c>
      <c r="P805" t="str">
        <f>TEXT(data[[#This Row],[order_date]],"mmm")</f>
        <v>May</v>
      </c>
      <c r="Q805">
        <f>YEAR(data[[#This Row],[order_date]])</f>
        <v>2026</v>
      </c>
      <c r="R805">
        <f>MONTH(data[[#This Row],[order_date]])</f>
        <v>5</v>
      </c>
      <c r="S805">
        <f>DAY(data[[#This Row],[order_date]])</f>
        <v>31</v>
      </c>
      <c r="T805">
        <f>data[[#This Row],[profit]]/data[[#This Row],[sales]]</f>
        <v>0.26379066478076379</v>
      </c>
    </row>
    <row r="806" spans="1:20" x14ac:dyDescent="0.35">
      <c r="A806" t="s">
        <v>1009</v>
      </c>
      <c r="B806" s="1">
        <v>46179</v>
      </c>
      <c r="C806" t="s">
        <v>14</v>
      </c>
      <c r="D806" t="s">
        <v>15</v>
      </c>
      <c r="E806" t="s">
        <v>349</v>
      </c>
      <c r="F806" t="s">
        <v>23</v>
      </c>
      <c r="G806" t="s">
        <v>950</v>
      </c>
      <c r="H806" t="s">
        <v>951</v>
      </c>
      <c r="I806" t="s">
        <v>20</v>
      </c>
      <c r="J806">
        <v>1</v>
      </c>
      <c r="K806">
        <v>1065000</v>
      </c>
      <c r="L806">
        <v>0</v>
      </c>
      <c r="M806">
        <v>777000</v>
      </c>
      <c r="N806">
        <f>(data[[#This Row],[unit_price]]*data[[#This Row],[quantity]]) * (1-data[[#This Row],[discount]])</f>
        <v>1065000</v>
      </c>
      <c r="O806">
        <f>data[[#This Row],[sales]]-data[[#This Row],[cost]]</f>
        <v>288000</v>
      </c>
      <c r="P806" t="str">
        <f>TEXT(data[[#This Row],[order_date]],"mmm")</f>
        <v>Jun</v>
      </c>
      <c r="Q806">
        <f>YEAR(data[[#This Row],[order_date]])</f>
        <v>2026</v>
      </c>
      <c r="R806">
        <f>MONTH(data[[#This Row],[order_date]])</f>
        <v>6</v>
      </c>
      <c r="S806">
        <f>DAY(data[[#This Row],[order_date]])</f>
        <v>6</v>
      </c>
      <c r="T806">
        <f>data[[#This Row],[profit]]/data[[#This Row],[sales]]</f>
        <v>0.27042253521126758</v>
      </c>
    </row>
    <row r="807" spans="1:20" x14ac:dyDescent="0.35">
      <c r="A807" t="s">
        <v>1010</v>
      </c>
      <c r="B807" s="1">
        <v>46190</v>
      </c>
      <c r="C807" t="s">
        <v>14</v>
      </c>
      <c r="D807" t="s">
        <v>15</v>
      </c>
      <c r="E807" t="s">
        <v>212</v>
      </c>
      <c r="F807" t="s">
        <v>28</v>
      </c>
      <c r="G807" t="s">
        <v>950</v>
      </c>
      <c r="H807" t="s">
        <v>951</v>
      </c>
      <c r="I807" t="s">
        <v>20</v>
      </c>
      <c r="J807">
        <v>3</v>
      </c>
      <c r="K807">
        <v>1174000</v>
      </c>
      <c r="L807">
        <v>0.05</v>
      </c>
      <c r="M807">
        <v>856000</v>
      </c>
      <c r="N807">
        <f>(data[[#This Row],[unit_price]]*data[[#This Row],[quantity]]) * (1-data[[#This Row],[discount]])</f>
        <v>3345900</v>
      </c>
      <c r="O807">
        <f>data[[#This Row],[sales]]-data[[#This Row],[cost]]</f>
        <v>2489900</v>
      </c>
      <c r="P807" t="str">
        <f>TEXT(data[[#This Row],[order_date]],"mmm")</f>
        <v>Jun</v>
      </c>
      <c r="Q807">
        <f>YEAR(data[[#This Row],[order_date]])</f>
        <v>2026</v>
      </c>
      <c r="R807">
        <f>MONTH(data[[#This Row],[order_date]])</f>
        <v>6</v>
      </c>
      <c r="S807">
        <f>DAY(data[[#This Row],[order_date]])</f>
        <v>17</v>
      </c>
      <c r="T807">
        <f>data[[#This Row],[profit]]/data[[#This Row],[sales]]</f>
        <v>0.74416449983561972</v>
      </c>
    </row>
    <row r="808" spans="1:20" x14ac:dyDescent="0.35">
      <c r="A808" t="s">
        <v>1011</v>
      </c>
      <c r="B808" s="1">
        <v>46191</v>
      </c>
      <c r="C808" t="s">
        <v>14</v>
      </c>
      <c r="D808" t="s">
        <v>15</v>
      </c>
      <c r="E808" t="s">
        <v>311</v>
      </c>
      <c r="F808" t="s">
        <v>17</v>
      </c>
      <c r="G808" t="s">
        <v>950</v>
      </c>
      <c r="H808" t="s">
        <v>951</v>
      </c>
      <c r="I808" t="s">
        <v>20</v>
      </c>
      <c r="J808">
        <v>1</v>
      </c>
      <c r="K808">
        <v>1400000</v>
      </c>
      <c r="L808">
        <v>0.05</v>
      </c>
      <c r="M808">
        <v>1035000</v>
      </c>
      <c r="N808">
        <f>(data[[#This Row],[unit_price]]*data[[#This Row],[quantity]]) * (1-data[[#This Row],[discount]])</f>
        <v>1330000</v>
      </c>
      <c r="O808">
        <f>data[[#This Row],[sales]]-data[[#This Row],[cost]]</f>
        <v>295000</v>
      </c>
      <c r="P808" t="str">
        <f>TEXT(data[[#This Row],[order_date]],"mmm")</f>
        <v>Jun</v>
      </c>
      <c r="Q808">
        <f>YEAR(data[[#This Row],[order_date]])</f>
        <v>2026</v>
      </c>
      <c r="R808">
        <f>MONTH(data[[#This Row],[order_date]])</f>
        <v>6</v>
      </c>
      <c r="S808">
        <f>DAY(data[[#This Row],[order_date]])</f>
        <v>18</v>
      </c>
      <c r="T808">
        <f>data[[#This Row],[profit]]/data[[#This Row],[sales]]</f>
        <v>0.22180451127819548</v>
      </c>
    </row>
    <row r="809" spans="1:20" x14ac:dyDescent="0.35">
      <c r="A809" t="s">
        <v>1012</v>
      </c>
      <c r="B809" s="1">
        <v>46198</v>
      </c>
      <c r="C809" t="s">
        <v>14</v>
      </c>
      <c r="D809" t="s">
        <v>15</v>
      </c>
      <c r="E809" t="s">
        <v>675</v>
      </c>
      <c r="F809" t="s">
        <v>17</v>
      </c>
      <c r="G809" t="s">
        <v>950</v>
      </c>
      <c r="H809" t="s">
        <v>951</v>
      </c>
      <c r="I809" t="s">
        <v>20</v>
      </c>
      <c r="J809">
        <v>1</v>
      </c>
      <c r="K809">
        <v>970000</v>
      </c>
      <c r="L809">
        <v>0.05</v>
      </c>
      <c r="M809">
        <v>685000</v>
      </c>
      <c r="N809">
        <f>(data[[#This Row],[unit_price]]*data[[#This Row],[quantity]]) * (1-data[[#This Row],[discount]])</f>
        <v>921500</v>
      </c>
      <c r="O809">
        <f>data[[#This Row],[sales]]-data[[#This Row],[cost]]</f>
        <v>236500</v>
      </c>
      <c r="P809" t="str">
        <f>TEXT(data[[#This Row],[order_date]],"mmm")</f>
        <v>Jun</v>
      </c>
      <c r="Q809">
        <f>YEAR(data[[#This Row],[order_date]])</f>
        <v>2026</v>
      </c>
      <c r="R809">
        <f>MONTH(data[[#This Row],[order_date]])</f>
        <v>6</v>
      </c>
      <c r="S809">
        <f>DAY(data[[#This Row],[order_date]])</f>
        <v>25</v>
      </c>
      <c r="T809">
        <f>data[[#This Row],[profit]]/data[[#This Row],[sales]]</f>
        <v>0.25664677156809551</v>
      </c>
    </row>
    <row r="810" spans="1:20" x14ac:dyDescent="0.35">
      <c r="A810" t="s">
        <v>1013</v>
      </c>
      <c r="B810" s="1">
        <v>46199</v>
      </c>
      <c r="C810" t="s">
        <v>41</v>
      </c>
      <c r="D810" t="s">
        <v>42</v>
      </c>
      <c r="E810" t="s">
        <v>172</v>
      </c>
      <c r="F810" t="s">
        <v>23</v>
      </c>
      <c r="G810" t="s">
        <v>950</v>
      </c>
      <c r="H810" t="s">
        <v>951</v>
      </c>
      <c r="I810" t="s">
        <v>20</v>
      </c>
      <c r="J810">
        <v>3</v>
      </c>
      <c r="K810">
        <v>1421000</v>
      </c>
      <c r="L810">
        <v>0</v>
      </c>
      <c r="M810">
        <v>1022000</v>
      </c>
      <c r="N810">
        <f>(data[[#This Row],[unit_price]]*data[[#This Row],[quantity]]) * (1-data[[#This Row],[discount]])</f>
        <v>4263000</v>
      </c>
      <c r="O810">
        <f>data[[#This Row],[sales]]-data[[#This Row],[cost]]</f>
        <v>3241000</v>
      </c>
      <c r="P810" t="str">
        <f>TEXT(data[[#This Row],[order_date]],"mmm")</f>
        <v>Jun</v>
      </c>
      <c r="Q810">
        <f>YEAR(data[[#This Row],[order_date]])</f>
        <v>2026</v>
      </c>
      <c r="R810">
        <f>MONTH(data[[#This Row],[order_date]])</f>
        <v>6</v>
      </c>
      <c r="S810">
        <f>DAY(data[[#This Row],[order_date]])</f>
        <v>26</v>
      </c>
      <c r="T810">
        <f>data[[#This Row],[profit]]/data[[#This Row],[sales]]</f>
        <v>0.76026272577996712</v>
      </c>
    </row>
    <row r="811" spans="1:20" x14ac:dyDescent="0.35">
      <c r="A811" t="s">
        <v>1014</v>
      </c>
      <c r="B811" s="1">
        <v>46200</v>
      </c>
      <c r="C811" t="s">
        <v>49</v>
      </c>
      <c r="D811" t="s">
        <v>50</v>
      </c>
      <c r="E811" t="s">
        <v>164</v>
      </c>
      <c r="F811" t="s">
        <v>23</v>
      </c>
      <c r="G811" t="s">
        <v>950</v>
      </c>
      <c r="H811" t="s">
        <v>951</v>
      </c>
      <c r="I811" t="s">
        <v>20</v>
      </c>
      <c r="J811">
        <v>1</v>
      </c>
      <c r="K811">
        <v>987000</v>
      </c>
      <c r="L811">
        <v>0</v>
      </c>
      <c r="M811">
        <v>708000</v>
      </c>
      <c r="N811">
        <f>(data[[#This Row],[unit_price]]*data[[#This Row],[quantity]]) * (1-data[[#This Row],[discount]])</f>
        <v>987000</v>
      </c>
      <c r="O811">
        <f>data[[#This Row],[sales]]-data[[#This Row],[cost]]</f>
        <v>279000</v>
      </c>
      <c r="P811" t="str">
        <f>TEXT(data[[#This Row],[order_date]],"mmm")</f>
        <v>Jun</v>
      </c>
      <c r="Q811">
        <f>YEAR(data[[#This Row],[order_date]])</f>
        <v>2026</v>
      </c>
      <c r="R811">
        <f>MONTH(data[[#This Row],[order_date]])</f>
        <v>6</v>
      </c>
      <c r="S811">
        <f>DAY(data[[#This Row],[order_date]])</f>
        <v>27</v>
      </c>
      <c r="T811">
        <f>data[[#This Row],[profit]]/data[[#This Row],[sales]]</f>
        <v>0.28267477203647418</v>
      </c>
    </row>
    <row r="812" spans="1:20" x14ac:dyDescent="0.35">
      <c r="A812" t="s">
        <v>1015</v>
      </c>
      <c r="B812" s="1">
        <v>44939</v>
      </c>
      <c r="C812" t="s">
        <v>14</v>
      </c>
      <c r="D812" t="s">
        <v>15</v>
      </c>
      <c r="E812" t="s">
        <v>30</v>
      </c>
      <c r="F812" t="s">
        <v>23</v>
      </c>
      <c r="G812" t="s">
        <v>1016</v>
      </c>
      <c r="H812" t="s">
        <v>1017</v>
      </c>
      <c r="I812" t="s">
        <v>160</v>
      </c>
      <c r="J812">
        <v>1</v>
      </c>
      <c r="K812">
        <v>1245000</v>
      </c>
      <c r="L812">
        <v>0</v>
      </c>
      <c r="M812">
        <v>920000</v>
      </c>
      <c r="N812">
        <f>(data[[#This Row],[unit_price]]*data[[#This Row],[quantity]]) * (1-data[[#This Row],[discount]])</f>
        <v>1245000</v>
      </c>
      <c r="O812">
        <f>data[[#This Row],[sales]]-data[[#This Row],[cost]]</f>
        <v>325000</v>
      </c>
      <c r="P812" t="str">
        <f>TEXT(data[[#This Row],[order_date]],"mmm")</f>
        <v>Jan</v>
      </c>
      <c r="Q812">
        <f>YEAR(data[[#This Row],[order_date]])</f>
        <v>2023</v>
      </c>
      <c r="R812">
        <f>MONTH(data[[#This Row],[order_date]])</f>
        <v>1</v>
      </c>
      <c r="S812">
        <f>DAY(data[[#This Row],[order_date]])</f>
        <v>13</v>
      </c>
      <c r="T812">
        <f>data[[#This Row],[profit]]/data[[#This Row],[sales]]</f>
        <v>0.26104417670682734</v>
      </c>
    </row>
    <row r="813" spans="1:20" x14ac:dyDescent="0.35">
      <c r="A813" t="s">
        <v>1018</v>
      </c>
      <c r="B813" s="1">
        <v>44974</v>
      </c>
      <c r="C813" t="s">
        <v>14</v>
      </c>
      <c r="D813" t="s">
        <v>15</v>
      </c>
      <c r="E813" t="s">
        <v>311</v>
      </c>
      <c r="F813" t="s">
        <v>17</v>
      </c>
      <c r="G813" t="s">
        <v>1016</v>
      </c>
      <c r="H813" t="s">
        <v>1017</v>
      </c>
      <c r="I813" t="s">
        <v>160</v>
      </c>
      <c r="J813">
        <v>5</v>
      </c>
      <c r="K813">
        <v>1304000</v>
      </c>
      <c r="L813">
        <v>0.05</v>
      </c>
      <c r="M813">
        <v>963000</v>
      </c>
      <c r="N813">
        <f>(data[[#This Row],[unit_price]]*data[[#This Row],[quantity]]) * (1-data[[#This Row],[discount]])</f>
        <v>6194000</v>
      </c>
      <c r="O813">
        <f>data[[#This Row],[sales]]-data[[#This Row],[cost]]</f>
        <v>5231000</v>
      </c>
      <c r="P813" t="str">
        <f>TEXT(data[[#This Row],[order_date]],"mmm")</f>
        <v>Feb</v>
      </c>
      <c r="Q813">
        <f>YEAR(data[[#This Row],[order_date]])</f>
        <v>2023</v>
      </c>
      <c r="R813">
        <f>MONTH(data[[#This Row],[order_date]])</f>
        <v>2</v>
      </c>
      <c r="S813">
        <f>DAY(data[[#This Row],[order_date]])</f>
        <v>17</v>
      </c>
      <c r="T813">
        <f>data[[#This Row],[profit]]/data[[#This Row],[sales]]</f>
        <v>0.84452696157571838</v>
      </c>
    </row>
    <row r="814" spans="1:20" x14ac:dyDescent="0.35">
      <c r="A814" t="s">
        <v>1019</v>
      </c>
      <c r="B814" s="1">
        <v>45052</v>
      </c>
      <c r="C814" t="s">
        <v>41</v>
      </c>
      <c r="D814" t="s">
        <v>42</v>
      </c>
      <c r="E814" t="s">
        <v>89</v>
      </c>
      <c r="F814" t="s">
        <v>23</v>
      </c>
      <c r="G814" t="s">
        <v>1016</v>
      </c>
      <c r="H814" t="s">
        <v>1017</v>
      </c>
      <c r="I814" t="s">
        <v>160</v>
      </c>
      <c r="J814">
        <v>1</v>
      </c>
      <c r="K814">
        <v>1434000</v>
      </c>
      <c r="L814">
        <v>0</v>
      </c>
      <c r="M814">
        <v>1073000</v>
      </c>
      <c r="N814">
        <f>(data[[#This Row],[unit_price]]*data[[#This Row],[quantity]]) * (1-data[[#This Row],[discount]])</f>
        <v>1434000</v>
      </c>
      <c r="O814">
        <f>data[[#This Row],[sales]]-data[[#This Row],[cost]]</f>
        <v>361000</v>
      </c>
      <c r="P814" t="str">
        <f>TEXT(data[[#This Row],[order_date]],"mmm")</f>
        <v>May</v>
      </c>
      <c r="Q814">
        <f>YEAR(data[[#This Row],[order_date]])</f>
        <v>2023</v>
      </c>
      <c r="R814">
        <f>MONTH(data[[#This Row],[order_date]])</f>
        <v>5</v>
      </c>
      <c r="S814">
        <f>DAY(data[[#This Row],[order_date]])</f>
        <v>6</v>
      </c>
      <c r="T814">
        <f>data[[#This Row],[profit]]/data[[#This Row],[sales]]</f>
        <v>0.25174337517433754</v>
      </c>
    </row>
    <row r="815" spans="1:20" x14ac:dyDescent="0.35">
      <c r="A815" t="s">
        <v>1020</v>
      </c>
      <c r="B815" s="1">
        <v>45056</v>
      </c>
      <c r="C815" t="s">
        <v>41</v>
      </c>
      <c r="D815" t="s">
        <v>42</v>
      </c>
      <c r="E815" t="s">
        <v>182</v>
      </c>
      <c r="F815" t="s">
        <v>23</v>
      </c>
      <c r="G815" t="s">
        <v>1016</v>
      </c>
      <c r="H815" t="s">
        <v>1017</v>
      </c>
      <c r="I815" t="s">
        <v>160</v>
      </c>
      <c r="J815">
        <v>1</v>
      </c>
      <c r="K815">
        <v>1161000</v>
      </c>
      <c r="L815">
        <v>0</v>
      </c>
      <c r="M815">
        <v>846000</v>
      </c>
      <c r="N815">
        <f>(data[[#This Row],[unit_price]]*data[[#This Row],[quantity]]) * (1-data[[#This Row],[discount]])</f>
        <v>1161000</v>
      </c>
      <c r="O815">
        <f>data[[#This Row],[sales]]-data[[#This Row],[cost]]</f>
        <v>315000</v>
      </c>
      <c r="P815" t="str">
        <f>TEXT(data[[#This Row],[order_date]],"mmm")</f>
        <v>May</v>
      </c>
      <c r="Q815">
        <f>YEAR(data[[#This Row],[order_date]])</f>
        <v>2023</v>
      </c>
      <c r="R815">
        <f>MONTH(data[[#This Row],[order_date]])</f>
        <v>5</v>
      </c>
      <c r="S815">
        <f>DAY(data[[#This Row],[order_date]])</f>
        <v>10</v>
      </c>
      <c r="T815">
        <f>data[[#This Row],[profit]]/data[[#This Row],[sales]]</f>
        <v>0.27131782945736432</v>
      </c>
    </row>
    <row r="816" spans="1:20" x14ac:dyDescent="0.35">
      <c r="A816" t="s">
        <v>1021</v>
      </c>
      <c r="B816" s="1">
        <v>45069</v>
      </c>
      <c r="C816" t="s">
        <v>14</v>
      </c>
      <c r="D816" t="s">
        <v>15</v>
      </c>
      <c r="E816" t="s">
        <v>155</v>
      </c>
      <c r="F816" t="s">
        <v>58</v>
      </c>
      <c r="G816" t="s">
        <v>1016</v>
      </c>
      <c r="H816" t="s">
        <v>1017</v>
      </c>
      <c r="I816" t="s">
        <v>160</v>
      </c>
      <c r="J816">
        <v>1</v>
      </c>
      <c r="K816">
        <v>921000</v>
      </c>
      <c r="L816">
        <v>0</v>
      </c>
      <c r="M816">
        <v>673000</v>
      </c>
      <c r="N816">
        <f>(data[[#This Row],[unit_price]]*data[[#This Row],[quantity]]) * (1-data[[#This Row],[discount]])</f>
        <v>921000</v>
      </c>
      <c r="O816">
        <f>data[[#This Row],[sales]]-data[[#This Row],[cost]]</f>
        <v>248000</v>
      </c>
      <c r="P816" t="str">
        <f>TEXT(data[[#This Row],[order_date]],"mmm")</f>
        <v>May</v>
      </c>
      <c r="Q816">
        <f>YEAR(data[[#This Row],[order_date]])</f>
        <v>2023</v>
      </c>
      <c r="R816">
        <f>MONTH(data[[#This Row],[order_date]])</f>
        <v>5</v>
      </c>
      <c r="S816">
        <f>DAY(data[[#This Row],[order_date]])</f>
        <v>23</v>
      </c>
      <c r="T816">
        <f>data[[#This Row],[profit]]/data[[#This Row],[sales]]</f>
        <v>0.26927252985884909</v>
      </c>
    </row>
    <row r="817" spans="1:20" x14ac:dyDescent="0.35">
      <c r="A817" t="s">
        <v>1022</v>
      </c>
      <c r="B817" s="1">
        <v>45097</v>
      </c>
      <c r="C817" t="s">
        <v>14</v>
      </c>
      <c r="D817" t="s">
        <v>15</v>
      </c>
      <c r="E817" t="s">
        <v>51</v>
      </c>
      <c r="F817" t="s">
        <v>23</v>
      </c>
      <c r="G817" t="s">
        <v>1016</v>
      </c>
      <c r="H817" t="s">
        <v>1017</v>
      </c>
      <c r="I817" t="s">
        <v>160</v>
      </c>
      <c r="J817">
        <v>1</v>
      </c>
      <c r="K817">
        <v>1093000</v>
      </c>
      <c r="L817">
        <v>0</v>
      </c>
      <c r="M817">
        <v>782000</v>
      </c>
      <c r="N817">
        <f>(data[[#This Row],[unit_price]]*data[[#This Row],[quantity]]) * (1-data[[#This Row],[discount]])</f>
        <v>1093000</v>
      </c>
      <c r="O817">
        <f>data[[#This Row],[sales]]-data[[#This Row],[cost]]</f>
        <v>311000</v>
      </c>
      <c r="P817" t="str">
        <f>TEXT(data[[#This Row],[order_date]],"mmm")</f>
        <v>Jun</v>
      </c>
      <c r="Q817">
        <f>YEAR(data[[#This Row],[order_date]])</f>
        <v>2023</v>
      </c>
      <c r="R817">
        <f>MONTH(data[[#This Row],[order_date]])</f>
        <v>6</v>
      </c>
      <c r="S817">
        <f>DAY(data[[#This Row],[order_date]])</f>
        <v>20</v>
      </c>
      <c r="T817">
        <f>data[[#This Row],[profit]]/data[[#This Row],[sales]]</f>
        <v>0.28453796889295518</v>
      </c>
    </row>
    <row r="818" spans="1:20" x14ac:dyDescent="0.35">
      <c r="A818" t="s">
        <v>1023</v>
      </c>
      <c r="B818" s="1">
        <v>45115</v>
      </c>
      <c r="C818" t="s">
        <v>49</v>
      </c>
      <c r="D818" t="s">
        <v>50</v>
      </c>
      <c r="E818" t="s">
        <v>274</v>
      </c>
      <c r="F818" t="s">
        <v>58</v>
      </c>
      <c r="G818" t="s">
        <v>1016</v>
      </c>
      <c r="H818" t="s">
        <v>1017</v>
      </c>
      <c r="I818" t="s">
        <v>160</v>
      </c>
      <c r="J818">
        <v>1</v>
      </c>
      <c r="K818">
        <v>1106000</v>
      </c>
      <c r="L818">
        <v>0</v>
      </c>
      <c r="M818">
        <v>811000</v>
      </c>
      <c r="N818">
        <f>(data[[#This Row],[unit_price]]*data[[#This Row],[quantity]]) * (1-data[[#This Row],[discount]])</f>
        <v>1106000</v>
      </c>
      <c r="O818">
        <f>data[[#This Row],[sales]]-data[[#This Row],[cost]]</f>
        <v>295000</v>
      </c>
      <c r="P818" t="str">
        <f>TEXT(data[[#This Row],[order_date]],"mmm")</f>
        <v>Jul</v>
      </c>
      <c r="Q818">
        <f>YEAR(data[[#This Row],[order_date]])</f>
        <v>2023</v>
      </c>
      <c r="R818">
        <f>MONTH(data[[#This Row],[order_date]])</f>
        <v>7</v>
      </c>
      <c r="S818">
        <f>DAY(data[[#This Row],[order_date]])</f>
        <v>8</v>
      </c>
      <c r="T818">
        <f>data[[#This Row],[profit]]/data[[#This Row],[sales]]</f>
        <v>0.26672694394213381</v>
      </c>
    </row>
    <row r="819" spans="1:20" x14ac:dyDescent="0.35">
      <c r="A819" t="s">
        <v>1024</v>
      </c>
      <c r="B819" s="1">
        <v>45143</v>
      </c>
      <c r="C819" t="s">
        <v>14</v>
      </c>
      <c r="D819" t="s">
        <v>15</v>
      </c>
      <c r="E819" t="s">
        <v>218</v>
      </c>
      <c r="F819" t="s">
        <v>23</v>
      </c>
      <c r="G819" t="s">
        <v>1016</v>
      </c>
      <c r="H819" t="s">
        <v>1017</v>
      </c>
      <c r="I819" t="s">
        <v>160</v>
      </c>
      <c r="J819">
        <v>3</v>
      </c>
      <c r="K819">
        <v>1334000</v>
      </c>
      <c r="L819">
        <v>0</v>
      </c>
      <c r="M819">
        <v>975000</v>
      </c>
      <c r="N819">
        <f>(data[[#This Row],[unit_price]]*data[[#This Row],[quantity]]) * (1-data[[#This Row],[discount]])</f>
        <v>4002000</v>
      </c>
      <c r="O819">
        <f>data[[#This Row],[sales]]-data[[#This Row],[cost]]</f>
        <v>3027000</v>
      </c>
      <c r="P819" t="str">
        <f>TEXT(data[[#This Row],[order_date]],"mmm")</f>
        <v>Aug</v>
      </c>
      <c r="Q819">
        <f>YEAR(data[[#This Row],[order_date]])</f>
        <v>2023</v>
      </c>
      <c r="R819">
        <f>MONTH(data[[#This Row],[order_date]])</f>
        <v>8</v>
      </c>
      <c r="S819">
        <f>DAY(data[[#This Row],[order_date]])</f>
        <v>5</v>
      </c>
      <c r="T819">
        <f>data[[#This Row],[profit]]/data[[#This Row],[sales]]</f>
        <v>0.75637181409295351</v>
      </c>
    </row>
    <row r="820" spans="1:20" x14ac:dyDescent="0.35">
      <c r="A820" t="s">
        <v>1025</v>
      </c>
      <c r="B820" s="1">
        <v>45148</v>
      </c>
      <c r="C820" t="s">
        <v>25</v>
      </c>
      <c r="D820" t="s">
        <v>26</v>
      </c>
      <c r="E820" t="s">
        <v>825</v>
      </c>
      <c r="F820" t="s">
        <v>23</v>
      </c>
      <c r="G820" t="s">
        <v>1016</v>
      </c>
      <c r="H820" t="s">
        <v>1017</v>
      </c>
      <c r="I820" t="s">
        <v>160</v>
      </c>
      <c r="J820">
        <v>5</v>
      </c>
      <c r="K820">
        <v>1241600</v>
      </c>
      <c r="L820">
        <v>0.05</v>
      </c>
      <c r="M820">
        <v>840000</v>
      </c>
      <c r="N820">
        <f>(data[[#This Row],[unit_price]]*data[[#This Row],[quantity]]) * (1-data[[#This Row],[discount]])</f>
        <v>5897600</v>
      </c>
      <c r="O820">
        <f>data[[#This Row],[sales]]-data[[#This Row],[cost]]</f>
        <v>5057600</v>
      </c>
      <c r="P820" t="str">
        <f>TEXT(data[[#This Row],[order_date]],"mmm")</f>
        <v>Aug</v>
      </c>
      <c r="Q820">
        <f>YEAR(data[[#This Row],[order_date]])</f>
        <v>2023</v>
      </c>
      <c r="R820">
        <f>MONTH(data[[#This Row],[order_date]])</f>
        <v>8</v>
      </c>
      <c r="S820">
        <f>DAY(data[[#This Row],[order_date]])</f>
        <v>10</v>
      </c>
      <c r="T820">
        <f>data[[#This Row],[profit]]/data[[#This Row],[sales]]</f>
        <v>0.85756918068366794</v>
      </c>
    </row>
    <row r="821" spans="1:20" x14ac:dyDescent="0.35">
      <c r="A821" t="s">
        <v>1026</v>
      </c>
      <c r="B821" s="1">
        <v>45149</v>
      </c>
      <c r="C821" t="s">
        <v>36</v>
      </c>
      <c r="D821" t="s">
        <v>37</v>
      </c>
      <c r="E821" t="s">
        <v>340</v>
      </c>
      <c r="F821" t="s">
        <v>23</v>
      </c>
      <c r="G821" t="s">
        <v>1016</v>
      </c>
      <c r="H821" t="s">
        <v>1017</v>
      </c>
      <c r="I821" t="s">
        <v>160</v>
      </c>
      <c r="J821">
        <v>1</v>
      </c>
      <c r="K821">
        <v>1177000</v>
      </c>
      <c r="L821">
        <v>0</v>
      </c>
      <c r="M821">
        <v>845000</v>
      </c>
      <c r="N821">
        <f>(data[[#This Row],[unit_price]]*data[[#This Row],[quantity]]) * (1-data[[#This Row],[discount]])</f>
        <v>1177000</v>
      </c>
      <c r="O821">
        <f>data[[#This Row],[sales]]-data[[#This Row],[cost]]</f>
        <v>332000</v>
      </c>
      <c r="P821" t="str">
        <f>TEXT(data[[#This Row],[order_date]],"mmm")</f>
        <v>Aug</v>
      </c>
      <c r="Q821">
        <f>YEAR(data[[#This Row],[order_date]])</f>
        <v>2023</v>
      </c>
      <c r="R821">
        <f>MONTH(data[[#This Row],[order_date]])</f>
        <v>8</v>
      </c>
      <c r="S821">
        <f>DAY(data[[#This Row],[order_date]])</f>
        <v>11</v>
      </c>
      <c r="T821">
        <f>data[[#This Row],[profit]]/data[[#This Row],[sales]]</f>
        <v>0.28207306711979607</v>
      </c>
    </row>
    <row r="822" spans="1:20" x14ac:dyDescent="0.35">
      <c r="A822" t="s">
        <v>1027</v>
      </c>
      <c r="B822" s="1">
        <v>45160</v>
      </c>
      <c r="C822" t="s">
        <v>36</v>
      </c>
      <c r="D822" t="s">
        <v>37</v>
      </c>
      <c r="E822" t="s">
        <v>43</v>
      </c>
      <c r="F822" t="s">
        <v>17</v>
      </c>
      <c r="G822" t="s">
        <v>1016</v>
      </c>
      <c r="H822" t="s">
        <v>1017</v>
      </c>
      <c r="I822" t="s">
        <v>160</v>
      </c>
      <c r="J822">
        <v>2</v>
      </c>
      <c r="K822">
        <v>1497000</v>
      </c>
      <c r="L822">
        <v>0</v>
      </c>
      <c r="M822">
        <v>1118000</v>
      </c>
      <c r="N822">
        <f>(data[[#This Row],[unit_price]]*data[[#This Row],[quantity]]) * (1-data[[#This Row],[discount]])</f>
        <v>2994000</v>
      </c>
      <c r="O822">
        <f>data[[#This Row],[sales]]-data[[#This Row],[cost]]</f>
        <v>1876000</v>
      </c>
      <c r="P822" t="str">
        <f>TEXT(data[[#This Row],[order_date]],"mmm")</f>
        <v>Aug</v>
      </c>
      <c r="Q822">
        <f>YEAR(data[[#This Row],[order_date]])</f>
        <v>2023</v>
      </c>
      <c r="R822">
        <f>MONTH(data[[#This Row],[order_date]])</f>
        <v>8</v>
      </c>
      <c r="S822">
        <f>DAY(data[[#This Row],[order_date]])</f>
        <v>22</v>
      </c>
      <c r="T822">
        <f>data[[#This Row],[profit]]/data[[#This Row],[sales]]</f>
        <v>0.62658650634602542</v>
      </c>
    </row>
    <row r="823" spans="1:20" x14ac:dyDescent="0.35">
      <c r="A823" t="s">
        <v>1028</v>
      </c>
      <c r="B823" s="1">
        <v>45185</v>
      </c>
      <c r="C823" t="s">
        <v>14</v>
      </c>
      <c r="D823" t="s">
        <v>15</v>
      </c>
      <c r="E823" t="s">
        <v>150</v>
      </c>
      <c r="F823" t="s">
        <v>28</v>
      </c>
      <c r="G823" t="s">
        <v>1016</v>
      </c>
      <c r="H823" t="s">
        <v>1017</v>
      </c>
      <c r="I823" t="s">
        <v>160</v>
      </c>
      <c r="J823">
        <v>3</v>
      </c>
      <c r="K823">
        <v>905000</v>
      </c>
      <c r="L823">
        <v>0</v>
      </c>
      <c r="M823">
        <v>649000</v>
      </c>
      <c r="N823">
        <f>(data[[#This Row],[unit_price]]*data[[#This Row],[quantity]]) * (1-data[[#This Row],[discount]])</f>
        <v>2715000</v>
      </c>
      <c r="O823">
        <f>data[[#This Row],[sales]]-data[[#This Row],[cost]]</f>
        <v>2066000</v>
      </c>
      <c r="P823" t="str">
        <f>TEXT(data[[#This Row],[order_date]],"mmm")</f>
        <v>Sep</v>
      </c>
      <c r="Q823">
        <f>YEAR(data[[#This Row],[order_date]])</f>
        <v>2023</v>
      </c>
      <c r="R823">
        <f>MONTH(data[[#This Row],[order_date]])</f>
        <v>9</v>
      </c>
      <c r="S823">
        <f>DAY(data[[#This Row],[order_date]])</f>
        <v>16</v>
      </c>
      <c r="T823">
        <f>data[[#This Row],[profit]]/data[[#This Row],[sales]]</f>
        <v>0.76095764272559852</v>
      </c>
    </row>
    <row r="824" spans="1:20" x14ac:dyDescent="0.35">
      <c r="A824" t="s">
        <v>1029</v>
      </c>
      <c r="B824" s="1">
        <v>45192</v>
      </c>
      <c r="C824" t="s">
        <v>14</v>
      </c>
      <c r="D824" t="s">
        <v>15</v>
      </c>
      <c r="E824" t="s">
        <v>517</v>
      </c>
      <c r="F824" t="s">
        <v>23</v>
      </c>
      <c r="G824" t="s">
        <v>1016</v>
      </c>
      <c r="H824" t="s">
        <v>1017</v>
      </c>
      <c r="I824" t="s">
        <v>160</v>
      </c>
      <c r="J824">
        <v>1</v>
      </c>
      <c r="K824">
        <v>1242000</v>
      </c>
      <c r="L824">
        <v>0</v>
      </c>
      <c r="M824">
        <v>894000</v>
      </c>
      <c r="N824">
        <f>(data[[#This Row],[unit_price]]*data[[#This Row],[quantity]]) * (1-data[[#This Row],[discount]])</f>
        <v>1242000</v>
      </c>
      <c r="O824">
        <f>data[[#This Row],[sales]]-data[[#This Row],[cost]]</f>
        <v>348000</v>
      </c>
      <c r="P824" t="str">
        <f>TEXT(data[[#This Row],[order_date]],"mmm")</f>
        <v>Sep</v>
      </c>
      <c r="Q824">
        <f>YEAR(data[[#This Row],[order_date]])</f>
        <v>2023</v>
      </c>
      <c r="R824">
        <f>MONTH(data[[#This Row],[order_date]])</f>
        <v>9</v>
      </c>
      <c r="S824">
        <f>DAY(data[[#This Row],[order_date]])</f>
        <v>23</v>
      </c>
      <c r="T824">
        <f>data[[#This Row],[profit]]/data[[#This Row],[sales]]</f>
        <v>0.28019323671497587</v>
      </c>
    </row>
    <row r="825" spans="1:20" x14ac:dyDescent="0.35">
      <c r="A825" t="s">
        <v>1030</v>
      </c>
      <c r="B825" s="1">
        <v>45201</v>
      </c>
      <c r="C825" t="s">
        <v>25</v>
      </c>
      <c r="D825" t="s">
        <v>26</v>
      </c>
      <c r="E825" t="s">
        <v>214</v>
      </c>
      <c r="F825" t="s">
        <v>23</v>
      </c>
      <c r="G825" t="s">
        <v>1016</v>
      </c>
      <c r="H825" t="s">
        <v>1017</v>
      </c>
      <c r="I825" t="s">
        <v>160</v>
      </c>
      <c r="J825">
        <v>2</v>
      </c>
      <c r="K825">
        <v>1335000</v>
      </c>
      <c r="L825">
        <v>0</v>
      </c>
      <c r="M825">
        <v>988000</v>
      </c>
      <c r="N825">
        <f>(data[[#This Row],[unit_price]]*data[[#This Row],[quantity]]) * (1-data[[#This Row],[discount]])</f>
        <v>2670000</v>
      </c>
      <c r="O825">
        <f>data[[#This Row],[sales]]-data[[#This Row],[cost]]</f>
        <v>1682000</v>
      </c>
      <c r="P825" t="str">
        <f>TEXT(data[[#This Row],[order_date]],"mmm")</f>
        <v>Oct</v>
      </c>
      <c r="Q825">
        <f>YEAR(data[[#This Row],[order_date]])</f>
        <v>2023</v>
      </c>
      <c r="R825">
        <f>MONTH(data[[#This Row],[order_date]])</f>
        <v>10</v>
      </c>
      <c r="S825">
        <f>DAY(data[[#This Row],[order_date]])</f>
        <v>2</v>
      </c>
      <c r="T825">
        <f>data[[#This Row],[profit]]/data[[#This Row],[sales]]</f>
        <v>0.62996254681647945</v>
      </c>
    </row>
    <row r="826" spans="1:20" x14ac:dyDescent="0.35">
      <c r="A826" t="s">
        <v>1031</v>
      </c>
      <c r="B826" s="1">
        <v>45224</v>
      </c>
      <c r="C826" t="s">
        <v>41</v>
      </c>
      <c r="D826" t="s">
        <v>42</v>
      </c>
      <c r="E826" t="s">
        <v>524</v>
      </c>
      <c r="F826" t="s">
        <v>17</v>
      </c>
      <c r="G826" t="s">
        <v>1016</v>
      </c>
      <c r="H826" t="s">
        <v>1017</v>
      </c>
      <c r="I826" t="s">
        <v>160</v>
      </c>
      <c r="J826">
        <v>3</v>
      </c>
      <c r="K826">
        <v>1078000</v>
      </c>
      <c r="L826">
        <v>0</v>
      </c>
      <c r="M826">
        <v>807000</v>
      </c>
      <c r="N826">
        <f>(data[[#This Row],[unit_price]]*data[[#This Row],[quantity]]) * (1-data[[#This Row],[discount]])</f>
        <v>3234000</v>
      </c>
      <c r="O826">
        <f>data[[#This Row],[sales]]-data[[#This Row],[cost]]</f>
        <v>2427000</v>
      </c>
      <c r="P826" t="str">
        <f>TEXT(data[[#This Row],[order_date]],"mmm")</f>
        <v>Oct</v>
      </c>
      <c r="Q826">
        <f>YEAR(data[[#This Row],[order_date]])</f>
        <v>2023</v>
      </c>
      <c r="R826">
        <f>MONTH(data[[#This Row],[order_date]])</f>
        <v>10</v>
      </c>
      <c r="S826">
        <f>DAY(data[[#This Row],[order_date]])</f>
        <v>25</v>
      </c>
      <c r="T826">
        <f>data[[#This Row],[profit]]/data[[#This Row],[sales]]</f>
        <v>0.75046382189239336</v>
      </c>
    </row>
    <row r="827" spans="1:20" x14ac:dyDescent="0.35">
      <c r="A827" t="s">
        <v>1032</v>
      </c>
      <c r="B827" s="1">
        <v>45234</v>
      </c>
      <c r="C827" t="s">
        <v>49</v>
      </c>
      <c r="D827" t="s">
        <v>50</v>
      </c>
      <c r="E827" t="s">
        <v>432</v>
      </c>
      <c r="F827" t="s">
        <v>23</v>
      </c>
      <c r="G827" t="s">
        <v>1016</v>
      </c>
      <c r="H827" t="s">
        <v>1017</v>
      </c>
      <c r="I827" t="s">
        <v>160</v>
      </c>
      <c r="J827">
        <v>2</v>
      </c>
      <c r="K827">
        <v>1343000</v>
      </c>
      <c r="L827">
        <v>0.1</v>
      </c>
      <c r="M827">
        <v>985000</v>
      </c>
      <c r="N827">
        <f>(data[[#This Row],[unit_price]]*data[[#This Row],[quantity]]) * (1-data[[#This Row],[discount]])</f>
        <v>2417400</v>
      </c>
      <c r="O827">
        <f>data[[#This Row],[sales]]-data[[#This Row],[cost]]</f>
        <v>1432400</v>
      </c>
      <c r="P827" t="str">
        <f>TEXT(data[[#This Row],[order_date]],"mmm")</f>
        <v>Nov</v>
      </c>
      <c r="Q827">
        <f>YEAR(data[[#This Row],[order_date]])</f>
        <v>2023</v>
      </c>
      <c r="R827">
        <f>MONTH(data[[#This Row],[order_date]])</f>
        <v>11</v>
      </c>
      <c r="S827">
        <f>DAY(data[[#This Row],[order_date]])</f>
        <v>4</v>
      </c>
      <c r="T827">
        <f>data[[#This Row],[profit]]/data[[#This Row],[sales]]</f>
        <v>0.59253743691569449</v>
      </c>
    </row>
    <row r="828" spans="1:20" x14ac:dyDescent="0.35">
      <c r="A828" t="s">
        <v>1033</v>
      </c>
      <c r="B828" s="1">
        <v>45253</v>
      </c>
      <c r="C828" t="s">
        <v>14</v>
      </c>
      <c r="D828" t="s">
        <v>15</v>
      </c>
      <c r="E828" t="s">
        <v>489</v>
      </c>
      <c r="F828" t="s">
        <v>17</v>
      </c>
      <c r="G828" t="s">
        <v>1016</v>
      </c>
      <c r="H828" t="s">
        <v>1017</v>
      </c>
      <c r="I828" t="s">
        <v>160</v>
      </c>
      <c r="J828">
        <v>2</v>
      </c>
      <c r="K828">
        <v>1449000</v>
      </c>
      <c r="L828">
        <v>0</v>
      </c>
      <c r="M828">
        <v>1039000</v>
      </c>
      <c r="N828">
        <f>(data[[#This Row],[unit_price]]*data[[#This Row],[quantity]]) * (1-data[[#This Row],[discount]])</f>
        <v>2898000</v>
      </c>
      <c r="O828">
        <f>data[[#This Row],[sales]]-data[[#This Row],[cost]]</f>
        <v>1859000</v>
      </c>
      <c r="P828" t="str">
        <f>TEXT(data[[#This Row],[order_date]],"mmm")</f>
        <v>Nov</v>
      </c>
      <c r="Q828">
        <f>YEAR(data[[#This Row],[order_date]])</f>
        <v>2023</v>
      </c>
      <c r="R828">
        <f>MONTH(data[[#This Row],[order_date]])</f>
        <v>11</v>
      </c>
      <c r="S828">
        <f>DAY(data[[#This Row],[order_date]])</f>
        <v>23</v>
      </c>
      <c r="T828">
        <f>data[[#This Row],[profit]]/data[[#This Row],[sales]]</f>
        <v>0.64147688060731534</v>
      </c>
    </row>
    <row r="829" spans="1:20" x14ac:dyDescent="0.35">
      <c r="A829" t="s">
        <v>1034</v>
      </c>
      <c r="B829" s="1">
        <v>45287</v>
      </c>
      <c r="C829" t="s">
        <v>41</v>
      </c>
      <c r="D829" t="s">
        <v>42</v>
      </c>
      <c r="E829" t="s">
        <v>634</v>
      </c>
      <c r="F829" t="s">
        <v>17</v>
      </c>
      <c r="G829" t="s">
        <v>1016</v>
      </c>
      <c r="H829" t="s">
        <v>1017</v>
      </c>
      <c r="I829" t="s">
        <v>160</v>
      </c>
      <c r="J829">
        <v>1</v>
      </c>
      <c r="K829">
        <v>872000</v>
      </c>
      <c r="L829">
        <v>0</v>
      </c>
      <c r="M829">
        <v>632000</v>
      </c>
      <c r="N829">
        <f>(data[[#This Row],[unit_price]]*data[[#This Row],[quantity]]) * (1-data[[#This Row],[discount]])</f>
        <v>872000</v>
      </c>
      <c r="O829">
        <f>data[[#This Row],[sales]]-data[[#This Row],[cost]]</f>
        <v>240000</v>
      </c>
      <c r="P829" t="str">
        <f>TEXT(data[[#This Row],[order_date]],"mmm")</f>
        <v>Dec</v>
      </c>
      <c r="Q829">
        <f>YEAR(data[[#This Row],[order_date]])</f>
        <v>2023</v>
      </c>
      <c r="R829">
        <f>MONTH(data[[#This Row],[order_date]])</f>
        <v>12</v>
      </c>
      <c r="S829">
        <f>DAY(data[[#This Row],[order_date]])</f>
        <v>27</v>
      </c>
      <c r="T829">
        <f>data[[#This Row],[profit]]/data[[#This Row],[sales]]</f>
        <v>0.27522935779816515</v>
      </c>
    </row>
    <row r="830" spans="1:20" x14ac:dyDescent="0.35">
      <c r="A830" t="s">
        <v>1035</v>
      </c>
      <c r="B830" s="1">
        <v>45327</v>
      </c>
      <c r="C830" t="s">
        <v>49</v>
      </c>
      <c r="D830" t="s">
        <v>50</v>
      </c>
      <c r="E830" t="s">
        <v>230</v>
      </c>
      <c r="F830" t="s">
        <v>23</v>
      </c>
      <c r="G830" t="s">
        <v>1016</v>
      </c>
      <c r="H830" t="s">
        <v>1017</v>
      </c>
      <c r="I830" t="s">
        <v>160</v>
      </c>
      <c r="J830">
        <v>3</v>
      </c>
      <c r="K830">
        <v>1208000</v>
      </c>
      <c r="L830">
        <v>0</v>
      </c>
      <c r="M830">
        <v>885000</v>
      </c>
      <c r="N830">
        <f>(data[[#This Row],[unit_price]]*data[[#This Row],[quantity]]) * (1-data[[#This Row],[discount]])</f>
        <v>3624000</v>
      </c>
      <c r="O830">
        <f>data[[#This Row],[sales]]-data[[#This Row],[cost]]</f>
        <v>2739000</v>
      </c>
      <c r="P830" t="str">
        <f>TEXT(data[[#This Row],[order_date]],"mmm")</f>
        <v>Feb</v>
      </c>
      <c r="Q830">
        <f>YEAR(data[[#This Row],[order_date]])</f>
        <v>2024</v>
      </c>
      <c r="R830">
        <f>MONTH(data[[#This Row],[order_date]])</f>
        <v>2</v>
      </c>
      <c r="S830">
        <f>DAY(data[[#This Row],[order_date]])</f>
        <v>5</v>
      </c>
      <c r="T830">
        <f>data[[#This Row],[profit]]/data[[#This Row],[sales]]</f>
        <v>0.75579470198675491</v>
      </c>
    </row>
    <row r="831" spans="1:20" x14ac:dyDescent="0.35">
      <c r="A831" t="s">
        <v>1036</v>
      </c>
      <c r="B831" s="1">
        <v>45333</v>
      </c>
      <c r="C831" t="s">
        <v>49</v>
      </c>
      <c r="D831" t="s">
        <v>50</v>
      </c>
      <c r="E831" t="s">
        <v>335</v>
      </c>
      <c r="F831" t="s">
        <v>23</v>
      </c>
      <c r="G831" t="s">
        <v>1016</v>
      </c>
      <c r="H831" t="s">
        <v>1017</v>
      </c>
      <c r="I831" t="s">
        <v>160</v>
      </c>
      <c r="J831">
        <v>1</v>
      </c>
      <c r="K831">
        <v>1123000</v>
      </c>
      <c r="L831">
        <v>0.05</v>
      </c>
      <c r="M831">
        <v>829000</v>
      </c>
      <c r="N831">
        <f>(data[[#This Row],[unit_price]]*data[[#This Row],[quantity]]) * (1-data[[#This Row],[discount]])</f>
        <v>1066850</v>
      </c>
      <c r="O831">
        <f>data[[#This Row],[sales]]-data[[#This Row],[cost]]</f>
        <v>237850</v>
      </c>
      <c r="P831" t="str">
        <f>TEXT(data[[#This Row],[order_date]],"mmm")</f>
        <v>Feb</v>
      </c>
      <c r="Q831">
        <f>YEAR(data[[#This Row],[order_date]])</f>
        <v>2024</v>
      </c>
      <c r="R831">
        <f>MONTH(data[[#This Row],[order_date]])</f>
        <v>2</v>
      </c>
      <c r="S831">
        <f>DAY(data[[#This Row],[order_date]])</f>
        <v>11</v>
      </c>
      <c r="T831">
        <f>data[[#This Row],[profit]]/data[[#This Row],[sales]]</f>
        <v>0.22294605614659979</v>
      </c>
    </row>
    <row r="832" spans="1:20" x14ac:dyDescent="0.35">
      <c r="A832" t="s">
        <v>1037</v>
      </c>
      <c r="B832" s="1">
        <v>45381</v>
      </c>
      <c r="C832" t="s">
        <v>14</v>
      </c>
      <c r="D832" t="s">
        <v>15</v>
      </c>
      <c r="E832" t="s">
        <v>32</v>
      </c>
      <c r="F832" t="s">
        <v>23</v>
      </c>
      <c r="G832" t="s">
        <v>1016</v>
      </c>
      <c r="H832" t="s">
        <v>1017</v>
      </c>
      <c r="I832" t="s">
        <v>160</v>
      </c>
      <c r="J832">
        <v>2</v>
      </c>
      <c r="K832">
        <v>898000</v>
      </c>
      <c r="L832">
        <v>0</v>
      </c>
      <c r="M832">
        <v>666000</v>
      </c>
      <c r="N832">
        <f>(data[[#This Row],[unit_price]]*data[[#This Row],[quantity]]) * (1-data[[#This Row],[discount]])</f>
        <v>1796000</v>
      </c>
      <c r="O832">
        <f>data[[#This Row],[sales]]-data[[#This Row],[cost]]</f>
        <v>1130000</v>
      </c>
      <c r="P832" t="str">
        <f>TEXT(data[[#This Row],[order_date]],"mmm")</f>
        <v>Mar</v>
      </c>
      <c r="Q832">
        <f>YEAR(data[[#This Row],[order_date]])</f>
        <v>2024</v>
      </c>
      <c r="R832">
        <f>MONTH(data[[#This Row],[order_date]])</f>
        <v>3</v>
      </c>
      <c r="S832">
        <f>DAY(data[[#This Row],[order_date]])</f>
        <v>30</v>
      </c>
      <c r="T832">
        <f>data[[#This Row],[profit]]/data[[#This Row],[sales]]</f>
        <v>0.62917594654788422</v>
      </c>
    </row>
    <row r="833" spans="1:20" x14ac:dyDescent="0.35">
      <c r="A833" t="s">
        <v>1038</v>
      </c>
      <c r="B833" s="1">
        <v>45386</v>
      </c>
      <c r="C833" t="s">
        <v>14</v>
      </c>
      <c r="D833" t="s">
        <v>15</v>
      </c>
      <c r="E833" t="s">
        <v>447</v>
      </c>
      <c r="F833" t="s">
        <v>23</v>
      </c>
      <c r="G833" t="s">
        <v>1016</v>
      </c>
      <c r="H833" t="s">
        <v>1017</v>
      </c>
      <c r="I833" t="s">
        <v>160</v>
      </c>
      <c r="J833">
        <v>1</v>
      </c>
      <c r="K833">
        <v>1072000</v>
      </c>
      <c r="L833">
        <v>0</v>
      </c>
      <c r="M833">
        <v>770000</v>
      </c>
      <c r="N833">
        <f>(data[[#This Row],[unit_price]]*data[[#This Row],[quantity]]) * (1-data[[#This Row],[discount]])</f>
        <v>1072000</v>
      </c>
      <c r="O833">
        <f>data[[#This Row],[sales]]-data[[#This Row],[cost]]</f>
        <v>302000</v>
      </c>
      <c r="P833" t="str">
        <f>TEXT(data[[#This Row],[order_date]],"mmm")</f>
        <v>Apr</v>
      </c>
      <c r="Q833">
        <f>YEAR(data[[#This Row],[order_date]])</f>
        <v>2024</v>
      </c>
      <c r="R833">
        <f>MONTH(data[[#This Row],[order_date]])</f>
        <v>4</v>
      </c>
      <c r="S833">
        <f>DAY(data[[#This Row],[order_date]])</f>
        <v>4</v>
      </c>
      <c r="T833">
        <f>data[[#This Row],[profit]]/data[[#This Row],[sales]]</f>
        <v>0.28171641791044777</v>
      </c>
    </row>
    <row r="834" spans="1:20" x14ac:dyDescent="0.35">
      <c r="A834" t="s">
        <v>1039</v>
      </c>
      <c r="B834" s="1">
        <v>45412</v>
      </c>
      <c r="C834" t="s">
        <v>14</v>
      </c>
      <c r="D834" t="s">
        <v>15</v>
      </c>
      <c r="E834" t="s">
        <v>193</v>
      </c>
      <c r="F834" t="s">
        <v>23</v>
      </c>
      <c r="G834" t="s">
        <v>1016</v>
      </c>
      <c r="H834" t="s">
        <v>1017</v>
      </c>
      <c r="I834" t="s">
        <v>160</v>
      </c>
      <c r="J834">
        <v>1</v>
      </c>
      <c r="K834">
        <v>1323000</v>
      </c>
      <c r="L834">
        <v>0</v>
      </c>
      <c r="M834">
        <v>949000</v>
      </c>
      <c r="N834">
        <f>(data[[#This Row],[unit_price]]*data[[#This Row],[quantity]]) * (1-data[[#This Row],[discount]])</f>
        <v>1323000</v>
      </c>
      <c r="O834">
        <f>data[[#This Row],[sales]]-data[[#This Row],[cost]]</f>
        <v>374000</v>
      </c>
      <c r="P834" t="str">
        <f>TEXT(data[[#This Row],[order_date]],"mmm")</f>
        <v>Apr</v>
      </c>
      <c r="Q834">
        <f>YEAR(data[[#This Row],[order_date]])</f>
        <v>2024</v>
      </c>
      <c r="R834">
        <f>MONTH(data[[#This Row],[order_date]])</f>
        <v>4</v>
      </c>
      <c r="S834">
        <f>DAY(data[[#This Row],[order_date]])</f>
        <v>30</v>
      </c>
      <c r="T834">
        <f>data[[#This Row],[profit]]/data[[#This Row],[sales]]</f>
        <v>0.28269085411942557</v>
      </c>
    </row>
    <row r="835" spans="1:20" x14ac:dyDescent="0.35">
      <c r="A835" t="s">
        <v>1040</v>
      </c>
      <c r="B835" s="1">
        <v>45433</v>
      </c>
      <c r="C835" t="s">
        <v>36</v>
      </c>
      <c r="D835" t="s">
        <v>37</v>
      </c>
      <c r="E835" t="s">
        <v>1041</v>
      </c>
      <c r="F835" t="s">
        <v>23</v>
      </c>
      <c r="G835" t="s">
        <v>1016</v>
      </c>
      <c r="H835" t="s">
        <v>1017</v>
      </c>
      <c r="I835" t="s">
        <v>160</v>
      </c>
      <c r="J835">
        <v>1</v>
      </c>
      <c r="K835">
        <v>924000</v>
      </c>
      <c r="L835">
        <v>0</v>
      </c>
      <c r="M835">
        <v>691000</v>
      </c>
      <c r="N835">
        <f>(data[[#This Row],[unit_price]]*data[[#This Row],[quantity]]) * (1-data[[#This Row],[discount]])</f>
        <v>924000</v>
      </c>
      <c r="O835">
        <f>data[[#This Row],[sales]]-data[[#This Row],[cost]]</f>
        <v>233000</v>
      </c>
      <c r="P835" t="str">
        <f>TEXT(data[[#This Row],[order_date]],"mmm")</f>
        <v>May</v>
      </c>
      <c r="Q835">
        <f>YEAR(data[[#This Row],[order_date]])</f>
        <v>2024</v>
      </c>
      <c r="R835">
        <f>MONTH(data[[#This Row],[order_date]])</f>
        <v>5</v>
      </c>
      <c r="S835">
        <f>DAY(data[[#This Row],[order_date]])</f>
        <v>21</v>
      </c>
      <c r="T835">
        <f>data[[#This Row],[profit]]/data[[#This Row],[sales]]</f>
        <v>0.25216450216450215</v>
      </c>
    </row>
    <row r="836" spans="1:20" x14ac:dyDescent="0.35">
      <c r="A836" t="s">
        <v>1042</v>
      </c>
      <c r="B836" s="1">
        <v>45434</v>
      </c>
      <c r="C836" t="s">
        <v>14</v>
      </c>
      <c r="D836" t="s">
        <v>15</v>
      </c>
      <c r="E836" t="s">
        <v>522</v>
      </c>
      <c r="F836" t="s">
        <v>23</v>
      </c>
      <c r="G836" t="s">
        <v>1016</v>
      </c>
      <c r="H836" t="s">
        <v>1017</v>
      </c>
      <c r="I836" t="s">
        <v>160</v>
      </c>
      <c r="J836">
        <v>2</v>
      </c>
      <c r="K836">
        <v>1333000</v>
      </c>
      <c r="L836">
        <v>0</v>
      </c>
      <c r="M836">
        <v>961000</v>
      </c>
      <c r="N836">
        <f>(data[[#This Row],[unit_price]]*data[[#This Row],[quantity]]) * (1-data[[#This Row],[discount]])</f>
        <v>2666000</v>
      </c>
      <c r="O836">
        <f>data[[#This Row],[sales]]-data[[#This Row],[cost]]</f>
        <v>1705000</v>
      </c>
      <c r="P836" t="str">
        <f>TEXT(data[[#This Row],[order_date]],"mmm")</f>
        <v>May</v>
      </c>
      <c r="Q836">
        <f>YEAR(data[[#This Row],[order_date]])</f>
        <v>2024</v>
      </c>
      <c r="R836">
        <f>MONTH(data[[#This Row],[order_date]])</f>
        <v>5</v>
      </c>
      <c r="S836">
        <f>DAY(data[[#This Row],[order_date]])</f>
        <v>22</v>
      </c>
      <c r="T836">
        <f>data[[#This Row],[profit]]/data[[#This Row],[sales]]</f>
        <v>0.63953488372093026</v>
      </c>
    </row>
    <row r="837" spans="1:20" x14ac:dyDescent="0.35">
      <c r="A837" t="s">
        <v>1043</v>
      </c>
      <c r="B837" s="1">
        <v>45446</v>
      </c>
      <c r="C837" t="s">
        <v>49</v>
      </c>
      <c r="D837" t="s">
        <v>50</v>
      </c>
      <c r="E837" t="s">
        <v>132</v>
      </c>
      <c r="F837" t="s">
        <v>28</v>
      </c>
      <c r="G837" t="s">
        <v>1016</v>
      </c>
      <c r="H837" t="s">
        <v>1017</v>
      </c>
      <c r="I837" t="s">
        <v>160</v>
      </c>
      <c r="J837">
        <v>2</v>
      </c>
      <c r="K837">
        <v>1090000</v>
      </c>
      <c r="L837">
        <v>0</v>
      </c>
      <c r="M837">
        <v>801000</v>
      </c>
      <c r="N837">
        <f>(data[[#This Row],[unit_price]]*data[[#This Row],[quantity]]) * (1-data[[#This Row],[discount]])</f>
        <v>2180000</v>
      </c>
      <c r="O837">
        <f>data[[#This Row],[sales]]-data[[#This Row],[cost]]</f>
        <v>1379000</v>
      </c>
      <c r="P837" t="str">
        <f>TEXT(data[[#This Row],[order_date]],"mmm")</f>
        <v>Jun</v>
      </c>
      <c r="Q837">
        <f>YEAR(data[[#This Row],[order_date]])</f>
        <v>2024</v>
      </c>
      <c r="R837">
        <f>MONTH(data[[#This Row],[order_date]])</f>
        <v>6</v>
      </c>
      <c r="S837">
        <f>DAY(data[[#This Row],[order_date]])</f>
        <v>3</v>
      </c>
      <c r="T837">
        <f>data[[#This Row],[profit]]/data[[#This Row],[sales]]</f>
        <v>0.63256880733944953</v>
      </c>
    </row>
    <row r="838" spans="1:20" x14ac:dyDescent="0.35">
      <c r="A838" t="s">
        <v>1044</v>
      </c>
      <c r="B838" s="1">
        <v>45456</v>
      </c>
      <c r="C838" t="s">
        <v>14</v>
      </c>
      <c r="D838" t="s">
        <v>15</v>
      </c>
      <c r="E838" t="s">
        <v>146</v>
      </c>
      <c r="F838" t="s">
        <v>17</v>
      </c>
      <c r="G838" t="s">
        <v>1016</v>
      </c>
      <c r="H838" t="s">
        <v>1017</v>
      </c>
      <c r="I838" t="s">
        <v>160</v>
      </c>
      <c r="J838">
        <v>1</v>
      </c>
      <c r="K838">
        <v>1414000</v>
      </c>
      <c r="L838">
        <v>0</v>
      </c>
      <c r="M838">
        <v>1026000</v>
      </c>
      <c r="N838">
        <f>(data[[#This Row],[unit_price]]*data[[#This Row],[quantity]]) * (1-data[[#This Row],[discount]])</f>
        <v>1414000</v>
      </c>
      <c r="O838">
        <f>data[[#This Row],[sales]]-data[[#This Row],[cost]]</f>
        <v>388000</v>
      </c>
      <c r="P838" t="str">
        <f>TEXT(data[[#This Row],[order_date]],"mmm")</f>
        <v>Jun</v>
      </c>
      <c r="Q838">
        <f>YEAR(data[[#This Row],[order_date]])</f>
        <v>2024</v>
      </c>
      <c r="R838">
        <f>MONTH(data[[#This Row],[order_date]])</f>
        <v>6</v>
      </c>
      <c r="S838">
        <f>DAY(data[[#This Row],[order_date]])</f>
        <v>13</v>
      </c>
      <c r="T838">
        <f>data[[#This Row],[profit]]/data[[#This Row],[sales]]</f>
        <v>0.27439886845827438</v>
      </c>
    </row>
    <row r="839" spans="1:20" x14ac:dyDescent="0.35">
      <c r="A839" t="s">
        <v>1045</v>
      </c>
      <c r="B839" s="1">
        <v>45486</v>
      </c>
      <c r="C839" t="s">
        <v>14</v>
      </c>
      <c r="D839" t="s">
        <v>15</v>
      </c>
      <c r="E839" t="s">
        <v>63</v>
      </c>
      <c r="F839" t="s">
        <v>28</v>
      </c>
      <c r="G839" t="s">
        <v>1016</v>
      </c>
      <c r="H839" t="s">
        <v>1017</v>
      </c>
      <c r="I839" t="s">
        <v>160</v>
      </c>
      <c r="J839">
        <v>1</v>
      </c>
      <c r="K839">
        <v>1524000</v>
      </c>
      <c r="L839">
        <v>0</v>
      </c>
      <c r="M839">
        <v>1139000</v>
      </c>
      <c r="N839">
        <f>(data[[#This Row],[unit_price]]*data[[#This Row],[quantity]]) * (1-data[[#This Row],[discount]])</f>
        <v>1524000</v>
      </c>
      <c r="O839">
        <f>data[[#This Row],[sales]]-data[[#This Row],[cost]]</f>
        <v>385000</v>
      </c>
      <c r="P839" t="str">
        <f>TEXT(data[[#This Row],[order_date]],"mmm")</f>
        <v>Jul</v>
      </c>
      <c r="Q839">
        <f>YEAR(data[[#This Row],[order_date]])</f>
        <v>2024</v>
      </c>
      <c r="R839">
        <f>MONTH(data[[#This Row],[order_date]])</f>
        <v>7</v>
      </c>
      <c r="S839">
        <f>DAY(data[[#This Row],[order_date]])</f>
        <v>13</v>
      </c>
      <c r="T839">
        <f>data[[#This Row],[profit]]/data[[#This Row],[sales]]</f>
        <v>0.25262467191601051</v>
      </c>
    </row>
    <row r="840" spans="1:20" x14ac:dyDescent="0.35">
      <c r="A840" t="s">
        <v>1046</v>
      </c>
      <c r="B840" s="1">
        <v>45507</v>
      </c>
      <c r="C840" t="s">
        <v>41</v>
      </c>
      <c r="D840" t="s">
        <v>42</v>
      </c>
      <c r="E840" t="s">
        <v>327</v>
      </c>
      <c r="F840" t="s">
        <v>23</v>
      </c>
      <c r="G840" t="s">
        <v>1016</v>
      </c>
      <c r="H840" t="s">
        <v>1017</v>
      </c>
      <c r="I840" t="s">
        <v>160</v>
      </c>
      <c r="J840">
        <v>1</v>
      </c>
      <c r="K840">
        <v>1479000</v>
      </c>
      <c r="L840">
        <v>0.05</v>
      </c>
      <c r="M840">
        <v>1054000</v>
      </c>
      <c r="N840">
        <f>(data[[#This Row],[unit_price]]*data[[#This Row],[quantity]]) * (1-data[[#This Row],[discount]])</f>
        <v>1405050</v>
      </c>
      <c r="O840">
        <f>data[[#This Row],[sales]]-data[[#This Row],[cost]]</f>
        <v>351050</v>
      </c>
      <c r="P840" t="str">
        <f>TEXT(data[[#This Row],[order_date]],"mmm")</f>
        <v>Aug</v>
      </c>
      <c r="Q840">
        <f>YEAR(data[[#This Row],[order_date]])</f>
        <v>2024</v>
      </c>
      <c r="R840">
        <f>MONTH(data[[#This Row],[order_date]])</f>
        <v>8</v>
      </c>
      <c r="S840">
        <f>DAY(data[[#This Row],[order_date]])</f>
        <v>3</v>
      </c>
      <c r="T840">
        <f>data[[#This Row],[profit]]/data[[#This Row],[sales]]</f>
        <v>0.249848759830611</v>
      </c>
    </row>
    <row r="841" spans="1:20" x14ac:dyDescent="0.35">
      <c r="A841" t="s">
        <v>1047</v>
      </c>
      <c r="B841" s="1">
        <v>45527</v>
      </c>
      <c r="C841" t="s">
        <v>49</v>
      </c>
      <c r="D841" t="s">
        <v>50</v>
      </c>
      <c r="E841" t="s">
        <v>144</v>
      </c>
      <c r="F841" t="s">
        <v>23</v>
      </c>
      <c r="G841" t="s">
        <v>1016</v>
      </c>
      <c r="H841" t="s">
        <v>1017</v>
      </c>
      <c r="I841" t="s">
        <v>160</v>
      </c>
      <c r="J841">
        <v>1</v>
      </c>
      <c r="K841">
        <v>1339000</v>
      </c>
      <c r="L841">
        <v>0</v>
      </c>
      <c r="M841">
        <v>992000</v>
      </c>
      <c r="N841">
        <f>(data[[#This Row],[unit_price]]*data[[#This Row],[quantity]]) * (1-data[[#This Row],[discount]])</f>
        <v>1339000</v>
      </c>
      <c r="O841">
        <f>data[[#This Row],[sales]]-data[[#This Row],[cost]]</f>
        <v>347000</v>
      </c>
      <c r="P841" t="str">
        <f>TEXT(data[[#This Row],[order_date]],"mmm")</f>
        <v>Aug</v>
      </c>
      <c r="Q841">
        <f>YEAR(data[[#This Row],[order_date]])</f>
        <v>2024</v>
      </c>
      <c r="R841">
        <f>MONTH(data[[#This Row],[order_date]])</f>
        <v>8</v>
      </c>
      <c r="S841">
        <f>DAY(data[[#This Row],[order_date]])</f>
        <v>23</v>
      </c>
      <c r="T841">
        <f>data[[#This Row],[profit]]/data[[#This Row],[sales]]</f>
        <v>0.25914861837191933</v>
      </c>
    </row>
    <row r="842" spans="1:20" x14ac:dyDescent="0.35">
      <c r="A842" t="s">
        <v>1048</v>
      </c>
      <c r="B842" s="1">
        <v>45539</v>
      </c>
      <c r="C842" t="s">
        <v>49</v>
      </c>
      <c r="D842" t="s">
        <v>50</v>
      </c>
      <c r="E842" t="s">
        <v>22</v>
      </c>
      <c r="F842" t="s">
        <v>23</v>
      </c>
      <c r="G842" t="s">
        <v>1016</v>
      </c>
      <c r="H842" t="s">
        <v>1017</v>
      </c>
      <c r="I842" t="s">
        <v>160</v>
      </c>
      <c r="J842">
        <v>1</v>
      </c>
      <c r="K842">
        <v>939000</v>
      </c>
      <c r="L842">
        <v>0</v>
      </c>
      <c r="M842">
        <v>674000</v>
      </c>
      <c r="N842">
        <f>(data[[#This Row],[unit_price]]*data[[#This Row],[quantity]]) * (1-data[[#This Row],[discount]])</f>
        <v>939000</v>
      </c>
      <c r="O842">
        <f>data[[#This Row],[sales]]-data[[#This Row],[cost]]</f>
        <v>265000</v>
      </c>
      <c r="P842" t="str">
        <f>TEXT(data[[#This Row],[order_date]],"mmm")</f>
        <v>Sep</v>
      </c>
      <c r="Q842">
        <f>YEAR(data[[#This Row],[order_date]])</f>
        <v>2024</v>
      </c>
      <c r="R842">
        <f>MONTH(data[[#This Row],[order_date]])</f>
        <v>9</v>
      </c>
      <c r="S842">
        <f>DAY(data[[#This Row],[order_date]])</f>
        <v>4</v>
      </c>
      <c r="T842">
        <f>data[[#This Row],[profit]]/data[[#This Row],[sales]]</f>
        <v>0.28221512247071351</v>
      </c>
    </row>
    <row r="843" spans="1:20" x14ac:dyDescent="0.35">
      <c r="A843" t="s">
        <v>1049</v>
      </c>
      <c r="B843" s="1">
        <v>45558</v>
      </c>
      <c r="C843" t="s">
        <v>49</v>
      </c>
      <c r="D843" t="s">
        <v>50</v>
      </c>
      <c r="E843" t="s">
        <v>307</v>
      </c>
      <c r="F843" t="s">
        <v>28</v>
      </c>
      <c r="G843" t="s">
        <v>1016</v>
      </c>
      <c r="H843" t="s">
        <v>1017</v>
      </c>
      <c r="I843" t="s">
        <v>160</v>
      </c>
      <c r="J843">
        <v>1</v>
      </c>
      <c r="K843">
        <v>917000</v>
      </c>
      <c r="L843">
        <v>0</v>
      </c>
      <c r="M843">
        <v>658000</v>
      </c>
      <c r="N843">
        <f>(data[[#This Row],[unit_price]]*data[[#This Row],[quantity]]) * (1-data[[#This Row],[discount]])</f>
        <v>917000</v>
      </c>
      <c r="O843">
        <f>data[[#This Row],[sales]]-data[[#This Row],[cost]]</f>
        <v>259000</v>
      </c>
      <c r="P843" t="str">
        <f>TEXT(data[[#This Row],[order_date]],"mmm")</f>
        <v>Sep</v>
      </c>
      <c r="Q843">
        <f>YEAR(data[[#This Row],[order_date]])</f>
        <v>2024</v>
      </c>
      <c r="R843">
        <f>MONTH(data[[#This Row],[order_date]])</f>
        <v>9</v>
      </c>
      <c r="S843">
        <f>DAY(data[[#This Row],[order_date]])</f>
        <v>23</v>
      </c>
      <c r="T843">
        <f>data[[#This Row],[profit]]/data[[#This Row],[sales]]</f>
        <v>0.28244274809160308</v>
      </c>
    </row>
    <row r="844" spans="1:20" x14ac:dyDescent="0.35">
      <c r="A844" t="s">
        <v>1050</v>
      </c>
      <c r="B844" s="1">
        <v>45563</v>
      </c>
      <c r="C844" t="s">
        <v>14</v>
      </c>
      <c r="D844" t="s">
        <v>15</v>
      </c>
      <c r="E844" t="s">
        <v>394</v>
      </c>
      <c r="F844" t="s">
        <v>23</v>
      </c>
      <c r="G844" t="s">
        <v>1016</v>
      </c>
      <c r="H844" t="s">
        <v>1017</v>
      </c>
      <c r="I844" t="s">
        <v>160</v>
      </c>
      <c r="J844">
        <v>3</v>
      </c>
      <c r="K844">
        <v>1171000</v>
      </c>
      <c r="L844">
        <v>0</v>
      </c>
      <c r="M844">
        <v>843000</v>
      </c>
      <c r="N844">
        <f>(data[[#This Row],[unit_price]]*data[[#This Row],[quantity]]) * (1-data[[#This Row],[discount]])</f>
        <v>3513000</v>
      </c>
      <c r="O844">
        <f>data[[#This Row],[sales]]-data[[#This Row],[cost]]</f>
        <v>2670000</v>
      </c>
      <c r="P844" t="str">
        <f>TEXT(data[[#This Row],[order_date]],"mmm")</f>
        <v>Sep</v>
      </c>
      <c r="Q844">
        <f>YEAR(data[[#This Row],[order_date]])</f>
        <v>2024</v>
      </c>
      <c r="R844">
        <f>MONTH(data[[#This Row],[order_date]])</f>
        <v>9</v>
      </c>
      <c r="S844">
        <f>DAY(data[[#This Row],[order_date]])</f>
        <v>28</v>
      </c>
      <c r="T844">
        <f>data[[#This Row],[profit]]/data[[#This Row],[sales]]</f>
        <v>0.76003415883859948</v>
      </c>
    </row>
    <row r="845" spans="1:20" x14ac:dyDescent="0.35">
      <c r="A845" t="s">
        <v>1051</v>
      </c>
      <c r="B845" s="1">
        <v>45626</v>
      </c>
      <c r="C845" t="s">
        <v>14</v>
      </c>
      <c r="D845" t="s">
        <v>15</v>
      </c>
      <c r="E845" t="s">
        <v>270</v>
      </c>
      <c r="F845" t="s">
        <v>23</v>
      </c>
      <c r="G845" t="s">
        <v>1016</v>
      </c>
      <c r="H845" t="s">
        <v>1017</v>
      </c>
      <c r="I845" t="s">
        <v>160</v>
      </c>
      <c r="J845">
        <v>1</v>
      </c>
      <c r="K845">
        <v>1241600</v>
      </c>
      <c r="L845">
        <v>0</v>
      </c>
      <c r="M845">
        <v>840000</v>
      </c>
      <c r="N845">
        <f>(data[[#This Row],[unit_price]]*data[[#This Row],[quantity]]) * (1-data[[#This Row],[discount]])</f>
        <v>1241600</v>
      </c>
      <c r="O845">
        <f>data[[#This Row],[sales]]-data[[#This Row],[cost]]</f>
        <v>401600</v>
      </c>
      <c r="P845" t="str">
        <f>TEXT(data[[#This Row],[order_date]],"mmm")</f>
        <v>Nov</v>
      </c>
      <c r="Q845">
        <f>YEAR(data[[#This Row],[order_date]])</f>
        <v>2024</v>
      </c>
      <c r="R845">
        <f>MONTH(data[[#This Row],[order_date]])</f>
        <v>11</v>
      </c>
      <c r="S845">
        <f>DAY(data[[#This Row],[order_date]])</f>
        <v>30</v>
      </c>
      <c r="T845">
        <f>data[[#This Row],[profit]]/data[[#This Row],[sales]]</f>
        <v>0.3234536082474227</v>
      </c>
    </row>
    <row r="846" spans="1:20" x14ac:dyDescent="0.35">
      <c r="A846" t="s">
        <v>1052</v>
      </c>
      <c r="B846" s="1">
        <v>45629</v>
      </c>
      <c r="C846" t="s">
        <v>49</v>
      </c>
      <c r="D846" t="s">
        <v>50</v>
      </c>
      <c r="E846" t="s">
        <v>208</v>
      </c>
      <c r="F846" t="s">
        <v>23</v>
      </c>
      <c r="G846" t="s">
        <v>1016</v>
      </c>
      <c r="H846" t="s">
        <v>1017</v>
      </c>
      <c r="I846" t="s">
        <v>160</v>
      </c>
      <c r="J846">
        <v>1</v>
      </c>
      <c r="K846">
        <v>982000</v>
      </c>
      <c r="L846">
        <v>0.05</v>
      </c>
      <c r="M846">
        <v>715000</v>
      </c>
      <c r="N846">
        <f>(data[[#This Row],[unit_price]]*data[[#This Row],[quantity]]) * (1-data[[#This Row],[discount]])</f>
        <v>932900</v>
      </c>
      <c r="O846">
        <f>data[[#This Row],[sales]]-data[[#This Row],[cost]]</f>
        <v>217900</v>
      </c>
      <c r="P846" t="str">
        <f>TEXT(data[[#This Row],[order_date]],"mmm")</f>
        <v>Dec</v>
      </c>
      <c r="Q846">
        <f>YEAR(data[[#This Row],[order_date]])</f>
        <v>2024</v>
      </c>
      <c r="R846">
        <f>MONTH(data[[#This Row],[order_date]])</f>
        <v>12</v>
      </c>
      <c r="S846">
        <f>DAY(data[[#This Row],[order_date]])</f>
        <v>3</v>
      </c>
      <c r="T846">
        <f>data[[#This Row],[profit]]/data[[#This Row],[sales]]</f>
        <v>0.23357273019616251</v>
      </c>
    </row>
    <row r="847" spans="1:20" x14ac:dyDescent="0.35">
      <c r="A847" t="s">
        <v>1053</v>
      </c>
      <c r="B847" s="1">
        <v>45683</v>
      </c>
      <c r="C847" t="s">
        <v>49</v>
      </c>
      <c r="D847" t="s">
        <v>50</v>
      </c>
      <c r="E847" t="s">
        <v>432</v>
      </c>
      <c r="F847" t="s">
        <v>23</v>
      </c>
      <c r="G847" t="s">
        <v>1016</v>
      </c>
      <c r="H847" t="s">
        <v>1017</v>
      </c>
      <c r="I847" t="s">
        <v>160</v>
      </c>
      <c r="J847">
        <v>1</v>
      </c>
      <c r="K847">
        <v>919000</v>
      </c>
      <c r="L847">
        <v>0.05</v>
      </c>
      <c r="M847">
        <v>656000</v>
      </c>
      <c r="N847">
        <f>(data[[#This Row],[unit_price]]*data[[#This Row],[quantity]]) * (1-data[[#This Row],[discount]])</f>
        <v>873050</v>
      </c>
      <c r="O847">
        <f>data[[#This Row],[sales]]-data[[#This Row],[cost]]</f>
        <v>217050</v>
      </c>
      <c r="P847" t="str">
        <f>TEXT(data[[#This Row],[order_date]],"mmm")</f>
        <v>Jan</v>
      </c>
      <c r="Q847">
        <f>YEAR(data[[#This Row],[order_date]])</f>
        <v>2025</v>
      </c>
      <c r="R847">
        <f>MONTH(data[[#This Row],[order_date]])</f>
        <v>1</v>
      </c>
      <c r="S847">
        <f>DAY(data[[#This Row],[order_date]])</f>
        <v>26</v>
      </c>
      <c r="T847">
        <f>data[[#This Row],[profit]]/data[[#This Row],[sales]]</f>
        <v>0.24861119065345627</v>
      </c>
    </row>
    <row r="848" spans="1:20" x14ac:dyDescent="0.35">
      <c r="A848" t="s">
        <v>1054</v>
      </c>
      <c r="B848" s="1">
        <v>45697</v>
      </c>
      <c r="C848" t="s">
        <v>14</v>
      </c>
      <c r="D848" t="s">
        <v>15</v>
      </c>
      <c r="E848" t="s">
        <v>447</v>
      </c>
      <c r="F848" t="s">
        <v>23</v>
      </c>
      <c r="G848" t="s">
        <v>1016</v>
      </c>
      <c r="H848" t="s">
        <v>1017</v>
      </c>
      <c r="I848" t="s">
        <v>160</v>
      </c>
      <c r="J848">
        <v>1</v>
      </c>
      <c r="K848">
        <v>1630000</v>
      </c>
      <c r="L848">
        <v>0</v>
      </c>
      <c r="M848">
        <v>1164000</v>
      </c>
      <c r="N848">
        <f>(data[[#This Row],[unit_price]]*data[[#This Row],[quantity]]) * (1-data[[#This Row],[discount]])</f>
        <v>1630000</v>
      </c>
      <c r="O848">
        <f>data[[#This Row],[sales]]-data[[#This Row],[cost]]</f>
        <v>466000</v>
      </c>
      <c r="P848" t="str">
        <f>TEXT(data[[#This Row],[order_date]],"mmm")</f>
        <v>Feb</v>
      </c>
      <c r="Q848">
        <f>YEAR(data[[#This Row],[order_date]])</f>
        <v>2025</v>
      </c>
      <c r="R848">
        <f>MONTH(data[[#This Row],[order_date]])</f>
        <v>2</v>
      </c>
      <c r="S848">
        <f>DAY(data[[#This Row],[order_date]])</f>
        <v>9</v>
      </c>
      <c r="T848">
        <f>data[[#This Row],[profit]]/data[[#This Row],[sales]]</f>
        <v>0.28588957055214725</v>
      </c>
    </row>
    <row r="849" spans="1:20" x14ac:dyDescent="0.35">
      <c r="A849" t="s">
        <v>1055</v>
      </c>
      <c r="B849" s="1">
        <v>45720</v>
      </c>
      <c r="C849" t="s">
        <v>14</v>
      </c>
      <c r="D849" t="s">
        <v>15</v>
      </c>
      <c r="E849" t="s">
        <v>262</v>
      </c>
      <c r="F849" t="s">
        <v>23</v>
      </c>
      <c r="G849" t="s">
        <v>1016</v>
      </c>
      <c r="H849" t="s">
        <v>1017</v>
      </c>
      <c r="I849" t="s">
        <v>160</v>
      </c>
      <c r="J849">
        <v>1</v>
      </c>
      <c r="K849">
        <v>1611000</v>
      </c>
      <c r="L849">
        <v>0</v>
      </c>
      <c r="M849">
        <v>1147000</v>
      </c>
      <c r="N849">
        <f>(data[[#This Row],[unit_price]]*data[[#This Row],[quantity]]) * (1-data[[#This Row],[discount]])</f>
        <v>1611000</v>
      </c>
      <c r="O849">
        <f>data[[#This Row],[sales]]-data[[#This Row],[cost]]</f>
        <v>464000</v>
      </c>
      <c r="P849" t="str">
        <f>TEXT(data[[#This Row],[order_date]],"mmm")</f>
        <v>Mar</v>
      </c>
      <c r="Q849">
        <f>YEAR(data[[#This Row],[order_date]])</f>
        <v>2025</v>
      </c>
      <c r="R849">
        <f>MONTH(data[[#This Row],[order_date]])</f>
        <v>3</v>
      </c>
      <c r="S849">
        <f>DAY(data[[#This Row],[order_date]])</f>
        <v>4</v>
      </c>
      <c r="T849">
        <f>data[[#This Row],[profit]]/data[[#This Row],[sales]]</f>
        <v>0.28801986343885783</v>
      </c>
    </row>
    <row r="850" spans="1:20" x14ac:dyDescent="0.35">
      <c r="A850" t="s">
        <v>1056</v>
      </c>
      <c r="B850" s="1">
        <v>45735</v>
      </c>
      <c r="C850" t="s">
        <v>41</v>
      </c>
      <c r="D850" t="s">
        <v>42</v>
      </c>
      <c r="E850" t="s">
        <v>43</v>
      </c>
      <c r="F850" t="s">
        <v>17</v>
      </c>
      <c r="G850" t="s">
        <v>1016</v>
      </c>
      <c r="H850" t="s">
        <v>1017</v>
      </c>
      <c r="I850" t="s">
        <v>160</v>
      </c>
      <c r="J850">
        <v>1</v>
      </c>
      <c r="K850">
        <v>910000</v>
      </c>
      <c r="L850">
        <v>0.1</v>
      </c>
      <c r="M850">
        <v>651000</v>
      </c>
      <c r="N850">
        <f>(data[[#This Row],[unit_price]]*data[[#This Row],[quantity]]) * (1-data[[#This Row],[discount]])</f>
        <v>819000</v>
      </c>
      <c r="O850">
        <f>data[[#This Row],[sales]]-data[[#This Row],[cost]]</f>
        <v>168000</v>
      </c>
      <c r="P850" t="str">
        <f>TEXT(data[[#This Row],[order_date]],"mmm")</f>
        <v>Mar</v>
      </c>
      <c r="Q850">
        <f>YEAR(data[[#This Row],[order_date]])</f>
        <v>2025</v>
      </c>
      <c r="R850">
        <f>MONTH(data[[#This Row],[order_date]])</f>
        <v>3</v>
      </c>
      <c r="S850">
        <f>DAY(data[[#This Row],[order_date]])</f>
        <v>19</v>
      </c>
      <c r="T850">
        <f>data[[#This Row],[profit]]/data[[#This Row],[sales]]</f>
        <v>0.20512820512820512</v>
      </c>
    </row>
    <row r="851" spans="1:20" x14ac:dyDescent="0.35">
      <c r="A851" t="s">
        <v>1057</v>
      </c>
      <c r="B851" s="1">
        <v>45739</v>
      </c>
      <c r="C851" t="s">
        <v>25</v>
      </c>
      <c r="D851" t="s">
        <v>26</v>
      </c>
      <c r="E851" t="s">
        <v>309</v>
      </c>
      <c r="F851" t="s">
        <v>23</v>
      </c>
      <c r="G851" t="s">
        <v>1016</v>
      </c>
      <c r="H851" t="s">
        <v>1017</v>
      </c>
      <c r="I851" t="s">
        <v>160</v>
      </c>
      <c r="J851">
        <v>1</v>
      </c>
      <c r="K851">
        <v>1374000</v>
      </c>
      <c r="L851">
        <v>0.05</v>
      </c>
      <c r="M851">
        <v>1024000</v>
      </c>
      <c r="N851">
        <f>(data[[#This Row],[unit_price]]*data[[#This Row],[quantity]]) * (1-data[[#This Row],[discount]])</f>
        <v>1305300</v>
      </c>
      <c r="O851">
        <f>data[[#This Row],[sales]]-data[[#This Row],[cost]]</f>
        <v>281300</v>
      </c>
      <c r="P851" t="str">
        <f>TEXT(data[[#This Row],[order_date]],"mmm")</f>
        <v>Mar</v>
      </c>
      <c r="Q851">
        <f>YEAR(data[[#This Row],[order_date]])</f>
        <v>2025</v>
      </c>
      <c r="R851">
        <f>MONTH(data[[#This Row],[order_date]])</f>
        <v>3</v>
      </c>
      <c r="S851">
        <f>DAY(data[[#This Row],[order_date]])</f>
        <v>23</v>
      </c>
      <c r="T851">
        <f>data[[#This Row],[profit]]/data[[#This Row],[sales]]</f>
        <v>0.21550601394315483</v>
      </c>
    </row>
    <row r="852" spans="1:20" x14ac:dyDescent="0.35">
      <c r="A852" t="s">
        <v>1058</v>
      </c>
      <c r="B852" s="1">
        <v>45741</v>
      </c>
      <c r="C852" t="s">
        <v>14</v>
      </c>
      <c r="D852" t="s">
        <v>15</v>
      </c>
      <c r="E852" t="s">
        <v>352</v>
      </c>
      <c r="F852" t="s">
        <v>23</v>
      </c>
      <c r="G852" t="s">
        <v>1016</v>
      </c>
      <c r="H852" t="s">
        <v>1017</v>
      </c>
      <c r="I852" t="s">
        <v>160</v>
      </c>
      <c r="J852">
        <v>3</v>
      </c>
      <c r="K852">
        <v>1489000</v>
      </c>
      <c r="L852">
        <v>0</v>
      </c>
      <c r="M852">
        <v>1108000</v>
      </c>
      <c r="N852">
        <f>(data[[#This Row],[unit_price]]*data[[#This Row],[quantity]]) * (1-data[[#This Row],[discount]])</f>
        <v>4467000</v>
      </c>
      <c r="O852">
        <f>data[[#This Row],[sales]]-data[[#This Row],[cost]]</f>
        <v>3359000</v>
      </c>
      <c r="P852" t="str">
        <f>TEXT(data[[#This Row],[order_date]],"mmm")</f>
        <v>Mar</v>
      </c>
      <c r="Q852">
        <f>YEAR(data[[#This Row],[order_date]])</f>
        <v>2025</v>
      </c>
      <c r="R852">
        <f>MONTH(data[[#This Row],[order_date]])</f>
        <v>3</v>
      </c>
      <c r="S852">
        <f>DAY(data[[#This Row],[order_date]])</f>
        <v>25</v>
      </c>
      <c r="T852">
        <f>data[[#This Row],[profit]]/data[[#This Row],[sales]]</f>
        <v>0.75195880904410117</v>
      </c>
    </row>
    <row r="853" spans="1:20" x14ac:dyDescent="0.35">
      <c r="A853" t="s">
        <v>1059</v>
      </c>
      <c r="B853" s="1">
        <v>45757</v>
      </c>
      <c r="C853" t="s">
        <v>14</v>
      </c>
      <c r="D853" t="s">
        <v>15</v>
      </c>
      <c r="E853" t="s">
        <v>462</v>
      </c>
      <c r="F853" t="s">
        <v>58</v>
      </c>
      <c r="G853" t="s">
        <v>1016</v>
      </c>
      <c r="H853" t="s">
        <v>1017</v>
      </c>
      <c r="I853" t="s">
        <v>160</v>
      </c>
      <c r="J853">
        <v>1</v>
      </c>
      <c r="K853">
        <v>1369000</v>
      </c>
      <c r="L853">
        <v>0</v>
      </c>
      <c r="M853">
        <v>1025000</v>
      </c>
      <c r="N853">
        <f>(data[[#This Row],[unit_price]]*data[[#This Row],[quantity]]) * (1-data[[#This Row],[discount]])</f>
        <v>1369000</v>
      </c>
      <c r="O853">
        <f>data[[#This Row],[sales]]-data[[#This Row],[cost]]</f>
        <v>344000</v>
      </c>
      <c r="P853" t="str">
        <f>TEXT(data[[#This Row],[order_date]],"mmm")</f>
        <v>Apr</v>
      </c>
      <c r="Q853">
        <f>YEAR(data[[#This Row],[order_date]])</f>
        <v>2025</v>
      </c>
      <c r="R853">
        <f>MONTH(data[[#This Row],[order_date]])</f>
        <v>4</v>
      </c>
      <c r="S853">
        <f>DAY(data[[#This Row],[order_date]])</f>
        <v>10</v>
      </c>
      <c r="T853">
        <f>data[[#This Row],[profit]]/data[[#This Row],[sales]]</f>
        <v>0.2512783053323594</v>
      </c>
    </row>
    <row r="854" spans="1:20" x14ac:dyDescent="0.35">
      <c r="A854" t="s">
        <v>1060</v>
      </c>
      <c r="B854" s="1">
        <v>45802</v>
      </c>
      <c r="C854" t="s">
        <v>14</v>
      </c>
      <c r="D854" t="s">
        <v>15</v>
      </c>
      <c r="E854" t="s">
        <v>193</v>
      </c>
      <c r="F854" t="s">
        <v>23</v>
      </c>
      <c r="G854" t="s">
        <v>1016</v>
      </c>
      <c r="H854" t="s">
        <v>1017</v>
      </c>
      <c r="I854" t="s">
        <v>160</v>
      </c>
      <c r="J854">
        <v>1</v>
      </c>
      <c r="K854">
        <v>1604000</v>
      </c>
      <c r="L854">
        <v>0</v>
      </c>
      <c r="M854">
        <v>1153000</v>
      </c>
      <c r="N854">
        <f>(data[[#This Row],[unit_price]]*data[[#This Row],[quantity]]) * (1-data[[#This Row],[discount]])</f>
        <v>1604000</v>
      </c>
      <c r="O854">
        <f>data[[#This Row],[sales]]-data[[#This Row],[cost]]</f>
        <v>451000</v>
      </c>
      <c r="P854" t="str">
        <f>TEXT(data[[#This Row],[order_date]],"mmm")</f>
        <v>May</v>
      </c>
      <c r="Q854">
        <f>YEAR(data[[#This Row],[order_date]])</f>
        <v>2025</v>
      </c>
      <c r="R854">
        <f>MONTH(data[[#This Row],[order_date]])</f>
        <v>5</v>
      </c>
      <c r="S854">
        <f>DAY(data[[#This Row],[order_date]])</f>
        <v>25</v>
      </c>
      <c r="T854">
        <f>data[[#This Row],[profit]]/data[[#This Row],[sales]]</f>
        <v>0.28117206982543641</v>
      </c>
    </row>
    <row r="855" spans="1:20" x14ac:dyDescent="0.35">
      <c r="A855" t="s">
        <v>1061</v>
      </c>
      <c r="B855" s="1">
        <v>45826</v>
      </c>
      <c r="C855" t="s">
        <v>41</v>
      </c>
      <c r="D855" t="s">
        <v>42</v>
      </c>
      <c r="E855" t="s">
        <v>244</v>
      </c>
      <c r="F855" t="s">
        <v>17</v>
      </c>
      <c r="G855" t="s">
        <v>1016</v>
      </c>
      <c r="H855" t="s">
        <v>1017</v>
      </c>
      <c r="I855" t="s">
        <v>160</v>
      </c>
      <c r="J855">
        <v>2</v>
      </c>
      <c r="K855">
        <v>1330000</v>
      </c>
      <c r="L855">
        <v>0.05</v>
      </c>
      <c r="M855">
        <v>995000</v>
      </c>
      <c r="N855">
        <f>(data[[#This Row],[unit_price]]*data[[#This Row],[quantity]]) * (1-data[[#This Row],[discount]])</f>
        <v>2527000</v>
      </c>
      <c r="O855">
        <f>data[[#This Row],[sales]]-data[[#This Row],[cost]]</f>
        <v>1532000</v>
      </c>
      <c r="P855" t="str">
        <f>TEXT(data[[#This Row],[order_date]],"mmm")</f>
        <v>Jun</v>
      </c>
      <c r="Q855">
        <f>YEAR(data[[#This Row],[order_date]])</f>
        <v>2025</v>
      </c>
      <c r="R855">
        <f>MONTH(data[[#This Row],[order_date]])</f>
        <v>6</v>
      </c>
      <c r="S855">
        <f>DAY(data[[#This Row],[order_date]])</f>
        <v>18</v>
      </c>
      <c r="T855">
        <f>data[[#This Row],[profit]]/data[[#This Row],[sales]]</f>
        <v>0.60625247328848442</v>
      </c>
    </row>
    <row r="856" spans="1:20" x14ac:dyDescent="0.35">
      <c r="A856" t="s">
        <v>1062</v>
      </c>
      <c r="B856" s="1">
        <v>45834</v>
      </c>
      <c r="C856" t="s">
        <v>36</v>
      </c>
      <c r="D856" t="s">
        <v>37</v>
      </c>
      <c r="E856" t="s">
        <v>193</v>
      </c>
      <c r="F856" t="s">
        <v>23</v>
      </c>
      <c r="G856" t="s">
        <v>1016</v>
      </c>
      <c r="H856" t="s">
        <v>1017</v>
      </c>
      <c r="I856" t="s">
        <v>160</v>
      </c>
      <c r="J856">
        <v>1</v>
      </c>
      <c r="K856">
        <v>1563000</v>
      </c>
      <c r="L856">
        <v>0</v>
      </c>
      <c r="M856">
        <v>1133000</v>
      </c>
      <c r="N856">
        <f>(data[[#This Row],[unit_price]]*data[[#This Row],[quantity]]) * (1-data[[#This Row],[discount]])</f>
        <v>1563000</v>
      </c>
      <c r="O856">
        <f>data[[#This Row],[sales]]-data[[#This Row],[cost]]</f>
        <v>430000</v>
      </c>
      <c r="P856" t="str">
        <f>TEXT(data[[#This Row],[order_date]],"mmm")</f>
        <v>Jun</v>
      </c>
      <c r="Q856">
        <f>YEAR(data[[#This Row],[order_date]])</f>
        <v>2025</v>
      </c>
      <c r="R856">
        <f>MONTH(data[[#This Row],[order_date]])</f>
        <v>6</v>
      </c>
      <c r="S856">
        <f>DAY(data[[#This Row],[order_date]])</f>
        <v>26</v>
      </c>
      <c r="T856">
        <f>data[[#This Row],[profit]]/data[[#This Row],[sales]]</f>
        <v>0.27511196417146511</v>
      </c>
    </row>
    <row r="857" spans="1:20" x14ac:dyDescent="0.35">
      <c r="A857" t="s">
        <v>1063</v>
      </c>
      <c r="B857" s="1">
        <v>45852</v>
      </c>
      <c r="C857" t="s">
        <v>49</v>
      </c>
      <c r="D857" t="s">
        <v>50</v>
      </c>
      <c r="E857" t="s">
        <v>349</v>
      </c>
      <c r="F857" t="s">
        <v>23</v>
      </c>
      <c r="G857" t="s">
        <v>1016</v>
      </c>
      <c r="H857" t="s">
        <v>1017</v>
      </c>
      <c r="I857" t="s">
        <v>160</v>
      </c>
      <c r="J857">
        <v>3</v>
      </c>
      <c r="K857">
        <v>1004000</v>
      </c>
      <c r="L857">
        <v>0</v>
      </c>
      <c r="M857">
        <v>721000</v>
      </c>
      <c r="N857">
        <f>(data[[#This Row],[unit_price]]*data[[#This Row],[quantity]]) * (1-data[[#This Row],[discount]])</f>
        <v>3012000</v>
      </c>
      <c r="O857">
        <f>data[[#This Row],[sales]]-data[[#This Row],[cost]]</f>
        <v>2291000</v>
      </c>
      <c r="P857" t="str">
        <f>TEXT(data[[#This Row],[order_date]],"mmm")</f>
        <v>Jul</v>
      </c>
      <c r="Q857">
        <f>YEAR(data[[#This Row],[order_date]])</f>
        <v>2025</v>
      </c>
      <c r="R857">
        <f>MONTH(data[[#This Row],[order_date]])</f>
        <v>7</v>
      </c>
      <c r="S857">
        <f>DAY(data[[#This Row],[order_date]])</f>
        <v>14</v>
      </c>
      <c r="T857">
        <f>data[[#This Row],[profit]]/data[[#This Row],[sales]]</f>
        <v>0.76062416998671978</v>
      </c>
    </row>
    <row r="858" spans="1:20" x14ac:dyDescent="0.35">
      <c r="A858" t="s">
        <v>1064</v>
      </c>
      <c r="B858" s="1">
        <v>45858</v>
      </c>
      <c r="C858" t="s">
        <v>41</v>
      </c>
      <c r="D858" t="s">
        <v>42</v>
      </c>
      <c r="E858" t="s">
        <v>216</v>
      </c>
      <c r="F858" t="s">
        <v>17</v>
      </c>
      <c r="G858" t="s">
        <v>1016</v>
      </c>
      <c r="H858" t="s">
        <v>1017</v>
      </c>
      <c r="I858" t="s">
        <v>160</v>
      </c>
      <c r="J858">
        <v>1</v>
      </c>
      <c r="K858">
        <v>1241600</v>
      </c>
      <c r="L858">
        <v>0</v>
      </c>
      <c r="M858">
        <v>840000</v>
      </c>
      <c r="N858">
        <f>(data[[#This Row],[unit_price]]*data[[#This Row],[quantity]]) * (1-data[[#This Row],[discount]])</f>
        <v>1241600</v>
      </c>
      <c r="O858">
        <f>data[[#This Row],[sales]]-data[[#This Row],[cost]]</f>
        <v>401600</v>
      </c>
      <c r="P858" t="str">
        <f>TEXT(data[[#This Row],[order_date]],"mmm")</f>
        <v>Jul</v>
      </c>
      <c r="Q858">
        <f>YEAR(data[[#This Row],[order_date]])</f>
        <v>2025</v>
      </c>
      <c r="R858">
        <f>MONTH(data[[#This Row],[order_date]])</f>
        <v>7</v>
      </c>
      <c r="S858">
        <f>DAY(data[[#This Row],[order_date]])</f>
        <v>20</v>
      </c>
      <c r="T858">
        <f>data[[#This Row],[profit]]/data[[#This Row],[sales]]</f>
        <v>0.3234536082474227</v>
      </c>
    </row>
    <row r="859" spans="1:20" x14ac:dyDescent="0.35">
      <c r="A859" t="s">
        <v>1065</v>
      </c>
      <c r="B859" s="1">
        <v>45905</v>
      </c>
      <c r="C859" t="s">
        <v>41</v>
      </c>
      <c r="D859" t="s">
        <v>42</v>
      </c>
      <c r="E859" t="s">
        <v>208</v>
      </c>
      <c r="F859" t="s">
        <v>23</v>
      </c>
      <c r="G859" t="s">
        <v>1016</v>
      </c>
      <c r="H859" t="s">
        <v>1017</v>
      </c>
      <c r="I859" t="s">
        <v>160</v>
      </c>
      <c r="J859">
        <v>2</v>
      </c>
      <c r="K859">
        <v>1401000</v>
      </c>
      <c r="L859">
        <v>0</v>
      </c>
      <c r="M859">
        <v>1040000</v>
      </c>
      <c r="N859">
        <f>(data[[#This Row],[unit_price]]*data[[#This Row],[quantity]]) * (1-data[[#This Row],[discount]])</f>
        <v>2802000</v>
      </c>
      <c r="O859">
        <f>data[[#This Row],[sales]]-data[[#This Row],[cost]]</f>
        <v>1762000</v>
      </c>
      <c r="P859" t="str">
        <f>TEXT(data[[#This Row],[order_date]],"mmm")</f>
        <v>Sep</v>
      </c>
      <c r="Q859">
        <f>YEAR(data[[#This Row],[order_date]])</f>
        <v>2025</v>
      </c>
      <c r="R859">
        <f>MONTH(data[[#This Row],[order_date]])</f>
        <v>9</v>
      </c>
      <c r="S859">
        <f>DAY(data[[#This Row],[order_date]])</f>
        <v>5</v>
      </c>
      <c r="T859">
        <f>data[[#This Row],[profit]]/data[[#This Row],[sales]]</f>
        <v>0.62883654532476807</v>
      </c>
    </row>
    <row r="860" spans="1:20" x14ac:dyDescent="0.35">
      <c r="A860" t="s">
        <v>1066</v>
      </c>
      <c r="B860" s="1">
        <v>45921</v>
      </c>
      <c r="C860" t="s">
        <v>14</v>
      </c>
      <c r="D860" t="s">
        <v>15</v>
      </c>
      <c r="E860" t="s">
        <v>247</v>
      </c>
      <c r="F860" t="s">
        <v>17</v>
      </c>
      <c r="G860" t="s">
        <v>1016</v>
      </c>
      <c r="H860" t="s">
        <v>1017</v>
      </c>
      <c r="I860" t="s">
        <v>160</v>
      </c>
      <c r="J860">
        <v>2</v>
      </c>
      <c r="K860">
        <v>1483000</v>
      </c>
      <c r="L860">
        <v>0</v>
      </c>
      <c r="M860">
        <v>1077000</v>
      </c>
      <c r="N860">
        <f>(data[[#This Row],[unit_price]]*data[[#This Row],[quantity]]) * (1-data[[#This Row],[discount]])</f>
        <v>2966000</v>
      </c>
      <c r="O860">
        <f>data[[#This Row],[sales]]-data[[#This Row],[cost]]</f>
        <v>1889000</v>
      </c>
      <c r="P860" t="str">
        <f>TEXT(data[[#This Row],[order_date]],"mmm")</f>
        <v>Sep</v>
      </c>
      <c r="Q860">
        <f>YEAR(data[[#This Row],[order_date]])</f>
        <v>2025</v>
      </c>
      <c r="R860">
        <f>MONTH(data[[#This Row],[order_date]])</f>
        <v>9</v>
      </c>
      <c r="S860">
        <f>DAY(data[[#This Row],[order_date]])</f>
        <v>21</v>
      </c>
      <c r="T860">
        <f>data[[#This Row],[profit]]/data[[#This Row],[sales]]</f>
        <v>0.63688469318948082</v>
      </c>
    </row>
    <row r="861" spans="1:20" x14ac:dyDescent="0.35">
      <c r="A861" t="s">
        <v>1067</v>
      </c>
      <c r="B861" s="1">
        <v>45924</v>
      </c>
      <c r="C861" t="s">
        <v>36</v>
      </c>
      <c r="D861" t="s">
        <v>37</v>
      </c>
      <c r="E861" t="s">
        <v>212</v>
      </c>
      <c r="F861" t="s">
        <v>28</v>
      </c>
      <c r="G861" t="s">
        <v>1016</v>
      </c>
      <c r="H861" t="s">
        <v>1017</v>
      </c>
      <c r="I861" t="s">
        <v>160</v>
      </c>
      <c r="J861">
        <v>1</v>
      </c>
      <c r="K861">
        <v>1241600</v>
      </c>
      <c r="L861">
        <v>0</v>
      </c>
      <c r="M861">
        <v>840000</v>
      </c>
      <c r="N861">
        <f>(data[[#This Row],[unit_price]]*data[[#This Row],[quantity]]) * (1-data[[#This Row],[discount]])</f>
        <v>1241600</v>
      </c>
      <c r="O861">
        <f>data[[#This Row],[sales]]-data[[#This Row],[cost]]</f>
        <v>401600</v>
      </c>
      <c r="P861" t="str">
        <f>TEXT(data[[#This Row],[order_date]],"mmm")</f>
        <v>Sep</v>
      </c>
      <c r="Q861">
        <f>YEAR(data[[#This Row],[order_date]])</f>
        <v>2025</v>
      </c>
      <c r="R861">
        <f>MONTH(data[[#This Row],[order_date]])</f>
        <v>9</v>
      </c>
      <c r="S861">
        <f>DAY(data[[#This Row],[order_date]])</f>
        <v>24</v>
      </c>
      <c r="T861">
        <f>data[[#This Row],[profit]]/data[[#This Row],[sales]]</f>
        <v>0.3234536082474227</v>
      </c>
    </row>
    <row r="862" spans="1:20" x14ac:dyDescent="0.35">
      <c r="A862" t="s">
        <v>1068</v>
      </c>
      <c r="B862" s="1">
        <v>45942</v>
      </c>
      <c r="C862" t="s">
        <v>41</v>
      </c>
      <c r="D862" t="s">
        <v>42</v>
      </c>
      <c r="E862" t="s">
        <v>150</v>
      </c>
      <c r="F862" t="s">
        <v>28</v>
      </c>
      <c r="G862" t="s">
        <v>1016</v>
      </c>
      <c r="H862" t="s">
        <v>1017</v>
      </c>
      <c r="I862" t="s">
        <v>160</v>
      </c>
      <c r="J862">
        <v>5</v>
      </c>
      <c r="K862">
        <v>1170000</v>
      </c>
      <c r="L862">
        <v>0</v>
      </c>
      <c r="M862">
        <v>864000</v>
      </c>
      <c r="N862">
        <f>(data[[#This Row],[unit_price]]*data[[#This Row],[quantity]]) * (1-data[[#This Row],[discount]])</f>
        <v>5850000</v>
      </c>
      <c r="O862">
        <f>data[[#This Row],[sales]]-data[[#This Row],[cost]]</f>
        <v>4986000</v>
      </c>
      <c r="P862" t="str">
        <f>TEXT(data[[#This Row],[order_date]],"mmm")</f>
        <v>Oct</v>
      </c>
      <c r="Q862">
        <f>YEAR(data[[#This Row],[order_date]])</f>
        <v>2025</v>
      </c>
      <c r="R862">
        <f>MONTH(data[[#This Row],[order_date]])</f>
        <v>10</v>
      </c>
      <c r="S862">
        <f>DAY(data[[#This Row],[order_date]])</f>
        <v>12</v>
      </c>
      <c r="T862">
        <f>data[[#This Row],[profit]]/data[[#This Row],[sales]]</f>
        <v>0.85230769230769232</v>
      </c>
    </row>
    <row r="863" spans="1:20" x14ac:dyDescent="0.35">
      <c r="A863" t="s">
        <v>1069</v>
      </c>
      <c r="B863" s="1">
        <v>45960</v>
      </c>
      <c r="C863" t="s">
        <v>41</v>
      </c>
      <c r="D863" t="s">
        <v>42</v>
      </c>
      <c r="E863" t="s">
        <v>79</v>
      </c>
      <c r="F863" t="s">
        <v>17</v>
      </c>
      <c r="G863" t="s">
        <v>1016</v>
      </c>
      <c r="H863" t="s">
        <v>1017</v>
      </c>
      <c r="I863" t="s">
        <v>160</v>
      </c>
      <c r="J863">
        <v>2</v>
      </c>
      <c r="K863">
        <v>1413000</v>
      </c>
      <c r="L863">
        <v>0</v>
      </c>
      <c r="M863">
        <v>1034000</v>
      </c>
      <c r="N863">
        <f>(data[[#This Row],[unit_price]]*data[[#This Row],[quantity]]) * (1-data[[#This Row],[discount]])</f>
        <v>2826000</v>
      </c>
      <c r="O863">
        <f>data[[#This Row],[sales]]-data[[#This Row],[cost]]</f>
        <v>1792000</v>
      </c>
      <c r="P863" t="str">
        <f>TEXT(data[[#This Row],[order_date]],"mmm")</f>
        <v>Oct</v>
      </c>
      <c r="Q863">
        <f>YEAR(data[[#This Row],[order_date]])</f>
        <v>2025</v>
      </c>
      <c r="R863">
        <f>MONTH(data[[#This Row],[order_date]])</f>
        <v>10</v>
      </c>
      <c r="S863">
        <f>DAY(data[[#This Row],[order_date]])</f>
        <v>30</v>
      </c>
      <c r="T863">
        <f>data[[#This Row],[profit]]/data[[#This Row],[sales]]</f>
        <v>0.63411181882519463</v>
      </c>
    </row>
    <row r="864" spans="1:20" x14ac:dyDescent="0.35">
      <c r="A864" t="s">
        <v>1070</v>
      </c>
      <c r="B864" s="1">
        <v>46034</v>
      </c>
      <c r="C864" t="s">
        <v>49</v>
      </c>
      <c r="D864" t="s">
        <v>50</v>
      </c>
      <c r="E864" t="s">
        <v>230</v>
      </c>
      <c r="F864" t="s">
        <v>23</v>
      </c>
      <c r="G864" t="s">
        <v>1016</v>
      </c>
      <c r="H864" t="s">
        <v>1017</v>
      </c>
      <c r="I864" t="s">
        <v>160</v>
      </c>
      <c r="J864">
        <v>2</v>
      </c>
      <c r="K864">
        <v>1318000</v>
      </c>
      <c r="L864">
        <v>0</v>
      </c>
      <c r="M864">
        <v>943000</v>
      </c>
      <c r="N864">
        <f>(data[[#This Row],[unit_price]]*data[[#This Row],[quantity]]) * (1-data[[#This Row],[discount]])</f>
        <v>2636000</v>
      </c>
      <c r="O864">
        <f>data[[#This Row],[sales]]-data[[#This Row],[cost]]</f>
        <v>1693000</v>
      </c>
      <c r="P864" t="str">
        <f>TEXT(data[[#This Row],[order_date]],"mmm")</f>
        <v>Jan</v>
      </c>
      <c r="Q864">
        <f>YEAR(data[[#This Row],[order_date]])</f>
        <v>2026</v>
      </c>
      <c r="R864">
        <f>MONTH(data[[#This Row],[order_date]])</f>
        <v>1</v>
      </c>
      <c r="S864">
        <f>DAY(data[[#This Row],[order_date]])</f>
        <v>12</v>
      </c>
      <c r="T864">
        <f>data[[#This Row],[profit]]/data[[#This Row],[sales]]</f>
        <v>0.64226100151745069</v>
      </c>
    </row>
    <row r="865" spans="1:20" x14ac:dyDescent="0.35">
      <c r="A865" t="s">
        <v>1071</v>
      </c>
      <c r="B865" s="1">
        <v>46049</v>
      </c>
      <c r="C865" t="s">
        <v>41</v>
      </c>
      <c r="D865" t="s">
        <v>42</v>
      </c>
      <c r="E865" t="s">
        <v>553</v>
      </c>
      <c r="F865" t="s">
        <v>17</v>
      </c>
      <c r="G865" t="s">
        <v>1016</v>
      </c>
      <c r="H865" t="s">
        <v>1017</v>
      </c>
      <c r="I865" t="s">
        <v>160</v>
      </c>
      <c r="J865">
        <v>1</v>
      </c>
      <c r="K865">
        <v>1314000</v>
      </c>
      <c r="L865">
        <v>0</v>
      </c>
      <c r="M865">
        <v>935000</v>
      </c>
      <c r="N865">
        <f>(data[[#This Row],[unit_price]]*data[[#This Row],[quantity]]) * (1-data[[#This Row],[discount]])</f>
        <v>1314000</v>
      </c>
      <c r="O865">
        <f>data[[#This Row],[sales]]-data[[#This Row],[cost]]</f>
        <v>379000</v>
      </c>
      <c r="P865" t="str">
        <f>TEXT(data[[#This Row],[order_date]],"mmm")</f>
        <v>Jan</v>
      </c>
      <c r="Q865">
        <f>YEAR(data[[#This Row],[order_date]])</f>
        <v>2026</v>
      </c>
      <c r="R865">
        <f>MONTH(data[[#This Row],[order_date]])</f>
        <v>1</v>
      </c>
      <c r="S865">
        <f>DAY(data[[#This Row],[order_date]])</f>
        <v>27</v>
      </c>
      <c r="T865">
        <f>data[[#This Row],[profit]]/data[[#This Row],[sales]]</f>
        <v>0.28843226788432269</v>
      </c>
    </row>
    <row r="866" spans="1:20" x14ac:dyDescent="0.35">
      <c r="A866" t="s">
        <v>1072</v>
      </c>
      <c r="B866" s="1">
        <v>46058</v>
      </c>
      <c r="C866" t="s">
        <v>41</v>
      </c>
      <c r="D866" t="s">
        <v>42</v>
      </c>
      <c r="E866" t="s">
        <v>121</v>
      </c>
      <c r="F866" t="s">
        <v>23</v>
      </c>
      <c r="G866" t="s">
        <v>1016</v>
      </c>
      <c r="H866" t="s">
        <v>1017</v>
      </c>
      <c r="I866" t="s">
        <v>160</v>
      </c>
      <c r="J866">
        <v>1</v>
      </c>
      <c r="K866">
        <v>1051000</v>
      </c>
      <c r="L866">
        <v>0</v>
      </c>
      <c r="M866">
        <v>772000</v>
      </c>
      <c r="N866">
        <f>(data[[#This Row],[unit_price]]*data[[#This Row],[quantity]]) * (1-data[[#This Row],[discount]])</f>
        <v>1051000</v>
      </c>
      <c r="O866">
        <f>data[[#This Row],[sales]]-data[[#This Row],[cost]]</f>
        <v>279000</v>
      </c>
      <c r="P866" t="str">
        <f>TEXT(data[[#This Row],[order_date]],"mmm")</f>
        <v>Feb</v>
      </c>
      <c r="Q866">
        <f>YEAR(data[[#This Row],[order_date]])</f>
        <v>2026</v>
      </c>
      <c r="R866">
        <f>MONTH(data[[#This Row],[order_date]])</f>
        <v>2</v>
      </c>
      <c r="S866">
        <f>DAY(data[[#This Row],[order_date]])</f>
        <v>5</v>
      </c>
      <c r="T866">
        <f>data[[#This Row],[profit]]/data[[#This Row],[sales]]</f>
        <v>0.26546146527117032</v>
      </c>
    </row>
    <row r="867" spans="1:20" x14ac:dyDescent="0.35">
      <c r="A867" t="s">
        <v>1073</v>
      </c>
      <c r="B867" s="1">
        <v>46066</v>
      </c>
      <c r="C867" t="s">
        <v>14</v>
      </c>
      <c r="D867" t="s">
        <v>15</v>
      </c>
      <c r="E867" t="s">
        <v>228</v>
      </c>
      <c r="F867" t="s">
        <v>17</v>
      </c>
      <c r="G867" t="s">
        <v>1016</v>
      </c>
      <c r="H867" t="s">
        <v>1017</v>
      </c>
      <c r="I867" t="s">
        <v>160</v>
      </c>
      <c r="J867">
        <v>1</v>
      </c>
      <c r="K867">
        <v>1212000</v>
      </c>
      <c r="L867">
        <v>0</v>
      </c>
      <c r="M867">
        <v>873000</v>
      </c>
      <c r="N867">
        <f>(data[[#This Row],[unit_price]]*data[[#This Row],[quantity]]) * (1-data[[#This Row],[discount]])</f>
        <v>1212000</v>
      </c>
      <c r="O867">
        <f>data[[#This Row],[sales]]-data[[#This Row],[cost]]</f>
        <v>339000</v>
      </c>
      <c r="P867" t="str">
        <f>TEXT(data[[#This Row],[order_date]],"mmm")</f>
        <v>Feb</v>
      </c>
      <c r="Q867">
        <f>YEAR(data[[#This Row],[order_date]])</f>
        <v>2026</v>
      </c>
      <c r="R867">
        <f>MONTH(data[[#This Row],[order_date]])</f>
        <v>2</v>
      </c>
      <c r="S867">
        <f>DAY(data[[#This Row],[order_date]])</f>
        <v>13</v>
      </c>
      <c r="T867">
        <f>data[[#This Row],[profit]]/data[[#This Row],[sales]]</f>
        <v>0.27970297029702973</v>
      </c>
    </row>
    <row r="868" spans="1:20" x14ac:dyDescent="0.35">
      <c r="A868" t="s">
        <v>1074</v>
      </c>
      <c r="B868" s="1">
        <v>46067</v>
      </c>
      <c r="C868" t="s">
        <v>41</v>
      </c>
      <c r="D868" t="s">
        <v>42</v>
      </c>
      <c r="E868" t="s">
        <v>117</v>
      </c>
      <c r="F868" t="s">
        <v>23</v>
      </c>
      <c r="G868" t="s">
        <v>1016</v>
      </c>
      <c r="H868" t="s">
        <v>1017</v>
      </c>
      <c r="I868" t="s">
        <v>160</v>
      </c>
      <c r="J868">
        <v>2</v>
      </c>
      <c r="K868">
        <v>1013000</v>
      </c>
      <c r="L868">
        <v>0</v>
      </c>
      <c r="M868">
        <v>733000</v>
      </c>
      <c r="N868">
        <f>(data[[#This Row],[unit_price]]*data[[#This Row],[quantity]]) * (1-data[[#This Row],[discount]])</f>
        <v>2026000</v>
      </c>
      <c r="O868">
        <f>data[[#This Row],[sales]]-data[[#This Row],[cost]]</f>
        <v>1293000</v>
      </c>
      <c r="P868" t="str">
        <f>TEXT(data[[#This Row],[order_date]],"mmm")</f>
        <v>Feb</v>
      </c>
      <c r="Q868">
        <f>YEAR(data[[#This Row],[order_date]])</f>
        <v>2026</v>
      </c>
      <c r="R868">
        <f>MONTH(data[[#This Row],[order_date]])</f>
        <v>2</v>
      </c>
      <c r="S868">
        <f>DAY(data[[#This Row],[order_date]])</f>
        <v>14</v>
      </c>
      <c r="T868">
        <f>data[[#This Row],[profit]]/data[[#This Row],[sales]]</f>
        <v>0.63820335636722603</v>
      </c>
    </row>
    <row r="869" spans="1:20" x14ac:dyDescent="0.35">
      <c r="A869" t="s">
        <v>1075</v>
      </c>
      <c r="B869" s="1">
        <v>46083</v>
      </c>
      <c r="C869" t="s">
        <v>36</v>
      </c>
      <c r="D869" t="s">
        <v>37</v>
      </c>
      <c r="E869" t="s">
        <v>270</v>
      </c>
      <c r="F869" t="s">
        <v>23</v>
      </c>
      <c r="G869" t="s">
        <v>1016</v>
      </c>
      <c r="H869" t="s">
        <v>1017</v>
      </c>
      <c r="I869" t="s">
        <v>160</v>
      </c>
      <c r="J869">
        <v>1</v>
      </c>
      <c r="K869">
        <v>1193000</v>
      </c>
      <c r="L869">
        <v>0</v>
      </c>
      <c r="M869">
        <v>870000</v>
      </c>
      <c r="N869">
        <f>(data[[#This Row],[unit_price]]*data[[#This Row],[quantity]]) * (1-data[[#This Row],[discount]])</f>
        <v>1193000</v>
      </c>
      <c r="O869">
        <f>data[[#This Row],[sales]]-data[[#This Row],[cost]]</f>
        <v>323000</v>
      </c>
      <c r="P869" t="str">
        <f>TEXT(data[[#This Row],[order_date]],"mmm")</f>
        <v>Mar</v>
      </c>
      <c r="Q869">
        <f>YEAR(data[[#This Row],[order_date]])</f>
        <v>2026</v>
      </c>
      <c r="R869">
        <f>MONTH(data[[#This Row],[order_date]])</f>
        <v>3</v>
      </c>
      <c r="S869">
        <f>DAY(data[[#This Row],[order_date]])</f>
        <v>2</v>
      </c>
      <c r="T869">
        <f>data[[#This Row],[profit]]/data[[#This Row],[sales]]</f>
        <v>0.27074601844090529</v>
      </c>
    </row>
    <row r="870" spans="1:20" x14ac:dyDescent="0.35">
      <c r="A870" t="s">
        <v>1076</v>
      </c>
      <c r="B870" s="1">
        <v>46110</v>
      </c>
      <c r="C870" t="s">
        <v>49</v>
      </c>
      <c r="D870" t="s">
        <v>50</v>
      </c>
      <c r="E870" t="s">
        <v>447</v>
      </c>
      <c r="F870" t="s">
        <v>23</v>
      </c>
      <c r="G870" t="s">
        <v>1016</v>
      </c>
      <c r="H870" t="s">
        <v>1017</v>
      </c>
      <c r="I870" t="s">
        <v>160</v>
      </c>
      <c r="J870">
        <v>1</v>
      </c>
      <c r="K870">
        <v>1408000</v>
      </c>
      <c r="L870">
        <v>0</v>
      </c>
      <c r="M870">
        <v>1010000</v>
      </c>
      <c r="N870">
        <f>(data[[#This Row],[unit_price]]*data[[#This Row],[quantity]]) * (1-data[[#This Row],[discount]])</f>
        <v>1408000</v>
      </c>
      <c r="O870">
        <f>data[[#This Row],[sales]]-data[[#This Row],[cost]]</f>
        <v>398000</v>
      </c>
      <c r="P870" t="str">
        <f>TEXT(data[[#This Row],[order_date]],"mmm")</f>
        <v>Mar</v>
      </c>
      <c r="Q870">
        <f>YEAR(data[[#This Row],[order_date]])</f>
        <v>2026</v>
      </c>
      <c r="R870">
        <f>MONTH(data[[#This Row],[order_date]])</f>
        <v>3</v>
      </c>
      <c r="S870">
        <f>DAY(data[[#This Row],[order_date]])</f>
        <v>29</v>
      </c>
      <c r="T870">
        <f>data[[#This Row],[profit]]/data[[#This Row],[sales]]</f>
        <v>0.28267045454545453</v>
      </c>
    </row>
    <row r="871" spans="1:20" x14ac:dyDescent="0.35">
      <c r="A871" t="s">
        <v>1077</v>
      </c>
      <c r="B871" s="1">
        <v>46120</v>
      </c>
      <c r="C871" t="s">
        <v>49</v>
      </c>
      <c r="D871" t="s">
        <v>50</v>
      </c>
      <c r="E871" t="s">
        <v>110</v>
      </c>
      <c r="F871" t="s">
        <v>23</v>
      </c>
      <c r="G871" t="s">
        <v>1016</v>
      </c>
      <c r="H871" t="s">
        <v>1017</v>
      </c>
      <c r="I871" t="s">
        <v>160</v>
      </c>
      <c r="J871">
        <v>2</v>
      </c>
      <c r="K871">
        <v>959000</v>
      </c>
      <c r="L871">
        <v>0</v>
      </c>
      <c r="M871">
        <v>694000</v>
      </c>
      <c r="N871">
        <f>(data[[#This Row],[unit_price]]*data[[#This Row],[quantity]]) * (1-data[[#This Row],[discount]])</f>
        <v>1918000</v>
      </c>
      <c r="O871">
        <f>data[[#This Row],[sales]]-data[[#This Row],[cost]]</f>
        <v>1224000</v>
      </c>
      <c r="P871" t="str">
        <f>TEXT(data[[#This Row],[order_date]],"mmm")</f>
        <v>Apr</v>
      </c>
      <c r="Q871">
        <f>YEAR(data[[#This Row],[order_date]])</f>
        <v>2026</v>
      </c>
      <c r="R871">
        <f>MONTH(data[[#This Row],[order_date]])</f>
        <v>4</v>
      </c>
      <c r="S871">
        <f>DAY(data[[#This Row],[order_date]])</f>
        <v>8</v>
      </c>
      <c r="T871">
        <f>data[[#This Row],[profit]]/data[[#This Row],[sales]]</f>
        <v>0.63816475495307612</v>
      </c>
    </row>
    <row r="872" spans="1:20" x14ac:dyDescent="0.35">
      <c r="A872" t="s">
        <v>1078</v>
      </c>
      <c r="B872" s="1">
        <v>46142</v>
      </c>
      <c r="C872" t="s">
        <v>14</v>
      </c>
      <c r="D872" t="s">
        <v>15</v>
      </c>
      <c r="E872" t="s">
        <v>69</v>
      </c>
      <c r="F872" t="s">
        <v>23</v>
      </c>
      <c r="G872" t="s">
        <v>1016</v>
      </c>
      <c r="H872" t="s">
        <v>1017</v>
      </c>
      <c r="I872" t="s">
        <v>160</v>
      </c>
      <c r="J872">
        <v>1</v>
      </c>
      <c r="K872">
        <v>1276000</v>
      </c>
      <c r="L872">
        <v>0.05</v>
      </c>
      <c r="M872">
        <v>951000</v>
      </c>
      <c r="N872">
        <f>(data[[#This Row],[unit_price]]*data[[#This Row],[quantity]]) * (1-data[[#This Row],[discount]])</f>
        <v>1212200</v>
      </c>
      <c r="O872">
        <f>data[[#This Row],[sales]]-data[[#This Row],[cost]]</f>
        <v>261200</v>
      </c>
      <c r="P872" t="str">
        <f>TEXT(data[[#This Row],[order_date]],"mmm")</f>
        <v>Apr</v>
      </c>
      <c r="Q872">
        <f>YEAR(data[[#This Row],[order_date]])</f>
        <v>2026</v>
      </c>
      <c r="R872">
        <f>MONTH(data[[#This Row],[order_date]])</f>
        <v>4</v>
      </c>
      <c r="S872">
        <f>DAY(data[[#This Row],[order_date]])</f>
        <v>30</v>
      </c>
      <c r="T872">
        <f>data[[#This Row],[profit]]/data[[#This Row],[sales]]</f>
        <v>0.21547599406038606</v>
      </c>
    </row>
    <row r="873" spans="1:20" x14ac:dyDescent="0.35">
      <c r="A873" t="s">
        <v>1079</v>
      </c>
      <c r="B873" s="1">
        <v>46143</v>
      </c>
      <c r="C873" t="s">
        <v>14</v>
      </c>
      <c r="D873" t="s">
        <v>15</v>
      </c>
      <c r="E873" t="s">
        <v>108</v>
      </c>
      <c r="F873" t="s">
        <v>23</v>
      </c>
      <c r="G873" t="s">
        <v>1016</v>
      </c>
      <c r="H873" t="s">
        <v>1017</v>
      </c>
      <c r="I873" t="s">
        <v>160</v>
      </c>
      <c r="J873">
        <v>1</v>
      </c>
      <c r="K873">
        <v>1364000</v>
      </c>
      <c r="L873">
        <v>0</v>
      </c>
      <c r="M873">
        <v>989000</v>
      </c>
      <c r="N873">
        <f>(data[[#This Row],[unit_price]]*data[[#This Row],[quantity]]) * (1-data[[#This Row],[discount]])</f>
        <v>1364000</v>
      </c>
      <c r="O873">
        <f>data[[#This Row],[sales]]-data[[#This Row],[cost]]</f>
        <v>375000</v>
      </c>
      <c r="P873" t="str">
        <f>TEXT(data[[#This Row],[order_date]],"mmm")</f>
        <v>May</v>
      </c>
      <c r="Q873">
        <f>YEAR(data[[#This Row],[order_date]])</f>
        <v>2026</v>
      </c>
      <c r="R873">
        <f>MONTH(data[[#This Row],[order_date]])</f>
        <v>5</v>
      </c>
      <c r="S873">
        <f>DAY(data[[#This Row],[order_date]])</f>
        <v>1</v>
      </c>
      <c r="T873">
        <f>data[[#This Row],[profit]]/data[[#This Row],[sales]]</f>
        <v>0.27492668621700878</v>
      </c>
    </row>
    <row r="874" spans="1:20" x14ac:dyDescent="0.35">
      <c r="A874" t="s">
        <v>1080</v>
      </c>
      <c r="B874" s="1">
        <v>46155</v>
      </c>
      <c r="C874" t="s">
        <v>14</v>
      </c>
      <c r="D874" t="s">
        <v>15</v>
      </c>
      <c r="E874" t="s">
        <v>675</v>
      </c>
      <c r="F874" t="s">
        <v>17</v>
      </c>
      <c r="G874" t="s">
        <v>1016</v>
      </c>
      <c r="H874" t="s">
        <v>1017</v>
      </c>
      <c r="I874" t="s">
        <v>160</v>
      </c>
      <c r="J874">
        <v>1</v>
      </c>
      <c r="K874">
        <v>1618000</v>
      </c>
      <c r="L874">
        <v>0</v>
      </c>
      <c r="M874">
        <v>1175000</v>
      </c>
      <c r="N874">
        <f>(data[[#This Row],[unit_price]]*data[[#This Row],[quantity]]) * (1-data[[#This Row],[discount]])</f>
        <v>1618000</v>
      </c>
      <c r="O874">
        <f>data[[#This Row],[sales]]-data[[#This Row],[cost]]</f>
        <v>443000</v>
      </c>
      <c r="P874" t="str">
        <f>TEXT(data[[#This Row],[order_date]],"mmm")</f>
        <v>May</v>
      </c>
      <c r="Q874">
        <f>YEAR(data[[#This Row],[order_date]])</f>
        <v>2026</v>
      </c>
      <c r="R874">
        <f>MONTH(data[[#This Row],[order_date]])</f>
        <v>5</v>
      </c>
      <c r="S874">
        <f>DAY(data[[#This Row],[order_date]])</f>
        <v>13</v>
      </c>
      <c r="T874">
        <f>data[[#This Row],[profit]]/data[[#This Row],[sales]]</f>
        <v>0.27379480840543879</v>
      </c>
    </row>
    <row r="875" spans="1:20" x14ac:dyDescent="0.35">
      <c r="A875" t="s">
        <v>1081</v>
      </c>
      <c r="B875" s="1">
        <v>46170</v>
      </c>
      <c r="C875" t="s">
        <v>36</v>
      </c>
      <c r="D875" t="s">
        <v>37</v>
      </c>
      <c r="E875" t="s">
        <v>327</v>
      </c>
      <c r="F875" t="s">
        <v>23</v>
      </c>
      <c r="G875" t="s">
        <v>1016</v>
      </c>
      <c r="H875" t="s">
        <v>1017</v>
      </c>
      <c r="I875" t="s">
        <v>160</v>
      </c>
      <c r="J875">
        <v>1</v>
      </c>
      <c r="K875">
        <v>1268000</v>
      </c>
      <c r="L875">
        <v>0</v>
      </c>
      <c r="M875">
        <v>929000</v>
      </c>
      <c r="N875">
        <f>(data[[#This Row],[unit_price]]*data[[#This Row],[quantity]]) * (1-data[[#This Row],[discount]])</f>
        <v>1268000</v>
      </c>
      <c r="O875">
        <f>data[[#This Row],[sales]]-data[[#This Row],[cost]]</f>
        <v>339000</v>
      </c>
      <c r="P875" t="str">
        <f>TEXT(data[[#This Row],[order_date]],"mmm")</f>
        <v>May</v>
      </c>
      <c r="Q875">
        <f>YEAR(data[[#This Row],[order_date]])</f>
        <v>2026</v>
      </c>
      <c r="R875">
        <f>MONTH(data[[#This Row],[order_date]])</f>
        <v>5</v>
      </c>
      <c r="S875">
        <f>DAY(data[[#This Row],[order_date]])</f>
        <v>28</v>
      </c>
      <c r="T875">
        <f>data[[#This Row],[profit]]/data[[#This Row],[sales]]</f>
        <v>0.26735015772870663</v>
      </c>
    </row>
    <row r="876" spans="1:20" x14ac:dyDescent="0.35">
      <c r="A876" t="s">
        <v>1082</v>
      </c>
      <c r="B876" s="1">
        <v>44942</v>
      </c>
      <c r="C876" t="s">
        <v>14</v>
      </c>
      <c r="D876" t="s">
        <v>15</v>
      </c>
      <c r="E876" t="s">
        <v>255</v>
      </c>
      <c r="F876" t="s">
        <v>17</v>
      </c>
      <c r="G876" t="s">
        <v>1083</v>
      </c>
      <c r="H876" t="s">
        <v>1084</v>
      </c>
      <c r="I876" t="s">
        <v>465</v>
      </c>
      <c r="J876">
        <v>1</v>
      </c>
      <c r="K876">
        <v>4242000</v>
      </c>
      <c r="L876">
        <v>0.05</v>
      </c>
      <c r="M876">
        <v>3271000</v>
      </c>
      <c r="N876">
        <f>(data[[#This Row],[unit_price]]*data[[#This Row],[quantity]]) * (1-data[[#This Row],[discount]])</f>
        <v>4029900</v>
      </c>
      <c r="O876">
        <f>data[[#This Row],[sales]]-data[[#This Row],[cost]]</f>
        <v>758900</v>
      </c>
      <c r="P876" t="str">
        <f>TEXT(data[[#This Row],[order_date]],"mmm")</f>
        <v>Jan</v>
      </c>
      <c r="Q876">
        <f>YEAR(data[[#This Row],[order_date]])</f>
        <v>2023</v>
      </c>
      <c r="R876">
        <f>MONTH(data[[#This Row],[order_date]])</f>
        <v>1</v>
      </c>
      <c r="S876">
        <f>DAY(data[[#This Row],[order_date]])</f>
        <v>16</v>
      </c>
      <c r="T876">
        <f>data[[#This Row],[profit]]/data[[#This Row],[sales]]</f>
        <v>0.18831732797339884</v>
      </c>
    </row>
    <row r="877" spans="1:20" x14ac:dyDescent="0.35">
      <c r="A877" t="s">
        <v>1085</v>
      </c>
      <c r="B877" s="1">
        <v>44954</v>
      </c>
      <c r="C877" t="s">
        <v>14</v>
      </c>
      <c r="D877" t="s">
        <v>15</v>
      </c>
      <c r="E877" t="s">
        <v>489</v>
      </c>
      <c r="F877" t="s">
        <v>17</v>
      </c>
      <c r="G877" t="s">
        <v>1083</v>
      </c>
      <c r="H877" t="s">
        <v>1084</v>
      </c>
      <c r="I877" t="s">
        <v>465</v>
      </c>
      <c r="J877">
        <v>1</v>
      </c>
      <c r="K877">
        <v>3535000</v>
      </c>
      <c r="L877">
        <v>0</v>
      </c>
      <c r="M877">
        <v>2795000</v>
      </c>
      <c r="N877">
        <f>(data[[#This Row],[unit_price]]*data[[#This Row],[quantity]]) * (1-data[[#This Row],[discount]])</f>
        <v>3535000</v>
      </c>
      <c r="O877">
        <f>data[[#This Row],[sales]]-data[[#This Row],[cost]]</f>
        <v>740000</v>
      </c>
      <c r="P877" t="str">
        <f>TEXT(data[[#This Row],[order_date]],"mmm")</f>
        <v>Jan</v>
      </c>
      <c r="Q877">
        <f>YEAR(data[[#This Row],[order_date]])</f>
        <v>2023</v>
      </c>
      <c r="R877">
        <f>MONTH(data[[#This Row],[order_date]])</f>
        <v>1</v>
      </c>
      <c r="S877">
        <f>DAY(data[[#This Row],[order_date]])</f>
        <v>28</v>
      </c>
      <c r="T877">
        <f>data[[#This Row],[profit]]/data[[#This Row],[sales]]</f>
        <v>0.20933521923620935</v>
      </c>
    </row>
    <row r="878" spans="1:20" x14ac:dyDescent="0.35">
      <c r="A878" t="s">
        <v>1086</v>
      </c>
      <c r="B878" s="1">
        <v>44958</v>
      </c>
      <c r="C878" t="s">
        <v>14</v>
      </c>
      <c r="D878" t="s">
        <v>15</v>
      </c>
      <c r="E878" t="s">
        <v>287</v>
      </c>
      <c r="F878" t="s">
        <v>28</v>
      </c>
      <c r="G878" t="s">
        <v>1083</v>
      </c>
      <c r="H878" t="s">
        <v>1084</v>
      </c>
      <c r="I878" t="s">
        <v>465</v>
      </c>
      <c r="J878">
        <v>1</v>
      </c>
      <c r="K878">
        <v>4510000</v>
      </c>
      <c r="L878">
        <v>0</v>
      </c>
      <c r="M878">
        <v>3441000</v>
      </c>
      <c r="N878">
        <f>(data[[#This Row],[unit_price]]*data[[#This Row],[quantity]]) * (1-data[[#This Row],[discount]])</f>
        <v>4510000</v>
      </c>
      <c r="O878">
        <f>data[[#This Row],[sales]]-data[[#This Row],[cost]]</f>
        <v>1069000</v>
      </c>
      <c r="P878" t="str">
        <f>TEXT(data[[#This Row],[order_date]],"mmm")</f>
        <v>Feb</v>
      </c>
      <c r="Q878">
        <f>YEAR(data[[#This Row],[order_date]])</f>
        <v>2023</v>
      </c>
      <c r="R878">
        <f>MONTH(data[[#This Row],[order_date]])</f>
        <v>2</v>
      </c>
      <c r="S878">
        <f>DAY(data[[#This Row],[order_date]])</f>
        <v>1</v>
      </c>
      <c r="T878">
        <f>data[[#This Row],[profit]]/data[[#This Row],[sales]]</f>
        <v>0.23702882483370288</v>
      </c>
    </row>
    <row r="879" spans="1:20" x14ac:dyDescent="0.35">
      <c r="A879" t="s">
        <v>1087</v>
      </c>
      <c r="B879" s="1">
        <v>45052</v>
      </c>
      <c r="C879" t="s">
        <v>14</v>
      </c>
      <c r="D879" t="s">
        <v>15</v>
      </c>
      <c r="E879" t="s">
        <v>291</v>
      </c>
      <c r="F879" t="s">
        <v>17</v>
      </c>
      <c r="G879" t="s">
        <v>1083</v>
      </c>
      <c r="H879" t="s">
        <v>1084</v>
      </c>
      <c r="I879" t="s">
        <v>465</v>
      </c>
      <c r="J879">
        <v>1</v>
      </c>
      <c r="K879">
        <v>3967203.3898305083</v>
      </c>
      <c r="L879">
        <v>0</v>
      </c>
      <c r="M879">
        <v>2925000</v>
      </c>
      <c r="N879">
        <f>(data[[#This Row],[unit_price]]*data[[#This Row],[quantity]]) * (1-data[[#This Row],[discount]])</f>
        <v>3967203.3898305083</v>
      </c>
      <c r="O879">
        <f>data[[#This Row],[sales]]-data[[#This Row],[cost]]</f>
        <v>1042203.3898305083</v>
      </c>
      <c r="P879" t="str">
        <f>TEXT(data[[#This Row],[order_date]],"mmm")</f>
        <v>May</v>
      </c>
      <c r="Q879">
        <f>YEAR(data[[#This Row],[order_date]])</f>
        <v>2023</v>
      </c>
      <c r="R879">
        <f>MONTH(data[[#This Row],[order_date]])</f>
        <v>5</v>
      </c>
      <c r="S879">
        <f>DAY(data[[#This Row],[order_date]])</f>
        <v>6</v>
      </c>
      <c r="T879">
        <f>data[[#This Row],[profit]]/data[[#This Row],[sales]]</f>
        <v>0.26270480422104969</v>
      </c>
    </row>
    <row r="880" spans="1:20" x14ac:dyDescent="0.35">
      <c r="A880" t="s">
        <v>1088</v>
      </c>
      <c r="B880" s="1">
        <v>45058</v>
      </c>
      <c r="C880" t="s">
        <v>41</v>
      </c>
      <c r="D880" t="s">
        <v>42</v>
      </c>
      <c r="E880" t="s">
        <v>307</v>
      </c>
      <c r="F880" t="s">
        <v>28</v>
      </c>
      <c r="G880" t="s">
        <v>1083</v>
      </c>
      <c r="H880" t="s">
        <v>1084</v>
      </c>
      <c r="I880" t="s">
        <v>465</v>
      </c>
      <c r="J880">
        <v>1</v>
      </c>
      <c r="K880">
        <v>3360000</v>
      </c>
      <c r="L880">
        <v>0</v>
      </c>
      <c r="M880">
        <v>2650000</v>
      </c>
      <c r="N880">
        <f>(data[[#This Row],[unit_price]]*data[[#This Row],[quantity]]) * (1-data[[#This Row],[discount]])</f>
        <v>3360000</v>
      </c>
      <c r="O880">
        <f>data[[#This Row],[sales]]-data[[#This Row],[cost]]</f>
        <v>710000</v>
      </c>
      <c r="P880" t="str">
        <f>TEXT(data[[#This Row],[order_date]],"mmm")</f>
        <v>May</v>
      </c>
      <c r="Q880">
        <f>YEAR(data[[#This Row],[order_date]])</f>
        <v>2023</v>
      </c>
      <c r="R880">
        <f>MONTH(data[[#This Row],[order_date]])</f>
        <v>5</v>
      </c>
      <c r="S880">
        <f>DAY(data[[#This Row],[order_date]])</f>
        <v>12</v>
      </c>
      <c r="T880">
        <f>data[[#This Row],[profit]]/data[[#This Row],[sales]]</f>
        <v>0.21130952380952381</v>
      </c>
    </row>
    <row r="881" spans="1:20" x14ac:dyDescent="0.35">
      <c r="A881" t="s">
        <v>1089</v>
      </c>
      <c r="B881" s="1">
        <v>45067</v>
      </c>
      <c r="C881" t="s">
        <v>41</v>
      </c>
      <c r="D881" t="s">
        <v>42</v>
      </c>
      <c r="E881" t="s">
        <v>323</v>
      </c>
      <c r="F881" t="s">
        <v>28</v>
      </c>
      <c r="G881" t="s">
        <v>1083</v>
      </c>
      <c r="H881" t="s">
        <v>1084</v>
      </c>
      <c r="I881" t="s">
        <v>465</v>
      </c>
      <c r="J881">
        <v>1</v>
      </c>
      <c r="K881">
        <v>2718000</v>
      </c>
      <c r="L881">
        <v>0</v>
      </c>
      <c r="M881">
        <v>2074000</v>
      </c>
      <c r="N881">
        <f>(data[[#This Row],[unit_price]]*data[[#This Row],[quantity]]) * (1-data[[#This Row],[discount]])</f>
        <v>2718000</v>
      </c>
      <c r="O881">
        <f>data[[#This Row],[sales]]-data[[#This Row],[cost]]</f>
        <v>644000</v>
      </c>
      <c r="P881" t="str">
        <f>TEXT(data[[#This Row],[order_date]],"mmm")</f>
        <v>May</v>
      </c>
      <c r="Q881">
        <f>YEAR(data[[#This Row],[order_date]])</f>
        <v>2023</v>
      </c>
      <c r="R881">
        <f>MONTH(data[[#This Row],[order_date]])</f>
        <v>5</v>
      </c>
      <c r="S881">
        <f>DAY(data[[#This Row],[order_date]])</f>
        <v>21</v>
      </c>
      <c r="T881">
        <f>data[[#This Row],[profit]]/data[[#This Row],[sales]]</f>
        <v>0.23693892568064753</v>
      </c>
    </row>
    <row r="882" spans="1:20" x14ac:dyDescent="0.35">
      <c r="A882" t="s">
        <v>1090</v>
      </c>
      <c r="B882" s="1">
        <v>45079</v>
      </c>
      <c r="C882" t="s">
        <v>41</v>
      </c>
      <c r="D882" t="s">
        <v>42</v>
      </c>
      <c r="E882" t="s">
        <v>110</v>
      </c>
      <c r="F882" t="s">
        <v>23</v>
      </c>
      <c r="G882" t="s">
        <v>1083</v>
      </c>
      <c r="H882" t="s">
        <v>1084</v>
      </c>
      <c r="I882" t="s">
        <v>465</v>
      </c>
      <c r="J882">
        <v>3</v>
      </c>
      <c r="K882">
        <v>4645000</v>
      </c>
      <c r="L882">
        <v>0.1</v>
      </c>
      <c r="M882">
        <v>3693000</v>
      </c>
      <c r="N882">
        <f>(data[[#This Row],[unit_price]]*data[[#This Row],[quantity]]) * (1-data[[#This Row],[discount]])</f>
        <v>12541500</v>
      </c>
      <c r="O882">
        <f>data[[#This Row],[sales]]-data[[#This Row],[cost]]</f>
        <v>8848500</v>
      </c>
      <c r="P882" t="str">
        <f>TEXT(data[[#This Row],[order_date]],"mmm")</f>
        <v>Jun</v>
      </c>
      <c r="Q882">
        <f>YEAR(data[[#This Row],[order_date]])</f>
        <v>2023</v>
      </c>
      <c r="R882">
        <f>MONTH(data[[#This Row],[order_date]])</f>
        <v>6</v>
      </c>
      <c r="S882">
        <f>DAY(data[[#This Row],[order_date]])</f>
        <v>2</v>
      </c>
      <c r="T882">
        <f>data[[#This Row],[profit]]/data[[#This Row],[sales]]</f>
        <v>0.70553761511780888</v>
      </c>
    </row>
    <row r="883" spans="1:20" x14ac:dyDescent="0.35">
      <c r="A883" t="s">
        <v>1091</v>
      </c>
      <c r="B883" s="1">
        <v>45093</v>
      </c>
      <c r="C883" t="s">
        <v>41</v>
      </c>
      <c r="D883" t="s">
        <v>42</v>
      </c>
      <c r="E883" t="s">
        <v>569</v>
      </c>
      <c r="F883" t="s">
        <v>23</v>
      </c>
      <c r="G883" t="s">
        <v>1083</v>
      </c>
      <c r="H883" t="s">
        <v>1084</v>
      </c>
      <c r="I883" t="s">
        <v>465</v>
      </c>
      <c r="J883">
        <v>1</v>
      </c>
      <c r="K883">
        <v>4767000</v>
      </c>
      <c r="L883">
        <v>0</v>
      </c>
      <c r="M883">
        <v>3799000</v>
      </c>
      <c r="N883">
        <f>(data[[#This Row],[unit_price]]*data[[#This Row],[quantity]]) * (1-data[[#This Row],[discount]])</f>
        <v>4767000</v>
      </c>
      <c r="O883">
        <f>data[[#This Row],[sales]]-data[[#This Row],[cost]]</f>
        <v>968000</v>
      </c>
      <c r="P883" t="str">
        <f>TEXT(data[[#This Row],[order_date]],"mmm")</f>
        <v>Jun</v>
      </c>
      <c r="Q883">
        <f>YEAR(data[[#This Row],[order_date]])</f>
        <v>2023</v>
      </c>
      <c r="R883">
        <f>MONTH(data[[#This Row],[order_date]])</f>
        <v>6</v>
      </c>
      <c r="S883">
        <f>DAY(data[[#This Row],[order_date]])</f>
        <v>16</v>
      </c>
      <c r="T883">
        <f>data[[#This Row],[profit]]/data[[#This Row],[sales]]</f>
        <v>0.20306272288651142</v>
      </c>
    </row>
    <row r="884" spans="1:20" x14ac:dyDescent="0.35">
      <c r="A884" t="s">
        <v>1092</v>
      </c>
      <c r="B884" s="1">
        <v>45115</v>
      </c>
      <c r="C884" t="s">
        <v>36</v>
      </c>
      <c r="D884" t="s">
        <v>37</v>
      </c>
      <c r="E884" t="s">
        <v>85</v>
      </c>
      <c r="F884" t="s">
        <v>23</v>
      </c>
      <c r="G884" t="s">
        <v>1083</v>
      </c>
      <c r="H884" t="s">
        <v>1084</v>
      </c>
      <c r="I884" t="s">
        <v>465</v>
      </c>
      <c r="J884">
        <v>1</v>
      </c>
      <c r="K884">
        <v>4062000</v>
      </c>
      <c r="L884">
        <v>0</v>
      </c>
      <c r="M884">
        <v>3135000</v>
      </c>
      <c r="N884">
        <f>(data[[#This Row],[unit_price]]*data[[#This Row],[quantity]]) * (1-data[[#This Row],[discount]])</f>
        <v>4062000</v>
      </c>
      <c r="O884">
        <f>data[[#This Row],[sales]]-data[[#This Row],[cost]]</f>
        <v>927000</v>
      </c>
      <c r="P884" t="str">
        <f>TEXT(data[[#This Row],[order_date]],"mmm")</f>
        <v>Jul</v>
      </c>
      <c r="Q884">
        <f>YEAR(data[[#This Row],[order_date]])</f>
        <v>2023</v>
      </c>
      <c r="R884">
        <f>MONTH(data[[#This Row],[order_date]])</f>
        <v>7</v>
      </c>
      <c r="S884">
        <f>DAY(data[[#This Row],[order_date]])</f>
        <v>8</v>
      </c>
      <c r="T884">
        <f>data[[#This Row],[profit]]/data[[#This Row],[sales]]</f>
        <v>0.22821270310192024</v>
      </c>
    </row>
    <row r="885" spans="1:20" x14ac:dyDescent="0.35">
      <c r="A885" t="s">
        <v>1093</v>
      </c>
      <c r="B885" s="1">
        <v>45127</v>
      </c>
      <c r="C885" t="s">
        <v>14</v>
      </c>
      <c r="D885" t="s">
        <v>15</v>
      </c>
      <c r="E885" t="s">
        <v>423</v>
      </c>
      <c r="F885" t="s">
        <v>17</v>
      </c>
      <c r="G885" t="s">
        <v>1083</v>
      </c>
      <c r="H885" t="s">
        <v>1084</v>
      </c>
      <c r="I885" t="s">
        <v>465</v>
      </c>
      <c r="J885">
        <v>1</v>
      </c>
      <c r="K885">
        <v>4976000</v>
      </c>
      <c r="L885">
        <v>0</v>
      </c>
      <c r="M885">
        <v>3859000</v>
      </c>
      <c r="N885">
        <f>(data[[#This Row],[unit_price]]*data[[#This Row],[quantity]]) * (1-data[[#This Row],[discount]])</f>
        <v>4976000</v>
      </c>
      <c r="O885">
        <f>data[[#This Row],[sales]]-data[[#This Row],[cost]]</f>
        <v>1117000</v>
      </c>
      <c r="P885" t="str">
        <f>TEXT(data[[#This Row],[order_date]],"mmm")</f>
        <v>Jul</v>
      </c>
      <c r="Q885">
        <f>YEAR(data[[#This Row],[order_date]])</f>
        <v>2023</v>
      </c>
      <c r="R885">
        <f>MONTH(data[[#This Row],[order_date]])</f>
        <v>7</v>
      </c>
      <c r="S885">
        <f>DAY(data[[#This Row],[order_date]])</f>
        <v>20</v>
      </c>
      <c r="T885">
        <f>data[[#This Row],[profit]]/data[[#This Row],[sales]]</f>
        <v>0.22447749196141478</v>
      </c>
    </row>
    <row r="886" spans="1:20" x14ac:dyDescent="0.35">
      <c r="A886" t="s">
        <v>1094</v>
      </c>
      <c r="B886" s="1">
        <v>45133</v>
      </c>
      <c r="C886" t="s">
        <v>49</v>
      </c>
      <c r="D886" t="s">
        <v>50</v>
      </c>
      <c r="E886" t="s">
        <v>195</v>
      </c>
      <c r="F886" t="s">
        <v>23</v>
      </c>
      <c r="G886" t="s">
        <v>1083</v>
      </c>
      <c r="H886" t="s">
        <v>1084</v>
      </c>
      <c r="I886" t="s">
        <v>465</v>
      </c>
      <c r="J886">
        <v>1</v>
      </c>
      <c r="K886">
        <v>2631000</v>
      </c>
      <c r="L886">
        <v>0</v>
      </c>
      <c r="M886">
        <v>2057000</v>
      </c>
      <c r="N886">
        <f>(data[[#This Row],[unit_price]]*data[[#This Row],[quantity]]) * (1-data[[#This Row],[discount]])</f>
        <v>2631000</v>
      </c>
      <c r="O886">
        <f>data[[#This Row],[sales]]-data[[#This Row],[cost]]</f>
        <v>574000</v>
      </c>
      <c r="P886" t="str">
        <f>TEXT(data[[#This Row],[order_date]],"mmm")</f>
        <v>Jul</v>
      </c>
      <c r="Q886">
        <f>YEAR(data[[#This Row],[order_date]])</f>
        <v>2023</v>
      </c>
      <c r="R886">
        <f>MONTH(data[[#This Row],[order_date]])</f>
        <v>7</v>
      </c>
      <c r="S886">
        <f>DAY(data[[#This Row],[order_date]])</f>
        <v>26</v>
      </c>
      <c r="T886">
        <f>data[[#This Row],[profit]]/data[[#This Row],[sales]]</f>
        <v>0.21816799695933106</v>
      </c>
    </row>
    <row r="887" spans="1:20" x14ac:dyDescent="0.35">
      <c r="A887" t="s">
        <v>1095</v>
      </c>
      <c r="B887" s="1">
        <v>45137</v>
      </c>
      <c r="C887" t="s">
        <v>36</v>
      </c>
      <c r="D887" t="s">
        <v>37</v>
      </c>
      <c r="E887" t="s">
        <v>236</v>
      </c>
      <c r="F887" t="s">
        <v>28</v>
      </c>
      <c r="G887" t="s">
        <v>1083</v>
      </c>
      <c r="H887" t="s">
        <v>1084</v>
      </c>
      <c r="I887" t="s">
        <v>465</v>
      </c>
      <c r="J887">
        <v>1</v>
      </c>
      <c r="K887">
        <v>3216000</v>
      </c>
      <c r="L887">
        <v>0.1</v>
      </c>
      <c r="M887">
        <v>2468000</v>
      </c>
      <c r="N887">
        <f>(data[[#This Row],[unit_price]]*data[[#This Row],[quantity]]) * (1-data[[#This Row],[discount]])</f>
        <v>2894400</v>
      </c>
      <c r="O887">
        <f>data[[#This Row],[sales]]-data[[#This Row],[cost]]</f>
        <v>426400</v>
      </c>
      <c r="P887" t="str">
        <f>TEXT(data[[#This Row],[order_date]],"mmm")</f>
        <v>Jul</v>
      </c>
      <c r="Q887">
        <f>YEAR(data[[#This Row],[order_date]])</f>
        <v>2023</v>
      </c>
      <c r="R887">
        <f>MONTH(data[[#This Row],[order_date]])</f>
        <v>7</v>
      </c>
      <c r="S887">
        <f>DAY(data[[#This Row],[order_date]])</f>
        <v>30</v>
      </c>
      <c r="T887">
        <f>data[[#This Row],[profit]]/data[[#This Row],[sales]]</f>
        <v>0.14731896075179657</v>
      </c>
    </row>
    <row r="888" spans="1:20" x14ac:dyDescent="0.35">
      <c r="A888" t="s">
        <v>1096</v>
      </c>
      <c r="B888" s="1">
        <v>45139</v>
      </c>
      <c r="C888" t="s">
        <v>14</v>
      </c>
      <c r="D888" t="s">
        <v>15</v>
      </c>
      <c r="E888" t="s">
        <v>498</v>
      </c>
      <c r="F888" t="s">
        <v>23</v>
      </c>
      <c r="G888" t="s">
        <v>1083</v>
      </c>
      <c r="H888" t="s">
        <v>1084</v>
      </c>
      <c r="I888" t="s">
        <v>465</v>
      </c>
      <c r="J888">
        <v>1</v>
      </c>
      <c r="K888">
        <v>4122000</v>
      </c>
      <c r="L888">
        <v>0.05</v>
      </c>
      <c r="M888">
        <v>3182000</v>
      </c>
      <c r="N888">
        <f>(data[[#This Row],[unit_price]]*data[[#This Row],[quantity]]) * (1-data[[#This Row],[discount]])</f>
        <v>3915900</v>
      </c>
      <c r="O888">
        <f>data[[#This Row],[sales]]-data[[#This Row],[cost]]</f>
        <v>733900</v>
      </c>
      <c r="P888" t="str">
        <f>TEXT(data[[#This Row],[order_date]],"mmm")</f>
        <v>Aug</v>
      </c>
      <c r="Q888">
        <f>YEAR(data[[#This Row],[order_date]])</f>
        <v>2023</v>
      </c>
      <c r="R888">
        <f>MONTH(data[[#This Row],[order_date]])</f>
        <v>8</v>
      </c>
      <c r="S888">
        <f>DAY(data[[#This Row],[order_date]])</f>
        <v>1</v>
      </c>
      <c r="T888">
        <f>data[[#This Row],[profit]]/data[[#This Row],[sales]]</f>
        <v>0.18741540897367145</v>
      </c>
    </row>
    <row r="889" spans="1:20" x14ac:dyDescent="0.35">
      <c r="A889" t="s">
        <v>1097</v>
      </c>
      <c r="B889" s="1">
        <v>45163</v>
      </c>
      <c r="C889" t="s">
        <v>14</v>
      </c>
      <c r="D889" t="s">
        <v>15</v>
      </c>
      <c r="E889" t="s">
        <v>45</v>
      </c>
      <c r="F889" t="s">
        <v>17</v>
      </c>
      <c r="G889" t="s">
        <v>1083</v>
      </c>
      <c r="H889" t="s">
        <v>1084</v>
      </c>
      <c r="I889" t="s">
        <v>465</v>
      </c>
      <c r="J889">
        <v>1</v>
      </c>
      <c r="K889">
        <v>2994000</v>
      </c>
      <c r="L889">
        <v>0.1</v>
      </c>
      <c r="M889">
        <v>2291000</v>
      </c>
      <c r="N889">
        <f>(data[[#This Row],[unit_price]]*data[[#This Row],[quantity]]) * (1-data[[#This Row],[discount]])</f>
        <v>2694600</v>
      </c>
      <c r="O889">
        <f>data[[#This Row],[sales]]-data[[#This Row],[cost]]</f>
        <v>403600</v>
      </c>
      <c r="P889" t="str">
        <f>TEXT(data[[#This Row],[order_date]],"mmm")</f>
        <v>Aug</v>
      </c>
      <c r="Q889">
        <f>YEAR(data[[#This Row],[order_date]])</f>
        <v>2023</v>
      </c>
      <c r="R889">
        <f>MONTH(data[[#This Row],[order_date]])</f>
        <v>8</v>
      </c>
      <c r="S889">
        <f>DAY(data[[#This Row],[order_date]])</f>
        <v>25</v>
      </c>
      <c r="T889">
        <f>data[[#This Row],[profit]]/data[[#This Row],[sales]]</f>
        <v>0.14978104356861871</v>
      </c>
    </row>
    <row r="890" spans="1:20" x14ac:dyDescent="0.35">
      <c r="A890" t="s">
        <v>1098</v>
      </c>
      <c r="B890" s="1">
        <v>45182</v>
      </c>
      <c r="C890" t="s">
        <v>49</v>
      </c>
      <c r="D890" t="s">
        <v>50</v>
      </c>
      <c r="E890" t="s">
        <v>39</v>
      </c>
      <c r="F890" t="s">
        <v>23</v>
      </c>
      <c r="G890" t="s">
        <v>1083</v>
      </c>
      <c r="H890" t="s">
        <v>1084</v>
      </c>
      <c r="I890" t="s">
        <v>465</v>
      </c>
      <c r="J890">
        <v>3</v>
      </c>
      <c r="K890">
        <v>3667000</v>
      </c>
      <c r="L890">
        <v>0.1</v>
      </c>
      <c r="M890">
        <v>2889000</v>
      </c>
      <c r="N890">
        <f>(data[[#This Row],[unit_price]]*data[[#This Row],[quantity]]) * (1-data[[#This Row],[discount]])</f>
        <v>9900900</v>
      </c>
      <c r="O890">
        <f>data[[#This Row],[sales]]-data[[#This Row],[cost]]</f>
        <v>7011900</v>
      </c>
      <c r="P890" t="str">
        <f>TEXT(data[[#This Row],[order_date]],"mmm")</f>
        <v>Sep</v>
      </c>
      <c r="Q890">
        <f>YEAR(data[[#This Row],[order_date]])</f>
        <v>2023</v>
      </c>
      <c r="R890">
        <f>MONTH(data[[#This Row],[order_date]])</f>
        <v>9</v>
      </c>
      <c r="S890">
        <f>DAY(data[[#This Row],[order_date]])</f>
        <v>13</v>
      </c>
      <c r="T890">
        <f>data[[#This Row],[profit]]/data[[#This Row],[sales]]</f>
        <v>0.70820834469593674</v>
      </c>
    </row>
    <row r="891" spans="1:20" x14ac:dyDescent="0.35">
      <c r="A891" t="s">
        <v>1099</v>
      </c>
      <c r="B891" s="1">
        <v>45187</v>
      </c>
      <c r="C891" t="s">
        <v>14</v>
      </c>
      <c r="D891" t="s">
        <v>15</v>
      </c>
      <c r="E891" t="s">
        <v>210</v>
      </c>
      <c r="F891" t="s">
        <v>23</v>
      </c>
      <c r="G891" t="s">
        <v>1083</v>
      </c>
      <c r="H891" t="s">
        <v>1084</v>
      </c>
      <c r="I891" t="s">
        <v>465</v>
      </c>
      <c r="J891">
        <v>1</v>
      </c>
      <c r="K891">
        <v>3668000</v>
      </c>
      <c r="L891">
        <v>0</v>
      </c>
      <c r="M891">
        <v>2820000</v>
      </c>
      <c r="N891">
        <f>(data[[#This Row],[unit_price]]*data[[#This Row],[quantity]]) * (1-data[[#This Row],[discount]])</f>
        <v>3668000</v>
      </c>
      <c r="O891">
        <f>data[[#This Row],[sales]]-data[[#This Row],[cost]]</f>
        <v>848000</v>
      </c>
      <c r="P891" t="str">
        <f>TEXT(data[[#This Row],[order_date]],"mmm")</f>
        <v>Sep</v>
      </c>
      <c r="Q891">
        <f>YEAR(data[[#This Row],[order_date]])</f>
        <v>2023</v>
      </c>
      <c r="R891">
        <f>MONTH(data[[#This Row],[order_date]])</f>
        <v>9</v>
      </c>
      <c r="S891">
        <f>DAY(data[[#This Row],[order_date]])</f>
        <v>18</v>
      </c>
      <c r="T891">
        <f>data[[#This Row],[profit]]/data[[#This Row],[sales]]</f>
        <v>0.23118865866957469</v>
      </c>
    </row>
    <row r="892" spans="1:20" x14ac:dyDescent="0.35">
      <c r="A892" t="s">
        <v>1100</v>
      </c>
      <c r="B892" s="1">
        <v>45195</v>
      </c>
      <c r="C892" t="s">
        <v>41</v>
      </c>
      <c r="D892" t="s">
        <v>42</v>
      </c>
      <c r="E892" t="s">
        <v>230</v>
      </c>
      <c r="F892" t="s">
        <v>23</v>
      </c>
      <c r="G892" t="s">
        <v>1083</v>
      </c>
      <c r="H892" t="s">
        <v>1084</v>
      </c>
      <c r="I892" t="s">
        <v>465</v>
      </c>
      <c r="J892">
        <v>1</v>
      </c>
      <c r="K892">
        <v>3299000</v>
      </c>
      <c r="L892">
        <v>0.05</v>
      </c>
      <c r="M892">
        <v>2581000</v>
      </c>
      <c r="N892">
        <f>(data[[#This Row],[unit_price]]*data[[#This Row],[quantity]]) * (1-data[[#This Row],[discount]])</f>
        <v>3134050</v>
      </c>
      <c r="O892">
        <f>data[[#This Row],[sales]]-data[[#This Row],[cost]]</f>
        <v>553050</v>
      </c>
      <c r="P892" t="str">
        <f>TEXT(data[[#This Row],[order_date]],"mmm")</f>
        <v>Sep</v>
      </c>
      <c r="Q892">
        <f>YEAR(data[[#This Row],[order_date]])</f>
        <v>2023</v>
      </c>
      <c r="R892">
        <f>MONTH(data[[#This Row],[order_date]])</f>
        <v>9</v>
      </c>
      <c r="S892">
        <f>DAY(data[[#This Row],[order_date]])</f>
        <v>26</v>
      </c>
      <c r="T892">
        <f>data[[#This Row],[profit]]/data[[#This Row],[sales]]</f>
        <v>0.17646495748312885</v>
      </c>
    </row>
    <row r="893" spans="1:20" x14ac:dyDescent="0.35">
      <c r="A893" t="s">
        <v>1101</v>
      </c>
      <c r="B893" s="1">
        <v>45213</v>
      </c>
      <c r="C893" t="s">
        <v>14</v>
      </c>
      <c r="D893" t="s">
        <v>15</v>
      </c>
      <c r="E893" t="s">
        <v>258</v>
      </c>
      <c r="F893" t="s">
        <v>23</v>
      </c>
      <c r="G893" t="s">
        <v>1083</v>
      </c>
      <c r="H893" t="s">
        <v>1084</v>
      </c>
      <c r="I893" t="s">
        <v>465</v>
      </c>
      <c r="J893">
        <v>1</v>
      </c>
      <c r="K893">
        <v>3751000</v>
      </c>
      <c r="L893">
        <v>0</v>
      </c>
      <c r="M893">
        <v>2893000</v>
      </c>
      <c r="N893">
        <f>(data[[#This Row],[unit_price]]*data[[#This Row],[quantity]]) * (1-data[[#This Row],[discount]])</f>
        <v>3751000</v>
      </c>
      <c r="O893">
        <f>data[[#This Row],[sales]]-data[[#This Row],[cost]]</f>
        <v>858000</v>
      </c>
      <c r="P893" t="str">
        <f>TEXT(data[[#This Row],[order_date]],"mmm")</f>
        <v>Oct</v>
      </c>
      <c r="Q893">
        <f>YEAR(data[[#This Row],[order_date]])</f>
        <v>2023</v>
      </c>
      <c r="R893">
        <f>MONTH(data[[#This Row],[order_date]])</f>
        <v>10</v>
      </c>
      <c r="S893">
        <f>DAY(data[[#This Row],[order_date]])</f>
        <v>14</v>
      </c>
      <c r="T893">
        <f>data[[#This Row],[profit]]/data[[#This Row],[sales]]</f>
        <v>0.22873900293255131</v>
      </c>
    </row>
    <row r="894" spans="1:20" x14ac:dyDescent="0.35">
      <c r="A894" t="s">
        <v>1102</v>
      </c>
      <c r="B894" s="1">
        <v>45229</v>
      </c>
      <c r="C894" t="s">
        <v>41</v>
      </c>
      <c r="D894" t="s">
        <v>42</v>
      </c>
      <c r="E894" t="s">
        <v>340</v>
      </c>
      <c r="F894" t="s">
        <v>23</v>
      </c>
      <c r="G894" t="s">
        <v>1083</v>
      </c>
      <c r="H894" t="s">
        <v>1084</v>
      </c>
      <c r="I894" t="s">
        <v>465</v>
      </c>
      <c r="J894">
        <v>1</v>
      </c>
      <c r="K894">
        <v>4361000</v>
      </c>
      <c r="L894">
        <v>0</v>
      </c>
      <c r="M894">
        <v>3355000</v>
      </c>
      <c r="N894">
        <f>(data[[#This Row],[unit_price]]*data[[#This Row],[quantity]]) * (1-data[[#This Row],[discount]])</f>
        <v>4361000</v>
      </c>
      <c r="O894">
        <f>data[[#This Row],[sales]]-data[[#This Row],[cost]]</f>
        <v>1006000</v>
      </c>
      <c r="P894" t="str">
        <f>TEXT(data[[#This Row],[order_date]],"mmm")</f>
        <v>Oct</v>
      </c>
      <c r="Q894">
        <f>YEAR(data[[#This Row],[order_date]])</f>
        <v>2023</v>
      </c>
      <c r="R894">
        <f>MONTH(data[[#This Row],[order_date]])</f>
        <v>10</v>
      </c>
      <c r="S894">
        <f>DAY(data[[#This Row],[order_date]])</f>
        <v>30</v>
      </c>
      <c r="T894">
        <f>data[[#This Row],[profit]]/data[[#This Row],[sales]]</f>
        <v>0.23068103645952764</v>
      </c>
    </row>
    <row r="895" spans="1:20" x14ac:dyDescent="0.35">
      <c r="A895" t="s">
        <v>1103</v>
      </c>
      <c r="B895" s="1">
        <v>45238</v>
      </c>
      <c r="C895" t="s">
        <v>25</v>
      </c>
      <c r="D895" t="s">
        <v>26</v>
      </c>
      <c r="E895" t="s">
        <v>197</v>
      </c>
      <c r="F895" t="s">
        <v>28</v>
      </c>
      <c r="G895" t="s">
        <v>1083</v>
      </c>
      <c r="H895" t="s">
        <v>1084</v>
      </c>
      <c r="I895" t="s">
        <v>465</v>
      </c>
      <c r="J895">
        <v>3</v>
      </c>
      <c r="K895">
        <v>3967203.3898305083</v>
      </c>
      <c r="L895">
        <v>0.1</v>
      </c>
      <c r="M895">
        <v>2925000</v>
      </c>
      <c r="N895">
        <f>(data[[#This Row],[unit_price]]*data[[#This Row],[quantity]]) * (1-data[[#This Row],[discount]])</f>
        <v>10711449.152542373</v>
      </c>
      <c r="O895">
        <f>data[[#This Row],[sales]]-data[[#This Row],[cost]]</f>
        <v>7786449.1525423732</v>
      </c>
      <c r="P895" t="str">
        <f>TEXT(data[[#This Row],[order_date]],"mmm")</f>
        <v>Nov</v>
      </c>
      <c r="Q895">
        <f>YEAR(data[[#This Row],[order_date]])</f>
        <v>2023</v>
      </c>
      <c r="R895">
        <f>MONTH(data[[#This Row],[order_date]])</f>
        <v>11</v>
      </c>
      <c r="S895">
        <f>DAY(data[[#This Row],[order_date]])</f>
        <v>8</v>
      </c>
      <c r="T895">
        <f>data[[#This Row],[profit]]/data[[#This Row],[sales]]</f>
        <v>0.72692770526705541</v>
      </c>
    </row>
    <row r="896" spans="1:20" x14ac:dyDescent="0.35">
      <c r="A896" t="s">
        <v>1104</v>
      </c>
      <c r="B896" s="1">
        <v>45303</v>
      </c>
      <c r="C896" t="s">
        <v>41</v>
      </c>
      <c r="D896" t="s">
        <v>42</v>
      </c>
      <c r="E896" t="s">
        <v>260</v>
      </c>
      <c r="F896" t="s">
        <v>23</v>
      </c>
      <c r="G896" t="s">
        <v>1083</v>
      </c>
      <c r="H896" t="s">
        <v>1084</v>
      </c>
      <c r="I896" t="s">
        <v>465</v>
      </c>
      <c r="J896">
        <v>1</v>
      </c>
      <c r="K896">
        <v>2693000</v>
      </c>
      <c r="L896">
        <v>0</v>
      </c>
      <c r="M896">
        <v>2095000</v>
      </c>
      <c r="N896">
        <f>(data[[#This Row],[unit_price]]*data[[#This Row],[quantity]]) * (1-data[[#This Row],[discount]])</f>
        <v>2693000</v>
      </c>
      <c r="O896">
        <f>data[[#This Row],[sales]]-data[[#This Row],[cost]]</f>
        <v>598000</v>
      </c>
      <c r="P896" t="str">
        <f>TEXT(data[[#This Row],[order_date]],"mmm")</f>
        <v>Jan</v>
      </c>
      <c r="Q896">
        <f>YEAR(data[[#This Row],[order_date]])</f>
        <v>2024</v>
      </c>
      <c r="R896">
        <f>MONTH(data[[#This Row],[order_date]])</f>
        <v>1</v>
      </c>
      <c r="S896">
        <f>DAY(data[[#This Row],[order_date]])</f>
        <v>12</v>
      </c>
      <c r="T896">
        <f>data[[#This Row],[profit]]/data[[#This Row],[sales]]</f>
        <v>0.22205718529520979</v>
      </c>
    </row>
    <row r="897" spans="1:20" x14ac:dyDescent="0.35">
      <c r="A897" t="s">
        <v>1105</v>
      </c>
      <c r="B897" s="1">
        <v>45326</v>
      </c>
      <c r="C897" t="s">
        <v>14</v>
      </c>
      <c r="D897" t="s">
        <v>15</v>
      </c>
      <c r="E897" t="s">
        <v>413</v>
      </c>
      <c r="F897" t="s">
        <v>23</v>
      </c>
      <c r="G897" t="s">
        <v>1083</v>
      </c>
      <c r="H897" t="s">
        <v>1084</v>
      </c>
      <c r="I897" t="s">
        <v>465</v>
      </c>
      <c r="J897">
        <v>1</v>
      </c>
      <c r="K897">
        <v>4372000</v>
      </c>
      <c r="L897">
        <v>0</v>
      </c>
      <c r="M897">
        <v>3357000</v>
      </c>
      <c r="N897">
        <f>(data[[#This Row],[unit_price]]*data[[#This Row],[quantity]]) * (1-data[[#This Row],[discount]])</f>
        <v>4372000</v>
      </c>
      <c r="O897">
        <f>data[[#This Row],[sales]]-data[[#This Row],[cost]]</f>
        <v>1015000</v>
      </c>
      <c r="P897" t="str">
        <f>TEXT(data[[#This Row],[order_date]],"mmm")</f>
        <v>Feb</v>
      </c>
      <c r="Q897">
        <f>YEAR(data[[#This Row],[order_date]])</f>
        <v>2024</v>
      </c>
      <c r="R897">
        <f>MONTH(data[[#This Row],[order_date]])</f>
        <v>2</v>
      </c>
      <c r="S897">
        <f>DAY(data[[#This Row],[order_date]])</f>
        <v>4</v>
      </c>
      <c r="T897">
        <f>data[[#This Row],[profit]]/data[[#This Row],[sales]]</f>
        <v>0.23215919487648673</v>
      </c>
    </row>
    <row r="898" spans="1:20" x14ac:dyDescent="0.35">
      <c r="A898" t="s">
        <v>1106</v>
      </c>
      <c r="B898" s="1">
        <v>45338</v>
      </c>
      <c r="C898" t="s">
        <v>41</v>
      </c>
      <c r="D898" t="s">
        <v>42</v>
      </c>
      <c r="E898" t="s">
        <v>741</v>
      </c>
      <c r="F898" t="s">
        <v>23</v>
      </c>
      <c r="G898" t="s">
        <v>1083</v>
      </c>
      <c r="H898" t="s">
        <v>1084</v>
      </c>
      <c r="I898" t="s">
        <v>465</v>
      </c>
      <c r="J898">
        <v>1</v>
      </c>
      <c r="K898">
        <v>2650000</v>
      </c>
      <c r="L898">
        <v>0.1</v>
      </c>
      <c r="M898">
        <v>2081000</v>
      </c>
      <c r="N898">
        <f>(data[[#This Row],[unit_price]]*data[[#This Row],[quantity]]) * (1-data[[#This Row],[discount]])</f>
        <v>2385000</v>
      </c>
      <c r="O898">
        <f>data[[#This Row],[sales]]-data[[#This Row],[cost]]</f>
        <v>304000</v>
      </c>
      <c r="P898" t="str">
        <f>TEXT(data[[#This Row],[order_date]],"mmm")</f>
        <v>Feb</v>
      </c>
      <c r="Q898">
        <f>YEAR(data[[#This Row],[order_date]])</f>
        <v>2024</v>
      </c>
      <c r="R898">
        <f>MONTH(data[[#This Row],[order_date]])</f>
        <v>2</v>
      </c>
      <c r="S898">
        <f>DAY(data[[#This Row],[order_date]])</f>
        <v>16</v>
      </c>
      <c r="T898">
        <f>data[[#This Row],[profit]]/data[[#This Row],[sales]]</f>
        <v>0.12746331236897274</v>
      </c>
    </row>
    <row r="899" spans="1:20" x14ac:dyDescent="0.35">
      <c r="A899" t="s">
        <v>1107</v>
      </c>
      <c r="B899" s="1">
        <v>45345</v>
      </c>
      <c r="C899" t="s">
        <v>41</v>
      </c>
      <c r="D899" t="s">
        <v>42</v>
      </c>
      <c r="E899" t="s">
        <v>432</v>
      </c>
      <c r="F899" t="s">
        <v>23</v>
      </c>
      <c r="G899" t="s">
        <v>1083</v>
      </c>
      <c r="H899" t="s">
        <v>1084</v>
      </c>
      <c r="I899" t="s">
        <v>465</v>
      </c>
      <c r="J899">
        <v>5</v>
      </c>
      <c r="K899">
        <v>3678000</v>
      </c>
      <c r="L899">
        <v>0</v>
      </c>
      <c r="M899">
        <v>2880000</v>
      </c>
      <c r="N899">
        <f>(data[[#This Row],[unit_price]]*data[[#This Row],[quantity]]) * (1-data[[#This Row],[discount]])</f>
        <v>18390000</v>
      </c>
      <c r="O899">
        <f>data[[#This Row],[sales]]-data[[#This Row],[cost]]</f>
        <v>15510000</v>
      </c>
      <c r="P899" t="str">
        <f>TEXT(data[[#This Row],[order_date]],"mmm")</f>
        <v>Feb</v>
      </c>
      <c r="Q899">
        <f>YEAR(data[[#This Row],[order_date]])</f>
        <v>2024</v>
      </c>
      <c r="R899">
        <f>MONTH(data[[#This Row],[order_date]])</f>
        <v>2</v>
      </c>
      <c r="S899">
        <f>DAY(data[[#This Row],[order_date]])</f>
        <v>23</v>
      </c>
      <c r="T899">
        <f>data[[#This Row],[profit]]/data[[#This Row],[sales]]</f>
        <v>0.84339314845024471</v>
      </c>
    </row>
    <row r="900" spans="1:20" x14ac:dyDescent="0.35">
      <c r="A900" t="s">
        <v>1108</v>
      </c>
      <c r="B900" s="1">
        <v>45365</v>
      </c>
      <c r="C900" t="s">
        <v>14</v>
      </c>
      <c r="D900" t="s">
        <v>15</v>
      </c>
      <c r="E900" t="s">
        <v>108</v>
      </c>
      <c r="F900" t="s">
        <v>23</v>
      </c>
      <c r="G900" t="s">
        <v>1083</v>
      </c>
      <c r="H900" t="s">
        <v>1084</v>
      </c>
      <c r="I900" t="s">
        <v>465</v>
      </c>
      <c r="J900">
        <v>1</v>
      </c>
      <c r="K900">
        <v>3756000</v>
      </c>
      <c r="L900">
        <v>0</v>
      </c>
      <c r="M900">
        <v>2928000</v>
      </c>
      <c r="N900">
        <f>(data[[#This Row],[unit_price]]*data[[#This Row],[quantity]]) * (1-data[[#This Row],[discount]])</f>
        <v>3756000</v>
      </c>
      <c r="O900">
        <f>data[[#This Row],[sales]]-data[[#This Row],[cost]]</f>
        <v>828000</v>
      </c>
      <c r="P900" t="str">
        <f>TEXT(data[[#This Row],[order_date]],"mmm")</f>
        <v>Mar</v>
      </c>
      <c r="Q900">
        <f>YEAR(data[[#This Row],[order_date]])</f>
        <v>2024</v>
      </c>
      <c r="R900">
        <f>MONTH(data[[#This Row],[order_date]])</f>
        <v>3</v>
      </c>
      <c r="S900">
        <f>DAY(data[[#This Row],[order_date]])</f>
        <v>14</v>
      </c>
      <c r="T900">
        <f>data[[#This Row],[profit]]/data[[#This Row],[sales]]</f>
        <v>0.22044728434504793</v>
      </c>
    </row>
    <row r="901" spans="1:20" x14ac:dyDescent="0.35">
      <c r="A901" t="s">
        <v>1109</v>
      </c>
      <c r="B901" s="1">
        <v>45390</v>
      </c>
      <c r="C901" t="s">
        <v>14</v>
      </c>
      <c r="D901" t="s">
        <v>15</v>
      </c>
      <c r="E901" t="s">
        <v>329</v>
      </c>
      <c r="F901" t="s">
        <v>28</v>
      </c>
      <c r="G901" t="s">
        <v>1083</v>
      </c>
      <c r="H901" t="s">
        <v>1084</v>
      </c>
      <c r="I901" t="s">
        <v>465</v>
      </c>
      <c r="J901">
        <v>1</v>
      </c>
      <c r="K901">
        <v>2684000</v>
      </c>
      <c r="L901">
        <v>0</v>
      </c>
      <c r="M901">
        <v>2064000</v>
      </c>
      <c r="N901">
        <f>(data[[#This Row],[unit_price]]*data[[#This Row],[quantity]]) * (1-data[[#This Row],[discount]])</f>
        <v>2684000</v>
      </c>
      <c r="O901">
        <f>data[[#This Row],[sales]]-data[[#This Row],[cost]]</f>
        <v>620000</v>
      </c>
      <c r="P901" t="str">
        <f>TEXT(data[[#This Row],[order_date]],"mmm")</f>
        <v>Apr</v>
      </c>
      <c r="Q901">
        <f>YEAR(data[[#This Row],[order_date]])</f>
        <v>2024</v>
      </c>
      <c r="R901">
        <f>MONTH(data[[#This Row],[order_date]])</f>
        <v>4</v>
      </c>
      <c r="S901">
        <f>DAY(data[[#This Row],[order_date]])</f>
        <v>8</v>
      </c>
      <c r="T901">
        <f>data[[#This Row],[profit]]/data[[#This Row],[sales]]</f>
        <v>0.23099850968703428</v>
      </c>
    </row>
    <row r="902" spans="1:20" x14ac:dyDescent="0.35">
      <c r="A902" t="s">
        <v>1110</v>
      </c>
      <c r="B902" s="1">
        <v>45416</v>
      </c>
      <c r="C902" t="s">
        <v>14</v>
      </c>
      <c r="D902" t="s">
        <v>15</v>
      </c>
      <c r="E902" t="s">
        <v>63</v>
      </c>
      <c r="F902" t="s">
        <v>28</v>
      </c>
      <c r="G902" t="s">
        <v>1083</v>
      </c>
      <c r="H902" t="s">
        <v>1084</v>
      </c>
      <c r="I902" t="s">
        <v>465</v>
      </c>
      <c r="J902">
        <v>3</v>
      </c>
      <c r="K902">
        <v>3386000</v>
      </c>
      <c r="L902">
        <v>0</v>
      </c>
      <c r="M902">
        <v>2649000</v>
      </c>
      <c r="N902">
        <f>(data[[#This Row],[unit_price]]*data[[#This Row],[quantity]]) * (1-data[[#This Row],[discount]])</f>
        <v>10158000</v>
      </c>
      <c r="O902">
        <f>data[[#This Row],[sales]]-data[[#This Row],[cost]]</f>
        <v>7509000</v>
      </c>
      <c r="P902" t="str">
        <f>TEXT(data[[#This Row],[order_date]],"mmm")</f>
        <v>May</v>
      </c>
      <c r="Q902">
        <f>YEAR(data[[#This Row],[order_date]])</f>
        <v>2024</v>
      </c>
      <c r="R902">
        <f>MONTH(data[[#This Row],[order_date]])</f>
        <v>5</v>
      </c>
      <c r="S902">
        <f>DAY(data[[#This Row],[order_date]])</f>
        <v>4</v>
      </c>
      <c r="T902">
        <f>data[[#This Row],[profit]]/data[[#This Row],[sales]]</f>
        <v>0.73922031896042528</v>
      </c>
    </row>
    <row r="903" spans="1:20" x14ac:dyDescent="0.35">
      <c r="A903" t="s">
        <v>1111</v>
      </c>
      <c r="B903" s="1">
        <v>45445</v>
      </c>
      <c r="C903" t="s">
        <v>25</v>
      </c>
      <c r="D903" t="s">
        <v>26</v>
      </c>
      <c r="E903" t="s">
        <v>301</v>
      </c>
      <c r="F903" t="s">
        <v>28</v>
      </c>
      <c r="G903" t="s">
        <v>1083</v>
      </c>
      <c r="H903" t="s">
        <v>1084</v>
      </c>
      <c r="I903" t="s">
        <v>465</v>
      </c>
      <c r="J903">
        <v>2</v>
      </c>
      <c r="K903">
        <v>4915000</v>
      </c>
      <c r="L903">
        <v>0.05</v>
      </c>
      <c r="M903">
        <v>3812000</v>
      </c>
      <c r="N903">
        <f>(data[[#This Row],[unit_price]]*data[[#This Row],[quantity]]) * (1-data[[#This Row],[discount]])</f>
        <v>9338500</v>
      </c>
      <c r="O903">
        <f>data[[#This Row],[sales]]-data[[#This Row],[cost]]</f>
        <v>5526500</v>
      </c>
      <c r="P903" t="str">
        <f>TEXT(data[[#This Row],[order_date]],"mmm")</f>
        <v>Jun</v>
      </c>
      <c r="Q903">
        <f>YEAR(data[[#This Row],[order_date]])</f>
        <v>2024</v>
      </c>
      <c r="R903">
        <f>MONTH(data[[#This Row],[order_date]])</f>
        <v>6</v>
      </c>
      <c r="S903">
        <f>DAY(data[[#This Row],[order_date]])</f>
        <v>2</v>
      </c>
      <c r="T903">
        <f>data[[#This Row],[profit]]/data[[#This Row],[sales]]</f>
        <v>0.59179739786903673</v>
      </c>
    </row>
    <row r="904" spans="1:20" x14ac:dyDescent="0.35">
      <c r="A904" t="s">
        <v>1112</v>
      </c>
      <c r="B904" s="1">
        <v>45507</v>
      </c>
      <c r="C904" t="s">
        <v>41</v>
      </c>
      <c r="D904" t="s">
        <v>42</v>
      </c>
      <c r="E904" t="s">
        <v>352</v>
      </c>
      <c r="F904" t="s">
        <v>23</v>
      </c>
      <c r="G904" t="s">
        <v>1083</v>
      </c>
      <c r="H904" t="s">
        <v>1084</v>
      </c>
      <c r="I904" t="s">
        <v>465</v>
      </c>
      <c r="J904">
        <v>1</v>
      </c>
      <c r="K904">
        <v>4600000</v>
      </c>
      <c r="L904">
        <v>0</v>
      </c>
      <c r="M904">
        <v>3645000</v>
      </c>
      <c r="N904">
        <f>(data[[#This Row],[unit_price]]*data[[#This Row],[quantity]]) * (1-data[[#This Row],[discount]])</f>
        <v>4600000</v>
      </c>
      <c r="O904">
        <f>data[[#This Row],[sales]]-data[[#This Row],[cost]]</f>
        <v>955000</v>
      </c>
      <c r="P904" t="str">
        <f>TEXT(data[[#This Row],[order_date]],"mmm")</f>
        <v>Aug</v>
      </c>
      <c r="Q904">
        <f>YEAR(data[[#This Row],[order_date]])</f>
        <v>2024</v>
      </c>
      <c r="R904">
        <f>MONTH(data[[#This Row],[order_date]])</f>
        <v>8</v>
      </c>
      <c r="S904">
        <f>DAY(data[[#This Row],[order_date]])</f>
        <v>3</v>
      </c>
      <c r="T904">
        <f>data[[#This Row],[profit]]/data[[#This Row],[sales]]</f>
        <v>0.20760869565217391</v>
      </c>
    </row>
    <row r="905" spans="1:20" x14ac:dyDescent="0.35">
      <c r="A905" t="s">
        <v>1113</v>
      </c>
      <c r="B905" s="1">
        <v>45511</v>
      </c>
      <c r="C905" t="s">
        <v>14</v>
      </c>
      <c r="D905" t="s">
        <v>15</v>
      </c>
      <c r="E905" t="s">
        <v>79</v>
      </c>
      <c r="F905" t="s">
        <v>17</v>
      </c>
      <c r="G905" t="s">
        <v>1083</v>
      </c>
      <c r="H905" t="s">
        <v>1084</v>
      </c>
      <c r="I905" t="s">
        <v>465</v>
      </c>
      <c r="J905">
        <v>1</v>
      </c>
      <c r="K905">
        <v>4665000</v>
      </c>
      <c r="L905">
        <v>0.05</v>
      </c>
      <c r="M905">
        <v>3658000</v>
      </c>
      <c r="N905">
        <f>(data[[#This Row],[unit_price]]*data[[#This Row],[quantity]]) * (1-data[[#This Row],[discount]])</f>
        <v>4431750</v>
      </c>
      <c r="O905">
        <f>data[[#This Row],[sales]]-data[[#This Row],[cost]]</f>
        <v>773750</v>
      </c>
      <c r="P905" t="str">
        <f>TEXT(data[[#This Row],[order_date]],"mmm")</f>
        <v>Aug</v>
      </c>
      <c r="Q905">
        <f>YEAR(data[[#This Row],[order_date]])</f>
        <v>2024</v>
      </c>
      <c r="R905">
        <f>MONTH(data[[#This Row],[order_date]])</f>
        <v>8</v>
      </c>
      <c r="S905">
        <f>DAY(data[[#This Row],[order_date]])</f>
        <v>7</v>
      </c>
      <c r="T905">
        <f>data[[#This Row],[profit]]/data[[#This Row],[sales]]</f>
        <v>0.17459242962712246</v>
      </c>
    </row>
    <row r="906" spans="1:20" x14ac:dyDescent="0.35">
      <c r="A906" t="s">
        <v>1114</v>
      </c>
      <c r="B906" s="1">
        <v>45514</v>
      </c>
      <c r="C906" t="s">
        <v>41</v>
      </c>
      <c r="D906" t="s">
        <v>42</v>
      </c>
      <c r="E906" t="s">
        <v>309</v>
      </c>
      <c r="F906" t="s">
        <v>23</v>
      </c>
      <c r="G906" t="s">
        <v>1083</v>
      </c>
      <c r="H906" t="s">
        <v>1084</v>
      </c>
      <c r="I906" t="s">
        <v>465</v>
      </c>
      <c r="J906">
        <v>1</v>
      </c>
      <c r="K906">
        <v>4552000</v>
      </c>
      <c r="L906">
        <v>0</v>
      </c>
      <c r="M906">
        <v>3540000</v>
      </c>
      <c r="N906">
        <f>(data[[#This Row],[unit_price]]*data[[#This Row],[quantity]]) * (1-data[[#This Row],[discount]])</f>
        <v>4552000</v>
      </c>
      <c r="O906">
        <f>data[[#This Row],[sales]]-data[[#This Row],[cost]]</f>
        <v>1012000</v>
      </c>
      <c r="P906" t="str">
        <f>TEXT(data[[#This Row],[order_date]],"mmm")</f>
        <v>Aug</v>
      </c>
      <c r="Q906">
        <f>YEAR(data[[#This Row],[order_date]])</f>
        <v>2024</v>
      </c>
      <c r="R906">
        <f>MONTH(data[[#This Row],[order_date]])</f>
        <v>8</v>
      </c>
      <c r="S906">
        <f>DAY(data[[#This Row],[order_date]])</f>
        <v>10</v>
      </c>
      <c r="T906">
        <f>data[[#This Row],[profit]]/data[[#This Row],[sales]]</f>
        <v>0.22231985940246046</v>
      </c>
    </row>
    <row r="907" spans="1:20" x14ac:dyDescent="0.35">
      <c r="A907" t="s">
        <v>1115</v>
      </c>
      <c r="B907" s="1">
        <v>45538</v>
      </c>
      <c r="C907" t="s">
        <v>49</v>
      </c>
      <c r="D907" t="s">
        <v>50</v>
      </c>
      <c r="E907" t="s">
        <v>91</v>
      </c>
      <c r="F907" t="s">
        <v>23</v>
      </c>
      <c r="G907" t="s">
        <v>1083</v>
      </c>
      <c r="H907" t="s">
        <v>1084</v>
      </c>
      <c r="I907" t="s">
        <v>465</v>
      </c>
      <c r="J907">
        <v>1</v>
      </c>
      <c r="K907">
        <v>5106000</v>
      </c>
      <c r="L907">
        <v>0</v>
      </c>
      <c r="M907">
        <v>3883000</v>
      </c>
      <c r="N907">
        <f>(data[[#This Row],[unit_price]]*data[[#This Row],[quantity]]) * (1-data[[#This Row],[discount]])</f>
        <v>5106000</v>
      </c>
      <c r="O907">
        <f>data[[#This Row],[sales]]-data[[#This Row],[cost]]</f>
        <v>1223000</v>
      </c>
      <c r="P907" t="str">
        <f>TEXT(data[[#This Row],[order_date]],"mmm")</f>
        <v>Sep</v>
      </c>
      <c r="Q907">
        <f>YEAR(data[[#This Row],[order_date]])</f>
        <v>2024</v>
      </c>
      <c r="R907">
        <f>MONTH(data[[#This Row],[order_date]])</f>
        <v>9</v>
      </c>
      <c r="S907">
        <f>DAY(data[[#This Row],[order_date]])</f>
        <v>3</v>
      </c>
      <c r="T907">
        <f>data[[#This Row],[profit]]/data[[#This Row],[sales]]</f>
        <v>0.23952213082647866</v>
      </c>
    </row>
    <row r="908" spans="1:20" x14ac:dyDescent="0.35">
      <c r="A908" t="s">
        <v>1116</v>
      </c>
      <c r="B908" s="1">
        <v>45563</v>
      </c>
      <c r="C908" t="s">
        <v>25</v>
      </c>
      <c r="D908" t="s">
        <v>26</v>
      </c>
      <c r="E908" t="s">
        <v>315</v>
      </c>
      <c r="F908" t="s">
        <v>23</v>
      </c>
      <c r="G908" t="s">
        <v>1083</v>
      </c>
      <c r="H908" t="s">
        <v>1084</v>
      </c>
      <c r="I908" t="s">
        <v>465</v>
      </c>
      <c r="J908">
        <v>1</v>
      </c>
      <c r="K908">
        <v>4389000</v>
      </c>
      <c r="L908">
        <v>0</v>
      </c>
      <c r="M908">
        <v>3415000</v>
      </c>
      <c r="N908">
        <f>(data[[#This Row],[unit_price]]*data[[#This Row],[quantity]]) * (1-data[[#This Row],[discount]])</f>
        <v>4389000</v>
      </c>
      <c r="O908">
        <f>data[[#This Row],[sales]]-data[[#This Row],[cost]]</f>
        <v>974000</v>
      </c>
      <c r="P908" t="str">
        <f>TEXT(data[[#This Row],[order_date]],"mmm")</f>
        <v>Sep</v>
      </c>
      <c r="Q908">
        <f>YEAR(data[[#This Row],[order_date]])</f>
        <v>2024</v>
      </c>
      <c r="R908">
        <f>MONTH(data[[#This Row],[order_date]])</f>
        <v>9</v>
      </c>
      <c r="S908">
        <f>DAY(data[[#This Row],[order_date]])</f>
        <v>28</v>
      </c>
      <c r="T908">
        <f>data[[#This Row],[profit]]/data[[#This Row],[sales]]</f>
        <v>0.22191843244474824</v>
      </c>
    </row>
    <row r="909" spans="1:20" x14ac:dyDescent="0.35">
      <c r="A909" t="s">
        <v>1117</v>
      </c>
      <c r="B909" s="1">
        <v>45572</v>
      </c>
      <c r="C909" t="s">
        <v>14</v>
      </c>
      <c r="D909" t="s">
        <v>15</v>
      </c>
      <c r="E909" t="s">
        <v>378</v>
      </c>
      <c r="F909" t="s">
        <v>23</v>
      </c>
      <c r="G909" t="s">
        <v>1083</v>
      </c>
      <c r="H909" t="s">
        <v>1084</v>
      </c>
      <c r="I909" t="s">
        <v>465</v>
      </c>
      <c r="J909">
        <v>1</v>
      </c>
      <c r="K909">
        <v>3097000</v>
      </c>
      <c r="L909">
        <v>0.1</v>
      </c>
      <c r="M909">
        <v>2386000</v>
      </c>
      <c r="N909">
        <f>(data[[#This Row],[unit_price]]*data[[#This Row],[quantity]]) * (1-data[[#This Row],[discount]])</f>
        <v>2787300</v>
      </c>
      <c r="O909">
        <f>data[[#This Row],[sales]]-data[[#This Row],[cost]]</f>
        <v>401300</v>
      </c>
      <c r="P909" t="str">
        <f>TEXT(data[[#This Row],[order_date]],"mmm")</f>
        <v>Oct</v>
      </c>
      <c r="Q909">
        <f>YEAR(data[[#This Row],[order_date]])</f>
        <v>2024</v>
      </c>
      <c r="R909">
        <f>MONTH(data[[#This Row],[order_date]])</f>
        <v>10</v>
      </c>
      <c r="S909">
        <f>DAY(data[[#This Row],[order_date]])</f>
        <v>7</v>
      </c>
      <c r="T909">
        <f>data[[#This Row],[profit]]/data[[#This Row],[sales]]</f>
        <v>0.14397445556631866</v>
      </c>
    </row>
    <row r="910" spans="1:20" x14ac:dyDescent="0.35">
      <c r="A910" t="s">
        <v>1118</v>
      </c>
      <c r="B910" s="1">
        <v>45580</v>
      </c>
      <c r="C910" t="s">
        <v>14</v>
      </c>
      <c r="D910" t="s">
        <v>15</v>
      </c>
      <c r="E910" t="s">
        <v>419</v>
      </c>
      <c r="F910" t="s">
        <v>17</v>
      </c>
      <c r="G910" t="s">
        <v>1083</v>
      </c>
      <c r="H910" t="s">
        <v>1084</v>
      </c>
      <c r="I910" t="s">
        <v>465</v>
      </c>
      <c r="J910">
        <v>1</v>
      </c>
      <c r="K910">
        <v>3641000</v>
      </c>
      <c r="L910">
        <v>0</v>
      </c>
      <c r="M910">
        <v>2772000</v>
      </c>
      <c r="N910">
        <f>(data[[#This Row],[unit_price]]*data[[#This Row],[quantity]]) * (1-data[[#This Row],[discount]])</f>
        <v>3641000</v>
      </c>
      <c r="O910">
        <f>data[[#This Row],[sales]]-data[[#This Row],[cost]]</f>
        <v>869000</v>
      </c>
      <c r="P910" t="str">
        <f>TEXT(data[[#This Row],[order_date]],"mmm")</f>
        <v>Oct</v>
      </c>
      <c r="Q910">
        <f>YEAR(data[[#This Row],[order_date]])</f>
        <v>2024</v>
      </c>
      <c r="R910">
        <f>MONTH(data[[#This Row],[order_date]])</f>
        <v>10</v>
      </c>
      <c r="S910">
        <f>DAY(data[[#This Row],[order_date]])</f>
        <v>15</v>
      </c>
      <c r="T910">
        <f>data[[#This Row],[profit]]/data[[#This Row],[sales]]</f>
        <v>0.23867069486404835</v>
      </c>
    </row>
    <row r="911" spans="1:20" x14ac:dyDescent="0.35">
      <c r="A911" t="s">
        <v>1119</v>
      </c>
      <c r="B911" s="1">
        <v>45625</v>
      </c>
      <c r="C911" t="s">
        <v>41</v>
      </c>
      <c r="D911" t="s">
        <v>42</v>
      </c>
      <c r="E911" t="s">
        <v>301</v>
      </c>
      <c r="F911" t="s">
        <v>28</v>
      </c>
      <c r="G911" t="s">
        <v>1083</v>
      </c>
      <c r="H911" t="s">
        <v>1084</v>
      </c>
      <c r="I911" t="s">
        <v>465</v>
      </c>
      <c r="J911">
        <v>1</v>
      </c>
      <c r="K911">
        <v>3104000</v>
      </c>
      <c r="L911">
        <v>0</v>
      </c>
      <c r="M911">
        <v>2423000</v>
      </c>
      <c r="N911">
        <f>(data[[#This Row],[unit_price]]*data[[#This Row],[quantity]]) * (1-data[[#This Row],[discount]])</f>
        <v>3104000</v>
      </c>
      <c r="O911">
        <f>data[[#This Row],[sales]]-data[[#This Row],[cost]]</f>
        <v>681000</v>
      </c>
      <c r="P911" t="str">
        <f>TEXT(data[[#This Row],[order_date]],"mmm")</f>
        <v>Nov</v>
      </c>
      <c r="Q911">
        <f>YEAR(data[[#This Row],[order_date]])</f>
        <v>2024</v>
      </c>
      <c r="R911">
        <f>MONTH(data[[#This Row],[order_date]])</f>
        <v>11</v>
      </c>
      <c r="S911">
        <f>DAY(data[[#This Row],[order_date]])</f>
        <v>29</v>
      </c>
      <c r="T911">
        <f>data[[#This Row],[profit]]/data[[#This Row],[sales]]</f>
        <v>0.21939432989690721</v>
      </c>
    </row>
    <row r="912" spans="1:20" x14ac:dyDescent="0.35">
      <c r="A912" t="s">
        <v>1120</v>
      </c>
      <c r="B912" s="1">
        <v>45627</v>
      </c>
      <c r="C912" t="s">
        <v>36</v>
      </c>
      <c r="D912" t="s">
        <v>37</v>
      </c>
      <c r="E912" t="s">
        <v>260</v>
      </c>
      <c r="F912" t="s">
        <v>23</v>
      </c>
      <c r="G912" t="s">
        <v>1083</v>
      </c>
      <c r="H912" t="s">
        <v>1084</v>
      </c>
      <c r="I912" t="s">
        <v>465</v>
      </c>
      <c r="J912">
        <v>1</v>
      </c>
      <c r="K912">
        <v>3224000</v>
      </c>
      <c r="L912">
        <v>0</v>
      </c>
      <c r="M912">
        <v>2510000</v>
      </c>
      <c r="N912">
        <f>(data[[#This Row],[unit_price]]*data[[#This Row],[quantity]]) * (1-data[[#This Row],[discount]])</f>
        <v>3224000</v>
      </c>
      <c r="O912">
        <f>data[[#This Row],[sales]]-data[[#This Row],[cost]]</f>
        <v>714000</v>
      </c>
      <c r="P912" t="str">
        <f>TEXT(data[[#This Row],[order_date]],"mmm")</f>
        <v>Dec</v>
      </c>
      <c r="Q912">
        <f>YEAR(data[[#This Row],[order_date]])</f>
        <v>2024</v>
      </c>
      <c r="R912">
        <f>MONTH(data[[#This Row],[order_date]])</f>
        <v>12</v>
      </c>
      <c r="S912">
        <f>DAY(data[[#This Row],[order_date]])</f>
        <v>1</v>
      </c>
      <c r="T912">
        <f>data[[#This Row],[profit]]/data[[#This Row],[sales]]</f>
        <v>0.22146401985111663</v>
      </c>
    </row>
    <row r="913" spans="1:20" x14ac:dyDescent="0.35">
      <c r="A913" t="s">
        <v>1121</v>
      </c>
      <c r="B913" s="1">
        <v>45628</v>
      </c>
      <c r="C913" t="s">
        <v>49</v>
      </c>
      <c r="D913" t="s">
        <v>50</v>
      </c>
      <c r="E913" t="s">
        <v>166</v>
      </c>
      <c r="F913" t="s">
        <v>28</v>
      </c>
      <c r="G913" t="s">
        <v>1083</v>
      </c>
      <c r="H913" t="s">
        <v>1084</v>
      </c>
      <c r="I913" t="s">
        <v>465</v>
      </c>
      <c r="J913">
        <v>1</v>
      </c>
      <c r="K913">
        <v>4175000</v>
      </c>
      <c r="L913">
        <v>0.05</v>
      </c>
      <c r="M913">
        <v>3293000</v>
      </c>
      <c r="N913">
        <f>(data[[#This Row],[unit_price]]*data[[#This Row],[quantity]]) * (1-data[[#This Row],[discount]])</f>
        <v>3966250</v>
      </c>
      <c r="O913">
        <f>data[[#This Row],[sales]]-data[[#This Row],[cost]]</f>
        <v>673250</v>
      </c>
      <c r="P913" t="str">
        <f>TEXT(data[[#This Row],[order_date]],"mmm")</f>
        <v>Dec</v>
      </c>
      <c r="Q913">
        <f>YEAR(data[[#This Row],[order_date]])</f>
        <v>2024</v>
      </c>
      <c r="R913">
        <f>MONTH(data[[#This Row],[order_date]])</f>
        <v>12</v>
      </c>
      <c r="S913">
        <f>DAY(data[[#This Row],[order_date]])</f>
        <v>2</v>
      </c>
      <c r="T913">
        <f>data[[#This Row],[profit]]/data[[#This Row],[sales]]</f>
        <v>0.16974472108414748</v>
      </c>
    </row>
    <row r="914" spans="1:20" x14ac:dyDescent="0.35">
      <c r="A914" t="s">
        <v>1122</v>
      </c>
      <c r="B914" s="1">
        <v>45674</v>
      </c>
      <c r="C914" t="s">
        <v>14</v>
      </c>
      <c r="D914" t="s">
        <v>15</v>
      </c>
      <c r="E914" t="s">
        <v>89</v>
      </c>
      <c r="F914" t="s">
        <v>23</v>
      </c>
      <c r="G914" t="s">
        <v>1083</v>
      </c>
      <c r="H914" t="s">
        <v>1084</v>
      </c>
      <c r="I914" t="s">
        <v>465</v>
      </c>
      <c r="J914">
        <v>1</v>
      </c>
      <c r="K914">
        <v>4001000</v>
      </c>
      <c r="L914">
        <v>0</v>
      </c>
      <c r="M914">
        <v>3078000</v>
      </c>
      <c r="N914">
        <f>(data[[#This Row],[unit_price]]*data[[#This Row],[quantity]]) * (1-data[[#This Row],[discount]])</f>
        <v>4001000</v>
      </c>
      <c r="O914">
        <f>data[[#This Row],[sales]]-data[[#This Row],[cost]]</f>
        <v>923000</v>
      </c>
      <c r="P914" t="str">
        <f>TEXT(data[[#This Row],[order_date]],"mmm")</f>
        <v>Jan</v>
      </c>
      <c r="Q914">
        <f>YEAR(data[[#This Row],[order_date]])</f>
        <v>2025</v>
      </c>
      <c r="R914">
        <f>MONTH(data[[#This Row],[order_date]])</f>
        <v>1</v>
      </c>
      <c r="S914">
        <f>DAY(data[[#This Row],[order_date]])</f>
        <v>17</v>
      </c>
      <c r="T914">
        <f>data[[#This Row],[profit]]/data[[#This Row],[sales]]</f>
        <v>0.23069232691827044</v>
      </c>
    </row>
    <row r="915" spans="1:20" x14ac:dyDescent="0.35">
      <c r="A915" t="s">
        <v>1123</v>
      </c>
      <c r="B915" s="1">
        <v>45683</v>
      </c>
      <c r="C915" t="s">
        <v>14</v>
      </c>
      <c r="D915" t="s">
        <v>15</v>
      </c>
      <c r="E915" t="s">
        <v>134</v>
      </c>
      <c r="F915" t="s">
        <v>28</v>
      </c>
      <c r="G915" t="s">
        <v>1083</v>
      </c>
      <c r="H915" t="s">
        <v>1084</v>
      </c>
      <c r="I915" t="s">
        <v>465</v>
      </c>
      <c r="J915">
        <v>1</v>
      </c>
      <c r="K915">
        <v>4528000</v>
      </c>
      <c r="L915">
        <v>0</v>
      </c>
      <c r="M915">
        <v>3571000</v>
      </c>
      <c r="N915">
        <f>(data[[#This Row],[unit_price]]*data[[#This Row],[quantity]]) * (1-data[[#This Row],[discount]])</f>
        <v>4528000</v>
      </c>
      <c r="O915">
        <f>data[[#This Row],[sales]]-data[[#This Row],[cost]]</f>
        <v>957000</v>
      </c>
      <c r="P915" t="str">
        <f>TEXT(data[[#This Row],[order_date]],"mmm")</f>
        <v>Jan</v>
      </c>
      <c r="Q915">
        <f>YEAR(data[[#This Row],[order_date]])</f>
        <v>2025</v>
      </c>
      <c r="R915">
        <f>MONTH(data[[#This Row],[order_date]])</f>
        <v>1</v>
      </c>
      <c r="S915">
        <f>DAY(data[[#This Row],[order_date]])</f>
        <v>26</v>
      </c>
      <c r="T915">
        <f>data[[#This Row],[profit]]/data[[#This Row],[sales]]</f>
        <v>0.21135159010600707</v>
      </c>
    </row>
    <row r="916" spans="1:20" x14ac:dyDescent="0.35">
      <c r="A916" t="s">
        <v>1124</v>
      </c>
      <c r="B916" s="1">
        <v>45753</v>
      </c>
      <c r="C916" t="s">
        <v>36</v>
      </c>
      <c r="D916" t="s">
        <v>37</v>
      </c>
      <c r="E916" t="s">
        <v>255</v>
      </c>
      <c r="F916" t="s">
        <v>17</v>
      </c>
      <c r="G916" t="s">
        <v>1083</v>
      </c>
      <c r="H916" t="s">
        <v>1084</v>
      </c>
      <c r="I916" t="s">
        <v>465</v>
      </c>
      <c r="J916">
        <v>1</v>
      </c>
      <c r="K916">
        <v>3735000</v>
      </c>
      <c r="L916">
        <v>0</v>
      </c>
      <c r="M916">
        <v>2971000</v>
      </c>
      <c r="N916">
        <f>(data[[#This Row],[unit_price]]*data[[#This Row],[quantity]]) * (1-data[[#This Row],[discount]])</f>
        <v>3735000</v>
      </c>
      <c r="O916">
        <f>data[[#This Row],[sales]]-data[[#This Row],[cost]]</f>
        <v>764000</v>
      </c>
      <c r="P916" t="str">
        <f>TEXT(data[[#This Row],[order_date]],"mmm")</f>
        <v>Apr</v>
      </c>
      <c r="Q916">
        <f>YEAR(data[[#This Row],[order_date]])</f>
        <v>2025</v>
      </c>
      <c r="R916">
        <f>MONTH(data[[#This Row],[order_date]])</f>
        <v>4</v>
      </c>
      <c r="S916">
        <f>DAY(data[[#This Row],[order_date]])</f>
        <v>6</v>
      </c>
      <c r="T916">
        <f>data[[#This Row],[profit]]/data[[#This Row],[sales]]</f>
        <v>0.20455153949129853</v>
      </c>
    </row>
    <row r="917" spans="1:20" x14ac:dyDescent="0.35">
      <c r="A917" t="s">
        <v>1125</v>
      </c>
      <c r="B917" s="1">
        <v>45764</v>
      </c>
      <c r="C917" t="s">
        <v>41</v>
      </c>
      <c r="D917" t="s">
        <v>42</v>
      </c>
      <c r="E917" t="s">
        <v>498</v>
      </c>
      <c r="F917" t="s">
        <v>23</v>
      </c>
      <c r="G917" t="s">
        <v>1083</v>
      </c>
      <c r="H917" t="s">
        <v>1084</v>
      </c>
      <c r="I917" t="s">
        <v>465</v>
      </c>
      <c r="J917">
        <v>1</v>
      </c>
      <c r="K917">
        <v>5277000</v>
      </c>
      <c r="L917">
        <v>0.1</v>
      </c>
      <c r="M917">
        <v>4204000</v>
      </c>
      <c r="N917">
        <f>(data[[#This Row],[unit_price]]*data[[#This Row],[quantity]]) * (1-data[[#This Row],[discount]])</f>
        <v>4749300</v>
      </c>
      <c r="O917">
        <f>data[[#This Row],[sales]]-data[[#This Row],[cost]]</f>
        <v>545300</v>
      </c>
      <c r="P917" t="str">
        <f>TEXT(data[[#This Row],[order_date]],"mmm")</f>
        <v>Apr</v>
      </c>
      <c r="Q917">
        <f>YEAR(data[[#This Row],[order_date]])</f>
        <v>2025</v>
      </c>
      <c r="R917">
        <f>MONTH(data[[#This Row],[order_date]])</f>
        <v>4</v>
      </c>
      <c r="S917">
        <f>DAY(data[[#This Row],[order_date]])</f>
        <v>17</v>
      </c>
      <c r="T917">
        <f>data[[#This Row],[profit]]/data[[#This Row],[sales]]</f>
        <v>0.11481692038826774</v>
      </c>
    </row>
    <row r="918" spans="1:20" x14ac:dyDescent="0.35">
      <c r="A918" t="s">
        <v>1126</v>
      </c>
      <c r="B918" s="1">
        <v>45765</v>
      </c>
      <c r="C918" t="s">
        <v>49</v>
      </c>
      <c r="D918" t="s">
        <v>50</v>
      </c>
      <c r="E918" t="s">
        <v>226</v>
      </c>
      <c r="F918" t="s">
        <v>17</v>
      </c>
      <c r="G918" t="s">
        <v>1083</v>
      </c>
      <c r="H918" t="s">
        <v>1084</v>
      </c>
      <c r="I918" t="s">
        <v>465</v>
      </c>
      <c r="J918">
        <v>1</v>
      </c>
      <c r="K918">
        <v>4370000</v>
      </c>
      <c r="L918">
        <v>0</v>
      </c>
      <c r="M918">
        <v>3472000</v>
      </c>
      <c r="N918">
        <f>(data[[#This Row],[unit_price]]*data[[#This Row],[quantity]]) * (1-data[[#This Row],[discount]])</f>
        <v>4370000</v>
      </c>
      <c r="O918">
        <f>data[[#This Row],[sales]]-data[[#This Row],[cost]]</f>
        <v>898000</v>
      </c>
      <c r="P918" t="str">
        <f>TEXT(data[[#This Row],[order_date]],"mmm")</f>
        <v>Apr</v>
      </c>
      <c r="Q918">
        <f>YEAR(data[[#This Row],[order_date]])</f>
        <v>2025</v>
      </c>
      <c r="R918">
        <f>MONTH(data[[#This Row],[order_date]])</f>
        <v>4</v>
      </c>
      <c r="S918">
        <f>DAY(data[[#This Row],[order_date]])</f>
        <v>18</v>
      </c>
      <c r="T918">
        <f>data[[#This Row],[profit]]/data[[#This Row],[sales]]</f>
        <v>0.20549199084668193</v>
      </c>
    </row>
    <row r="919" spans="1:20" x14ac:dyDescent="0.35">
      <c r="A919" t="s">
        <v>1127</v>
      </c>
      <c r="B919" s="1">
        <v>45808</v>
      </c>
      <c r="C919" t="s">
        <v>14</v>
      </c>
      <c r="D919" t="s">
        <v>15</v>
      </c>
      <c r="E919" t="s">
        <v>319</v>
      </c>
      <c r="F919" t="s">
        <v>23</v>
      </c>
      <c r="G919" t="s">
        <v>1083</v>
      </c>
      <c r="H919" t="s">
        <v>1084</v>
      </c>
      <c r="I919" t="s">
        <v>465</v>
      </c>
      <c r="J919">
        <v>5</v>
      </c>
      <c r="K919">
        <v>3451000</v>
      </c>
      <c r="L919">
        <v>0</v>
      </c>
      <c r="M919">
        <v>2695000</v>
      </c>
      <c r="N919">
        <f>(data[[#This Row],[unit_price]]*data[[#This Row],[quantity]]) * (1-data[[#This Row],[discount]])</f>
        <v>17255000</v>
      </c>
      <c r="O919">
        <f>data[[#This Row],[sales]]-data[[#This Row],[cost]]</f>
        <v>14560000</v>
      </c>
      <c r="P919" t="str">
        <f>TEXT(data[[#This Row],[order_date]],"mmm")</f>
        <v>May</v>
      </c>
      <c r="Q919">
        <f>YEAR(data[[#This Row],[order_date]])</f>
        <v>2025</v>
      </c>
      <c r="R919">
        <f>MONTH(data[[#This Row],[order_date]])</f>
        <v>5</v>
      </c>
      <c r="S919">
        <f>DAY(data[[#This Row],[order_date]])</f>
        <v>31</v>
      </c>
      <c r="T919">
        <f>data[[#This Row],[profit]]/data[[#This Row],[sales]]</f>
        <v>0.84381338742393508</v>
      </c>
    </row>
    <row r="920" spans="1:20" x14ac:dyDescent="0.35">
      <c r="A920" t="s">
        <v>1128</v>
      </c>
      <c r="B920" s="1">
        <v>45821</v>
      </c>
      <c r="C920" t="s">
        <v>49</v>
      </c>
      <c r="D920" t="s">
        <v>50</v>
      </c>
      <c r="E920" t="s">
        <v>102</v>
      </c>
      <c r="F920" t="s">
        <v>58</v>
      </c>
      <c r="G920" t="s">
        <v>1083</v>
      </c>
      <c r="H920" t="s">
        <v>1084</v>
      </c>
      <c r="I920" t="s">
        <v>465</v>
      </c>
      <c r="J920">
        <v>1</v>
      </c>
      <c r="K920">
        <v>3382000</v>
      </c>
      <c r="L920">
        <v>0</v>
      </c>
      <c r="M920">
        <v>2695000</v>
      </c>
      <c r="N920">
        <f>(data[[#This Row],[unit_price]]*data[[#This Row],[quantity]]) * (1-data[[#This Row],[discount]])</f>
        <v>3382000</v>
      </c>
      <c r="O920">
        <f>data[[#This Row],[sales]]-data[[#This Row],[cost]]</f>
        <v>687000</v>
      </c>
      <c r="P920" t="str">
        <f>TEXT(data[[#This Row],[order_date]],"mmm")</f>
        <v>Jun</v>
      </c>
      <c r="Q920">
        <f>YEAR(data[[#This Row],[order_date]])</f>
        <v>2025</v>
      </c>
      <c r="R920">
        <f>MONTH(data[[#This Row],[order_date]])</f>
        <v>6</v>
      </c>
      <c r="S920">
        <f>DAY(data[[#This Row],[order_date]])</f>
        <v>13</v>
      </c>
      <c r="T920">
        <f>data[[#This Row],[profit]]/data[[#This Row],[sales]]</f>
        <v>0.20313424009461856</v>
      </c>
    </row>
    <row r="921" spans="1:20" x14ac:dyDescent="0.35">
      <c r="A921" t="s">
        <v>1129</v>
      </c>
      <c r="B921" s="1">
        <v>45835</v>
      </c>
      <c r="C921" t="s">
        <v>14</v>
      </c>
      <c r="D921" t="s">
        <v>15</v>
      </c>
      <c r="E921" t="s">
        <v>166</v>
      </c>
      <c r="F921" t="s">
        <v>28</v>
      </c>
      <c r="G921" t="s">
        <v>1083</v>
      </c>
      <c r="H921" t="s">
        <v>1084</v>
      </c>
      <c r="I921" t="s">
        <v>465</v>
      </c>
      <c r="J921">
        <v>1</v>
      </c>
      <c r="K921">
        <v>5012000</v>
      </c>
      <c r="L921">
        <v>0</v>
      </c>
      <c r="M921">
        <v>3925000</v>
      </c>
      <c r="N921">
        <f>(data[[#This Row],[unit_price]]*data[[#This Row],[quantity]]) * (1-data[[#This Row],[discount]])</f>
        <v>5012000</v>
      </c>
      <c r="O921">
        <f>data[[#This Row],[sales]]-data[[#This Row],[cost]]</f>
        <v>1087000</v>
      </c>
      <c r="P921" t="str">
        <f>TEXT(data[[#This Row],[order_date]],"mmm")</f>
        <v>Jun</v>
      </c>
      <c r="Q921">
        <f>YEAR(data[[#This Row],[order_date]])</f>
        <v>2025</v>
      </c>
      <c r="R921">
        <f>MONTH(data[[#This Row],[order_date]])</f>
        <v>6</v>
      </c>
      <c r="S921">
        <f>DAY(data[[#This Row],[order_date]])</f>
        <v>27</v>
      </c>
      <c r="T921">
        <f>data[[#This Row],[profit]]/data[[#This Row],[sales]]</f>
        <v>0.21687948922585795</v>
      </c>
    </row>
    <row r="922" spans="1:20" x14ac:dyDescent="0.35">
      <c r="A922" t="s">
        <v>1130</v>
      </c>
      <c r="B922" s="1">
        <v>45853</v>
      </c>
      <c r="C922" t="s">
        <v>49</v>
      </c>
      <c r="D922" t="s">
        <v>50</v>
      </c>
      <c r="E922" t="s">
        <v>216</v>
      </c>
      <c r="F922" t="s">
        <v>17</v>
      </c>
      <c r="G922" t="s">
        <v>1083</v>
      </c>
      <c r="H922" t="s">
        <v>1084</v>
      </c>
      <c r="I922" t="s">
        <v>465</v>
      </c>
      <c r="J922">
        <v>2</v>
      </c>
      <c r="K922">
        <v>3311000</v>
      </c>
      <c r="L922">
        <v>0</v>
      </c>
      <c r="M922">
        <v>2539000</v>
      </c>
      <c r="N922">
        <f>(data[[#This Row],[unit_price]]*data[[#This Row],[quantity]]) * (1-data[[#This Row],[discount]])</f>
        <v>6622000</v>
      </c>
      <c r="O922">
        <f>data[[#This Row],[sales]]-data[[#This Row],[cost]]</f>
        <v>4083000</v>
      </c>
      <c r="P922" t="str">
        <f>TEXT(data[[#This Row],[order_date]],"mmm")</f>
        <v>Jul</v>
      </c>
      <c r="Q922">
        <f>YEAR(data[[#This Row],[order_date]])</f>
        <v>2025</v>
      </c>
      <c r="R922">
        <f>MONTH(data[[#This Row],[order_date]])</f>
        <v>7</v>
      </c>
      <c r="S922">
        <f>DAY(data[[#This Row],[order_date]])</f>
        <v>15</v>
      </c>
      <c r="T922">
        <f>data[[#This Row],[profit]]/data[[#This Row],[sales]]</f>
        <v>0.61658109332527933</v>
      </c>
    </row>
    <row r="923" spans="1:20" x14ac:dyDescent="0.35">
      <c r="A923" t="s">
        <v>1131</v>
      </c>
      <c r="B923" s="1">
        <v>45858</v>
      </c>
      <c r="C923" t="s">
        <v>41</v>
      </c>
      <c r="D923" t="s">
        <v>42</v>
      </c>
      <c r="E923" t="s">
        <v>61</v>
      </c>
      <c r="F923" t="s">
        <v>23</v>
      </c>
      <c r="G923" t="s">
        <v>1083</v>
      </c>
      <c r="H923" t="s">
        <v>1084</v>
      </c>
      <c r="I923" t="s">
        <v>465</v>
      </c>
      <c r="J923">
        <v>2</v>
      </c>
      <c r="K923">
        <v>5096000</v>
      </c>
      <c r="L923">
        <v>0</v>
      </c>
      <c r="M923">
        <v>3878000</v>
      </c>
      <c r="N923">
        <f>(data[[#This Row],[unit_price]]*data[[#This Row],[quantity]]) * (1-data[[#This Row],[discount]])</f>
        <v>10192000</v>
      </c>
      <c r="O923">
        <f>data[[#This Row],[sales]]-data[[#This Row],[cost]]</f>
        <v>6314000</v>
      </c>
      <c r="P923" t="str">
        <f>TEXT(data[[#This Row],[order_date]],"mmm")</f>
        <v>Jul</v>
      </c>
      <c r="Q923">
        <f>YEAR(data[[#This Row],[order_date]])</f>
        <v>2025</v>
      </c>
      <c r="R923">
        <f>MONTH(data[[#This Row],[order_date]])</f>
        <v>7</v>
      </c>
      <c r="S923">
        <f>DAY(data[[#This Row],[order_date]])</f>
        <v>20</v>
      </c>
      <c r="T923">
        <f>data[[#This Row],[profit]]/data[[#This Row],[sales]]</f>
        <v>0.61950549450549453</v>
      </c>
    </row>
    <row r="924" spans="1:20" x14ac:dyDescent="0.35">
      <c r="A924" t="s">
        <v>1132</v>
      </c>
      <c r="B924" s="1">
        <v>45860</v>
      </c>
      <c r="C924" t="s">
        <v>49</v>
      </c>
      <c r="D924" t="s">
        <v>50</v>
      </c>
      <c r="E924" t="s">
        <v>27</v>
      </c>
      <c r="F924" t="s">
        <v>28</v>
      </c>
      <c r="G924" t="s">
        <v>1083</v>
      </c>
      <c r="H924" t="s">
        <v>1084</v>
      </c>
      <c r="I924" t="s">
        <v>465</v>
      </c>
      <c r="J924">
        <v>1</v>
      </c>
      <c r="K924">
        <v>5405000</v>
      </c>
      <c r="L924">
        <v>0</v>
      </c>
      <c r="M924">
        <v>4200000</v>
      </c>
      <c r="N924">
        <f>(data[[#This Row],[unit_price]]*data[[#This Row],[quantity]]) * (1-data[[#This Row],[discount]])</f>
        <v>5405000</v>
      </c>
      <c r="O924">
        <f>data[[#This Row],[sales]]-data[[#This Row],[cost]]</f>
        <v>1205000</v>
      </c>
      <c r="P924" t="str">
        <f>TEXT(data[[#This Row],[order_date]],"mmm")</f>
        <v>Jul</v>
      </c>
      <c r="Q924">
        <f>YEAR(data[[#This Row],[order_date]])</f>
        <v>2025</v>
      </c>
      <c r="R924">
        <f>MONTH(data[[#This Row],[order_date]])</f>
        <v>7</v>
      </c>
      <c r="S924">
        <f>DAY(data[[#This Row],[order_date]])</f>
        <v>22</v>
      </c>
      <c r="T924">
        <f>data[[#This Row],[profit]]/data[[#This Row],[sales]]</f>
        <v>0.22294172062904719</v>
      </c>
    </row>
    <row r="925" spans="1:20" x14ac:dyDescent="0.35">
      <c r="A925" t="s">
        <v>1133</v>
      </c>
      <c r="B925" s="1">
        <v>45896</v>
      </c>
      <c r="C925" t="s">
        <v>49</v>
      </c>
      <c r="D925" t="s">
        <v>50</v>
      </c>
      <c r="E925" t="s">
        <v>144</v>
      </c>
      <c r="F925" t="s">
        <v>23</v>
      </c>
      <c r="G925" t="s">
        <v>1083</v>
      </c>
      <c r="H925" t="s">
        <v>1084</v>
      </c>
      <c r="I925" t="s">
        <v>465</v>
      </c>
      <c r="J925">
        <v>1</v>
      </c>
      <c r="K925">
        <v>5460000</v>
      </c>
      <c r="L925">
        <v>0</v>
      </c>
      <c r="M925">
        <v>4356000</v>
      </c>
      <c r="N925">
        <f>(data[[#This Row],[unit_price]]*data[[#This Row],[quantity]]) * (1-data[[#This Row],[discount]])</f>
        <v>5460000</v>
      </c>
      <c r="O925">
        <f>data[[#This Row],[sales]]-data[[#This Row],[cost]]</f>
        <v>1104000</v>
      </c>
      <c r="P925" t="str">
        <f>TEXT(data[[#This Row],[order_date]],"mmm")</f>
        <v>Aug</v>
      </c>
      <c r="Q925">
        <f>YEAR(data[[#This Row],[order_date]])</f>
        <v>2025</v>
      </c>
      <c r="R925">
        <f>MONTH(data[[#This Row],[order_date]])</f>
        <v>8</v>
      </c>
      <c r="S925">
        <f>DAY(data[[#This Row],[order_date]])</f>
        <v>27</v>
      </c>
      <c r="T925">
        <f>data[[#This Row],[profit]]/data[[#This Row],[sales]]</f>
        <v>0.2021978021978022</v>
      </c>
    </row>
    <row r="926" spans="1:20" x14ac:dyDescent="0.35">
      <c r="A926" t="s">
        <v>1134</v>
      </c>
      <c r="B926" s="1">
        <v>45898</v>
      </c>
      <c r="C926" t="s">
        <v>49</v>
      </c>
      <c r="D926" t="s">
        <v>50</v>
      </c>
      <c r="E926" t="s">
        <v>97</v>
      </c>
      <c r="F926" t="s">
        <v>23</v>
      </c>
      <c r="G926" t="s">
        <v>1083</v>
      </c>
      <c r="H926" t="s">
        <v>1084</v>
      </c>
      <c r="I926" t="s">
        <v>465</v>
      </c>
      <c r="J926">
        <v>1</v>
      </c>
      <c r="K926">
        <v>2994000</v>
      </c>
      <c r="L926">
        <v>0</v>
      </c>
      <c r="M926">
        <v>2383000</v>
      </c>
      <c r="N926">
        <f>(data[[#This Row],[unit_price]]*data[[#This Row],[quantity]]) * (1-data[[#This Row],[discount]])</f>
        <v>2994000</v>
      </c>
      <c r="O926">
        <f>data[[#This Row],[sales]]-data[[#This Row],[cost]]</f>
        <v>611000</v>
      </c>
      <c r="P926" t="str">
        <f>TEXT(data[[#This Row],[order_date]],"mmm")</f>
        <v>Aug</v>
      </c>
      <c r="Q926">
        <f>YEAR(data[[#This Row],[order_date]])</f>
        <v>2025</v>
      </c>
      <c r="R926">
        <f>MONTH(data[[#This Row],[order_date]])</f>
        <v>8</v>
      </c>
      <c r="S926">
        <f>DAY(data[[#This Row],[order_date]])</f>
        <v>29</v>
      </c>
      <c r="T926">
        <f>data[[#This Row],[profit]]/data[[#This Row],[sales]]</f>
        <v>0.20407481629926519</v>
      </c>
    </row>
    <row r="927" spans="1:20" x14ac:dyDescent="0.35">
      <c r="A927" t="s">
        <v>1135</v>
      </c>
      <c r="B927" s="1">
        <v>45956</v>
      </c>
      <c r="C927" t="s">
        <v>14</v>
      </c>
      <c r="D927" t="s">
        <v>15</v>
      </c>
      <c r="E927" t="s">
        <v>226</v>
      </c>
      <c r="F927" t="s">
        <v>17</v>
      </c>
      <c r="G927" t="s">
        <v>1083</v>
      </c>
      <c r="H927" t="s">
        <v>1084</v>
      </c>
      <c r="I927" t="s">
        <v>465</v>
      </c>
      <c r="J927">
        <v>1</v>
      </c>
      <c r="K927">
        <v>3562000</v>
      </c>
      <c r="L927">
        <v>0</v>
      </c>
      <c r="M927">
        <v>2798000</v>
      </c>
      <c r="N927">
        <f>(data[[#This Row],[unit_price]]*data[[#This Row],[quantity]]) * (1-data[[#This Row],[discount]])</f>
        <v>3562000</v>
      </c>
      <c r="O927">
        <f>data[[#This Row],[sales]]-data[[#This Row],[cost]]</f>
        <v>764000</v>
      </c>
      <c r="P927" t="str">
        <f>TEXT(data[[#This Row],[order_date]],"mmm")</f>
        <v>Oct</v>
      </c>
      <c r="Q927">
        <f>YEAR(data[[#This Row],[order_date]])</f>
        <v>2025</v>
      </c>
      <c r="R927">
        <f>MONTH(data[[#This Row],[order_date]])</f>
        <v>10</v>
      </c>
      <c r="S927">
        <f>DAY(data[[#This Row],[order_date]])</f>
        <v>26</v>
      </c>
      <c r="T927">
        <f>data[[#This Row],[profit]]/data[[#This Row],[sales]]</f>
        <v>0.21448624368332397</v>
      </c>
    </row>
    <row r="928" spans="1:20" x14ac:dyDescent="0.35">
      <c r="A928" t="s">
        <v>1136</v>
      </c>
      <c r="B928" s="1">
        <v>46008</v>
      </c>
      <c r="C928" t="s">
        <v>14</v>
      </c>
      <c r="D928" t="s">
        <v>15</v>
      </c>
      <c r="E928" t="s">
        <v>333</v>
      </c>
      <c r="F928" t="s">
        <v>17</v>
      </c>
      <c r="G928" t="s">
        <v>1083</v>
      </c>
      <c r="H928" t="s">
        <v>1084</v>
      </c>
      <c r="I928" t="s">
        <v>465</v>
      </c>
      <c r="J928">
        <v>1</v>
      </c>
      <c r="K928">
        <v>5448000</v>
      </c>
      <c r="L928">
        <v>0.1</v>
      </c>
      <c r="M928">
        <v>4305000</v>
      </c>
      <c r="N928">
        <f>(data[[#This Row],[unit_price]]*data[[#This Row],[quantity]]) * (1-data[[#This Row],[discount]])</f>
        <v>4903200</v>
      </c>
      <c r="O928">
        <f>data[[#This Row],[sales]]-data[[#This Row],[cost]]</f>
        <v>598200</v>
      </c>
      <c r="P928" t="str">
        <f>TEXT(data[[#This Row],[order_date]],"mmm")</f>
        <v>Dec</v>
      </c>
      <c r="Q928">
        <f>YEAR(data[[#This Row],[order_date]])</f>
        <v>2025</v>
      </c>
      <c r="R928">
        <f>MONTH(data[[#This Row],[order_date]])</f>
        <v>12</v>
      </c>
      <c r="S928">
        <f>DAY(data[[#This Row],[order_date]])</f>
        <v>17</v>
      </c>
      <c r="T928">
        <f>data[[#This Row],[profit]]/data[[#This Row],[sales]]</f>
        <v>0.12200195790504161</v>
      </c>
    </row>
    <row r="929" spans="1:20" x14ac:dyDescent="0.35">
      <c r="A929" t="s">
        <v>1137</v>
      </c>
      <c r="B929" s="1">
        <v>46034</v>
      </c>
      <c r="C929" t="s">
        <v>41</v>
      </c>
      <c r="D929" t="s">
        <v>42</v>
      </c>
      <c r="E929" t="s">
        <v>384</v>
      </c>
      <c r="F929" t="s">
        <v>23</v>
      </c>
      <c r="G929" t="s">
        <v>1083</v>
      </c>
      <c r="H929" t="s">
        <v>1084</v>
      </c>
      <c r="I929" t="s">
        <v>465</v>
      </c>
      <c r="J929">
        <v>1</v>
      </c>
      <c r="K929">
        <v>3137000</v>
      </c>
      <c r="L929">
        <v>0</v>
      </c>
      <c r="M929">
        <v>2490000</v>
      </c>
      <c r="N929">
        <f>(data[[#This Row],[unit_price]]*data[[#This Row],[quantity]]) * (1-data[[#This Row],[discount]])</f>
        <v>3137000</v>
      </c>
      <c r="O929">
        <f>data[[#This Row],[sales]]-data[[#This Row],[cost]]</f>
        <v>647000</v>
      </c>
      <c r="P929" t="str">
        <f>TEXT(data[[#This Row],[order_date]],"mmm")</f>
        <v>Jan</v>
      </c>
      <c r="Q929">
        <f>YEAR(data[[#This Row],[order_date]])</f>
        <v>2026</v>
      </c>
      <c r="R929">
        <f>MONTH(data[[#This Row],[order_date]])</f>
        <v>1</v>
      </c>
      <c r="S929">
        <f>DAY(data[[#This Row],[order_date]])</f>
        <v>12</v>
      </c>
      <c r="T929">
        <f>data[[#This Row],[profit]]/data[[#This Row],[sales]]</f>
        <v>0.20624800765062162</v>
      </c>
    </row>
    <row r="930" spans="1:20" x14ac:dyDescent="0.35">
      <c r="A930" t="s">
        <v>1138</v>
      </c>
      <c r="B930" s="1">
        <v>46053</v>
      </c>
      <c r="C930" t="s">
        <v>14</v>
      </c>
      <c r="D930" t="s">
        <v>15</v>
      </c>
      <c r="E930" t="s">
        <v>168</v>
      </c>
      <c r="F930" t="s">
        <v>23</v>
      </c>
      <c r="G930" t="s">
        <v>1083</v>
      </c>
      <c r="H930" t="s">
        <v>1084</v>
      </c>
      <c r="I930" t="s">
        <v>465</v>
      </c>
      <c r="J930">
        <v>1</v>
      </c>
      <c r="K930">
        <v>4272000</v>
      </c>
      <c r="L930">
        <v>0</v>
      </c>
      <c r="M930">
        <v>3304000</v>
      </c>
      <c r="N930">
        <f>(data[[#This Row],[unit_price]]*data[[#This Row],[quantity]]) * (1-data[[#This Row],[discount]])</f>
        <v>4272000</v>
      </c>
      <c r="O930">
        <f>data[[#This Row],[sales]]-data[[#This Row],[cost]]</f>
        <v>968000</v>
      </c>
      <c r="P930" t="str">
        <f>TEXT(data[[#This Row],[order_date]],"mmm")</f>
        <v>Jan</v>
      </c>
      <c r="Q930">
        <f>YEAR(data[[#This Row],[order_date]])</f>
        <v>2026</v>
      </c>
      <c r="R930">
        <f>MONTH(data[[#This Row],[order_date]])</f>
        <v>1</v>
      </c>
      <c r="S930">
        <f>DAY(data[[#This Row],[order_date]])</f>
        <v>31</v>
      </c>
      <c r="T930">
        <f>data[[#This Row],[profit]]/data[[#This Row],[sales]]</f>
        <v>0.22659176029962547</v>
      </c>
    </row>
    <row r="931" spans="1:20" x14ac:dyDescent="0.35">
      <c r="A931" t="s">
        <v>1139</v>
      </c>
      <c r="B931" s="1">
        <v>46096</v>
      </c>
      <c r="C931" t="s">
        <v>41</v>
      </c>
      <c r="D931" t="s">
        <v>42</v>
      </c>
      <c r="E931" t="s">
        <v>230</v>
      </c>
      <c r="F931" t="s">
        <v>23</v>
      </c>
      <c r="G931" t="s">
        <v>1083</v>
      </c>
      <c r="H931" t="s">
        <v>1084</v>
      </c>
      <c r="I931" t="s">
        <v>465</v>
      </c>
      <c r="J931">
        <v>1</v>
      </c>
      <c r="K931">
        <v>3422000</v>
      </c>
      <c r="L931">
        <v>0</v>
      </c>
      <c r="M931">
        <v>2609000</v>
      </c>
      <c r="N931">
        <f>(data[[#This Row],[unit_price]]*data[[#This Row],[quantity]]) * (1-data[[#This Row],[discount]])</f>
        <v>3422000</v>
      </c>
      <c r="O931">
        <f>data[[#This Row],[sales]]-data[[#This Row],[cost]]</f>
        <v>813000</v>
      </c>
      <c r="P931" t="str">
        <f>TEXT(data[[#This Row],[order_date]],"mmm")</f>
        <v>Mar</v>
      </c>
      <c r="Q931">
        <f>YEAR(data[[#This Row],[order_date]])</f>
        <v>2026</v>
      </c>
      <c r="R931">
        <f>MONTH(data[[#This Row],[order_date]])</f>
        <v>3</v>
      </c>
      <c r="S931">
        <f>DAY(data[[#This Row],[order_date]])</f>
        <v>15</v>
      </c>
      <c r="T931">
        <f>data[[#This Row],[profit]]/data[[#This Row],[sales]]</f>
        <v>0.23758036236119229</v>
      </c>
    </row>
    <row r="932" spans="1:20" x14ac:dyDescent="0.35">
      <c r="A932" t="s">
        <v>1140</v>
      </c>
      <c r="B932" s="1">
        <v>46115</v>
      </c>
      <c r="C932" t="s">
        <v>49</v>
      </c>
      <c r="D932" t="s">
        <v>50</v>
      </c>
      <c r="E932" t="s">
        <v>244</v>
      </c>
      <c r="F932" t="s">
        <v>17</v>
      </c>
      <c r="G932" t="s">
        <v>1083</v>
      </c>
      <c r="H932" t="s">
        <v>1084</v>
      </c>
      <c r="I932" t="s">
        <v>465</v>
      </c>
      <c r="J932">
        <v>1</v>
      </c>
      <c r="K932">
        <v>2928000</v>
      </c>
      <c r="L932">
        <v>0.1</v>
      </c>
      <c r="M932">
        <v>2271000</v>
      </c>
      <c r="N932">
        <f>(data[[#This Row],[unit_price]]*data[[#This Row],[quantity]]) * (1-data[[#This Row],[discount]])</f>
        <v>2635200</v>
      </c>
      <c r="O932">
        <f>data[[#This Row],[sales]]-data[[#This Row],[cost]]</f>
        <v>364200</v>
      </c>
      <c r="P932" t="str">
        <f>TEXT(data[[#This Row],[order_date]],"mmm")</f>
        <v>Apr</v>
      </c>
      <c r="Q932">
        <f>YEAR(data[[#This Row],[order_date]])</f>
        <v>2026</v>
      </c>
      <c r="R932">
        <f>MONTH(data[[#This Row],[order_date]])</f>
        <v>4</v>
      </c>
      <c r="S932">
        <f>DAY(data[[#This Row],[order_date]])</f>
        <v>3</v>
      </c>
      <c r="T932">
        <f>data[[#This Row],[profit]]/data[[#This Row],[sales]]</f>
        <v>0.13820582877959928</v>
      </c>
    </row>
    <row r="933" spans="1:20" x14ac:dyDescent="0.35">
      <c r="A933" t="s">
        <v>1141</v>
      </c>
      <c r="B933" s="1">
        <v>46125</v>
      </c>
      <c r="C933" t="s">
        <v>36</v>
      </c>
      <c r="D933" t="s">
        <v>37</v>
      </c>
      <c r="E933" t="s">
        <v>498</v>
      </c>
      <c r="F933" t="s">
        <v>23</v>
      </c>
      <c r="G933" t="s">
        <v>1083</v>
      </c>
      <c r="H933" t="s">
        <v>1084</v>
      </c>
      <c r="I933" t="s">
        <v>465</v>
      </c>
      <c r="J933">
        <v>1</v>
      </c>
      <c r="K933">
        <v>5183000</v>
      </c>
      <c r="L933">
        <v>0.15</v>
      </c>
      <c r="M933">
        <v>4095000</v>
      </c>
      <c r="N933">
        <f>(data[[#This Row],[unit_price]]*data[[#This Row],[quantity]]) * (1-data[[#This Row],[discount]])</f>
        <v>4405550</v>
      </c>
      <c r="O933">
        <f>data[[#This Row],[sales]]-data[[#This Row],[cost]]</f>
        <v>310550</v>
      </c>
      <c r="P933" t="str">
        <f>TEXT(data[[#This Row],[order_date]],"mmm")</f>
        <v>Apr</v>
      </c>
      <c r="Q933">
        <f>YEAR(data[[#This Row],[order_date]])</f>
        <v>2026</v>
      </c>
      <c r="R933">
        <f>MONTH(data[[#This Row],[order_date]])</f>
        <v>4</v>
      </c>
      <c r="S933">
        <f>DAY(data[[#This Row],[order_date]])</f>
        <v>13</v>
      </c>
      <c r="T933">
        <f>data[[#This Row],[profit]]/data[[#This Row],[sales]]</f>
        <v>7.0490631135726525E-2</v>
      </c>
    </row>
    <row r="934" spans="1:20" x14ac:dyDescent="0.35">
      <c r="A934" t="s">
        <v>1142</v>
      </c>
      <c r="B934" s="1">
        <v>46127</v>
      </c>
      <c r="C934" t="s">
        <v>41</v>
      </c>
      <c r="D934" t="s">
        <v>42</v>
      </c>
      <c r="E934" t="s">
        <v>63</v>
      </c>
      <c r="F934" t="s">
        <v>28</v>
      </c>
      <c r="G934" t="s">
        <v>1083</v>
      </c>
      <c r="H934" t="s">
        <v>1084</v>
      </c>
      <c r="I934" t="s">
        <v>465</v>
      </c>
      <c r="J934">
        <v>2</v>
      </c>
      <c r="K934">
        <v>5213000</v>
      </c>
      <c r="L934">
        <v>0</v>
      </c>
      <c r="M934">
        <v>4121000</v>
      </c>
      <c r="N934">
        <f>(data[[#This Row],[unit_price]]*data[[#This Row],[quantity]]) * (1-data[[#This Row],[discount]])</f>
        <v>10426000</v>
      </c>
      <c r="O934">
        <f>data[[#This Row],[sales]]-data[[#This Row],[cost]]</f>
        <v>6305000</v>
      </c>
      <c r="P934" t="str">
        <f>TEXT(data[[#This Row],[order_date]],"mmm")</f>
        <v>Apr</v>
      </c>
      <c r="Q934">
        <f>YEAR(data[[#This Row],[order_date]])</f>
        <v>2026</v>
      </c>
      <c r="R934">
        <f>MONTH(data[[#This Row],[order_date]])</f>
        <v>4</v>
      </c>
      <c r="S934">
        <f>DAY(data[[#This Row],[order_date]])</f>
        <v>15</v>
      </c>
      <c r="T934">
        <f>data[[#This Row],[profit]]/data[[#This Row],[sales]]</f>
        <v>0.60473815461346636</v>
      </c>
    </row>
    <row r="935" spans="1:20" x14ac:dyDescent="0.35">
      <c r="A935" t="s">
        <v>1143</v>
      </c>
      <c r="B935" s="1">
        <v>46136</v>
      </c>
      <c r="C935" t="s">
        <v>14</v>
      </c>
      <c r="D935" t="s">
        <v>15</v>
      </c>
      <c r="E935" t="s">
        <v>413</v>
      </c>
      <c r="F935" t="s">
        <v>23</v>
      </c>
      <c r="G935" t="s">
        <v>1083</v>
      </c>
      <c r="H935" t="s">
        <v>1084</v>
      </c>
      <c r="I935" t="s">
        <v>465</v>
      </c>
      <c r="J935">
        <v>1</v>
      </c>
      <c r="K935">
        <v>4273000</v>
      </c>
      <c r="L935">
        <v>0</v>
      </c>
      <c r="M935">
        <v>3332000</v>
      </c>
      <c r="N935">
        <f>(data[[#This Row],[unit_price]]*data[[#This Row],[quantity]]) * (1-data[[#This Row],[discount]])</f>
        <v>4273000</v>
      </c>
      <c r="O935">
        <f>data[[#This Row],[sales]]-data[[#This Row],[cost]]</f>
        <v>941000</v>
      </c>
      <c r="P935" t="str">
        <f>TEXT(data[[#This Row],[order_date]],"mmm")</f>
        <v>Apr</v>
      </c>
      <c r="Q935">
        <f>YEAR(data[[#This Row],[order_date]])</f>
        <v>2026</v>
      </c>
      <c r="R935">
        <f>MONTH(data[[#This Row],[order_date]])</f>
        <v>4</v>
      </c>
      <c r="S935">
        <f>DAY(data[[#This Row],[order_date]])</f>
        <v>24</v>
      </c>
      <c r="T935">
        <f>data[[#This Row],[profit]]/data[[#This Row],[sales]]</f>
        <v>0.22021998595834308</v>
      </c>
    </row>
    <row r="936" spans="1:20" x14ac:dyDescent="0.35">
      <c r="A936" t="s">
        <v>1144</v>
      </c>
      <c r="B936" s="1">
        <v>46149</v>
      </c>
      <c r="C936" t="s">
        <v>36</v>
      </c>
      <c r="D936" t="s">
        <v>37</v>
      </c>
      <c r="E936" t="s">
        <v>270</v>
      </c>
      <c r="F936" t="s">
        <v>23</v>
      </c>
      <c r="G936" t="s">
        <v>1083</v>
      </c>
      <c r="H936" t="s">
        <v>1084</v>
      </c>
      <c r="I936" t="s">
        <v>465</v>
      </c>
      <c r="J936">
        <v>5</v>
      </c>
      <c r="K936">
        <v>3394000</v>
      </c>
      <c r="L936">
        <v>0</v>
      </c>
      <c r="M936">
        <v>2611000</v>
      </c>
      <c r="N936">
        <f>(data[[#This Row],[unit_price]]*data[[#This Row],[quantity]]) * (1-data[[#This Row],[discount]])</f>
        <v>16970000</v>
      </c>
      <c r="O936">
        <f>data[[#This Row],[sales]]-data[[#This Row],[cost]]</f>
        <v>14359000</v>
      </c>
      <c r="P936" t="str">
        <f>TEXT(data[[#This Row],[order_date]],"mmm")</f>
        <v>May</v>
      </c>
      <c r="Q936">
        <f>YEAR(data[[#This Row],[order_date]])</f>
        <v>2026</v>
      </c>
      <c r="R936">
        <f>MONTH(data[[#This Row],[order_date]])</f>
        <v>5</v>
      </c>
      <c r="S936">
        <f>DAY(data[[#This Row],[order_date]])</f>
        <v>7</v>
      </c>
      <c r="T936">
        <f>data[[#This Row],[profit]]/data[[#This Row],[sales]]</f>
        <v>0.84614024749558048</v>
      </c>
    </row>
    <row r="937" spans="1:20" x14ac:dyDescent="0.35">
      <c r="A937" t="s">
        <v>1145</v>
      </c>
      <c r="B937" s="1">
        <v>44944</v>
      </c>
      <c r="C937" t="s">
        <v>36</v>
      </c>
      <c r="D937" t="s">
        <v>37</v>
      </c>
      <c r="E937" t="s">
        <v>110</v>
      </c>
      <c r="F937" t="s">
        <v>23</v>
      </c>
      <c r="G937" t="s">
        <v>1146</v>
      </c>
      <c r="H937" t="s">
        <v>1147</v>
      </c>
      <c r="I937" t="s">
        <v>465</v>
      </c>
      <c r="J937">
        <v>1</v>
      </c>
      <c r="K937">
        <v>2177000</v>
      </c>
      <c r="L937">
        <v>0</v>
      </c>
      <c r="M937">
        <v>1626000</v>
      </c>
      <c r="N937">
        <f>(data[[#This Row],[unit_price]]*data[[#This Row],[quantity]]) * (1-data[[#This Row],[discount]])</f>
        <v>2177000</v>
      </c>
      <c r="O937">
        <f>data[[#This Row],[sales]]-data[[#This Row],[cost]]</f>
        <v>551000</v>
      </c>
      <c r="P937" t="str">
        <f>TEXT(data[[#This Row],[order_date]],"mmm")</f>
        <v>Jan</v>
      </c>
      <c r="Q937">
        <f>YEAR(data[[#This Row],[order_date]])</f>
        <v>2023</v>
      </c>
      <c r="R937">
        <f>MONTH(data[[#This Row],[order_date]])</f>
        <v>1</v>
      </c>
      <c r="S937">
        <f>DAY(data[[#This Row],[order_date]])</f>
        <v>18</v>
      </c>
      <c r="T937">
        <f>data[[#This Row],[profit]]/data[[#This Row],[sales]]</f>
        <v>0.25310059715204408</v>
      </c>
    </row>
    <row r="938" spans="1:20" x14ac:dyDescent="0.35">
      <c r="A938" t="s">
        <v>1148</v>
      </c>
      <c r="B938" s="1">
        <v>44967</v>
      </c>
      <c r="C938" t="s">
        <v>14</v>
      </c>
      <c r="D938" t="s">
        <v>15</v>
      </c>
      <c r="E938" t="s">
        <v>93</v>
      </c>
      <c r="F938" t="s">
        <v>23</v>
      </c>
      <c r="G938" t="s">
        <v>1146</v>
      </c>
      <c r="H938" t="s">
        <v>1147</v>
      </c>
      <c r="I938" t="s">
        <v>465</v>
      </c>
      <c r="J938">
        <v>1</v>
      </c>
      <c r="K938">
        <v>2363000</v>
      </c>
      <c r="L938">
        <v>0.05</v>
      </c>
      <c r="M938">
        <v>1762000</v>
      </c>
      <c r="N938">
        <f>(data[[#This Row],[unit_price]]*data[[#This Row],[quantity]]) * (1-data[[#This Row],[discount]])</f>
        <v>2244850</v>
      </c>
      <c r="O938">
        <f>data[[#This Row],[sales]]-data[[#This Row],[cost]]</f>
        <v>482850</v>
      </c>
      <c r="P938" t="str">
        <f>TEXT(data[[#This Row],[order_date]],"mmm")</f>
        <v>Feb</v>
      </c>
      <c r="Q938">
        <f>YEAR(data[[#This Row],[order_date]])</f>
        <v>2023</v>
      </c>
      <c r="R938">
        <f>MONTH(data[[#This Row],[order_date]])</f>
        <v>2</v>
      </c>
      <c r="S938">
        <f>DAY(data[[#This Row],[order_date]])</f>
        <v>10</v>
      </c>
      <c r="T938">
        <f>data[[#This Row],[profit]]/data[[#This Row],[sales]]</f>
        <v>0.21509232242688822</v>
      </c>
    </row>
    <row r="939" spans="1:20" x14ac:dyDescent="0.35">
      <c r="A939" t="s">
        <v>1149</v>
      </c>
      <c r="B939" s="1">
        <v>44979</v>
      </c>
      <c r="C939" t="s">
        <v>14</v>
      </c>
      <c r="D939" t="s">
        <v>15</v>
      </c>
      <c r="E939" t="s">
        <v>91</v>
      </c>
      <c r="F939" t="s">
        <v>23</v>
      </c>
      <c r="G939" t="s">
        <v>1146</v>
      </c>
      <c r="H939" t="s">
        <v>1147</v>
      </c>
      <c r="I939" t="s">
        <v>465</v>
      </c>
      <c r="J939">
        <v>2</v>
      </c>
      <c r="K939">
        <v>2468000</v>
      </c>
      <c r="L939">
        <v>0</v>
      </c>
      <c r="M939">
        <v>1881000</v>
      </c>
      <c r="N939">
        <f>(data[[#This Row],[unit_price]]*data[[#This Row],[quantity]]) * (1-data[[#This Row],[discount]])</f>
        <v>4936000</v>
      </c>
      <c r="O939">
        <f>data[[#This Row],[sales]]-data[[#This Row],[cost]]</f>
        <v>3055000</v>
      </c>
      <c r="P939" t="str">
        <f>TEXT(data[[#This Row],[order_date]],"mmm")</f>
        <v>Feb</v>
      </c>
      <c r="Q939">
        <f>YEAR(data[[#This Row],[order_date]])</f>
        <v>2023</v>
      </c>
      <c r="R939">
        <f>MONTH(data[[#This Row],[order_date]])</f>
        <v>2</v>
      </c>
      <c r="S939">
        <f>DAY(data[[#This Row],[order_date]])</f>
        <v>22</v>
      </c>
      <c r="T939">
        <f>data[[#This Row],[profit]]/data[[#This Row],[sales]]</f>
        <v>0.6189222042139384</v>
      </c>
    </row>
    <row r="940" spans="1:20" x14ac:dyDescent="0.35">
      <c r="A940" t="s">
        <v>1150</v>
      </c>
      <c r="B940" s="1">
        <v>45044</v>
      </c>
      <c r="C940" t="s">
        <v>41</v>
      </c>
      <c r="D940" t="s">
        <v>42</v>
      </c>
      <c r="E940" t="s">
        <v>91</v>
      </c>
      <c r="F940" t="s">
        <v>23</v>
      </c>
      <c r="G940" t="s">
        <v>1146</v>
      </c>
      <c r="H940" t="s">
        <v>1147</v>
      </c>
      <c r="I940" t="s">
        <v>465</v>
      </c>
      <c r="J940">
        <v>2</v>
      </c>
      <c r="K940">
        <v>2711000</v>
      </c>
      <c r="L940">
        <v>0.05</v>
      </c>
      <c r="M940">
        <v>2025000</v>
      </c>
      <c r="N940">
        <f>(data[[#This Row],[unit_price]]*data[[#This Row],[quantity]]) * (1-data[[#This Row],[discount]])</f>
        <v>5150900</v>
      </c>
      <c r="O940">
        <f>data[[#This Row],[sales]]-data[[#This Row],[cost]]</f>
        <v>3125900</v>
      </c>
      <c r="P940" t="str">
        <f>TEXT(data[[#This Row],[order_date]],"mmm")</f>
        <v>Apr</v>
      </c>
      <c r="Q940">
        <f>YEAR(data[[#This Row],[order_date]])</f>
        <v>2023</v>
      </c>
      <c r="R940">
        <f>MONTH(data[[#This Row],[order_date]])</f>
        <v>4</v>
      </c>
      <c r="S940">
        <f>DAY(data[[#This Row],[order_date]])</f>
        <v>28</v>
      </c>
      <c r="T940">
        <f>data[[#This Row],[profit]]/data[[#This Row],[sales]]</f>
        <v>0.60686481974023954</v>
      </c>
    </row>
    <row r="941" spans="1:20" x14ac:dyDescent="0.35">
      <c r="A941" t="s">
        <v>1151</v>
      </c>
      <c r="B941" s="1">
        <v>45057</v>
      </c>
      <c r="C941" t="s">
        <v>41</v>
      </c>
      <c r="D941" t="s">
        <v>42</v>
      </c>
      <c r="E941" t="s">
        <v>69</v>
      </c>
      <c r="F941" t="s">
        <v>23</v>
      </c>
      <c r="G941" t="s">
        <v>1146</v>
      </c>
      <c r="H941" t="s">
        <v>1147</v>
      </c>
      <c r="I941" t="s">
        <v>465</v>
      </c>
      <c r="J941">
        <v>1</v>
      </c>
      <c r="K941">
        <v>2495000</v>
      </c>
      <c r="L941">
        <v>0.1</v>
      </c>
      <c r="M941">
        <v>1879000</v>
      </c>
      <c r="N941">
        <f>(data[[#This Row],[unit_price]]*data[[#This Row],[quantity]]) * (1-data[[#This Row],[discount]])</f>
        <v>2245500</v>
      </c>
      <c r="O941">
        <f>data[[#This Row],[sales]]-data[[#This Row],[cost]]</f>
        <v>366500</v>
      </c>
      <c r="P941" t="str">
        <f>TEXT(data[[#This Row],[order_date]],"mmm")</f>
        <v>May</v>
      </c>
      <c r="Q941">
        <f>YEAR(data[[#This Row],[order_date]])</f>
        <v>2023</v>
      </c>
      <c r="R941">
        <f>MONTH(data[[#This Row],[order_date]])</f>
        <v>5</v>
      </c>
      <c r="S941">
        <f>DAY(data[[#This Row],[order_date]])</f>
        <v>11</v>
      </c>
      <c r="T941">
        <f>data[[#This Row],[profit]]/data[[#This Row],[sales]]</f>
        <v>0.16321531952794477</v>
      </c>
    </row>
    <row r="942" spans="1:20" x14ac:dyDescent="0.35">
      <c r="A942" t="s">
        <v>1152</v>
      </c>
      <c r="B942" s="1">
        <v>45064</v>
      </c>
      <c r="C942" t="s">
        <v>41</v>
      </c>
      <c r="D942" t="s">
        <v>42</v>
      </c>
      <c r="E942" t="s">
        <v>301</v>
      </c>
      <c r="F942" t="s">
        <v>28</v>
      </c>
      <c r="G942" t="s">
        <v>1146</v>
      </c>
      <c r="H942" t="s">
        <v>1147</v>
      </c>
      <c r="I942" t="s">
        <v>465</v>
      </c>
      <c r="J942">
        <v>1</v>
      </c>
      <c r="K942">
        <v>2793000</v>
      </c>
      <c r="L942">
        <v>0</v>
      </c>
      <c r="M942">
        <v>2044000</v>
      </c>
      <c r="N942">
        <f>(data[[#This Row],[unit_price]]*data[[#This Row],[quantity]]) * (1-data[[#This Row],[discount]])</f>
        <v>2793000</v>
      </c>
      <c r="O942">
        <f>data[[#This Row],[sales]]-data[[#This Row],[cost]]</f>
        <v>749000</v>
      </c>
      <c r="P942" t="str">
        <f>TEXT(data[[#This Row],[order_date]],"mmm")</f>
        <v>May</v>
      </c>
      <c r="Q942">
        <f>YEAR(data[[#This Row],[order_date]])</f>
        <v>2023</v>
      </c>
      <c r="R942">
        <f>MONTH(data[[#This Row],[order_date]])</f>
        <v>5</v>
      </c>
      <c r="S942">
        <f>DAY(data[[#This Row],[order_date]])</f>
        <v>18</v>
      </c>
      <c r="T942">
        <f>data[[#This Row],[profit]]/data[[#This Row],[sales]]</f>
        <v>0.26817042606516289</v>
      </c>
    </row>
    <row r="943" spans="1:20" x14ac:dyDescent="0.35">
      <c r="A943" t="s">
        <v>1153</v>
      </c>
      <c r="B943" s="1">
        <v>45065</v>
      </c>
      <c r="C943" t="s">
        <v>41</v>
      </c>
      <c r="D943" t="s">
        <v>42</v>
      </c>
      <c r="E943" t="s">
        <v>93</v>
      </c>
      <c r="F943" t="s">
        <v>23</v>
      </c>
      <c r="G943" t="s">
        <v>1146</v>
      </c>
      <c r="H943" t="s">
        <v>1147</v>
      </c>
      <c r="I943" t="s">
        <v>465</v>
      </c>
      <c r="J943">
        <v>1</v>
      </c>
      <c r="K943">
        <v>3198000</v>
      </c>
      <c r="L943">
        <v>0</v>
      </c>
      <c r="M943">
        <v>2417000</v>
      </c>
      <c r="N943">
        <f>(data[[#This Row],[unit_price]]*data[[#This Row],[quantity]]) * (1-data[[#This Row],[discount]])</f>
        <v>3198000</v>
      </c>
      <c r="O943">
        <f>data[[#This Row],[sales]]-data[[#This Row],[cost]]</f>
        <v>781000</v>
      </c>
      <c r="P943" t="str">
        <f>TEXT(data[[#This Row],[order_date]],"mmm")</f>
        <v>May</v>
      </c>
      <c r="Q943">
        <f>YEAR(data[[#This Row],[order_date]])</f>
        <v>2023</v>
      </c>
      <c r="R943">
        <f>MONTH(data[[#This Row],[order_date]])</f>
        <v>5</v>
      </c>
      <c r="S943">
        <f>DAY(data[[#This Row],[order_date]])</f>
        <v>19</v>
      </c>
      <c r="T943">
        <f>data[[#This Row],[profit]]/data[[#This Row],[sales]]</f>
        <v>0.24421513445903689</v>
      </c>
    </row>
    <row r="944" spans="1:20" x14ac:dyDescent="0.35">
      <c r="A944" t="s">
        <v>1154</v>
      </c>
      <c r="B944" s="1">
        <v>45124</v>
      </c>
      <c r="C944" t="s">
        <v>36</v>
      </c>
      <c r="D944" t="s">
        <v>37</v>
      </c>
      <c r="E944" t="s">
        <v>132</v>
      </c>
      <c r="F944" t="s">
        <v>28</v>
      </c>
      <c r="G944" t="s">
        <v>1146</v>
      </c>
      <c r="H944" t="s">
        <v>1147</v>
      </c>
      <c r="I944" t="s">
        <v>465</v>
      </c>
      <c r="J944">
        <v>1</v>
      </c>
      <c r="K944">
        <v>3005000</v>
      </c>
      <c r="L944">
        <v>0</v>
      </c>
      <c r="M944">
        <v>2249000</v>
      </c>
      <c r="N944">
        <f>(data[[#This Row],[unit_price]]*data[[#This Row],[quantity]]) * (1-data[[#This Row],[discount]])</f>
        <v>3005000</v>
      </c>
      <c r="O944">
        <f>data[[#This Row],[sales]]-data[[#This Row],[cost]]</f>
        <v>756000</v>
      </c>
      <c r="P944" t="str">
        <f>TEXT(data[[#This Row],[order_date]],"mmm")</f>
        <v>Jul</v>
      </c>
      <c r="Q944">
        <f>YEAR(data[[#This Row],[order_date]])</f>
        <v>2023</v>
      </c>
      <c r="R944">
        <f>MONTH(data[[#This Row],[order_date]])</f>
        <v>7</v>
      </c>
      <c r="S944">
        <f>DAY(data[[#This Row],[order_date]])</f>
        <v>17</v>
      </c>
      <c r="T944">
        <f>data[[#This Row],[profit]]/data[[#This Row],[sales]]</f>
        <v>0.25158069883527456</v>
      </c>
    </row>
    <row r="945" spans="1:20" x14ac:dyDescent="0.35">
      <c r="A945" t="s">
        <v>1155</v>
      </c>
      <c r="B945" s="1">
        <v>45170</v>
      </c>
      <c r="C945" t="s">
        <v>41</v>
      </c>
      <c r="D945" t="s">
        <v>42</v>
      </c>
      <c r="E945" t="s">
        <v>517</v>
      </c>
      <c r="F945" t="s">
        <v>23</v>
      </c>
      <c r="G945" t="s">
        <v>1146</v>
      </c>
      <c r="H945" t="s">
        <v>1147</v>
      </c>
      <c r="I945" t="s">
        <v>465</v>
      </c>
      <c r="J945">
        <v>5</v>
      </c>
      <c r="K945">
        <v>3977000</v>
      </c>
      <c r="L945">
        <v>0</v>
      </c>
      <c r="M945">
        <v>3050000</v>
      </c>
      <c r="N945">
        <f>(data[[#This Row],[unit_price]]*data[[#This Row],[quantity]]) * (1-data[[#This Row],[discount]])</f>
        <v>19885000</v>
      </c>
      <c r="O945">
        <f>data[[#This Row],[sales]]-data[[#This Row],[cost]]</f>
        <v>16835000</v>
      </c>
      <c r="P945" t="str">
        <f>TEXT(data[[#This Row],[order_date]],"mmm")</f>
        <v>Sep</v>
      </c>
      <c r="Q945">
        <f>YEAR(data[[#This Row],[order_date]])</f>
        <v>2023</v>
      </c>
      <c r="R945">
        <f>MONTH(data[[#This Row],[order_date]])</f>
        <v>9</v>
      </c>
      <c r="S945">
        <f>DAY(data[[#This Row],[order_date]])</f>
        <v>1</v>
      </c>
      <c r="T945">
        <f>data[[#This Row],[profit]]/data[[#This Row],[sales]]</f>
        <v>0.84661805380940403</v>
      </c>
    </row>
    <row r="946" spans="1:20" x14ac:dyDescent="0.35">
      <c r="A946" t="s">
        <v>1156</v>
      </c>
      <c r="B946" s="1">
        <v>45215</v>
      </c>
      <c r="C946" t="s">
        <v>41</v>
      </c>
      <c r="D946" t="s">
        <v>42</v>
      </c>
      <c r="E946" t="s">
        <v>524</v>
      </c>
      <c r="F946" t="s">
        <v>17</v>
      </c>
      <c r="G946" t="s">
        <v>1146</v>
      </c>
      <c r="H946" t="s">
        <v>1147</v>
      </c>
      <c r="I946" t="s">
        <v>465</v>
      </c>
      <c r="J946">
        <v>1</v>
      </c>
      <c r="K946">
        <v>2853000</v>
      </c>
      <c r="L946">
        <v>0</v>
      </c>
      <c r="M946">
        <v>2128000</v>
      </c>
      <c r="N946">
        <f>(data[[#This Row],[unit_price]]*data[[#This Row],[quantity]]) * (1-data[[#This Row],[discount]])</f>
        <v>2853000</v>
      </c>
      <c r="O946">
        <f>data[[#This Row],[sales]]-data[[#This Row],[cost]]</f>
        <v>725000</v>
      </c>
      <c r="P946" t="str">
        <f>TEXT(data[[#This Row],[order_date]],"mmm")</f>
        <v>Oct</v>
      </c>
      <c r="Q946">
        <f>YEAR(data[[#This Row],[order_date]])</f>
        <v>2023</v>
      </c>
      <c r="R946">
        <f>MONTH(data[[#This Row],[order_date]])</f>
        <v>10</v>
      </c>
      <c r="S946">
        <f>DAY(data[[#This Row],[order_date]])</f>
        <v>16</v>
      </c>
      <c r="T946">
        <f>data[[#This Row],[profit]]/data[[#This Row],[sales]]</f>
        <v>0.25411847178408692</v>
      </c>
    </row>
    <row r="947" spans="1:20" x14ac:dyDescent="0.35">
      <c r="A947" t="s">
        <v>1157</v>
      </c>
      <c r="B947" s="1">
        <v>45219</v>
      </c>
      <c r="C947" t="s">
        <v>14</v>
      </c>
      <c r="D947" t="s">
        <v>15</v>
      </c>
      <c r="E947" t="s">
        <v>179</v>
      </c>
      <c r="F947" t="s">
        <v>23</v>
      </c>
      <c r="G947" t="s">
        <v>1146</v>
      </c>
      <c r="H947" t="s">
        <v>1147</v>
      </c>
      <c r="I947" t="s">
        <v>465</v>
      </c>
      <c r="J947">
        <v>1</v>
      </c>
      <c r="K947">
        <v>2322000</v>
      </c>
      <c r="L947">
        <v>0</v>
      </c>
      <c r="M947">
        <v>1697000</v>
      </c>
      <c r="N947">
        <f>(data[[#This Row],[unit_price]]*data[[#This Row],[quantity]]) * (1-data[[#This Row],[discount]])</f>
        <v>2322000</v>
      </c>
      <c r="O947">
        <f>data[[#This Row],[sales]]-data[[#This Row],[cost]]</f>
        <v>625000</v>
      </c>
      <c r="P947" t="str">
        <f>TEXT(data[[#This Row],[order_date]],"mmm")</f>
        <v>Oct</v>
      </c>
      <c r="Q947">
        <f>YEAR(data[[#This Row],[order_date]])</f>
        <v>2023</v>
      </c>
      <c r="R947">
        <f>MONTH(data[[#This Row],[order_date]])</f>
        <v>10</v>
      </c>
      <c r="S947">
        <f>DAY(data[[#This Row],[order_date]])</f>
        <v>20</v>
      </c>
      <c r="T947">
        <f>data[[#This Row],[profit]]/data[[#This Row],[sales]]</f>
        <v>0.26916451335055985</v>
      </c>
    </row>
    <row r="948" spans="1:20" x14ac:dyDescent="0.35">
      <c r="A948" t="s">
        <v>1158</v>
      </c>
      <c r="B948" s="1">
        <v>45244</v>
      </c>
      <c r="C948" t="s">
        <v>14</v>
      </c>
      <c r="D948" t="s">
        <v>15</v>
      </c>
      <c r="E948" t="s">
        <v>613</v>
      </c>
      <c r="F948" t="s">
        <v>28</v>
      </c>
      <c r="G948" t="s">
        <v>1146</v>
      </c>
      <c r="H948" t="s">
        <v>1147</v>
      </c>
      <c r="I948" t="s">
        <v>465</v>
      </c>
      <c r="J948">
        <v>1</v>
      </c>
      <c r="K948">
        <v>3718000</v>
      </c>
      <c r="L948">
        <v>0.1</v>
      </c>
      <c r="M948">
        <v>2814000</v>
      </c>
      <c r="N948">
        <f>(data[[#This Row],[unit_price]]*data[[#This Row],[quantity]]) * (1-data[[#This Row],[discount]])</f>
        <v>3346200</v>
      </c>
      <c r="O948">
        <f>data[[#This Row],[sales]]-data[[#This Row],[cost]]</f>
        <v>532200</v>
      </c>
      <c r="P948" t="str">
        <f>TEXT(data[[#This Row],[order_date]],"mmm")</f>
        <v>Nov</v>
      </c>
      <c r="Q948">
        <f>YEAR(data[[#This Row],[order_date]])</f>
        <v>2023</v>
      </c>
      <c r="R948">
        <f>MONTH(data[[#This Row],[order_date]])</f>
        <v>11</v>
      </c>
      <c r="S948">
        <f>DAY(data[[#This Row],[order_date]])</f>
        <v>14</v>
      </c>
      <c r="T948">
        <f>data[[#This Row],[profit]]/data[[#This Row],[sales]]</f>
        <v>0.15904608212300519</v>
      </c>
    </row>
    <row r="949" spans="1:20" x14ac:dyDescent="0.35">
      <c r="A949" t="s">
        <v>1159</v>
      </c>
      <c r="B949" s="1">
        <v>45264</v>
      </c>
      <c r="C949" t="s">
        <v>41</v>
      </c>
      <c r="D949" t="s">
        <v>42</v>
      </c>
      <c r="E949" t="s">
        <v>378</v>
      </c>
      <c r="F949" t="s">
        <v>23</v>
      </c>
      <c r="G949" t="s">
        <v>1146</v>
      </c>
      <c r="H949" t="s">
        <v>1147</v>
      </c>
      <c r="I949" t="s">
        <v>465</v>
      </c>
      <c r="J949">
        <v>1</v>
      </c>
      <c r="K949">
        <v>2620000</v>
      </c>
      <c r="L949">
        <v>0</v>
      </c>
      <c r="M949">
        <v>1985000</v>
      </c>
      <c r="N949">
        <f>(data[[#This Row],[unit_price]]*data[[#This Row],[quantity]]) * (1-data[[#This Row],[discount]])</f>
        <v>2620000</v>
      </c>
      <c r="O949">
        <f>data[[#This Row],[sales]]-data[[#This Row],[cost]]</f>
        <v>635000</v>
      </c>
      <c r="P949" t="str">
        <f>TEXT(data[[#This Row],[order_date]],"mmm")</f>
        <v>Dec</v>
      </c>
      <c r="Q949">
        <f>YEAR(data[[#This Row],[order_date]])</f>
        <v>2023</v>
      </c>
      <c r="R949">
        <f>MONTH(data[[#This Row],[order_date]])</f>
        <v>12</v>
      </c>
      <c r="S949">
        <f>DAY(data[[#This Row],[order_date]])</f>
        <v>4</v>
      </c>
      <c r="T949">
        <f>data[[#This Row],[profit]]/data[[#This Row],[sales]]</f>
        <v>0.24236641221374045</v>
      </c>
    </row>
    <row r="950" spans="1:20" x14ac:dyDescent="0.35">
      <c r="A950" t="s">
        <v>1160</v>
      </c>
      <c r="B950" s="1">
        <v>45267</v>
      </c>
      <c r="C950" t="s">
        <v>14</v>
      </c>
      <c r="D950" t="s">
        <v>15</v>
      </c>
      <c r="E950" t="s">
        <v>447</v>
      </c>
      <c r="F950" t="s">
        <v>23</v>
      </c>
      <c r="G950" t="s">
        <v>1146</v>
      </c>
      <c r="H950" t="s">
        <v>1147</v>
      </c>
      <c r="I950" t="s">
        <v>465</v>
      </c>
      <c r="J950">
        <v>3</v>
      </c>
      <c r="K950">
        <v>2497000</v>
      </c>
      <c r="L950">
        <v>0</v>
      </c>
      <c r="M950">
        <v>1874000</v>
      </c>
      <c r="N950">
        <f>(data[[#This Row],[unit_price]]*data[[#This Row],[quantity]]) * (1-data[[#This Row],[discount]])</f>
        <v>7491000</v>
      </c>
      <c r="O950">
        <f>data[[#This Row],[sales]]-data[[#This Row],[cost]]</f>
        <v>5617000</v>
      </c>
      <c r="P950" t="str">
        <f>TEXT(data[[#This Row],[order_date]],"mmm")</f>
        <v>Dec</v>
      </c>
      <c r="Q950">
        <f>YEAR(data[[#This Row],[order_date]])</f>
        <v>2023</v>
      </c>
      <c r="R950">
        <f>MONTH(data[[#This Row],[order_date]])</f>
        <v>12</v>
      </c>
      <c r="S950">
        <f>DAY(data[[#This Row],[order_date]])</f>
        <v>7</v>
      </c>
      <c r="T950">
        <f>data[[#This Row],[profit]]/data[[#This Row],[sales]]</f>
        <v>0.749833133093045</v>
      </c>
    </row>
    <row r="951" spans="1:20" x14ac:dyDescent="0.35">
      <c r="A951" t="s">
        <v>1161</v>
      </c>
      <c r="B951" s="1">
        <v>45297</v>
      </c>
      <c r="C951" t="s">
        <v>41</v>
      </c>
      <c r="D951" t="s">
        <v>42</v>
      </c>
      <c r="E951" t="s">
        <v>613</v>
      </c>
      <c r="F951" t="s">
        <v>28</v>
      </c>
      <c r="G951" t="s">
        <v>1146</v>
      </c>
      <c r="H951" t="s">
        <v>1147</v>
      </c>
      <c r="I951" t="s">
        <v>465</v>
      </c>
      <c r="J951">
        <v>1</v>
      </c>
      <c r="K951">
        <v>3606000</v>
      </c>
      <c r="L951">
        <v>0</v>
      </c>
      <c r="M951">
        <v>2718000</v>
      </c>
      <c r="N951">
        <f>(data[[#This Row],[unit_price]]*data[[#This Row],[quantity]]) * (1-data[[#This Row],[discount]])</f>
        <v>3606000</v>
      </c>
      <c r="O951">
        <f>data[[#This Row],[sales]]-data[[#This Row],[cost]]</f>
        <v>888000</v>
      </c>
      <c r="P951" t="str">
        <f>TEXT(data[[#This Row],[order_date]],"mmm")</f>
        <v>Jan</v>
      </c>
      <c r="Q951">
        <f>YEAR(data[[#This Row],[order_date]])</f>
        <v>2024</v>
      </c>
      <c r="R951">
        <f>MONTH(data[[#This Row],[order_date]])</f>
        <v>1</v>
      </c>
      <c r="S951">
        <f>DAY(data[[#This Row],[order_date]])</f>
        <v>6</v>
      </c>
      <c r="T951">
        <f>data[[#This Row],[profit]]/data[[#This Row],[sales]]</f>
        <v>0.24625623960066556</v>
      </c>
    </row>
    <row r="952" spans="1:20" x14ac:dyDescent="0.35">
      <c r="A952" t="s">
        <v>1162</v>
      </c>
      <c r="B952" s="1">
        <v>45300</v>
      </c>
      <c r="C952" t="s">
        <v>36</v>
      </c>
      <c r="D952" t="s">
        <v>37</v>
      </c>
      <c r="E952" t="s">
        <v>123</v>
      </c>
      <c r="F952" t="s">
        <v>28</v>
      </c>
      <c r="G952" t="s">
        <v>1146</v>
      </c>
      <c r="H952" t="s">
        <v>1147</v>
      </c>
      <c r="I952" t="s">
        <v>465</v>
      </c>
      <c r="J952">
        <v>1</v>
      </c>
      <c r="K952">
        <v>2706000</v>
      </c>
      <c r="L952">
        <v>0</v>
      </c>
      <c r="M952">
        <v>2048000</v>
      </c>
      <c r="N952">
        <f>(data[[#This Row],[unit_price]]*data[[#This Row],[quantity]]) * (1-data[[#This Row],[discount]])</f>
        <v>2706000</v>
      </c>
      <c r="O952">
        <f>data[[#This Row],[sales]]-data[[#This Row],[cost]]</f>
        <v>658000</v>
      </c>
      <c r="P952" t="str">
        <f>TEXT(data[[#This Row],[order_date]],"mmm")</f>
        <v>Jan</v>
      </c>
      <c r="Q952">
        <f>YEAR(data[[#This Row],[order_date]])</f>
        <v>2024</v>
      </c>
      <c r="R952">
        <f>MONTH(data[[#This Row],[order_date]])</f>
        <v>1</v>
      </c>
      <c r="S952">
        <f>DAY(data[[#This Row],[order_date]])</f>
        <v>9</v>
      </c>
      <c r="T952">
        <f>data[[#This Row],[profit]]/data[[#This Row],[sales]]</f>
        <v>0.24316334072431633</v>
      </c>
    </row>
    <row r="953" spans="1:20" x14ac:dyDescent="0.35">
      <c r="A953" t="s">
        <v>1163</v>
      </c>
      <c r="B953" s="1">
        <v>45303</v>
      </c>
      <c r="C953" t="s">
        <v>14</v>
      </c>
      <c r="D953" t="s">
        <v>15</v>
      </c>
      <c r="E953" t="s">
        <v>132</v>
      </c>
      <c r="F953" t="s">
        <v>28</v>
      </c>
      <c r="G953" t="s">
        <v>1146</v>
      </c>
      <c r="H953" t="s">
        <v>1147</v>
      </c>
      <c r="I953" t="s">
        <v>465</v>
      </c>
      <c r="J953">
        <v>1</v>
      </c>
      <c r="K953">
        <v>3687000</v>
      </c>
      <c r="L953">
        <v>0</v>
      </c>
      <c r="M953">
        <v>2790000</v>
      </c>
      <c r="N953">
        <f>(data[[#This Row],[unit_price]]*data[[#This Row],[quantity]]) * (1-data[[#This Row],[discount]])</f>
        <v>3687000</v>
      </c>
      <c r="O953">
        <f>data[[#This Row],[sales]]-data[[#This Row],[cost]]</f>
        <v>897000</v>
      </c>
      <c r="P953" t="str">
        <f>TEXT(data[[#This Row],[order_date]],"mmm")</f>
        <v>Jan</v>
      </c>
      <c r="Q953">
        <f>YEAR(data[[#This Row],[order_date]])</f>
        <v>2024</v>
      </c>
      <c r="R953">
        <f>MONTH(data[[#This Row],[order_date]])</f>
        <v>1</v>
      </c>
      <c r="S953">
        <f>DAY(data[[#This Row],[order_date]])</f>
        <v>12</v>
      </c>
      <c r="T953">
        <f>data[[#This Row],[profit]]/data[[#This Row],[sales]]</f>
        <v>0.24328722538649308</v>
      </c>
    </row>
    <row r="954" spans="1:20" x14ac:dyDescent="0.35">
      <c r="A954" t="s">
        <v>1164</v>
      </c>
      <c r="B954" s="1">
        <v>45303</v>
      </c>
      <c r="C954" t="s">
        <v>14</v>
      </c>
      <c r="D954" t="s">
        <v>15</v>
      </c>
      <c r="E954" t="s">
        <v>447</v>
      </c>
      <c r="F954" t="s">
        <v>23</v>
      </c>
      <c r="G954" t="s">
        <v>1146</v>
      </c>
      <c r="H954" t="s">
        <v>1147</v>
      </c>
      <c r="I954" t="s">
        <v>465</v>
      </c>
      <c r="J954">
        <v>1</v>
      </c>
      <c r="K954">
        <v>3935000</v>
      </c>
      <c r="L954">
        <v>0</v>
      </c>
      <c r="M954">
        <v>2951000</v>
      </c>
      <c r="N954">
        <f>(data[[#This Row],[unit_price]]*data[[#This Row],[quantity]]) * (1-data[[#This Row],[discount]])</f>
        <v>3935000</v>
      </c>
      <c r="O954">
        <f>data[[#This Row],[sales]]-data[[#This Row],[cost]]</f>
        <v>984000</v>
      </c>
      <c r="P954" t="str">
        <f>TEXT(data[[#This Row],[order_date]],"mmm")</f>
        <v>Jan</v>
      </c>
      <c r="Q954">
        <f>YEAR(data[[#This Row],[order_date]])</f>
        <v>2024</v>
      </c>
      <c r="R954">
        <f>MONTH(data[[#This Row],[order_date]])</f>
        <v>1</v>
      </c>
      <c r="S954">
        <f>DAY(data[[#This Row],[order_date]])</f>
        <v>12</v>
      </c>
      <c r="T954">
        <f>data[[#This Row],[profit]]/data[[#This Row],[sales]]</f>
        <v>0.25006353240152479</v>
      </c>
    </row>
    <row r="955" spans="1:20" x14ac:dyDescent="0.35">
      <c r="A955" t="s">
        <v>1165</v>
      </c>
      <c r="B955" s="1">
        <v>45314</v>
      </c>
      <c r="C955" t="s">
        <v>25</v>
      </c>
      <c r="D955" t="s">
        <v>26</v>
      </c>
      <c r="E955" t="s">
        <v>295</v>
      </c>
      <c r="F955" t="s">
        <v>23</v>
      </c>
      <c r="G955" t="s">
        <v>1146</v>
      </c>
      <c r="H955" t="s">
        <v>1147</v>
      </c>
      <c r="I955" t="s">
        <v>465</v>
      </c>
      <c r="J955">
        <v>1</v>
      </c>
      <c r="K955">
        <v>3445000</v>
      </c>
      <c r="L955">
        <v>0</v>
      </c>
      <c r="M955">
        <v>2554000</v>
      </c>
      <c r="N955">
        <f>(data[[#This Row],[unit_price]]*data[[#This Row],[quantity]]) * (1-data[[#This Row],[discount]])</f>
        <v>3445000</v>
      </c>
      <c r="O955">
        <f>data[[#This Row],[sales]]-data[[#This Row],[cost]]</f>
        <v>891000</v>
      </c>
      <c r="P955" t="str">
        <f>TEXT(data[[#This Row],[order_date]],"mmm")</f>
        <v>Jan</v>
      </c>
      <c r="Q955">
        <f>YEAR(data[[#This Row],[order_date]])</f>
        <v>2024</v>
      </c>
      <c r="R955">
        <f>MONTH(data[[#This Row],[order_date]])</f>
        <v>1</v>
      </c>
      <c r="S955">
        <f>DAY(data[[#This Row],[order_date]])</f>
        <v>23</v>
      </c>
      <c r="T955">
        <f>data[[#This Row],[profit]]/data[[#This Row],[sales]]</f>
        <v>0.25863570391872276</v>
      </c>
    </row>
    <row r="956" spans="1:20" x14ac:dyDescent="0.35">
      <c r="A956" t="s">
        <v>1166</v>
      </c>
      <c r="B956" s="1">
        <v>45340</v>
      </c>
      <c r="C956" t="s">
        <v>14</v>
      </c>
      <c r="D956" t="s">
        <v>15</v>
      </c>
      <c r="E956" t="s">
        <v>349</v>
      </c>
      <c r="F956" t="s">
        <v>23</v>
      </c>
      <c r="G956" t="s">
        <v>1146</v>
      </c>
      <c r="H956" t="s">
        <v>1147</v>
      </c>
      <c r="I956" t="s">
        <v>465</v>
      </c>
      <c r="J956">
        <v>1</v>
      </c>
      <c r="K956">
        <v>3548000</v>
      </c>
      <c r="L956">
        <v>0</v>
      </c>
      <c r="M956">
        <v>2593000</v>
      </c>
      <c r="N956">
        <f>(data[[#This Row],[unit_price]]*data[[#This Row],[quantity]]) * (1-data[[#This Row],[discount]])</f>
        <v>3548000</v>
      </c>
      <c r="O956">
        <f>data[[#This Row],[sales]]-data[[#This Row],[cost]]</f>
        <v>955000</v>
      </c>
      <c r="P956" t="str">
        <f>TEXT(data[[#This Row],[order_date]],"mmm")</f>
        <v>Feb</v>
      </c>
      <c r="Q956">
        <f>YEAR(data[[#This Row],[order_date]])</f>
        <v>2024</v>
      </c>
      <c r="R956">
        <f>MONTH(data[[#This Row],[order_date]])</f>
        <v>2</v>
      </c>
      <c r="S956">
        <f>DAY(data[[#This Row],[order_date]])</f>
        <v>18</v>
      </c>
      <c r="T956">
        <f>data[[#This Row],[profit]]/data[[#This Row],[sales]]</f>
        <v>0.26916572717023673</v>
      </c>
    </row>
    <row r="957" spans="1:20" x14ac:dyDescent="0.35">
      <c r="A957" t="s">
        <v>1167</v>
      </c>
      <c r="B957" s="1">
        <v>45357</v>
      </c>
      <c r="C957" t="s">
        <v>14</v>
      </c>
      <c r="D957" t="s">
        <v>15</v>
      </c>
      <c r="E957" t="s">
        <v>210</v>
      </c>
      <c r="F957" t="s">
        <v>23</v>
      </c>
      <c r="G957" t="s">
        <v>1146</v>
      </c>
      <c r="H957" t="s">
        <v>1147</v>
      </c>
      <c r="I957" t="s">
        <v>465</v>
      </c>
      <c r="J957">
        <v>1</v>
      </c>
      <c r="K957">
        <v>3273000</v>
      </c>
      <c r="L957">
        <v>0</v>
      </c>
      <c r="M957">
        <v>2447000</v>
      </c>
      <c r="N957">
        <f>(data[[#This Row],[unit_price]]*data[[#This Row],[quantity]]) * (1-data[[#This Row],[discount]])</f>
        <v>3273000</v>
      </c>
      <c r="O957">
        <f>data[[#This Row],[sales]]-data[[#This Row],[cost]]</f>
        <v>826000</v>
      </c>
      <c r="P957" t="str">
        <f>TEXT(data[[#This Row],[order_date]],"mmm")</f>
        <v>Mar</v>
      </c>
      <c r="Q957">
        <f>YEAR(data[[#This Row],[order_date]])</f>
        <v>2024</v>
      </c>
      <c r="R957">
        <f>MONTH(data[[#This Row],[order_date]])</f>
        <v>3</v>
      </c>
      <c r="S957">
        <f>DAY(data[[#This Row],[order_date]])</f>
        <v>6</v>
      </c>
      <c r="T957">
        <f>data[[#This Row],[profit]]/data[[#This Row],[sales]]</f>
        <v>0.25236785823403607</v>
      </c>
    </row>
    <row r="958" spans="1:20" x14ac:dyDescent="0.35">
      <c r="A958" t="s">
        <v>1168</v>
      </c>
      <c r="B958" s="1">
        <v>45414</v>
      </c>
      <c r="C958" t="s">
        <v>41</v>
      </c>
      <c r="D958" t="s">
        <v>42</v>
      </c>
      <c r="E958" t="s">
        <v>419</v>
      </c>
      <c r="F958" t="s">
        <v>17</v>
      </c>
      <c r="G958" t="s">
        <v>1146</v>
      </c>
      <c r="H958" t="s">
        <v>1147</v>
      </c>
      <c r="I958" t="s">
        <v>465</v>
      </c>
      <c r="J958">
        <v>2</v>
      </c>
      <c r="K958">
        <v>3813000</v>
      </c>
      <c r="L958">
        <v>0</v>
      </c>
      <c r="M958">
        <v>2860000</v>
      </c>
      <c r="N958">
        <f>(data[[#This Row],[unit_price]]*data[[#This Row],[quantity]]) * (1-data[[#This Row],[discount]])</f>
        <v>7626000</v>
      </c>
      <c r="O958">
        <f>data[[#This Row],[sales]]-data[[#This Row],[cost]]</f>
        <v>4766000</v>
      </c>
      <c r="P958" t="str">
        <f>TEXT(data[[#This Row],[order_date]],"mmm")</f>
        <v>May</v>
      </c>
      <c r="Q958">
        <f>YEAR(data[[#This Row],[order_date]])</f>
        <v>2024</v>
      </c>
      <c r="R958">
        <f>MONTH(data[[#This Row],[order_date]])</f>
        <v>5</v>
      </c>
      <c r="S958">
        <f>DAY(data[[#This Row],[order_date]])</f>
        <v>2</v>
      </c>
      <c r="T958">
        <f>data[[#This Row],[profit]]/data[[#This Row],[sales]]</f>
        <v>0.62496721741410965</v>
      </c>
    </row>
    <row r="959" spans="1:20" x14ac:dyDescent="0.35">
      <c r="A959" t="s">
        <v>1169</v>
      </c>
      <c r="B959" s="1">
        <v>45415</v>
      </c>
      <c r="C959" t="s">
        <v>41</v>
      </c>
      <c r="D959" t="s">
        <v>42</v>
      </c>
      <c r="E959" t="s">
        <v>208</v>
      </c>
      <c r="F959" t="s">
        <v>23</v>
      </c>
      <c r="G959" t="s">
        <v>1146</v>
      </c>
      <c r="H959" t="s">
        <v>1147</v>
      </c>
      <c r="I959" t="s">
        <v>465</v>
      </c>
      <c r="J959">
        <v>2</v>
      </c>
      <c r="K959">
        <v>2836000</v>
      </c>
      <c r="L959">
        <v>0</v>
      </c>
      <c r="M959">
        <v>2136000</v>
      </c>
      <c r="N959">
        <f>(data[[#This Row],[unit_price]]*data[[#This Row],[quantity]]) * (1-data[[#This Row],[discount]])</f>
        <v>5672000</v>
      </c>
      <c r="O959">
        <f>data[[#This Row],[sales]]-data[[#This Row],[cost]]</f>
        <v>3536000</v>
      </c>
      <c r="P959" t="str">
        <f>TEXT(data[[#This Row],[order_date]],"mmm")</f>
        <v>May</v>
      </c>
      <c r="Q959">
        <f>YEAR(data[[#This Row],[order_date]])</f>
        <v>2024</v>
      </c>
      <c r="R959">
        <f>MONTH(data[[#This Row],[order_date]])</f>
        <v>5</v>
      </c>
      <c r="S959">
        <f>DAY(data[[#This Row],[order_date]])</f>
        <v>3</v>
      </c>
      <c r="T959">
        <f>data[[#This Row],[profit]]/data[[#This Row],[sales]]</f>
        <v>0.62341325811001413</v>
      </c>
    </row>
    <row r="960" spans="1:20" x14ac:dyDescent="0.35">
      <c r="A960" t="s">
        <v>1170</v>
      </c>
      <c r="B960" s="1">
        <v>45454</v>
      </c>
      <c r="C960" t="s">
        <v>41</v>
      </c>
      <c r="D960" t="s">
        <v>42</v>
      </c>
      <c r="E960" t="s">
        <v>55</v>
      </c>
      <c r="F960" t="s">
        <v>17</v>
      </c>
      <c r="G960" t="s">
        <v>1146</v>
      </c>
      <c r="H960" t="s">
        <v>1147</v>
      </c>
      <c r="I960" t="s">
        <v>465</v>
      </c>
      <c r="J960">
        <v>1</v>
      </c>
      <c r="K960">
        <v>2801000</v>
      </c>
      <c r="L960">
        <v>0</v>
      </c>
      <c r="M960">
        <v>2145000</v>
      </c>
      <c r="N960">
        <f>(data[[#This Row],[unit_price]]*data[[#This Row],[quantity]]) * (1-data[[#This Row],[discount]])</f>
        <v>2801000</v>
      </c>
      <c r="O960">
        <f>data[[#This Row],[sales]]-data[[#This Row],[cost]]</f>
        <v>656000</v>
      </c>
      <c r="P960" t="str">
        <f>TEXT(data[[#This Row],[order_date]],"mmm")</f>
        <v>Jun</v>
      </c>
      <c r="Q960">
        <f>YEAR(data[[#This Row],[order_date]])</f>
        <v>2024</v>
      </c>
      <c r="R960">
        <f>MONTH(data[[#This Row],[order_date]])</f>
        <v>6</v>
      </c>
      <c r="S960">
        <f>DAY(data[[#This Row],[order_date]])</f>
        <v>11</v>
      </c>
      <c r="T960">
        <f>data[[#This Row],[profit]]/data[[#This Row],[sales]]</f>
        <v>0.23420207068903962</v>
      </c>
    </row>
    <row r="961" spans="1:20" x14ac:dyDescent="0.35">
      <c r="A961" t="s">
        <v>1171</v>
      </c>
      <c r="B961" s="1">
        <v>45463</v>
      </c>
      <c r="C961" t="s">
        <v>14</v>
      </c>
      <c r="D961" t="s">
        <v>15</v>
      </c>
      <c r="E961" t="s">
        <v>57</v>
      </c>
      <c r="F961" t="s">
        <v>58</v>
      </c>
      <c r="G961" t="s">
        <v>1146</v>
      </c>
      <c r="H961" t="s">
        <v>1147</v>
      </c>
      <c r="I961" t="s">
        <v>465</v>
      </c>
      <c r="J961">
        <v>1</v>
      </c>
      <c r="K961">
        <v>3962000</v>
      </c>
      <c r="L961">
        <v>0</v>
      </c>
      <c r="M961">
        <v>2979000</v>
      </c>
      <c r="N961">
        <f>(data[[#This Row],[unit_price]]*data[[#This Row],[quantity]]) * (1-data[[#This Row],[discount]])</f>
        <v>3962000</v>
      </c>
      <c r="O961">
        <f>data[[#This Row],[sales]]-data[[#This Row],[cost]]</f>
        <v>983000</v>
      </c>
      <c r="P961" t="str">
        <f>TEXT(data[[#This Row],[order_date]],"mmm")</f>
        <v>Jun</v>
      </c>
      <c r="Q961">
        <f>YEAR(data[[#This Row],[order_date]])</f>
        <v>2024</v>
      </c>
      <c r="R961">
        <f>MONTH(data[[#This Row],[order_date]])</f>
        <v>6</v>
      </c>
      <c r="S961">
        <f>DAY(data[[#This Row],[order_date]])</f>
        <v>20</v>
      </c>
      <c r="T961">
        <f>data[[#This Row],[profit]]/data[[#This Row],[sales]]</f>
        <v>0.24810701665825341</v>
      </c>
    </row>
    <row r="962" spans="1:20" x14ac:dyDescent="0.35">
      <c r="A962" t="s">
        <v>1172</v>
      </c>
      <c r="B962" s="1">
        <v>45528</v>
      </c>
      <c r="C962" t="s">
        <v>14</v>
      </c>
      <c r="D962" t="s">
        <v>15</v>
      </c>
      <c r="E962" t="s">
        <v>274</v>
      </c>
      <c r="F962" t="s">
        <v>58</v>
      </c>
      <c r="G962" t="s">
        <v>1146</v>
      </c>
      <c r="H962" t="s">
        <v>1147</v>
      </c>
      <c r="I962" t="s">
        <v>465</v>
      </c>
      <c r="J962">
        <v>2</v>
      </c>
      <c r="K962">
        <v>3367000</v>
      </c>
      <c r="L962">
        <v>0</v>
      </c>
      <c r="M962">
        <v>2505000</v>
      </c>
      <c r="N962">
        <f>(data[[#This Row],[unit_price]]*data[[#This Row],[quantity]]) * (1-data[[#This Row],[discount]])</f>
        <v>6734000</v>
      </c>
      <c r="O962">
        <f>data[[#This Row],[sales]]-data[[#This Row],[cost]]</f>
        <v>4229000</v>
      </c>
      <c r="P962" t="str">
        <f>TEXT(data[[#This Row],[order_date]],"mmm")</f>
        <v>Aug</v>
      </c>
      <c r="Q962">
        <f>YEAR(data[[#This Row],[order_date]])</f>
        <v>2024</v>
      </c>
      <c r="R962">
        <f>MONTH(data[[#This Row],[order_date]])</f>
        <v>8</v>
      </c>
      <c r="S962">
        <f>DAY(data[[#This Row],[order_date]])</f>
        <v>24</v>
      </c>
      <c r="T962">
        <f>data[[#This Row],[profit]]/data[[#This Row],[sales]]</f>
        <v>0.62800712800712799</v>
      </c>
    </row>
    <row r="963" spans="1:20" x14ac:dyDescent="0.35">
      <c r="A963" t="s">
        <v>1173</v>
      </c>
      <c r="B963" s="1">
        <v>45537</v>
      </c>
      <c r="C963" t="s">
        <v>14</v>
      </c>
      <c r="D963" t="s">
        <v>15</v>
      </c>
      <c r="E963" t="s">
        <v>186</v>
      </c>
      <c r="F963" t="s">
        <v>23</v>
      </c>
      <c r="G963" t="s">
        <v>1146</v>
      </c>
      <c r="H963" t="s">
        <v>1147</v>
      </c>
      <c r="I963" t="s">
        <v>465</v>
      </c>
      <c r="J963">
        <v>3</v>
      </c>
      <c r="K963">
        <v>2410000</v>
      </c>
      <c r="L963">
        <v>0</v>
      </c>
      <c r="M963">
        <v>1784000</v>
      </c>
      <c r="N963">
        <f>(data[[#This Row],[unit_price]]*data[[#This Row],[quantity]]) * (1-data[[#This Row],[discount]])</f>
        <v>7230000</v>
      </c>
      <c r="O963">
        <f>data[[#This Row],[sales]]-data[[#This Row],[cost]]</f>
        <v>5446000</v>
      </c>
      <c r="P963" t="str">
        <f>TEXT(data[[#This Row],[order_date]],"mmm")</f>
        <v>Sep</v>
      </c>
      <c r="Q963">
        <f>YEAR(data[[#This Row],[order_date]])</f>
        <v>2024</v>
      </c>
      <c r="R963">
        <f>MONTH(data[[#This Row],[order_date]])</f>
        <v>9</v>
      </c>
      <c r="S963">
        <f>DAY(data[[#This Row],[order_date]])</f>
        <v>2</v>
      </c>
      <c r="T963">
        <f>data[[#This Row],[profit]]/data[[#This Row],[sales]]</f>
        <v>0.7532503457814661</v>
      </c>
    </row>
    <row r="964" spans="1:20" x14ac:dyDescent="0.35">
      <c r="A964" t="s">
        <v>1174</v>
      </c>
      <c r="B964" s="1">
        <v>45543</v>
      </c>
      <c r="C964" t="s">
        <v>14</v>
      </c>
      <c r="D964" t="s">
        <v>15</v>
      </c>
      <c r="E964" t="s">
        <v>224</v>
      </c>
      <c r="F964" t="s">
        <v>23</v>
      </c>
      <c r="G964" t="s">
        <v>1146</v>
      </c>
      <c r="H964" t="s">
        <v>1147</v>
      </c>
      <c r="I964" t="s">
        <v>465</v>
      </c>
      <c r="J964">
        <v>3</v>
      </c>
      <c r="K964">
        <v>2422000</v>
      </c>
      <c r="L964">
        <v>0</v>
      </c>
      <c r="M964">
        <v>1769000</v>
      </c>
      <c r="N964">
        <f>(data[[#This Row],[unit_price]]*data[[#This Row],[quantity]]) * (1-data[[#This Row],[discount]])</f>
        <v>7266000</v>
      </c>
      <c r="O964">
        <f>data[[#This Row],[sales]]-data[[#This Row],[cost]]</f>
        <v>5497000</v>
      </c>
      <c r="P964" t="str">
        <f>TEXT(data[[#This Row],[order_date]],"mmm")</f>
        <v>Sep</v>
      </c>
      <c r="Q964">
        <f>YEAR(data[[#This Row],[order_date]])</f>
        <v>2024</v>
      </c>
      <c r="R964">
        <f>MONTH(data[[#This Row],[order_date]])</f>
        <v>9</v>
      </c>
      <c r="S964">
        <f>DAY(data[[#This Row],[order_date]])</f>
        <v>8</v>
      </c>
      <c r="T964">
        <f>data[[#This Row],[profit]]/data[[#This Row],[sales]]</f>
        <v>0.75653729699972472</v>
      </c>
    </row>
    <row r="965" spans="1:20" x14ac:dyDescent="0.35">
      <c r="A965" t="s">
        <v>1175</v>
      </c>
      <c r="B965" s="1">
        <v>45558</v>
      </c>
      <c r="C965" t="s">
        <v>49</v>
      </c>
      <c r="D965" t="s">
        <v>50</v>
      </c>
      <c r="E965" t="s">
        <v>27</v>
      </c>
      <c r="F965" t="s">
        <v>28</v>
      </c>
      <c r="G965" t="s">
        <v>1146</v>
      </c>
      <c r="H965" t="s">
        <v>1147</v>
      </c>
      <c r="I965" t="s">
        <v>465</v>
      </c>
      <c r="J965">
        <v>2</v>
      </c>
      <c r="K965">
        <v>2439000</v>
      </c>
      <c r="L965">
        <v>0.1</v>
      </c>
      <c r="M965">
        <v>1816000</v>
      </c>
      <c r="N965">
        <f>(data[[#This Row],[unit_price]]*data[[#This Row],[quantity]]) * (1-data[[#This Row],[discount]])</f>
        <v>4390200</v>
      </c>
      <c r="O965">
        <f>data[[#This Row],[sales]]-data[[#This Row],[cost]]</f>
        <v>2574200</v>
      </c>
      <c r="P965" t="str">
        <f>TEXT(data[[#This Row],[order_date]],"mmm")</f>
        <v>Sep</v>
      </c>
      <c r="Q965">
        <f>YEAR(data[[#This Row],[order_date]])</f>
        <v>2024</v>
      </c>
      <c r="R965">
        <f>MONTH(data[[#This Row],[order_date]])</f>
        <v>9</v>
      </c>
      <c r="S965">
        <f>DAY(data[[#This Row],[order_date]])</f>
        <v>23</v>
      </c>
      <c r="T965">
        <f>data[[#This Row],[profit]]/data[[#This Row],[sales]]</f>
        <v>0.5863514190697463</v>
      </c>
    </row>
    <row r="966" spans="1:20" x14ac:dyDescent="0.35">
      <c r="A966" t="s">
        <v>1176</v>
      </c>
      <c r="B966" s="1">
        <v>45558</v>
      </c>
      <c r="C966" t="s">
        <v>36</v>
      </c>
      <c r="D966" t="s">
        <v>37</v>
      </c>
      <c r="E966" t="s">
        <v>384</v>
      </c>
      <c r="F966" t="s">
        <v>23</v>
      </c>
      <c r="G966" t="s">
        <v>1146</v>
      </c>
      <c r="H966" t="s">
        <v>1147</v>
      </c>
      <c r="I966" t="s">
        <v>465</v>
      </c>
      <c r="J966">
        <v>1</v>
      </c>
      <c r="K966">
        <v>2281000</v>
      </c>
      <c r="L966">
        <v>0.05</v>
      </c>
      <c r="M966">
        <v>1751000</v>
      </c>
      <c r="N966">
        <f>(data[[#This Row],[unit_price]]*data[[#This Row],[quantity]]) * (1-data[[#This Row],[discount]])</f>
        <v>2166950</v>
      </c>
      <c r="O966">
        <f>data[[#This Row],[sales]]-data[[#This Row],[cost]]</f>
        <v>415950</v>
      </c>
      <c r="P966" t="str">
        <f>TEXT(data[[#This Row],[order_date]],"mmm")</f>
        <v>Sep</v>
      </c>
      <c r="Q966">
        <f>YEAR(data[[#This Row],[order_date]])</f>
        <v>2024</v>
      </c>
      <c r="R966">
        <f>MONTH(data[[#This Row],[order_date]])</f>
        <v>9</v>
      </c>
      <c r="S966">
        <f>DAY(data[[#This Row],[order_date]])</f>
        <v>23</v>
      </c>
      <c r="T966">
        <f>data[[#This Row],[profit]]/data[[#This Row],[sales]]</f>
        <v>0.19195182168485658</v>
      </c>
    </row>
    <row r="967" spans="1:20" x14ac:dyDescent="0.35">
      <c r="A967" t="s">
        <v>1177</v>
      </c>
      <c r="B967" s="1">
        <v>45588</v>
      </c>
      <c r="C967" t="s">
        <v>36</v>
      </c>
      <c r="D967" t="s">
        <v>37</v>
      </c>
      <c r="E967" t="s">
        <v>667</v>
      </c>
      <c r="F967" t="s">
        <v>23</v>
      </c>
      <c r="G967" t="s">
        <v>1146</v>
      </c>
      <c r="H967" t="s">
        <v>1147</v>
      </c>
      <c r="I967" t="s">
        <v>465</v>
      </c>
      <c r="J967">
        <v>1</v>
      </c>
      <c r="K967">
        <v>2555000</v>
      </c>
      <c r="L967">
        <v>0.05</v>
      </c>
      <c r="M967">
        <v>1955000</v>
      </c>
      <c r="N967">
        <f>(data[[#This Row],[unit_price]]*data[[#This Row],[quantity]]) * (1-data[[#This Row],[discount]])</f>
        <v>2427250</v>
      </c>
      <c r="O967">
        <f>data[[#This Row],[sales]]-data[[#This Row],[cost]]</f>
        <v>472250</v>
      </c>
      <c r="P967" t="str">
        <f>TEXT(data[[#This Row],[order_date]],"mmm")</f>
        <v>Oct</v>
      </c>
      <c r="Q967">
        <f>YEAR(data[[#This Row],[order_date]])</f>
        <v>2024</v>
      </c>
      <c r="R967">
        <f>MONTH(data[[#This Row],[order_date]])</f>
        <v>10</v>
      </c>
      <c r="S967">
        <f>DAY(data[[#This Row],[order_date]])</f>
        <v>23</v>
      </c>
      <c r="T967">
        <f>data[[#This Row],[profit]]/data[[#This Row],[sales]]</f>
        <v>0.1945617468328355</v>
      </c>
    </row>
    <row r="968" spans="1:20" x14ac:dyDescent="0.35">
      <c r="A968" t="s">
        <v>1178</v>
      </c>
      <c r="B968" s="1">
        <v>45590</v>
      </c>
      <c r="C968" t="s">
        <v>41</v>
      </c>
      <c r="D968" t="s">
        <v>42</v>
      </c>
      <c r="E968" t="s">
        <v>262</v>
      </c>
      <c r="F968" t="s">
        <v>23</v>
      </c>
      <c r="G968" t="s">
        <v>1146</v>
      </c>
      <c r="H968" t="s">
        <v>1147</v>
      </c>
      <c r="I968" t="s">
        <v>465</v>
      </c>
      <c r="J968">
        <v>1</v>
      </c>
      <c r="K968">
        <v>3429000</v>
      </c>
      <c r="L968">
        <v>0.05</v>
      </c>
      <c r="M968">
        <v>2505000</v>
      </c>
      <c r="N968">
        <f>(data[[#This Row],[unit_price]]*data[[#This Row],[quantity]]) * (1-data[[#This Row],[discount]])</f>
        <v>3257550</v>
      </c>
      <c r="O968">
        <f>data[[#This Row],[sales]]-data[[#This Row],[cost]]</f>
        <v>752550</v>
      </c>
      <c r="P968" t="str">
        <f>TEXT(data[[#This Row],[order_date]],"mmm")</f>
        <v>Oct</v>
      </c>
      <c r="Q968">
        <f>YEAR(data[[#This Row],[order_date]])</f>
        <v>2024</v>
      </c>
      <c r="R968">
        <f>MONTH(data[[#This Row],[order_date]])</f>
        <v>10</v>
      </c>
      <c r="S968">
        <f>DAY(data[[#This Row],[order_date]])</f>
        <v>25</v>
      </c>
      <c r="T968">
        <f>data[[#This Row],[profit]]/data[[#This Row],[sales]]</f>
        <v>0.23101717548464337</v>
      </c>
    </row>
    <row r="969" spans="1:20" x14ac:dyDescent="0.35">
      <c r="A969" t="s">
        <v>1179</v>
      </c>
      <c r="B969" s="1">
        <v>45620</v>
      </c>
      <c r="C969" t="s">
        <v>14</v>
      </c>
      <c r="D969" t="s">
        <v>15</v>
      </c>
      <c r="E969" t="s">
        <v>203</v>
      </c>
      <c r="F969" t="s">
        <v>17</v>
      </c>
      <c r="G969" t="s">
        <v>1146</v>
      </c>
      <c r="H969" t="s">
        <v>1147</v>
      </c>
      <c r="I969" t="s">
        <v>465</v>
      </c>
      <c r="J969">
        <v>3</v>
      </c>
      <c r="K969">
        <v>3729000</v>
      </c>
      <c r="L969">
        <v>0</v>
      </c>
      <c r="M969">
        <v>2747000</v>
      </c>
      <c r="N969">
        <f>(data[[#This Row],[unit_price]]*data[[#This Row],[quantity]]) * (1-data[[#This Row],[discount]])</f>
        <v>11187000</v>
      </c>
      <c r="O969">
        <f>data[[#This Row],[sales]]-data[[#This Row],[cost]]</f>
        <v>8440000</v>
      </c>
      <c r="P969" t="str">
        <f>TEXT(data[[#This Row],[order_date]],"mmm")</f>
        <v>Nov</v>
      </c>
      <c r="Q969">
        <f>YEAR(data[[#This Row],[order_date]])</f>
        <v>2024</v>
      </c>
      <c r="R969">
        <f>MONTH(data[[#This Row],[order_date]])</f>
        <v>11</v>
      </c>
      <c r="S969">
        <f>DAY(data[[#This Row],[order_date]])</f>
        <v>24</v>
      </c>
      <c r="T969">
        <f>data[[#This Row],[profit]]/data[[#This Row],[sales]]</f>
        <v>0.75444712612854203</v>
      </c>
    </row>
    <row r="970" spans="1:20" x14ac:dyDescent="0.35">
      <c r="A970" t="s">
        <v>1180</v>
      </c>
      <c r="B970" s="1">
        <v>45664</v>
      </c>
      <c r="C970" t="s">
        <v>41</v>
      </c>
      <c r="D970" t="s">
        <v>42</v>
      </c>
      <c r="E970" t="s">
        <v>265</v>
      </c>
      <c r="F970" t="s">
        <v>23</v>
      </c>
      <c r="G970" t="s">
        <v>1146</v>
      </c>
      <c r="H970" t="s">
        <v>1147</v>
      </c>
      <c r="I970" t="s">
        <v>465</v>
      </c>
      <c r="J970">
        <v>1</v>
      </c>
      <c r="K970">
        <v>4256000</v>
      </c>
      <c r="L970">
        <v>0</v>
      </c>
      <c r="M970">
        <v>3150000</v>
      </c>
      <c r="N970">
        <f>(data[[#This Row],[unit_price]]*data[[#This Row],[quantity]]) * (1-data[[#This Row],[discount]])</f>
        <v>4256000</v>
      </c>
      <c r="O970">
        <f>data[[#This Row],[sales]]-data[[#This Row],[cost]]</f>
        <v>1106000</v>
      </c>
      <c r="P970" t="str">
        <f>TEXT(data[[#This Row],[order_date]],"mmm")</f>
        <v>Jan</v>
      </c>
      <c r="Q970">
        <f>YEAR(data[[#This Row],[order_date]])</f>
        <v>2025</v>
      </c>
      <c r="R970">
        <f>MONTH(data[[#This Row],[order_date]])</f>
        <v>1</v>
      </c>
      <c r="S970">
        <f>DAY(data[[#This Row],[order_date]])</f>
        <v>7</v>
      </c>
      <c r="T970">
        <f>data[[#This Row],[profit]]/data[[#This Row],[sales]]</f>
        <v>0.25986842105263158</v>
      </c>
    </row>
    <row r="971" spans="1:20" x14ac:dyDescent="0.35">
      <c r="A971" t="s">
        <v>1181</v>
      </c>
      <c r="B971" s="1">
        <v>45673</v>
      </c>
      <c r="C971" t="s">
        <v>41</v>
      </c>
      <c r="D971" t="s">
        <v>42</v>
      </c>
      <c r="E971" t="s">
        <v>81</v>
      </c>
      <c r="F971" t="s">
        <v>17</v>
      </c>
      <c r="G971" t="s">
        <v>1146</v>
      </c>
      <c r="H971" t="s">
        <v>1147</v>
      </c>
      <c r="I971" t="s">
        <v>465</v>
      </c>
      <c r="J971">
        <v>1</v>
      </c>
      <c r="K971">
        <v>2744000</v>
      </c>
      <c r="L971">
        <v>0</v>
      </c>
      <c r="M971">
        <v>2008000</v>
      </c>
      <c r="N971">
        <f>(data[[#This Row],[unit_price]]*data[[#This Row],[quantity]]) * (1-data[[#This Row],[discount]])</f>
        <v>2744000</v>
      </c>
      <c r="O971">
        <f>data[[#This Row],[sales]]-data[[#This Row],[cost]]</f>
        <v>736000</v>
      </c>
      <c r="P971" t="str">
        <f>TEXT(data[[#This Row],[order_date]],"mmm")</f>
        <v>Jan</v>
      </c>
      <c r="Q971">
        <f>YEAR(data[[#This Row],[order_date]])</f>
        <v>2025</v>
      </c>
      <c r="R971">
        <f>MONTH(data[[#This Row],[order_date]])</f>
        <v>1</v>
      </c>
      <c r="S971">
        <f>DAY(data[[#This Row],[order_date]])</f>
        <v>16</v>
      </c>
      <c r="T971">
        <f>data[[#This Row],[profit]]/data[[#This Row],[sales]]</f>
        <v>0.26822157434402333</v>
      </c>
    </row>
    <row r="972" spans="1:20" x14ac:dyDescent="0.35">
      <c r="A972" t="s">
        <v>1182</v>
      </c>
      <c r="B972" s="1">
        <v>45682</v>
      </c>
      <c r="C972" t="s">
        <v>49</v>
      </c>
      <c r="D972" t="s">
        <v>50</v>
      </c>
      <c r="E972" t="s">
        <v>216</v>
      </c>
      <c r="F972" t="s">
        <v>17</v>
      </c>
      <c r="G972" t="s">
        <v>1146</v>
      </c>
      <c r="H972" t="s">
        <v>1147</v>
      </c>
      <c r="I972" t="s">
        <v>465</v>
      </c>
      <c r="J972">
        <v>1</v>
      </c>
      <c r="K972">
        <v>4147000</v>
      </c>
      <c r="L972">
        <v>0</v>
      </c>
      <c r="M972">
        <v>3155000</v>
      </c>
      <c r="N972">
        <f>(data[[#This Row],[unit_price]]*data[[#This Row],[quantity]]) * (1-data[[#This Row],[discount]])</f>
        <v>4147000</v>
      </c>
      <c r="O972">
        <f>data[[#This Row],[sales]]-data[[#This Row],[cost]]</f>
        <v>992000</v>
      </c>
      <c r="P972" t="str">
        <f>TEXT(data[[#This Row],[order_date]],"mmm")</f>
        <v>Jan</v>
      </c>
      <c r="Q972">
        <f>YEAR(data[[#This Row],[order_date]])</f>
        <v>2025</v>
      </c>
      <c r="R972">
        <f>MONTH(data[[#This Row],[order_date]])</f>
        <v>1</v>
      </c>
      <c r="S972">
        <f>DAY(data[[#This Row],[order_date]])</f>
        <v>25</v>
      </c>
      <c r="T972">
        <f>data[[#This Row],[profit]]/data[[#This Row],[sales]]</f>
        <v>0.23920906679527368</v>
      </c>
    </row>
    <row r="973" spans="1:20" x14ac:dyDescent="0.35">
      <c r="A973" t="s">
        <v>1183</v>
      </c>
      <c r="B973" s="1">
        <v>45701</v>
      </c>
      <c r="C973" t="s">
        <v>14</v>
      </c>
      <c r="D973" t="s">
        <v>15</v>
      </c>
      <c r="E973" t="s">
        <v>191</v>
      </c>
      <c r="F973" t="s">
        <v>23</v>
      </c>
      <c r="G973" t="s">
        <v>1146</v>
      </c>
      <c r="H973" t="s">
        <v>1147</v>
      </c>
      <c r="I973" t="s">
        <v>465</v>
      </c>
      <c r="J973">
        <v>1</v>
      </c>
      <c r="K973">
        <v>3043000</v>
      </c>
      <c r="L973">
        <v>0</v>
      </c>
      <c r="M973">
        <v>2293000</v>
      </c>
      <c r="N973">
        <f>(data[[#This Row],[unit_price]]*data[[#This Row],[quantity]]) * (1-data[[#This Row],[discount]])</f>
        <v>3043000</v>
      </c>
      <c r="O973">
        <f>data[[#This Row],[sales]]-data[[#This Row],[cost]]</f>
        <v>750000</v>
      </c>
      <c r="P973" t="str">
        <f>TEXT(data[[#This Row],[order_date]],"mmm")</f>
        <v>Feb</v>
      </c>
      <c r="Q973">
        <f>YEAR(data[[#This Row],[order_date]])</f>
        <v>2025</v>
      </c>
      <c r="R973">
        <f>MONTH(data[[#This Row],[order_date]])</f>
        <v>2</v>
      </c>
      <c r="S973">
        <f>DAY(data[[#This Row],[order_date]])</f>
        <v>13</v>
      </c>
      <c r="T973">
        <f>data[[#This Row],[profit]]/data[[#This Row],[sales]]</f>
        <v>0.24646730200460074</v>
      </c>
    </row>
    <row r="974" spans="1:20" x14ac:dyDescent="0.35">
      <c r="A974" t="s">
        <v>1184</v>
      </c>
      <c r="B974" s="1">
        <v>45716</v>
      </c>
      <c r="C974" t="s">
        <v>36</v>
      </c>
      <c r="D974" t="s">
        <v>37</v>
      </c>
      <c r="E974" t="s">
        <v>57</v>
      </c>
      <c r="F974" t="s">
        <v>58</v>
      </c>
      <c r="G974" t="s">
        <v>1146</v>
      </c>
      <c r="H974" t="s">
        <v>1147</v>
      </c>
      <c r="I974" t="s">
        <v>465</v>
      </c>
      <c r="J974">
        <v>1</v>
      </c>
      <c r="K974">
        <v>3599000</v>
      </c>
      <c r="L974">
        <v>0</v>
      </c>
      <c r="M974">
        <v>2649000</v>
      </c>
      <c r="N974">
        <f>(data[[#This Row],[unit_price]]*data[[#This Row],[quantity]]) * (1-data[[#This Row],[discount]])</f>
        <v>3599000</v>
      </c>
      <c r="O974">
        <f>data[[#This Row],[sales]]-data[[#This Row],[cost]]</f>
        <v>950000</v>
      </c>
      <c r="P974" t="str">
        <f>TEXT(data[[#This Row],[order_date]],"mmm")</f>
        <v>Feb</v>
      </c>
      <c r="Q974">
        <f>YEAR(data[[#This Row],[order_date]])</f>
        <v>2025</v>
      </c>
      <c r="R974">
        <f>MONTH(data[[#This Row],[order_date]])</f>
        <v>2</v>
      </c>
      <c r="S974">
        <f>DAY(data[[#This Row],[order_date]])</f>
        <v>28</v>
      </c>
      <c r="T974">
        <f>data[[#This Row],[profit]]/data[[#This Row],[sales]]</f>
        <v>0.26396221172547929</v>
      </c>
    </row>
    <row r="975" spans="1:20" x14ac:dyDescent="0.35">
      <c r="A975" t="s">
        <v>1185</v>
      </c>
      <c r="B975" s="1">
        <v>45730</v>
      </c>
      <c r="C975" t="s">
        <v>41</v>
      </c>
      <c r="D975" t="s">
        <v>42</v>
      </c>
      <c r="E975" t="s">
        <v>319</v>
      </c>
      <c r="F975" t="s">
        <v>23</v>
      </c>
      <c r="G975" t="s">
        <v>1146</v>
      </c>
      <c r="H975" t="s">
        <v>1147</v>
      </c>
      <c r="I975" t="s">
        <v>465</v>
      </c>
      <c r="J975">
        <v>1</v>
      </c>
      <c r="K975">
        <v>4297000</v>
      </c>
      <c r="L975">
        <v>0</v>
      </c>
      <c r="M975">
        <v>3259000</v>
      </c>
      <c r="N975">
        <f>(data[[#This Row],[unit_price]]*data[[#This Row],[quantity]]) * (1-data[[#This Row],[discount]])</f>
        <v>4297000</v>
      </c>
      <c r="O975">
        <f>data[[#This Row],[sales]]-data[[#This Row],[cost]]</f>
        <v>1038000</v>
      </c>
      <c r="P975" t="str">
        <f>TEXT(data[[#This Row],[order_date]],"mmm")</f>
        <v>Mar</v>
      </c>
      <c r="Q975">
        <f>YEAR(data[[#This Row],[order_date]])</f>
        <v>2025</v>
      </c>
      <c r="R975">
        <f>MONTH(data[[#This Row],[order_date]])</f>
        <v>3</v>
      </c>
      <c r="S975">
        <f>DAY(data[[#This Row],[order_date]])</f>
        <v>14</v>
      </c>
      <c r="T975">
        <f>data[[#This Row],[profit]]/data[[#This Row],[sales]]</f>
        <v>0.24156388177798463</v>
      </c>
    </row>
    <row r="976" spans="1:20" x14ac:dyDescent="0.35">
      <c r="A976" t="s">
        <v>1186</v>
      </c>
      <c r="B976" s="1">
        <v>45730</v>
      </c>
      <c r="C976" t="s">
        <v>41</v>
      </c>
      <c r="D976" t="s">
        <v>42</v>
      </c>
      <c r="E976" t="s">
        <v>61</v>
      </c>
      <c r="F976" t="s">
        <v>23</v>
      </c>
      <c r="G976" t="s">
        <v>1146</v>
      </c>
      <c r="H976" t="s">
        <v>1147</v>
      </c>
      <c r="I976" t="s">
        <v>465</v>
      </c>
      <c r="J976">
        <v>1</v>
      </c>
      <c r="K976">
        <v>2922000</v>
      </c>
      <c r="L976">
        <v>0</v>
      </c>
      <c r="M976">
        <v>2177000</v>
      </c>
      <c r="N976">
        <f>(data[[#This Row],[unit_price]]*data[[#This Row],[quantity]]) * (1-data[[#This Row],[discount]])</f>
        <v>2922000</v>
      </c>
      <c r="O976">
        <f>data[[#This Row],[sales]]-data[[#This Row],[cost]]</f>
        <v>745000</v>
      </c>
      <c r="P976" t="str">
        <f>TEXT(data[[#This Row],[order_date]],"mmm")</f>
        <v>Mar</v>
      </c>
      <c r="Q976">
        <f>YEAR(data[[#This Row],[order_date]])</f>
        <v>2025</v>
      </c>
      <c r="R976">
        <f>MONTH(data[[#This Row],[order_date]])</f>
        <v>3</v>
      </c>
      <c r="S976">
        <f>DAY(data[[#This Row],[order_date]])</f>
        <v>14</v>
      </c>
      <c r="T976">
        <f>data[[#This Row],[profit]]/data[[#This Row],[sales]]</f>
        <v>0.25496235455167693</v>
      </c>
    </row>
    <row r="977" spans="1:20" x14ac:dyDescent="0.35">
      <c r="A977" t="s">
        <v>1187</v>
      </c>
      <c r="B977" s="1">
        <v>45772</v>
      </c>
      <c r="C977" t="s">
        <v>36</v>
      </c>
      <c r="D977" t="s">
        <v>37</v>
      </c>
      <c r="E977" t="s">
        <v>205</v>
      </c>
      <c r="F977" t="s">
        <v>17</v>
      </c>
      <c r="G977" t="s">
        <v>1146</v>
      </c>
      <c r="H977" t="s">
        <v>1147</v>
      </c>
      <c r="I977" t="s">
        <v>465</v>
      </c>
      <c r="J977">
        <v>1</v>
      </c>
      <c r="K977">
        <v>2219000</v>
      </c>
      <c r="L977">
        <v>0.1</v>
      </c>
      <c r="M977">
        <v>1673000</v>
      </c>
      <c r="N977">
        <f>(data[[#This Row],[unit_price]]*data[[#This Row],[quantity]]) * (1-data[[#This Row],[discount]])</f>
        <v>1997100</v>
      </c>
      <c r="O977">
        <f>data[[#This Row],[sales]]-data[[#This Row],[cost]]</f>
        <v>324100</v>
      </c>
      <c r="P977" t="str">
        <f>TEXT(data[[#This Row],[order_date]],"mmm")</f>
        <v>Apr</v>
      </c>
      <c r="Q977">
        <f>YEAR(data[[#This Row],[order_date]])</f>
        <v>2025</v>
      </c>
      <c r="R977">
        <f>MONTH(data[[#This Row],[order_date]])</f>
        <v>4</v>
      </c>
      <c r="S977">
        <f>DAY(data[[#This Row],[order_date]])</f>
        <v>25</v>
      </c>
      <c r="T977">
        <f>data[[#This Row],[profit]]/data[[#This Row],[sales]]</f>
        <v>0.16228531370487206</v>
      </c>
    </row>
    <row r="978" spans="1:20" x14ac:dyDescent="0.35">
      <c r="A978" t="s">
        <v>1188</v>
      </c>
      <c r="B978" s="1">
        <v>45782</v>
      </c>
      <c r="C978" t="s">
        <v>14</v>
      </c>
      <c r="D978" t="s">
        <v>15</v>
      </c>
      <c r="E978" t="s">
        <v>247</v>
      </c>
      <c r="F978" t="s">
        <v>17</v>
      </c>
      <c r="G978" t="s">
        <v>1146</v>
      </c>
      <c r="H978" t="s">
        <v>1147</v>
      </c>
      <c r="I978" t="s">
        <v>465</v>
      </c>
      <c r="J978">
        <v>1</v>
      </c>
      <c r="K978">
        <v>3531000</v>
      </c>
      <c r="L978">
        <v>0</v>
      </c>
      <c r="M978">
        <v>2633000</v>
      </c>
      <c r="N978">
        <f>(data[[#This Row],[unit_price]]*data[[#This Row],[quantity]]) * (1-data[[#This Row],[discount]])</f>
        <v>3531000</v>
      </c>
      <c r="O978">
        <f>data[[#This Row],[sales]]-data[[#This Row],[cost]]</f>
        <v>898000</v>
      </c>
      <c r="P978" t="str">
        <f>TEXT(data[[#This Row],[order_date]],"mmm")</f>
        <v>May</v>
      </c>
      <c r="Q978">
        <f>YEAR(data[[#This Row],[order_date]])</f>
        <v>2025</v>
      </c>
      <c r="R978">
        <f>MONTH(data[[#This Row],[order_date]])</f>
        <v>5</v>
      </c>
      <c r="S978">
        <f>DAY(data[[#This Row],[order_date]])</f>
        <v>5</v>
      </c>
      <c r="T978">
        <f>data[[#This Row],[profit]]/data[[#This Row],[sales]]</f>
        <v>0.25431888983290851</v>
      </c>
    </row>
    <row r="979" spans="1:20" x14ac:dyDescent="0.35">
      <c r="A979" t="s">
        <v>1189</v>
      </c>
      <c r="B979" s="1">
        <v>45794</v>
      </c>
      <c r="C979" t="s">
        <v>14</v>
      </c>
      <c r="D979" t="s">
        <v>15</v>
      </c>
      <c r="E979" t="s">
        <v>559</v>
      </c>
      <c r="F979" t="s">
        <v>23</v>
      </c>
      <c r="G979" t="s">
        <v>1146</v>
      </c>
      <c r="H979" t="s">
        <v>1147</v>
      </c>
      <c r="I979" t="s">
        <v>465</v>
      </c>
      <c r="J979">
        <v>3</v>
      </c>
      <c r="K979">
        <v>2599000</v>
      </c>
      <c r="L979">
        <v>0</v>
      </c>
      <c r="M979">
        <v>1900000</v>
      </c>
      <c r="N979">
        <f>(data[[#This Row],[unit_price]]*data[[#This Row],[quantity]]) * (1-data[[#This Row],[discount]])</f>
        <v>7797000</v>
      </c>
      <c r="O979">
        <f>data[[#This Row],[sales]]-data[[#This Row],[cost]]</f>
        <v>5897000</v>
      </c>
      <c r="P979" t="str">
        <f>TEXT(data[[#This Row],[order_date]],"mmm")</f>
        <v>May</v>
      </c>
      <c r="Q979">
        <f>YEAR(data[[#This Row],[order_date]])</f>
        <v>2025</v>
      </c>
      <c r="R979">
        <f>MONTH(data[[#This Row],[order_date]])</f>
        <v>5</v>
      </c>
      <c r="S979">
        <f>DAY(data[[#This Row],[order_date]])</f>
        <v>17</v>
      </c>
      <c r="T979">
        <f>data[[#This Row],[profit]]/data[[#This Row],[sales]]</f>
        <v>0.75631653199948701</v>
      </c>
    </row>
    <row r="980" spans="1:20" x14ac:dyDescent="0.35">
      <c r="A980" t="s">
        <v>1190</v>
      </c>
      <c r="B980" s="1">
        <v>45797</v>
      </c>
      <c r="C980" t="s">
        <v>14</v>
      </c>
      <c r="D980" t="s">
        <v>15</v>
      </c>
      <c r="E980" t="s">
        <v>174</v>
      </c>
      <c r="F980" t="s">
        <v>23</v>
      </c>
      <c r="G980" t="s">
        <v>1146</v>
      </c>
      <c r="H980" t="s">
        <v>1147</v>
      </c>
      <c r="I980" t="s">
        <v>465</v>
      </c>
      <c r="J980">
        <v>1</v>
      </c>
      <c r="K980">
        <v>3278000</v>
      </c>
      <c r="L980">
        <v>0</v>
      </c>
      <c r="M980">
        <v>2505000</v>
      </c>
      <c r="N980">
        <f>(data[[#This Row],[unit_price]]*data[[#This Row],[quantity]]) * (1-data[[#This Row],[discount]])</f>
        <v>3278000</v>
      </c>
      <c r="O980">
        <f>data[[#This Row],[sales]]-data[[#This Row],[cost]]</f>
        <v>773000</v>
      </c>
      <c r="P980" t="str">
        <f>TEXT(data[[#This Row],[order_date]],"mmm")</f>
        <v>May</v>
      </c>
      <c r="Q980">
        <f>YEAR(data[[#This Row],[order_date]])</f>
        <v>2025</v>
      </c>
      <c r="R980">
        <f>MONTH(data[[#This Row],[order_date]])</f>
        <v>5</v>
      </c>
      <c r="S980">
        <f>DAY(data[[#This Row],[order_date]])</f>
        <v>20</v>
      </c>
      <c r="T980">
        <f>data[[#This Row],[profit]]/data[[#This Row],[sales]]</f>
        <v>0.23581452104942038</v>
      </c>
    </row>
    <row r="981" spans="1:20" x14ac:dyDescent="0.35">
      <c r="A981" t="s">
        <v>1191</v>
      </c>
      <c r="B981" s="1">
        <v>45812</v>
      </c>
      <c r="C981" t="s">
        <v>36</v>
      </c>
      <c r="D981" t="s">
        <v>37</v>
      </c>
      <c r="E981" t="s">
        <v>162</v>
      </c>
      <c r="F981" t="s">
        <v>28</v>
      </c>
      <c r="G981" t="s">
        <v>1146</v>
      </c>
      <c r="H981" t="s">
        <v>1147</v>
      </c>
      <c r="I981" t="s">
        <v>465</v>
      </c>
      <c r="J981">
        <v>1</v>
      </c>
      <c r="K981">
        <v>4374000</v>
      </c>
      <c r="L981">
        <v>0.05</v>
      </c>
      <c r="M981">
        <v>3350000</v>
      </c>
      <c r="N981">
        <f>(data[[#This Row],[unit_price]]*data[[#This Row],[quantity]]) * (1-data[[#This Row],[discount]])</f>
        <v>4155300</v>
      </c>
      <c r="O981">
        <f>data[[#This Row],[sales]]-data[[#This Row],[cost]]</f>
        <v>805300</v>
      </c>
      <c r="P981" t="str">
        <f>TEXT(data[[#This Row],[order_date]],"mmm")</f>
        <v>Jun</v>
      </c>
      <c r="Q981">
        <f>YEAR(data[[#This Row],[order_date]])</f>
        <v>2025</v>
      </c>
      <c r="R981">
        <f>MONTH(data[[#This Row],[order_date]])</f>
        <v>6</v>
      </c>
      <c r="S981">
        <f>DAY(data[[#This Row],[order_date]])</f>
        <v>4</v>
      </c>
      <c r="T981">
        <f>data[[#This Row],[profit]]/data[[#This Row],[sales]]</f>
        <v>0.19380068827762134</v>
      </c>
    </row>
    <row r="982" spans="1:20" x14ac:dyDescent="0.35">
      <c r="A982" t="s">
        <v>1192</v>
      </c>
      <c r="B982" s="1">
        <v>45818</v>
      </c>
      <c r="C982" t="s">
        <v>41</v>
      </c>
      <c r="D982" t="s">
        <v>42</v>
      </c>
      <c r="E982" t="s">
        <v>195</v>
      </c>
      <c r="F982" t="s">
        <v>23</v>
      </c>
      <c r="G982" t="s">
        <v>1146</v>
      </c>
      <c r="H982" t="s">
        <v>1147</v>
      </c>
      <c r="I982" t="s">
        <v>465</v>
      </c>
      <c r="J982">
        <v>1</v>
      </c>
      <c r="K982">
        <v>2548000</v>
      </c>
      <c r="L982">
        <v>0.1</v>
      </c>
      <c r="M982">
        <v>1937000</v>
      </c>
      <c r="N982">
        <f>(data[[#This Row],[unit_price]]*data[[#This Row],[quantity]]) * (1-data[[#This Row],[discount]])</f>
        <v>2293200</v>
      </c>
      <c r="O982">
        <f>data[[#This Row],[sales]]-data[[#This Row],[cost]]</f>
        <v>356200</v>
      </c>
      <c r="P982" t="str">
        <f>TEXT(data[[#This Row],[order_date]],"mmm")</f>
        <v>Jun</v>
      </c>
      <c r="Q982">
        <f>YEAR(data[[#This Row],[order_date]])</f>
        <v>2025</v>
      </c>
      <c r="R982">
        <f>MONTH(data[[#This Row],[order_date]])</f>
        <v>6</v>
      </c>
      <c r="S982">
        <f>DAY(data[[#This Row],[order_date]])</f>
        <v>10</v>
      </c>
      <c r="T982">
        <f>data[[#This Row],[profit]]/data[[#This Row],[sales]]</f>
        <v>0.15532879818594103</v>
      </c>
    </row>
    <row r="983" spans="1:20" x14ac:dyDescent="0.35">
      <c r="A983" t="s">
        <v>1193</v>
      </c>
      <c r="B983" s="1">
        <v>45847</v>
      </c>
      <c r="C983" t="s">
        <v>36</v>
      </c>
      <c r="D983" t="s">
        <v>37</v>
      </c>
      <c r="E983" t="s">
        <v>311</v>
      </c>
      <c r="F983" t="s">
        <v>17</v>
      </c>
      <c r="G983" t="s">
        <v>1146</v>
      </c>
      <c r="H983" t="s">
        <v>1147</v>
      </c>
      <c r="I983" t="s">
        <v>465</v>
      </c>
      <c r="J983">
        <v>2</v>
      </c>
      <c r="K983">
        <v>4096000</v>
      </c>
      <c r="L983">
        <v>0.1</v>
      </c>
      <c r="M983">
        <v>3053000</v>
      </c>
      <c r="N983">
        <f>(data[[#This Row],[unit_price]]*data[[#This Row],[quantity]]) * (1-data[[#This Row],[discount]])</f>
        <v>7372800</v>
      </c>
      <c r="O983">
        <f>data[[#This Row],[sales]]-data[[#This Row],[cost]]</f>
        <v>4319800</v>
      </c>
      <c r="P983" t="str">
        <f>TEXT(data[[#This Row],[order_date]],"mmm")</f>
        <v>Jul</v>
      </c>
      <c r="Q983">
        <f>YEAR(data[[#This Row],[order_date]])</f>
        <v>2025</v>
      </c>
      <c r="R983">
        <f>MONTH(data[[#This Row],[order_date]])</f>
        <v>7</v>
      </c>
      <c r="S983">
        <f>DAY(data[[#This Row],[order_date]])</f>
        <v>9</v>
      </c>
      <c r="T983">
        <f>data[[#This Row],[profit]]/data[[#This Row],[sales]]</f>
        <v>0.58591037326388884</v>
      </c>
    </row>
    <row r="984" spans="1:20" x14ac:dyDescent="0.35">
      <c r="A984" t="s">
        <v>1194</v>
      </c>
      <c r="B984" s="1">
        <v>45918</v>
      </c>
      <c r="C984" t="s">
        <v>41</v>
      </c>
      <c r="D984" t="s">
        <v>42</v>
      </c>
      <c r="E984" t="s">
        <v>174</v>
      </c>
      <c r="F984" t="s">
        <v>23</v>
      </c>
      <c r="G984" t="s">
        <v>1146</v>
      </c>
      <c r="H984" t="s">
        <v>1147</v>
      </c>
      <c r="I984" t="s">
        <v>465</v>
      </c>
      <c r="J984">
        <v>3</v>
      </c>
      <c r="K984">
        <v>3895000</v>
      </c>
      <c r="L984">
        <v>0</v>
      </c>
      <c r="M984">
        <v>2883000</v>
      </c>
      <c r="N984">
        <f>(data[[#This Row],[unit_price]]*data[[#This Row],[quantity]]) * (1-data[[#This Row],[discount]])</f>
        <v>11685000</v>
      </c>
      <c r="O984">
        <f>data[[#This Row],[sales]]-data[[#This Row],[cost]]</f>
        <v>8802000</v>
      </c>
      <c r="P984" t="str">
        <f>TEXT(data[[#This Row],[order_date]],"mmm")</f>
        <v>Sep</v>
      </c>
      <c r="Q984">
        <f>YEAR(data[[#This Row],[order_date]])</f>
        <v>2025</v>
      </c>
      <c r="R984">
        <f>MONTH(data[[#This Row],[order_date]])</f>
        <v>9</v>
      </c>
      <c r="S984">
        <f>DAY(data[[#This Row],[order_date]])</f>
        <v>18</v>
      </c>
      <c r="T984">
        <f>data[[#This Row],[profit]]/data[[#This Row],[sales]]</f>
        <v>0.75327342747111681</v>
      </c>
    </row>
    <row r="985" spans="1:20" x14ac:dyDescent="0.35">
      <c r="A985" t="s">
        <v>1195</v>
      </c>
      <c r="B985" s="1">
        <v>45921</v>
      </c>
      <c r="C985" t="s">
        <v>41</v>
      </c>
      <c r="D985" t="s">
        <v>42</v>
      </c>
      <c r="E985" t="s">
        <v>498</v>
      </c>
      <c r="F985" t="s">
        <v>23</v>
      </c>
      <c r="G985" t="s">
        <v>1146</v>
      </c>
      <c r="H985" t="s">
        <v>1147</v>
      </c>
      <c r="I985" t="s">
        <v>465</v>
      </c>
      <c r="J985">
        <v>1</v>
      </c>
      <c r="K985">
        <v>3644000</v>
      </c>
      <c r="L985">
        <v>0</v>
      </c>
      <c r="M985">
        <v>2703000</v>
      </c>
      <c r="N985">
        <f>(data[[#This Row],[unit_price]]*data[[#This Row],[quantity]]) * (1-data[[#This Row],[discount]])</f>
        <v>3644000</v>
      </c>
      <c r="O985">
        <f>data[[#This Row],[sales]]-data[[#This Row],[cost]]</f>
        <v>941000</v>
      </c>
      <c r="P985" t="str">
        <f>TEXT(data[[#This Row],[order_date]],"mmm")</f>
        <v>Sep</v>
      </c>
      <c r="Q985">
        <f>YEAR(data[[#This Row],[order_date]])</f>
        <v>2025</v>
      </c>
      <c r="R985">
        <f>MONTH(data[[#This Row],[order_date]])</f>
        <v>9</v>
      </c>
      <c r="S985">
        <f>DAY(data[[#This Row],[order_date]])</f>
        <v>21</v>
      </c>
      <c r="T985">
        <f>data[[#This Row],[profit]]/data[[#This Row],[sales]]</f>
        <v>0.25823271130625686</v>
      </c>
    </row>
    <row r="986" spans="1:20" x14ac:dyDescent="0.35">
      <c r="A986" t="s">
        <v>1196</v>
      </c>
      <c r="B986" s="1">
        <v>45941</v>
      </c>
      <c r="C986" t="s">
        <v>14</v>
      </c>
      <c r="D986" t="s">
        <v>15</v>
      </c>
      <c r="E986" t="s">
        <v>110</v>
      </c>
      <c r="F986" t="s">
        <v>23</v>
      </c>
      <c r="G986" t="s">
        <v>1146</v>
      </c>
      <c r="H986" t="s">
        <v>1147</v>
      </c>
      <c r="I986" t="s">
        <v>465</v>
      </c>
      <c r="J986">
        <v>1</v>
      </c>
      <c r="K986">
        <v>3936000</v>
      </c>
      <c r="L986">
        <v>0</v>
      </c>
      <c r="M986">
        <v>3019000</v>
      </c>
      <c r="N986">
        <f>(data[[#This Row],[unit_price]]*data[[#This Row],[quantity]]) * (1-data[[#This Row],[discount]])</f>
        <v>3936000</v>
      </c>
      <c r="O986">
        <f>data[[#This Row],[sales]]-data[[#This Row],[cost]]</f>
        <v>917000</v>
      </c>
      <c r="P986" t="str">
        <f>TEXT(data[[#This Row],[order_date]],"mmm")</f>
        <v>Oct</v>
      </c>
      <c r="Q986">
        <f>YEAR(data[[#This Row],[order_date]])</f>
        <v>2025</v>
      </c>
      <c r="R986">
        <f>MONTH(data[[#This Row],[order_date]])</f>
        <v>10</v>
      </c>
      <c r="S986">
        <f>DAY(data[[#This Row],[order_date]])</f>
        <v>11</v>
      </c>
      <c r="T986">
        <f>data[[#This Row],[profit]]/data[[#This Row],[sales]]</f>
        <v>0.23297764227642276</v>
      </c>
    </row>
    <row r="987" spans="1:20" x14ac:dyDescent="0.35">
      <c r="A987" t="s">
        <v>1197</v>
      </c>
      <c r="B987" s="1">
        <v>45951</v>
      </c>
      <c r="C987" t="s">
        <v>36</v>
      </c>
      <c r="D987" t="s">
        <v>37</v>
      </c>
      <c r="E987" t="s">
        <v>634</v>
      </c>
      <c r="F987" t="s">
        <v>17</v>
      </c>
      <c r="G987" t="s">
        <v>1146</v>
      </c>
      <c r="H987" t="s">
        <v>1147</v>
      </c>
      <c r="I987" t="s">
        <v>465</v>
      </c>
      <c r="J987">
        <v>1</v>
      </c>
      <c r="K987">
        <v>2684000</v>
      </c>
      <c r="L987">
        <v>0</v>
      </c>
      <c r="M987">
        <v>2044000</v>
      </c>
      <c r="N987">
        <f>(data[[#This Row],[unit_price]]*data[[#This Row],[quantity]]) * (1-data[[#This Row],[discount]])</f>
        <v>2684000</v>
      </c>
      <c r="O987">
        <f>data[[#This Row],[sales]]-data[[#This Row],[cost]]</f>
        <v>640000</v>
      </c>
      <c r="P987" t="str">
        <f>TEXT(data[[#This Row],[order_date]],"mmm")</f>
        <v>Oct</v>
      </c>
      <c r="Q987">
        <f>YEAR(data[[#This Row],[order_date]])</f>
        <v>2025</v>
      </c>
      <c r="R987">
        <f>MONTH(data[[#This Row],[order_date]])</f>
        <v>10</v>
      </c>
      <c r="S987">
        <f>DAY(data[[#This Row],[order_date]])</f>
        <v>21</v>
      </c>
      <c r="T987">
        <f>data[[#This Row],[profit]]/data[[#This Row],[sales]]</f>
        <v>0.23845007451564829</v>
      </c>
    </row>
    <row r="988" spans="1:20" x14ac:dyDescent="0.35">
      <c r="A988" t="s">
        <v>1198</v>
      </c>
      <c r="B988" s="1">
        <v>45973</v>
      </c>
      <c r="C988" t="s">
        <v>36</v>
      </c>
      <c r="D988" t="s">
        <v>37</v>
      </c>
      <c r="E988" t="s">
        <v>115</v>
      </c>
      <c r="F988" t="s">
        <v>23</v>
      </c>
      <c r="G988" t="s">
        <v>1146</v>
      </c>
      <c r="H988" t="s">
        <v>1147</v>
      </c>
      <c r="I988" t="s">
        <v>465</v>
      </c>
      <c r="J988">
        <v>1</v>
      </c>
      <c r="K988">
        <v>2269000</v>
      </c>
      <c r="L988">
        <v>0.05</v>
      </c>
      <c r="M988">
        <v>1681000</v>
      </c>
      <c r="N988">
        <f>(data[[#This Row],[unit_price]]*data[[#This Row],[quantity]]) * (1-data[[#This Row],[discount]])</f>
        <v>2155550</v>
      </c>
      <c r="O988">
        <f>data[[#This Row],[sales]]-data[[#This Row],[cost]]</f>
        <v>474550</v>
      </c>
      <c r="P988" t="str">
        <f>TEXT(data[[#This Row],[order_date]],"mmm")</f>
        <v>Nov</v>
      </c>
      <c r="Q988">
        <f>YEAR(data[[#This Row],[order_date]])</f>
        <v>2025</v>
      </c>
      <c r="R988">
        <f>MONTH(data[[#This Row],[order_date]])</f>
        <v>11</v>
      </c>
      <c r="S988">
        <f>DAY(data[[#This Row],[order_date]])</f>
        <v>12</v>
      </c>
      <c r="T988">
        <f>data[[#This Row],[profit]]/data[[#This Row],[sales]]</f>
        <v>0.22015262925935375</v>
      </c>
    </row>
    <row r="989" spans="1:20" x14ac:dyDescent="0.35">
      <c r="A989" t="s">
        <v>1199</v>
      </c>
      <c r="B989" s="1">
        <v>45992</v>
      </c>
      <c r="C989" t="s">
        <v>14</v>
      </c>
      <c r="D989" t="s">
        <v>15</v>
      </c>
      <c r="E989" t="s">
        <v>447</v>
      </c>
      <c r="F989" t="s">
        <v>23</v>
      </c>
      <c r="G989" t="s">
        <v>1146</v>
      </c>
      <c r="H989" t="s">
        <v>1147</v>
      </c>
      <c r="I989" t="s">
        <v>465</v>
      </c>
      <c r="J989">
        <v>2</v>
      </c>
      <c r="K989">
        <v>4028000</v>
      </c>
      <c r="L989">
        <v>0.05</v>
      </c>
      <c r="M989">
        <v>3054000</v>
      </c>
      <c r="N989">
        <f>(data[[#This Row],[unit_price]]*data[[#This Row],[quantity]]) * (1-data[[#This Row],[discount]])</f>
        <v>7653200</v>
      </c>
      <c r="O989">
        <f>data[[#This Row],[sales]]-data[[#This Row],[cost]]</f>
        <v>4599200</v>
      </c>
      <c r="P989" t="str">
        <f>TEXT(data[[#This Row],[order_date]],"mmm")</f>
        <v>Dec</v>
      </c>
      <c r="Q989">
        <f>YEAR(data[[#This Row],[order_date]])</f>
        <v>2025</v>
      </c>
      <c r="R989">
        <f>MONTH(data[[#This Row],[order_date]])</f>
        <v>12</v>
      </c>
      <c r="S989">
        <f>DAY(data[[#This Row],[order_date]])</f>
        <v>1</v>
      </c>
      <c r="T989">
        <f>data[[#This Row],[profit]]/data[[#This Row],[sales]]</f>
        <v>0.60095123608425238</v>
      </c>
    </row>
    <row r="990" spans="1:20" x14ac:dyDescent="0.35">
      <c r="A990" t="s">
        <v>1200</v>
      </c>
      <c r="B990" s="1">
        <v>46006</v>
      </c>
      <c r="C990" t="s">
        <v>14</v>
      </c>
      <c r="D990" t="s">
        <v>15</v>
      </c>
      <c r="E990" t="s">
        <v>126</v>
      </c>
      <c r="F990" t="s">
        <v>17</v>
      </c>
      <c r="G990" t="s">
        <v>1146</v>
      </c>
      <c r="H990" t="s">
        <v>1147</v>
      </c>
      <c r="I990" t="s">
        <v>465</v>
      </c>
      <c r="J990">
        <v>1</v>
      </c>
      <c r="K990">
        <v>3191131.1475409837</v>
      </c>
      <c r="L990">
        <v>0</v>
      </c>
      <c r="M990">
        <v>2250000</v>
      </c>
      <c r="N990">
        <f>(data[[#This Row],[unit_price]]*data[[#This Row],[quantity]]) * (1-data[[#This Row],[discount]])</f>
        <v>3191131.1475409837</v>
      </c>
      <c r="O990">
        <f>data[[#This Row],[sales]]-data[[#This Row],[cost]]</f>
        <v>941131.14754098374</v>
      </c>
      <c r="P990" t="str">
        <f>TEXT(data[[#This Row],[order_date]],"mmm")</f>
        <v>Dec</v>
      </c>
      <c r="Q990">
        <f>YEAR(data[[#This Row],[order_date]])</f>
        <v>2025</v>
      </c>
      <c r="R990">
        <f>MONTH(data[[#This Row],[order_date]])</f>
        <v>12</v>
      </c>
      <c r="S990">
        <f>DAY(data[[#This Row],[order_date]])</f>
        <v>15</v>
      </c>
      <c r="T990">
        <f>data[[#This Row],[profit]]/data[[#This Row],[sales]]</f>
        <v>0.29492086160927572</v>
      </c>
    </row>
    <row r="991" spans="1:20" x14ac:dyDescent="0.35">
      <c r="A991" t="s">
        <v>1201</v>
      </c>
      <c r="B991" s="1">
        <v>46015</v>
      </c>
      <c r="C991" t="s">
        <v>36</v>
      </c>
      <c r="D991" t="s">
        <v>37</v>
      </c>
      <c r="E991" t="s">
        <v>121</v>
      </c>
      <c r="F991" t="s">
        <v>23</v>
      </c>
      <c r="G991" t="s">
        <v>1146</v>
      </c>
      <c r="H991" t="s">
        <v>1147</v>
      </c>
      <c r="I991" t="s">
        <v>465</v>
      </c>
      <c r="J991">
        <v>1</v>
      </c>
      <c r="K991">
        <v>4269000</v>
      </c>
      <c r="L991">
        <v>0</v>
      </c>
      <c r="M991">
        <v>3157000</v>
      </c>
      <c r="N991">
        <f>(data[[#This Row],[unit_price]]*data[[#This Row],[quantity]]) * (1-data[[#This Row],[discount]])</f>
        <v>4269000</v>
      </c>
      <c r="O991">
        <f>data[[#This Row],[sales]]-data[[#This Row],[cost]]</f>
        <v>1112000</v>
      </c>
      <c r="P991" t="str">
        <f>TEXT(data[[#This Row],[order_date]],"mmm")</f>
        <v>Dec</v>
      </c>
      <c r="Q991">
        <f>YEAR(data[[#This Row],[order_date]])</f>
        <v>2025</v>
      </c>
      <c r="R991">
        <f>MONTH(data[[#This Row],[order_date]])</f>
        <v>12</v>
      </c>
      <c r="S991">
        <f>DAY(data[[#This Row],[order_date]])</f>
        <v>24</v>
      </c>
      <c r="T991">
        <f>data[[#This Row],[profit]]/data[[#This Row],[sales]]</f>
        <v>0.26048254860623099</v>
      </c>
    </row>
    <row r="992" spans="1:20" x14ac:dyDescent="0.35">
      <c r="A992" t="s">
        <v>1202</v>
      </c>
      <c r="B992" s="1">
        <v>46067</v>
      </c>
      <c r="C992" t="s">
        <v>25</v>
      </c>
      <c r="D992" t="s">
        <v>26</v>
      </c>
      <c r="E992" t="s">
        <v>164</v>
      </c>
      <c r="F992" t="s">
        <v>23</v>
      </c>
      <c r="G992" t="s">
        <v>1146</v>
      </c>
      <c r="H992" t="s">
        <v>1147</v>
      </c>
      <c r="I992" t="s">
        <v>465</v>
      </c>
      <c r="J992">
        <v>3</v>
      </c>
      <c r="K992">
        <v>2423000</v>
      </c>
      <c r="L992">
        <v>0</v>
      </c>
      <c r="M992">
        <v>1817000</v>
      </c>
      <c r="N992">
        <f>(data[[#This Row],[unit_price]]*data[[#This Row],[quantity]]) * (1-data[[#This Row],[discount]])</f>
        <v>7269000</v>
      </c>
      <c r="O992">
        <f>data[[#This Row],[sales]]-data[[#This Row],[cost]]</f>
        <v>5452000</v>
      </c>
      <c r="P992" t="str">
        <f>TEXT(data[[#This Row],[order_date]],"mmm")</f>
        <v>Feb</v>
      </c>
      <c r="Q992">
        <f>YEAR(data[[#This Row],[order_date]])</f>
        <v>2026</v>
      </c>
      <c r="R992">
        <f>MONTH(data[[#This Row],[order_date]])</f>
        <v>2</v>
      </c>
      <c r="S992">
        <f>DAY(data[[#This Row],[order_date]])</f>
        <v>14</v>
      </c>
      <c r="T992">
        <f>data[[#This Row],[profit]]/data[[#This Row],[sales]]</f>
        <v>0.75003439262622096</v>
      </c>
    </row>
    <row r="993" spans="1:20" x14ac:dyDescent="0.35">
      <c r="A993" t="s">
        <v>1203</v>
      </c>
      <c r="B993" s="1">
        <v>46070</v>
      </c>
      <c r="C993" t="s">
        <v>49</v>
      </c>
      <c r="D993" t="s">
        <v>50</v>
      </c>
      <c r="E993" t="s">
        <v>186</v>
      </c>
      <c r="F993" t="s">
        <v>23</v>
      </c>
      <c r="G993" t="s">
        <v>1146</v>
      </c>
      <c r="H993" t="s">
        <v>1147</v>
      </c>
      <c r="I993" t="s">
        <v>465</v>
      </c>
      <c r="J993">
        <v>1</v>
      </c>
      <c r="K993">
        <v>3646000</v>
      </c>
      <c r="L993">
        <v>0</v>
      </c>
      <c r="M993">
        <v>2760000</v>
      </c>
      <c r="N993">
        <f>(data[[#This Row],[unit_price]]*data[[#This Row],[quantity]]) * (1-data[[#This Row],[discount]])</f>
        <v>3646000</v>
      </c>
      <c r="O993">
        <f>data[[#This Row],[sales]]-data[[#This Row],[cost]]</f>
        <v>886000</v>
      </c>
      <c r="P993" t="str">
        <f>TEXT(data[[#This Row],[order_date]],"mmm")</f>
        <v>Feb</v>
      </c>
      <c r="Q993">
        <f>YEAR(data[[#This Row],[order_date]])</f>
        <v>2026</v>
      </c>
      <c r="R993">
        <f>MONTH(data[[#This Row],[order_date]])</f>
        <v>2</v>
      </c>
      <c r="S993">
        <f>DAY(data[[#This Row],[order_date]])</f>
        <v>17</v>
      </c>
      <c r="T993">
        <f>data[[#This Row],[profit]]/data[[#This Row],[sales]]</f>
        <v>0.24300603400987383</v>
      </c>
    </row>
    <row r="994" spans="1:20" x14ac:dyDescent="0.35">
      <c r="A994" t="s">
        <v>1204</v>
      </c>
      <c r="B994" s="1">
        <v>46114</v>
      </c>
      <c r="C994" t="s">
        <v>14</v>
      </c>
      <c r="D994" t="s">
        <v>15</v>
      </c>
      <c r="E994" t="s">
        <v>155</v>
      </c>
      <c r="F994" t="s">
        <v>58</v>
      </c>
      <c r="G994" t="s">
        <v>1146</v>
      </c>
      <c r="H994" t="s">
        <v>1147</v>
      </c>
      <c r="I994" t="s">
        <v>465</v>
      </c>
      <c r="J994">
        <v>1</v>
      </c>
      <c r="K994">
        <v>3508000</v>
      </c>
      <c r="L994">
        <v>0.05</v>
      </c>
      <c r="M994">
        <v>2686000</v>
      </c>
      <c r="N994">
        <f>(data[[#This Row],[unit_price]]*data[[#This Row],[quantity]]) * (1-data[[#This Row],[discount]])</f>
        <v>3332600</v>
      </c>
      <c r="O994">
        <f>data[[#This Row],[sales]]-data[[#This Row],[cost]]</f>
        <v>646600</v>
      </c>
      <c r="P994" t="str">
        <f>TEXT(data[[#This Row],[order_date]],"mmm")</f>
        <v>Apr</v>
      </c>
      <c r="Q994">
        <f>YEAR(data[[#This Row],[order_date]])</f>
        <v>2026</v>
      </c>
      <c r="R994">
        <f>MONTH(data[[#This Row],[order_date]])</f>
        <v>4</v>
      </c>
      <c r="S994">
        <f>DAY(data[[#This Row],[order_date]])</f>
        <v>2</v>
      </c>
      <c r="T994">
        <f>data[[#This Row],[profit]]/data[[#This Row],[sales]]</f>
        <v>0.19402268499069794</v>
      </c>
    </row>
    <row r="995" spans="1:20" x14ac:dyDescent="0.35">
      <c r="A995" t="s">
        <v>1205</v>
      </c>
      <c r="B995" s="1">
        <v>46134</v>
      </c>
      <c r="C995" t="s">
        <v>14</v>
      </c>
      <c r="D995" t="s">
        <v>15</v>
      </c>
      <c r="E995" t="s">
        <v>1041</v>
      </c>
      <c r="F995" t="s">
        <v>23</v>
      </c>
      <c r="G995" t="s">
        <v>1146</v>
      </c>
      <c r="H995" t="s">
        <v>1147</v>
      </c>
      <c r="I995" t="s">
        <v>465</v>
      </c>
      <c r="J995">
        <v>1</v>
      </c>
      <c r="K995">
        <v>2856000</v>
      </c>
      <c r="L995">
        <v>0</v>
      </c>
      <c r="M995">
        <v>2100000</v>
      </c>
      <c r="N995">
        <f>(data[[#This Row],[unit_price]]*data[[#This Row],[quantity]]) * (1-data[[#This Row],[discount]])</f>
        <v>2856000</v>
      </c>
      <c r="O995">
        <f>data[[#This Row],[sales]]-data[[#This Row],[cost]]</f>
        <v>756000</v>
      </c>
      <c r="P995" t="str">
        <f>TEXT(data[[#This Row],[order_date]],"mmm")</f>
        <v>Apr</v>
      </c>
      <c r="Q995">
        <f>YEAR(data[[#This Row],[order_date]])</f>
        <v>2026</v>
      </c>
      <c r="R995">
        <f>MONTH(data[[#This Row],[order_date]])</f>
        <v>4</v>
      </c>
      <c r="S995">
        <f>DAY(data[[#This Row],[order_date]])</f>
        <v>22</v>
      </c>
      <c r="T995">
        <f>data[[#This Row],[profit]]/data[[#This Row],[sales]]</f>
        <v>0.26470588235294118</v>
      </c>
    </row>
    <row r="996" spans="1:20" x14ac:dyDescent="0.35">
      <c r="A996" t="s">
        <v>1206</v>
      </c>
      <c r="B996" s="1">
        <v>46153</v>
      </c>
      <c r="C996" t="s">
        <v>14</v>
      </c>
      <c r="D996" t="s">
        <v>15</v>
      </c>
      <c r="E996" t="s">
        <v>349</v>
      </c>
      <c r="F996" t="s">
        <v>23</v>
      </c>
      <c r="G996" t="s">
        <v>1146</v>
      </c>
      <c r="H996" t="s">
        <v>1147</v>
      </c>
      <c r="I996" t="s">
        <v>465</v>
      </c>
      <c r="J996">
        <v>1</v>
      </c>
      <c r="K996">
        <v>4183000</v>
      </c>
      <c r="L996">
        <v>0</v>
      </c>
      <c r="M996">
        <v>3179000</v>
      </c>
      <c r="N996">
        <f>(data[[#This Row],[unit_price]]*data[[#This Row],[quantity]]) * (1-data[[#This Row],[discount]])</f>
        <v>4183000</v>
      </c>
      <c r="O996">
        <f>data[[#This Row],[sales]]-data[[#This Row],[cost]]</f>
        <v>1004000</v>
      </c>
      <c r="P996" t="str">
        <f>TEXT(data[[#This Row],[order_date]],"mmm")</f>
        <v>May</v>
      </c>
      <c r="Q996">
        <f>YEAR(data[[#This Row],[order_date]])</f>
        <v>2026</v>
      </c>
      <c r="R996">
        <f>MONTH(data[[#This Row],[order_date]])</f>
        <v>5</v>
      </c>
      <c r="S996">
        <f>DAY(data[[#This Row],[order_date]])</f>
        <v>11</v>
      </c>
      <c r="T996">
        <f>data[[#This Row],[profit]]/data[[#This Row],[sales]]</f>
        <v>0.24001912502988285</v>
      </c>
    </row>
    <row r="997" spans="1:20" x14ac:dyDescent="0.35">
      <c r="A997" t="s">
        <v>1207</v>
      </c>
      <c r="B997" s="1">
        <v>46181</v>
      </c>
      <c r="C997" t="s">
        <v>14</v>
      </c>
      <c r="D997" t="s">
        <v>15</v>
      </c>
      <c r="E997" t="s">
        <v>76</v>
      </c>
      <c r="F997" t="s">
        <v>23</v>
      </c>
      <c r="G997" t="s">
        <v>1146</v>
      </c>
      <c r="H997" t="s">
        <v>1147</v>
      </c>
      <c r="I997" t="s">
        <v>465</v>
      </c>
      <c r="J997">
        <v>1</v>
      </c>
      <c r="K997">
        <v>3636000</v>
      </c>
      <c r="L997">
        <v>0</v>
      </c>
      <c r="M997">
        <v>2705000</v>
      </c>
      <c r="N997">
        <f>(data[[#This Row],[unit_price]]*data[[#This Row],[quantity]]) * (1-data[[#This Row],[discount]])</f>
        <v>3636000</v>
      </c>
      <c r="O997">
        <f>data[[#This Row],[sales]]-data[[#This Row],[cost]]</f>
        <v>931000</v>
      </c>
      <c r="P997" t="str">
        <f>TEXT(data[[#This Row],[order_date]],"mmm")</f>
        <v>Jun</v>
      </c>
      <c r="Q997">
        <f>YEAR(data[[#This Row],[order_date]])</f>
        <v>2026</v>
      </c>
      <c r="R997">
        <f>MONTH(data[[#This Row],[order_date]])</f>
        <v>6</v>
      </c>
      <c r="S997">
        <f>DAY(data[[#This Row],[order_date]])</f>
        <v>8</v>
      </c>
      <c r="T997">
        <f>data[[#This Row],[profit]]/data[[#This Row],[sales]]</f>
        <v>0.25605060506050603</v>
      </c>
    </row>
    <row r="998" spans="1:20" x14ac:dyDescent="0.35">
      <c r="A998" t="s">
        <v>1208</v>
      </c>
      <c r="B998" s="1">
        <v>46185</v>
      </c>
      <c r="C998" t="s">
        <v>14</v>
      </c>
      <c r="D998" t="s">
        <v>15</v>
      </c>
      <c r="E998" t="s">
        <v>65</v>
      </c>
      <c r="F998" t="s">
        <v>17</v>
      </c>
      <c r="G998" t="s">
        <v>1146</v>
      </c>
      <c r="H998" t="s">
        <v>1147</v>
      </c>
      <c r="I998" t="s">
        <v>465</v>
      </c>
      <c r="J998">
        <v>1</v>
      </c>
      <c r="K998">
        <v>2588000</v>
      </c>
      <c r="L998">
        <v>0.1</v>
      </c>
      <c r="M998">
        <v>1916000</v>
      </c>
      <c r="N998">
        <f>(data[[#This Row],[unit_price]]*data[[#This Row],[quantity]]) * (1-data[[#This Row],[discount]])</f>
        <v>2329200</v>
      </c>
      <c r="O998">
        <f>data[[#This Row],[sales]]-data[[#This Row],[cost]]</f>
        <v>413200</v>
      </c>
      <c r="P998" t="str">
        <f>TEXT(data[[#This Row],[order_date]],"mmm")</f>
        <v>Jun</v>
      </c>
      <c r="Q998">
        <f>YEAR(data[[#This Row],[order_date]])</f>
        <v>2026</v>
      </c>
      <c r="R998">
        <f>MONTH(data[[#This Row],[order_date]])</f>
        <v>6</v>
      </c>
      <c r="S998">
        <f>DAY(data[[#This Row],[order_date]])</f>
        <v>12</v>
      </c>
      <c r="T998">
        <f>data[[#This Row],[profit]]/data[[#This Row],[sales]]</f>
        <v>0.17739996565344324</v>
      </c>
    </row>
    <row r="999" spans="1:20" x14ac:dyDescent="0.35">
      <c r="A999" t="s">
        <v>1209</v>
      </c>
      <c r="B999" s="1">
        <v>46190</v>
      </c>
      <c r="C999" t="s">
        <v>14</v>
      </c>
      <c r="D999" t="s">
        <v>15</v>
      </c>
      <c r="E999" t="s">
        <v>333</v>
      </c>
      <c r="F999" t="s">
        <v>17</v>
      </c>
      <c r="G999" t="s">
        <v>1146</v>
      </c>
      <c r="H999" t="s">
        <v>1147</v>
      </c>
      <c r="I999" t="s">
        <v>465</v>
      </c>
      <c r="J999">
        <v>1</v>
      </c>
      <c r="K999">
        <v>3191131.1475409837</v>
      </c>
      <c r="L999">
        <v>0</v>
      </c>
      <c r="M999">
        <v>2250000</v>
      </c>
      <c r="N999">
        <f>(data[[#This Row],[unit_price]]*data[[#This Row],[quantity]]) * (1-data[[#This Row],[discount]])</f>
        <v>3191131.1475409837</v>
      </c>
      <c r="O999">
        <f>data[[#This Row],[sales]]-data[[#This Row],[cost]]</f>
        <v>941131.14754098374</v>
      </c>
      <c r="P999" t="str">
        <f>TEXT(data[[#This Row],[order_date]],"mmm")</f>
        <v>Jun</v>
      </c>
      <c r="Q999">
        <f>YEAR(data[[#This Row],[order_date]])</f>
        <v>2026</v>
      </c>
      <c r="R999">
        <f>MONTH(data[[#This Row],[order_date]])</f>
        <v>6</v>
      </c>
      <c r="S999">
        <f>DAY(data[[#This Row],[order_date]])</f>
        <v>17</v>
      </c>
      <c r="T999">
        <f>data[[#This Row],[profit]]/data[[#This Row],[sales]]</f>
        <v>0.29492086160927572</v>
      </c>
    </row>
    <row r="1000" spans="1:20" x14ac:dyDescent="0.35">
      <c r="A1000" t="s">
        <v>1210</v>
      </c>
      <c r="B1000" s="1">
        <v>44945</v>
      </c>
      <c r="C1000" t="s">
        <v>49</v>
      </c>
      <c r="D1000" t="s">
        <v>50</v>
      </c>
      <c r="E1000" t="s">
        <v>43</v>
      </c>
      <c r="F1000" t="s">
        <v>17</v>
      </c>
      <c r="G1000" t="s">
        <v>1211</v>
      </c>
      <c r="H1000" t="s">
        <v>1212</v>
      </c>
      <c r="I1000" t="s">
        <v>363</v>
      </c>
      <c r="J1000">
        <v>1</v>
      </c>
      <c r="K1000">
        <v>389000</v>
      </c>
      <c r="L1000">
        <v>0.05</v>
      </c>
      <c r="M1000">
        <v>274000</v>
      </c>
      <c r="N1000">
        <f>(data[[#This Row],[unit_price]]*data[[#This Row],[quantity]]) * (1-data[[#This Row],[discount]])</f>
        <v>369550</v>
      </c>
      <c r="O1000">
        <f>data[[#This Row],[sales]]-data[[#This Row],[cost]]</f>
        <v>95550</v>
      </c>
      <c r="P1000" t="str">
        <f>TEXT(data[[#This Row],[order_date]],"mmm")</f>
        <v>Jan</v>
      </c>
      <c r="Q1000">
        <f>YEAR(data[[#This Row],[order_date]])</f>
        <v>2023</v>
      </c>
      <c r="R1000">
        <f>MONTH(data[[#This Row],[order_date]])</f>
        <v>1</v>
      </c>
      <c r="S1000">
        <f>DAY(data[[#This Row],[order_date]])</f>
        <v>19</v>
      </c>
      <c r="T1000">
        <f>data[[#This Row],[profit]]/data[[#This Row],[sales]]</f>
        <v>0.25855770531727779</v>
      </c>
    </row>
    <row r="1001" spans="1:20" x14ac:dyDescent="0.35">
      <c r="A1001" t="s">
        <v>1213</v>
      </c>
      <c r="B1001" s="1">
        <v>44970</v>
      </c>
      <c r="C1001" t="s">
        <v>41</v>
      </c>
      <c r="D1001" t="s">
        <v>42</v>
      </c>
      <c r="E1001" t="s">
        <v>413</v>
      </c>
      <c r="F1001" t="s">
        <v>23</v>
      </c>
      <c r="G1001" t="s">
        <v>1211</v>
      </c>
      <c r="H1001" t="s">
        <v>1212</v>
      </c>
      <c r="I1001" t="s">
        <v>363</v>
      </c>
      <c r="J1001">
        <v>1</v>
      </c>
      <c r="K1001">
        <v>368000</v>
      </c>
      <c r="L1001">
        <v>0</v>
      </c>
      <c r="M1001">
        <v>254000</v>
      </c>
      <c r="N1001">
        <f>(data[[#This Row],[unit_price]]*data[[#This Row],[quantity]]) * (1-data[[#This Row],[discount]])</f>
        <v>368000</v>
      </c>
      <c r="O1001">
        <f>data[[#This Row],[sales]]-data[[#This Row],[cost]]</f>
        <v>114000</v>
      </c>
      <c r="P1001" t="str">
        <f>TEXT(data[[#This Row],[order_date]],"mmm")</f>
        <v>Feb</v>
      </c>
      <c r="Q1001">
        <f>YEAR(data[[#This Row],[order_date]])</f>
        <v>2023</v>
      </c>
      <c r="R1001">
        <f>MONTH(data[[#This Row],[order_date]])</f>
        <v>2</v>
      </c>
      <c r="S1001">
        <f>DAY(data[[#This Row],[order_date]])</f>
        <v>13</v>
      </c>
      <c r="T1001">
        <f>data[[#This Row],[profit]]/data[[#This Row],[sales]]</f>
        <v>0.30978260869565216</v>
      </c>
    </row>
    <row r="1002" spans="1:20" x14ac:dyDescent="0.35">
      <c r="A1002" t="s">
        <v>1214</v>
      </c>
      <c r="B1002" s="1">
        <v>44974</v>
      </c>
      <c r="C1002" t="s">
        <v>14</v>
      </c>
      <c r="D1002" t="s">
        <v>15</v>
      </c>
      <c r="E1002" t="s">
        <v>295</v>
      </c>
      <c r="F1002" t="s">
        <v>23</v>
      </c>
      <c r="G1002" t="s">
        <v>1211</v>
      </c>
      <c r="H1002" t="s">
        <v>1212</v>
      </c>
      <c r="I1002" t="s">
        <v>363</v>
      </c>
      <c r="J1002">
        <v>1</v>
      </c>
      <c r="K1002">
        <v>533000</v>
      </c>
      <c r="L1002">
        <v>0.1</v>
      </c>
      <c r="M1002">
        <v>377000</v>
      </c>
      <c r="N1002">
        <f>(data[[#This Row],[unit_price]]*data[[#This Row],[quantity]]) * (1-data[[#This Row],[discount]])</f>
        <v>479700</v>
      </c>
      <c r="O1002">
        <f>data[[#This Row],[sales]]-data[[#This Row],[cost]]</f>
        <v>102700</v>
      </c>
      <c r="P1002" t="str">
        <f>TEXT(data[[#This Row],[order_date]],"mmm")</f>
        <v>Feb</v>
      </c>
      <c r="Q1002">
        <f>YEAR(data[[#This Row],[order_date]])</f>
        <v>2023</v>
      </c>
      <c r="R1002">
        <f>MONTH(data[[#This Row],[order_date]])</f>
        <v>2</v>
      </c>
      <c r="S1002">
        <f>DAY(data[[#This Row],[order_date]])</f>
        <v>17</v>
      </c>
      <c r="T1002">
        <f>data[[#This Row],[profit]]/data[[#This Row],[sales]]</f>
        <v>0.21409214092140921</v>
      </c>
    </row>
    <row r="1003" spans="1:20" x14ac:dyDescent="0.35">
      <c r="A1003" t="s">
        <v>1215</v>
      </c>
      <c r="B1003" s="1">
        <v>44993</v>
      </c>
      <c r="C1003" t="s">
        <v>14</v>
      </c>
      <c r="D1003" t="s">
        <v>15</v>
      </c>
      <c r="E1003" t="s">
        <v>798</v>
      </c>
      <c r="F1003" t="s">
        <v>28</v>
      </c>
      <c r="G1003" t="s">
        <v>1211</v>
      </c>
      <c r="H1003" t="s">
        <v>1212</v>
      </c>
      <c r="I1003" t="s">
        <v>363</v>
      </c>
      <c r="J1003">
        <v>5</v>
      </c>
      <c r="K1003">
        <v>306000</v>
      </c>
      <c r="L1003">
        <v>0</v>
      </c>
      <c r="M1003">
        <v>220000</v>
      </c>
      <c r="N1003">
        <f>(data[[#This Row],[unit_price]]*data[[#This Row],[quantity]]) * (1-data[[#This Row],[discount]])</f>
        <v>1530000</v>
      </c>
      <c r="O1003">
        <f>data[[#This Row],[sales]]-data[[#This Row],[cost]]</f>
        <v>1310000</v>
      </c>
      <c r="P1003" t="str">
        <f>TEXT(data[[#This Row],[order_date]],"mmm")</f>
        <v>Mar</v>
      </c>
      <c r="Q1003">
        <f>YEAR(data[[#This Row],[order_date]])</f>
        <v>2023</v>
      </c>
      <c r="R1003">
        <f>MONTH(data[[#This Row],[order_date]])</f>
        <v>3</v>
      </c>
      <c r="S1003">
        <f>DAY(data[[#This Row],[order_date]])</f>
        <v>8</v>
      </c>
      <c r="T1003">
        <f>data[[#This Row],[profit]]/data[[#This Row],[sales]]</f>
        <v>0.85620915032679734</v>
      </c>
    </row>
    <row r="1004" spans="1:20" x14ac:dyDescent="0.35">
      <c r="A1004" t="s">
        <v>1216</v>
      </c>
      <c r="B1004" s="1">
        <v>45004</v>
      </c>
      <c r="C1004" t="s">
        <v>49</v>
      </c>
      <c r="D1004" t="s">
        <v>50</v>
      </c>
      <c r="E1004" t="s">
        <v>182</v>
      </c>
      <c r="F1004" t="s">
        <v>23</v>
      </c>
      <c r="G1004" t="s">
        <v>1211</v>
      </c>
      <c r="H1004" t="s">
        <v>1212</v>
      </c>
      <c r="I1004" t="s">
        <v>363</v>
      </c>
      <c r="J1004">
        <v>1</v>
      </c>
      <c r="K1004">
        <v>401000</v>
      </c>
      <c r="L1004">
        <v>0</v>
      </c>
      <c r="M1004">
        <v>277000</v>
      </c>
      <c r="N1004">
        <f>(data[[#This Row],[unit_price]]*data[[#This Row],[quantity]]) * (1-data[[#This Row],[discount]])</f>
        <v>401000</v>
      </c>
      <c r="O1004">
        <f>data[[#This Row],[sales]]-data[[#This Row],[cost]]</f>
        <v>124000</v>
      </c>
      <c r="P1004" t="str">
        <f>TEXT(data[[#This Row],[order_date]],"mmm")</f>
        <v>Mar</v>
      </c>
      <c r="Q1004">
        <f>YEAR(data[[#This Row],[order_date]])</f>
        <v>2023</v>
      </c>
      <c r="R1004">
        <f>MONTH(data[[#This Row],[order_date]])</f>
        <v>3</v>
      </c>
      <c r="S1004">
        <f>DAY(data[[#This Row],[order_date]])</f>
        <v>19</v>
      </c>
      <c r="T1004">
        <f>data[[#This Row],[profit]]/data[[#This Row],[sales]]</f>
        <v>0.30922693266832918</v>
      </c>
    </row>
    <row r="1005" spans="1:20" x14ac:dyDescent="0.35">
      <c r="A1005" t="s">
        <v>1217</v>
      </c>
      <c r="B1005" s="1">
        <v>45020</v>
      </c>
      <c r="C1005" t="s">
        <v>14</v>
      </c>
      <c r="D1005" t="s">
        <v>15</v>
      </c>
      <c r="E1005" t="s">
        <v>150</v>
      </c>
      <c r="F1005" t="s">
        <v>28</v>
      </c>
      <c r="G1005" t="s">
        <v>1211</v>
      </c>
      <c r="H1005" t="s">
        <v>1212</v>
      </c>
      <c r="I1005" t="s">
        <v>363</v>
      </c>
      <c r="J1005">
        <v>2</v>
      </c>
      <c r="K1005">
        <v>360000</v>
      </c>
      <c r="L1005">
        <v>0</v>
      </c>
      <c r="M1005">
        <v>257000</v>
      </c>
      <c r="N1005">
        <f>(data[[#This Row],[unit_price]]*data[[#This Row],[quantity]]) * (1-data[[#This Row],[discount]])</f>
        <v>720000</v>
      </c>
      <c r="O1005">
        <f>data[[#This Row],[sales]]-data[[#This Row],[cost]]</f>
        <v>463000</v>
      </c>
      <c r="P1005" t="str">
        <f>TEXT(data[[#This Row],[order_date]],"mmm")</f>
        <v>Apr</v>
      </c>
      <c r="Q1005">
        <f>YEAR(data[[#This Row],[order_date]])</f>
        <v>2023</v>
      </c>
      <c r="R1005">
        <f>MONTH(data[[#This Row],[order_date]])</f>
        <v>4</v>
      </c>
      <c r="S1005">
        <f>DAY(data[[#This Row],[order_date]])</f>
        <v>4</v>
      </c>
      <c r="T1005">
        <f>data[[#This Row],[profit]]/data[[#This Row],[sales]]</f>
        <v>0.6430555555555556</v>
      </c>
    </row>
    <row r="1006" spans="1:20" x14ac:dyDescent="0.35">
      <c r="A1006" t="s">
        <v>1218</v>
      </c>
      <c r="B1006" s="1">
        <v>45025</v>
      </c>
      <c r="C1006" t="s">
        <v>36</v>
      </c>
      <c r="D1006" t="s">
        <v>37</v>
      </c>
      <c r="E1006" t="s">
        <v>419</v>
      </c>
      <c r="F1006" t="s">
        <v>17</v>
      </c>
      <c r="G1006" t="s">
        <v>1211</v>
      </c>
      <c r="H1006" t="s">
        <v>1212</v>
      </c>
      <c r="I1006" t="s">
        <v>363</v>
      </c>
      <c r="J1006">
        <v>1</v>
      </c>
      <c r="K1006">
        <v>317000</v>
      </c>
      <c r="L1006">
        <v>0</v>
      </c>
      <c r="M1006">
        <v>223000</v>
      </c>
      <c r="N1006">
        <f>(data[[#This Row],[unit_price]]*data[[#This Row],[quantity]]) * (1-data[[#This Row],[discount]])</f>
        <v>317000</v>
      </c>
      <c r="O1006">
        <f>data[[#This Row],[sales]]-data[[#This Row],[cost]]</f>
        <v>94000</v>
      </c>
      <c r="P1006" t="str">
        <f>TEXT(data[[#This Row],[order_date]],"mmm")</f>
        <v>Apr</v>
      </c>
      <c r="Q1006">
        <f>YEAR(data[[#This Row],[order_date]])</f>
        <v>2023</v>
      </c>
      <c r="R1006">
        <f>MONTH(data[[#This Row],[order_date]])</f>
        <v>4</v>
      </c>
      <c r="S1006">
        <f>DAY(data[[#This Row],[order_date]])</f>
        <v>9</v>
      </c>
      <c r="T1006">
        <f>data[[#This Row],[profit]]/data[[#This Row],[sales]]</f>
        <v>0.29652996845425866</v>
      </c>
    </row>
    <row r="1007" spans="1:20" x14ac:dyDescent="0.35">
      <c r="A1007" t="s">
        <v>1219</v>
      </c>
      <c r="B1007" s="1">
        <v>45060</v>
      </c>
      <c r="C1007" t="s">
        <v>14</v>
      </c>
      <c r="D1007" t="s">
        <v>15</v>
      </c>
      <c r="E1007" t="s">
        <v>117</v>
      </c>
      <c r="F1007" t="s">
        <v>23</v>
      </c>
      <c r="G1007" t="s">
        <v>1211</v>
      </c>
      <c r="H1007" t="s">
        <v>1212</v>
      </c>
      <c r="I1007" t="s">
        <v>363</v>
      </c>
      <c r="J1007">
        <v>1</v>
      </c>
      <c r="K1007">
        <v>295000</v>
      </c>
      <c r="L1007">
        <v>0.1</v>
      </c>
      <c r="M1007">
        <v>202000</v>
      </c>
      <c r="N1007">
        <f>(data[[#This Row],[unit_price]]*data[[#This Row],[quantity]]) * (1-data[[#This Row],[discount]])</f>
        <v>265500</v>
      </c>
      <c r="O1007">
        <f>data[[#This Row],[sales]]-data[[#This Row],[cost]]</f>
        <v>63500</v>
      </c>
      <c r="P1007" t="str">
        <f>TEXT(data[[#This Row],[order_date]],"mmm")</f>
        <v>May</v>
      </c>
      <c r="Q1007">
        <f>YEAR(data[[#This Row],[order_date]])</f>
        <v>2023</v>
      </c>
      <c r="R1007">
        <f>MONTH(data[[#This Row],[order_date]])</f>
        <v>5</v>
      </c>
      <c r="S1007">
        <f>DAY(data[[#This Row],[order_date]])</f>
        <v>14</v>
      </c>
      <c r="T1007">
        <f>data[[#This Row],[profit]]/data[[#This Row],[sales]]</f>
        <v>0.2391713747645951</v>
      </c>
    </row>
    <row r="1008" spans="1:20" x14ac:dyDescent="0.35">
      <c r="A1008" t="s">
        <v>1220</v>
      </c>
      <c r="B1008" s="1">
        <v>45097</v>
      </c>
      <c r="C1008" t="s">
        <v>41</v>
      </c>
      <c r="D1008" t="s">
        <v>42</v>
      </c>
      <c r="E1008" t="s">
        <v>110</v>
      </c>
      <c r="F1008" t="s">
        <v>23</v>
      </c>
      <c r="G1008" t="s">
        <v>1211</v>
      </c>
      <c r="H1008" t="s">
        <v>1212</v>
      </c>
      <c r="I1008" t="s">
        <v>363</v>
      </c>
      <c r="J1008">
        <v>1</v>
      </c>
      <c r="K1008">
        <v>258000</v>
      </c>
      <c r="L1008">
        <v>0</v>
      </c>
      <c r="M1008">
        <v>184000</v>
      </c>
      <c r="N1008">
        <f>(data[[#This Row],[unit_price]]*data[[#This Row],[quantity]]) * (1-data[[#This Row],[discount]])</f>
        <v>258000</v>
      </c>
      <c r="O1008">
        <f>data[[#This Row],[sales]]-data[[#This Row],[cost]]</f>
        <v>74000</v>
      </c>
      <c r="P1008" t="str">
        <f>TEXT(data[[#This Row],[order_date]],"mmm")</f>
        <v>Jun</v>
      </c>
      <c r="Q1008">
        <f>YEAR(data[[#This Row],[order_date]])</f>
        <v>2023</v>
      </c>
      <c r="R1008">
        <f>MONTH(data[[#This Row],[order_date]])</f>
        <v>6</v>
      </c>
      <c r="S1008">
        <f>DAY(data[[#This Row],[order_date]])</f>
        <v>20</v>
      </c>
      <c r="T1008">
        <f>data[[#This Row],[profit]]/data[[#This Row],[sales]]</f>
        <v>0.2868217054263566</v>
      </c>
    </row>
    <row r="1009" spans="1:20" x14ac:dyDescent="0.35">
      <c r="A1009" t="s">
        <v>1221</v>
      </c>
      <c r="B1009" s="1">
        <v>45099</v>
      </c>
      <c r="C1009" t="s">
        <v>25</v>
      </c>
      <c r="D1009" t="s">
        <v>26</v>
      </c>
      <c r="E1009" t="s">
        <v>85</v>
      </c>
      <c r="F1009" t="s">
        <v>23</v>
      </c>
      <c r="G1009" t="s">
        <v>1211</v>
      </c>
      <c r="H1009" t="s">
        <v>1212</v>
      </c>
      <c r="I1009" t="s">
        <v>363</v>
      </c>
      <c r="J1009">
        <v>1</v>
      </c>
      <c r="K1009">
        <v>254000</v>
      </c>
      <c r="L1009">
        <v>0</v>
      </c>
      <c r="M1009">
        <v>173000</v>
      </c>
      <c r="N1009">
        <f>(data[[#This Row],[unit_price]]*data[[#This Row],[quantity]]) * (1-data[[#This Row],[discount]])</f>
        <v>254000</v>
      </c>
      <c r="O1009">
        <f>data[[#This Row],[sales]]-data[[#This Row],[cost]]</f>
        <v>81000</v>
      </c>
      <c r="P1009" t="str">
        <f>TEXT(data[[#This Row],[order_date]],"mmm")</f>
        <v>Jun</v>
      </c>
      <c r="Q1009">
        <f>YEAR(data[[#This Row],[order_date]])</f>
        <v>2023</v>
      </c>
      <c r="R1009">
        <f>MONTH(data[[#This Row],[order_date]])</f>
        <v>6</v>
      </c>
      <c r="S1009">
        <f>DAY(data[[#This Row],[order_date]])</f>
        <v>22</v>
      </c>
      <c r="T1009">
        <f>data[[#This Row],[profit]]/data[[#This Row],[sales]]</f>
        <v>0.31889763779527558</v>
      </c>
    </row>
    <row r="1010" spans="1:20" x14ac:dyDescent="0.35">
      <c r="A1010" t="s">
        <v>1222</v>
      </c>
      <c r="B1010" s="1">
        <v>45102</v>
      </c>
      <c r="C1010" t="s">
        <v>14</v>
      </c>
      <c r="D1010" t="s">
        <v>15</v>
      </c>
      <c r="E1010" t="s">
        <v>327</v>
      </c>
      <c r="F1010" t="s">
        <v>23</v>
      </c>
      <c r="G1010" t="s">
        <v>1211</v>
      </c>
      <c r="H1010" t="s">
        <v>1212</v>
      </c>
      <c r="I1010" t="s">
        <v>363</v>
      </c>
      <c r="J1010">
        <v>2</v>
      </c>
      <c r="K1010">
        <v>455000</v>
      </c>
      <c r="L1010">
        <v>0</v>
      </c>
      <c r="M1010">
        <v>326000</v>
      </c>
      <c r="N1010">
        <f>(data[[#This Row],[unit_price]]*data[[#This Row],[quantity]]) * (1-data[[#This Row],[discount]])</f>
        <v>910000</v>
      </c>
      <c r="O1010">
        <f>data[[#This Row],[sales]]-data[[#This Row],[cost]]</f>
        <v>584000</v>
      </c>
      <c r="P1010" t="str">
        <f>TEXT(data[[#This Row],[order_date]],"mmm")</f>
        <v>Jun</v>
      </c>
      <c r="Q1010">
        <f>YEAR(data[[#This Row],[order_date]])</f>
        <v>2023</v>
      </c>
      <c r="R1010">
        <f>MONTH(data[[#This Row],[order_date]])</f>
        <v>6</v>
      </c>
      <c r="S1010">
        <f>DAY(data[[#This Row],[order_date]])</f>
        <v>25</v>
      </c>
      <c r="T1010">
        <f>data[[#This Row],[profit]]/data[[#This Row],[sales]]</f>
        <v>0.64175824175824181</v>
      </c>
    </row>
    <row r="1011" spans="1:20" x14ac:dyDescent="0.35">
      <c r="A1011" t="s">
        <v>1223</v>
      </c>
      <c r="B1011" s="1">
        <v>45113</v>
      </c>
      <c r="C1011" t="s">
        <v>14</v>
      </c>
      <c r="D1011" t="s">
        <v>15</v>
      </c>
      <c r="E1011" t="s">
        <v>378</v>
      </c>
      <c r="F1011" t="s">
        <v>23</v>
      </c>
      <c r="G1011" t="s">
        <v>1211</v>
      </c>
      <c r="H1011" t="s">
        <v>1212</v>
      </c>
      <c r="I1011" t="s">
        <v>363</v>
      </c>
      <c r="J1011">
        <v>1</v>
      </c>
      <c r="K1011">
        <v>267000</v>
      </c>
      <c r="L1011">
        <v>0.05</v>
      </c>
      <c r="M1011">
        <v>191000</v>
      </c>
      <c r="N1011">
        <f>(data[[#This Row],[unit_price]]*data[[#This Row],[quantity]]) * (1-data[[#This Row],[discount]])</f>
        <v>253650</v>
      </c>
      <c r="O1011">
        <f>data[[#This Row],[sales]]-data[[#This Row],[cost]]</f>
        <v>62650</v>
      </c>
      <c r="P1011" t="str">
        <f>TEXT(data[[#This Row],[order_date]],"mmm")</f>
        <v>Jul</v>
      </c>
      <c r="Q1011">
        <f>YEAR(data[[#This Row],[order_date]])</f>
        <v>2023</v>
      </c>
      <c r="R1011">
        <f>MONTH(data[[#This Row],[order_date]])</f>
        <v>7</v>
      </c>
      <c r="S1011">
        <f>DAY(data[[#This Row],[order_date]])</f>
        <v>6</v>
      </c>
      <c r="T1011">
        <f>data[[#This Row],[profit]]/data[[#This Row],[sales]]</f>
        <v>0.2469938892174256</v>
      </c>
    </row>
    <row r="1012" spans="1:20" x14ac:dyDescent="0.35">
      <c r="A1012" t="s">
        <v>1224</v>
      </c>
      <c r="B1012" s="1">
        <v>45123</v>
      </c>
      <c r="C1012" t="s">
        <v>14</v>
      </c>
      <c r="D1012" t="s">
        <v>15</v>
      </c>
      <c r="E1012" t="s">
        <v>260</v>
      </c>
      <c r="F1012" t="s">
        <v>23</v>
      </c>
      <c r="G1012" t="s">
        <v>1211</v>
      </c>
      <c r="H1012" t="s">
        <v>1212</v>
      </c>
      <c r="I1012" t="s">
        <v>363</v>
      </c>
      <c r="J1012">
        <v>2</v>
      </c>
      <c r="K1012">
        <v>411000</v>
      </c>
      <c r="L1012">
        <v>0</v>
      </c>
      <c r="M1012">
        <v>291000</v>
      </c>
      <c r="N1012">
        <f>(data[[#This Row],[unit_price]]*data[[#This Row],[quantity]]) * (1-data[[#This Row],[discount]])</f>
        <v>822000</v>
      </c>
      <c r="O1012">
        <f>data[[#This Row],[sales]]-data[[#This Row],[cost]]</f>
        <v>531000</v>
      </c>
      <c r="P1012" t="str">
        <f>TEXT(data[[#This Row],[order_date]],"mmm")</f>
        <v>Jul</v>
      </c>
      <c r="Q1012">
        <f>YEAR(data[[#This Row],[order_date]])</f>
        <v>2023</v>
      </c>
      <c r="R1012">
        <f>MONTH(data[[#This Row],[order_date]])</f>
        <v>7</v>
      </c>
      <c r="S1012">
        <f>DAY(data[[#This Row],[order_date]])</f>
        <v>16</v>
      </c>
      <c r="T1012">
        <f>data[[#This Row],[profit]]/data[[#This Row],[sales]]</f>
        <v>0.64598540145985406</v>
      </c>
    </row>
    <row r="1013" spans="1:20" x14ac:dyDescent="0.35">
      <c r="A1013" t="s">
        <v>1225</v>
      </c>
      <c r="B1013" s="1">
        <v>45130</v>
      </c>
      <c r="C1013" t="s">
        <v>14</v>
      </c>
      <c r="D1013" t="s">
        <v>15</v>
      </c>
      <c r="E1013" t="s">
        <v>61</v>
      </c>
      <c r="F1013" t="s">
        <v>23</v>
      </c>
      <c r="G1013" t="s">
        <v>1211</v>
      </c>
      <c r="H1013" t="s">
        <v>1212</v>
      </c>
      <c r="I1013" t="s">
        <v>363</v>
      </c>
      <c r="J1013">
        <v>2</v>
      </c>
      <c r="K1013">
        <v>354000</v>
      </c>
      <c r="L1013">
        <v>0</v>
      </c>
      <c r="M1013">
        <v>244000</v>
      </c>
      <c r="N1013">
        <f>(data[[#This Row],[unit_price]]*data[[#This Row],[quantity]]) * (1-data[[#This Row],[discount]])</f>
        <v>708000</v>
      </c>
      <c r="O1013">
        <f>data[[#This Row],[sales]]-data[[#This Row],[cost]]</f>
        <v>464000</v>
      </c>
      <c r="P1013" t="str">
        <f>TEXT(data[[#This Row],[order_date]],"mmm")</f>
        <v>Jul</v>
      </c>
      <c r="Q1013">
        <f>YEAR(data[[#This Row],[order_date]])</f>
        <v>2023</v>
      </c>
      <c r="R1013">
        <f>MONTH(data[[#This Row],[order_date]])</f>
        <v>7</v>
      </c>
      <c r="S1013">
        <f>DAY(data[[#This Row],[order_date]])</f>
        <v>23</v>
      </c>
      <c r="T1013">
        <f>data[[#This Row],[profit]]/data[[#This Row],[sales]]</f>
        <v>0.65536723163841804</v>
      </c>
    </row>
    <row r="1014" spans="1:20" x14ac:dyDescent="0.35">
      <c r="A1014" t="s">
        <v>1226</v>
      </c>
      <c r="B1014" s="1">
        <v>45238</v>
      </c>
      <c r="C1014" t="s">
        <v>25</v>
      </c>
      <c r="D1014" t="s">
        <v>26</v>
      </c>
      <c r="E1014" t="s">
        <v>61</v>
      </c>
      <c r="F1014" t="s">
        <v>23</v>
      </c>
      <c r="G1014" t="s">
        <v>1211</v>
      </c>
      <c r="H1014" t="s">
        <v>1212</v>
      </c>
      <c r="I1014" t="s">
        <v>363</v>
      </c>
      <c r="J1014">
        <v>2</v>
      </c>
      <c r="K1014">
        <v>322000</v>
      </c>
      <c r="L1014">
        <v>0.05</v>
      </c>
      <c r="M1014">
        <v>220000</v>
      </c>
      <c r="N1014">
        <f>(data[[#This Row],[unit_price]]*data[[#This Row],[quantity]]) * (1-data[[#This Row],[discount]])</f>
        <v>611800</v>
      </c>
      <c r="O1014">
        <f>data[[#This Row],[sales]]-data[[#This Row],[cost]]</f>
        <v>391800</v>
      </c>
      <c r="P1014" t="str">
        <f>TEXT(data[[#This Row],[order_date]],"mmm")</f>
        <v>Nov</v>
      </c>
      <c r="Q1014">
        <f>YEAR(data[[#This Row],[order_date]])</f>
        <v>2023</v>
      </c>
      <c r="R1014">
        <f>MONTH(data[[#This Row],[order_date]])</f>
        <v>11</v>
      </c>
      <c r="S1014">
        <f>DAY(data[[#This Row],[order_date]])</f>
        <v>8</v>
      </c>
      <c r="T1014">
        <f>data[[#This Row],[profit]]/data[[#This Row],[sales]]</f>
        <v>0.64040536122915981</v>
      </c>
    </row>
    <row r="1015" spans="1:20" x14ac:dyDescent="0.35">
      <c r="A1015" t="s">
        <v>1227</v>
      </c>
      <c r="B1015" s="1">
        <v>45259</v>
      </c>
      <c r="C1015" t="s">
        <v>41</v>
      </c>
      <c r="D1015" t="s">
        <v>42</v>
      </c>
      <c r="E1015" t="s">
        <v>113</v>
      </c>
      <c r="F1015" t="s">
        <v>23</v>
      </c>
      <c r="G1015" t="s">
        <v>1211</v>
      </c>
      <c r="H1015" t="s">
        <v>1212</v>
      </c>
      <c r="I1015" t="s">
        <v>363</v>
      </c>
      <c r="J1015">
        <v>2</v>
      </c>
      <c r="K1015">
        <v>304000</v>
      </c>
      <c r="L1015">
        <v>0</v>
      </c>
      <c r="M1015">
        <v>209000</v>
      </c>
      <c r="N1015">
        <f>(data[[#This Row],[unit_price]]*data[[#This Row],[quantity]]) * (1-data[[#This Row],[discount]])</f>
        <v>608000</v>
      </c>
      <c r="O1015">
        <f>data[[#This Row],[sales]]-data[[#This Row],[cost]]</f>
        <v>399000</v>
      </c>
      <c r="P1015" t="str">
        <f>TEXT(data[[#This Row],[order_date]],"mmm")</f>
        <v>Nov</v>
      </c>
      <c r="Q1015">
        <f>YEAR(data[[#This Row],[order_date]])</f>
        <v>2023</v>
      </c>
      <c r="R1015">
        <f>MONTH(data[[#This Row],[order_date]])</f>
        <v>11</v>
      </c>
      <c r="S1015">
        <f>DAY(data[[#This Row],[order_date]])</f>
        <v>29</v>
      </c>
      <c r="T1015">
        <f>data[[#This Row],[profit]]/data[[#This Row],[sales]]</f>
        <v>0.65625</v>
      </c>
    </row>
    <row r="1016" spans="1:20" x14ac:dyDescent="0.35">
      <c r="A1016" t="s">
        <v>1228</v>
      </c>
      <c r="B1016" s="1">
        <v>45259</v>
      </c>
      <c r="C1016" t="s">
        <v>41</v>
      </c>
      <c r="D1016" t="s">
        <v>42</v>
      </c>
      <c r="E1016" t="s">
        <v>242</v>
      </c>
      <c r="F1016" t="s">
        <v>17</v>
      </c>
      <c r="G1016" t="s">
        <v>1211</v>
      </c>
      <c r="H1016" t="s">
        <v>1212</v>
      </c>
      <c r="I1016" t="s">
        <v>363</v>
      </c>
      <c r="J1016">
        <v>2</v>
      </c>
      <c r="K1016">
        <v>355000</v>
      </c>
      <c r="L1016">
        <v>0.05</v>
      </c>
      <c r="M1016">
        <v>250000</v>
      </c>
      <c r="N1016">
        <f>(data[[#This Row],[unit_price]]*data[[#This Row],[quantity]]) * (1-data[[#This Row],[discount]])</f>
        <v>674500</v>
      </c>
      <c r="O1016">
        <f>data[[#This Row],[sales]]-data[[#This Row],[cost]]</f>
        <v>424500</v>
      </c>
      <c r="P1016" t="str">
        <f>TEXT(data[[#This Row],[order_date]],"mmm")</f>
        <v>Nov</v>
      </c>
      <c r="Q1016">
        <f>YEAR(data[[#This Row],[order_date]])</f>
        <v>2023</v>
      </c>
      <c r="R1016">
        <f>MONTH(data[[#This Row],[order_date]])</f>
        <v>11</v>
      </c>
      <c r="S1016">
        <f>DAY(data[[#This Row],[order_date]])</f>
        <v>29</v>
      </c>
      <c r="T1016">
        <f>data[[#This Row],[profit]]/data[[#This Row],[sales]]</f>
        <v>0.62935507783543365</v>
      </c>
    </row>
    <row r="1017" spans="1:20" x14ac:dyDescent="0.35">
      <c r="A1017" t="s">
        <v>1229</v>
      </c>
      <c r="B1017" s="1">
        <v>45271</v>
      </c>
      <c r="C1017" t="s">
        <v>14</v>
      </c>
      <c r="D1017" t="s">
        <v>15</v>
      </c>
      <c r="E1017" t="s">
        <v>168</v>
      </c>
      <c r="F1017" t="s">
        <v>23</v>
      </c>
      <c r="G1017" t="s">
        <v>1211</v>
      </c>
      <c r="H1017" t="s">
        <v>1212</v>
      </c>
      <c r="I1017" t="s">
        <v>363</v>
      </c>
      <c r="J1017">
        <v>1</v>
      </c>
      <c r="K1017">
        <v>384000</v>
      </c>
      <c r="L1017">
        <v>0</v>
      </c>
      <c r="M1017">
        <v>275000</v>
      </c>
      <c r="N1017">
        <f>(data[[#This Row],[unit_price]]*data[[#This Row],[quantity]]) * (1-data[[#This Row],[discount]])</f>
        <v>384000</v>
      </c>
      <c r="O1017">
        <f>data[[#This Row],[sales]]-data[[#This Row],[cost]]</f>
        <v>109000</v>
      </c>
      <c r="P1017" t="str">
        <f>TEXT(data[[#This Row],[order_date]],"mmm")</f>
        <v>Dec</v>
      </c>
      <c r="Q1017">
        <f>YEAR(data[[#This Row],[order_date]])</f>
        <v>2023</v>
      </c>
      <c r="R1017">
        <f>MONTH(data[[#This Row],[order_date]])</f>
        <v>12</v>
      </c>
      <c r="S1017">
        <f>DAY(data[[#This Row],[order_date]])</f>
        <v>11</v>
      </c>
      <c r="T1017">
        <f>data[[#This Row],[profit]]/data[[#This Row],[sales]]</f>
        <v>0.28385416666666669</v>
      </c>
    </row>
    <row r="1018" spans="1:20" x14ac:dyDescent="0.35">
      <c r="A1018" t="s">
        <v>1230</v>
      </c>
      <c r="B1018" s="1">
        <v>45276</v>
      </c>
      <c r="C1018" t="s">
        <v>41</v>
      </c>
      <c r="D1018" t="s">
        <v>42</v>
      </c>
      <c r="E1018" t="s">
        <v>456</v>
      </c>
      <c r="F1018" t="s">
        <v>23</v>
      </c>
      <c r="G1018" t="s">
        <v>1211</v>
      </c>
      <c r="H1018" t="s">
        <v>1212</v>
      </c>
      <c r="I1018" t="s">
        <v>363</v>
      </c>
      <c r="J1018">
        <v>1</v>
      </c>
      <c r="K1018">
        <v>257000</v>
      </c>
      <c r="L1018">
        <v>0</v>
      </c>
      <c r="M1018">
        <v>181000</v>
      </c>
      <c r="N1018">
        <f>(data[[#This Row],[unit_price]]*data[[#This Row],[quantity]]) * (1-data[[#This Row],[discount]])</f>
        <v>257000</v>
      </c>
      <c r="O1018">
        <f>data[[#This Row],[sales]]-data[[#This Row],[cost]]</f>
        <v>76000</v>
      </c>
      <c r="P1018" t="str">
        <f>TEXT(data[[#This Row],[order_date]],"mmm")</f>
        <v>Dec</v>
      </c>
      <c r="Q1018">
        <f>YEAR(data[[#This Row],[order_date]])</f>
        <v>2023</v>
      </c>
      <c r="R1018">
        <f>MONTH(data[[#This Row],[order_date]])</f>
        <v>12</v>
      </c>
      <c r="S1018">
        <f>DAY(data[[#This Row],[order_date]])</f>
        <v>16</v>
      </c>
      <c r="T1018">
        <f>data[[#This Row],[profit]]/data[[#This Row],[sales]]</f>
        <v>0.29571984435797666</v>
      </c>
    </row>
    <row r="1019" spans="1:20" x14ac:dyDescent="0.35">
      <c r="A1019" t="s">
        <v>1231</v>
      </c>
      <c r="B1019" s="1">
        <v>45325</v>
      </c>
      <c r="C1019" t="s">
        <v>49</v>
      </c>
      <c r="D1019" t="s">
        <v>50</v>
      </c>
      <c r="E1019" t="s">
        <v>218</v>
      </c>
      <c r="F1019" t="s">
        <v>23</v>
      </c>
      <c r="G1019" t="s">
        <v>1211</v>
      </c>
      <c r="H1019" t="s">
        <v>1212</v>
      </c>
      <c r="I1019" t="s">
        <v>363</v>
      </c>
      <c r="J1019">
        <v>1</v>
      </c>
      <c r="K1019">
        <v>543000</v>
      </c>
      <c r="L1019">
        <v>0</v>
      </c>
      <c r="M1019">
        <v>372000</v>
      </c>
      <c r="N1019">
        <f>(data[[#This Row],[unit_price]]*data[[#This Row],[quantity]]) * (1-data[[#This Row],[discount]])</f>
        <v>543000</v>
      </c>
      <c r="O1019">
        <f>data[[#This Row],[sales]]-data[[#This Row],[cost]]</f>
        <v>171000</v>
      </c>
      <c r="P1019" t="str">
        <f>TEXT(data[[#This Row],[order_date]],"mmm")</f>
        <v>Feb</v>
      </c>
      <c r="Q1019">
        <f>YEAR(data[[#This Row],[order_date]])</f>
        <v>2024</v>
      </c>
      <c r="R1019">
        <f>MONTH(data[[#This Row],[order_date]])</f>
        <v>2</v>
      </c>
      <c r="S1019">
        <f>DAY(data[[#This Row],[order_date]])</f>
        <v>3</v>
      </c>
      <c r="T1019">
        <f>data[[#This Row],[profit]]/data[[#This Row],[sales]]</f>
        <v>0.31491712707182318</v>
      </c>
    </row>
    <row r="1020" spans="1:20" x14ac:dyDescent="0.35">
      <c r="A1020" t="s">
        <v>1232</v>
      </c>
      <c r="B1020" s="1">
        <v>45325</v>
      </c>
      <c r="C1020" t="s">
        <v>14</v>
      </c>
      <c r="D1020" t="s">
        <v>15</v>
      </c>
      <c r="E1020" t="s">
        <v>239</v>
      </c>
      <c r="F1020" t="s">
        <v>23</v>
      </c>
      <c r="G1020" t="s">
        <v>1211</v>
      </c>
      <c r="H1020" t="s">
        <v>1212</v>
      </c>
      <c r="I1020" t="s">
        <v>363</v>
      </c>
      <c r="J1020">
        <v>1</v>
      </c>
      <c r="K1020">
        <v>340000</v>
      </c>
      <c r="L1020">
        <v>0.15</v>
      </c>
      <c r="M1020">
        <v>241000</v>
      </c>
      <c r="N1020">
        <f>(data[[#This Row],[unit_price]]*data[[#This Row],[quantity]]) * (1-data[[#This Row],[discount]])</f>
        <v>289000</v>
      </c>
      <c r="O1020">
        <f>data[[#This Row],[sales]]-data[[#This Row],[cost]]</f>
        <v>48000</v>
      </c>
      <c r="P1020" t="str">
        <f>TEXT(data[[#This Row],[order_date]],"mmm")</f>
        <v>Feb</v>
      </c>
      <c r="Q1020">
        <f>YEAR(data[[#This Row],[order_date]])</f>
        <v>2024</v>
      </c>
      <c r="R1020">
        <f>MONTH(data[[#This Row],[order_date]])</f>
        <v>2</v>
      </c>
      <c r="S1020">
        <f>DAY(data[[#This Row],[order_date]])</f>
        <v>3</v>
      </c>
      <c r="T1020">
        <f>data[[#This Row],[profit]]/data[[#This Row],[sales]]</f>
        <v>0.16608996539792387</v>
      </c>
    </row>
    <row r="1021" spans="1:20" x14ac:dyDescent="0.35">
      <c r="A1021" t="s">
        <v>1233</v>
      </c>
      <c r="B1021" s="1">
        <v>45348</v>
      </c>
      <c r="C1021" t="s">
        <v>41</v>
      </c>
      <c r="D1021" t="s">
        <v>42</v>
      </c>
      <c r="E1021" t="s">
        <v>262</v>
      </c>
      <c r="F1021" t="s">
        <v>23</v>
      </c>
      <c r="G1021" t="s">
        <v>1211</v>
      </c>
      <c r="H1021" t="s">
        <v>1212</v>
      </c>
      <c r="I1021" t="s">
        <v>363</v>
      </c>
      <c r="J1021">
        <v>1</v>
      </c>
      <c r="K1021">
        <v>299000</v>
      </c>
      <c r="L1021">
        <v>0.1</v>
      </c>
      <c r="M1021">
        <v>214000</v>
      </c>
      <c r="N1021">
        <f>(data[[#This Row],[unit_price]]*data[[#This Row],[quantity]]) * (1-data[[#This Row],[discount]])</f>
        <v>269100</v>
      </c>
      <c r="O1021">
        <f>data[[#This Row],[sales]]-data[[#This Row],[cost]]</f>
        <v>55100</v>
      </c>
      <c r="P1021" t="str">
        <f>TEXT(data[[#This Row],[order_date]],"mmm")</f>
        <v>Feb</v>
      </c>
      <c r="Q1021">
        <f>YEAR(data[[#This Row],[order_date]])</f>
        <v>2024</v>
      </c>
      <c r="R1021">
        <f>MONTH(data[[#This Row],[order_date]])</f>
        <v>2</v>
      </c>
      <c r="S1021">
        <f>DAY(data[[#This Row],[order_date]])</f>
        <v>26</v>
      </c>
      <c r="T1021">
        <f>data[[#This Row],[profit]]/data[[#This Row],[sales]]</f>
        <v>0.20475659606094387</v>
      </c>
    </row>
    <row r="1022" spans="1:20" x14ac:dyDescent="0.35">
      <c r="A1022" t="s">
        <v>1234</v>
      </c>
      <c r="B1022" s="1">
        <v>45352</v>
      </c>
      <c r="C1022" t="s">
        <v>14</v>
      </c>
      <c r="D1022" t="s">
        <v>15</v>
      </c>
      <c r="E1022" t="s">
        <v>117</v>
      </c>
      <c r="F1022" t="s">
        <v>23</v>
      </c>
      <c r="G1022" t="s">
        <v>1211</v>
      </c>
      <c r="H1022" t="s">
        <v>1212</v>
      </c>
      <c r="I1022" t="s">
        <v>363</v>
      </c>
      <c r="J1022">
        <v>1</v>
      </c>
      <c r="K1022">
        <v>414000</v>
      </c>
      <c r="L1022">
        <v>0.15</v>
      </c>
      <c r="M1022">
        <v>291000</v>
      </c>
      <c r="N1022">
        <f>(data[[#This Row],[unit_price]]*data[[#This Row],[quantity]]) * (1-data[[#This Row],[discount]])</f>
        <v>351900</v>
      </c>
      <c r="O1022">
        <f>data[[#This Row],[sales]]-data[[#This Row],[cost]]</f>
        <v>60900</v>
      </c>
      <c r="P1022" t="str">
        <f>TEXT(data[[#This Row],[order_date]],"mmm")</f>
        <v>Mar</v>
      </c>
      <c r="Q1022">
        <f>YEAR(data[[#This Row],[order_date]])</f>
        <v>2024</v>
      </c>
      <c r="R1022">
        <f>MONTH(data[[#This Row],[order_date]])</f>
        <v>3</v>
      </c>
      <c r="S1022">
        <f>DAY(data[[#This Row],[order_date]])</f>
        <v>1</v>
      </c>
      <c r="T1022">
        <f>data[[#This Row],[profit]]/data[[#This Row],[sales]]</f>
        <v>0.17306052855924978</v>
      </c>
    </row>
    <row r="1023" spans="1:20" x14ac:dyDescent="0.35">
      <c r="A1023" t="s">
        <v>1235</v>
      </c>
      <c r="B1023" s="1">
        <v>45373</v>
      </c>
      <c r="C1023" t="s">
        <v>41</v>
      </c>
      <c r="D1023" t="s">
        <v>42</v>
      </c>
      <c r="E1023" t="s">
        <v>119</v>
      </c>
      <c r="F1023" t="s">
        <v>23</v>
      </c>
      <c r="G1023" t="s">
        <v>1211</v>
      </c>
      <c r="H1023" t="s">
        <v>1212</v>
      </c>
      <c r="I1023" t="s">
        <v>363</v>
      </c>
      <c r="J1023">
        <v>1</v>
      </c>
      <c r="K1023">
        <v>487000</v>
      </c>
      <c r="L1023">
        <v>0</v>
      </c>
      <c r="M1023">
        <v>345000</v>
      </c>
      <c r="N1023">
        <f>(data[[#This Row],[unit_price]]*data[[#This Row],[quantity]]) * (1-data[[#This Row],[discount]])</f>
        <v>487000</v>
      </c>
      <c r="O1023">
        <f>data[[#This Row],[sales]]-data[[#This Row],[cost]]</f>
        <v>142000</v>
      </c>
      <c r="P1023" t="str">
        <f>TEXT(data[[#This Row],[order_date]],"mmm")</f>
        <v>Mar</v>
      </c>
      <c r="Q1023">
        <f>YEAR(data[[#This Row],[order_date]])</f>
        <v>2024</v>
      </c>
      <c r="R1023">
        <f>MONTH(data[[#This Row],[order_date]])</f>
        <v>3</v>
      </c>
      <c r="S1023">
        <f>DAY(data[[#This Row],[order_date]])</f>
        <v>22</v>
      </c>
      <c r="T1023">
        <f>data[[#This Row],[profit]]/data[[#This Row],[sales]]</f>
        <v>0.29158110882956878</v>
      </c>
    </row>
    <row r="1024" spans="1:20" x14ac:dyDescent="0.35">
      <c r="A1024" t="s">
        <v>1236</v>
      </c>
      <c r="B1024" s="1">
        <v>45442</v>
      </c>
      <c r="C1024" t="s">
        <v>36</v>
      </c>
      <c r="D1024" t="s">
        <v>37</v>
      </c>
      <c r="E1024" t="s">
        <v>166</v>
      </c>
      <c r="F1024" t="s">
        <v>28</v>
      </c>
      <c r="G1024" t="s">
        <v>1211</v>
      </c>
      <c r="H1024" t="s">
        <v>1212</v>
      </c>
      <c r="I1024" t="s">
        <v>363</v>
      </c>
      <c r="J1024">
        <v>1</v>
      </c>
      <c r="K1024">
        <v>512000</v>
      </c>
      <c r="L1024">
        <v>0</v>
      </c>
      <c r="M1024">
        <v>355000</v>
      </c>
      <c r="N1024">
        <f>(data[[#This Row],[unit_price]]*data[[#This Row],[quantity]]) * (1-data[[#This Row],[discount]])</f>
        <v>512000</v>
      </c>
      <c r="O1024">
        <f>data[[#This Row],[sales]]-data[[#This Row],[cost]]</f>
        <v>157000</v>
      </c>
      <c r="P1024" t="str">
        <f>TEXT(data[[#This Row],[order_date]],"mmm")</f>
        <v>May</v>
      </c>
      <c r="Q1024">
        <f>YEAR(data[[#This Row],[order_date]])</f>
        <v>2024</v>
      </c>
      <c r="R1024">
        <f>MONTH(data[[#This Row],[order_date]])</f>
        <v>5</v>
      </c>
      <c r="S1024">
        <f>DAY(data[[#This Row],[order_date]])</f>
        <v>30</v>
      </c>
      <c r="T1024">
        <f>data[[#This Row],[profit]]/data[[#This Row],[sales]]</f>
        <v>0.306640625</v>
      </c>
    </row>
    <row r="1025" spans="1:20" x14ac:dyDescent="0.35">
      <c r="A1025" t="s">
        <v>1237</v>
      </c>
      <c r="B1025" s="1">
        <v>45445</v>
      </c>
      <c r="C1025" t="s">
        <v>41</v>
      </c>
      <c r="D1025" t="s">
        <v>42</v>
      </c>
      <c r="E1025" t="s">
        <v>51</v>
      </c>
      <c r="F1025" t="s">
        <v>23</v>
      </c>
      <c r="G1025" t="s">
        <v>1211</v>
      </c>
      <c r="H1025" t="s">
        <v>1212</v>
      </c>
      <c r="I1025" t="s">
        <v>363</v>
      </c>
      <c r="J1025">
        <v>1</v>
      </c>
      <c r="K1025">
        <v>346000</v>
      </c>
      <c r="L1025">
        <v>0</v>
      </c>
      <c r="M1025">
        <v>247000</v>
      </c>
      <c r="N1025">
        <f>(data[[#This Row],[unit_price]]*data[[#This Row],[quantity]]) * (1-data[[#This Row],[discount]])</f>
        <v>346000</v>
      </c>
      <c r="O1025">
        <f>data[[#This Row],[sales]]-data[[#This Row],[cost]]</f>
        <v>99000</v>
      </c>
      <c r="P1025" t="str">
        <f>TEXT(data[[#This Row],[order_date]],"mmm")</f>
        <v>Jun</v>
      </c>
      <c r="Q1025">
        <f>YEAR(data[[#This Row],[order_date]])</f>
        <v>2024</v>
      </c>
      <c r="R1025">
        <f>MONTH(data[[#This Row],[order_date]])</f>
        <v>6</v>
      </c>
      <c r="S1025">
        <f>DAY(data[[#This Row],[order_date]])</f>
        <v>2</v>
      </c>
      <c r="T1025">
        <f>data[[#This Row],[profit]]/data[[#This Row],[sales]]</f>
        <v>0.2861271676300578</v>
      </c>
    </row>
    <row r="1026" spans="1:20" x14ac:dyDescent="0.35">
      <c r="A1026" t="s">
        <v>1238</v>
      </c>
      <c r="B1026" s="1">
        <v>45450</v>
      </c>
      <c r="C1026" t="s">
        <v>14</v>
      </c>
      <c r="D1026" t="s">
        <v>15</v>
      </c>
      <c r="E1026" t="s">
        <v>291</v>
      </c>
      <c r="F1026" t="s">
        <v>17</v>
      </c>
      <c r="G1026" t="s">
        <v>1211</v>
      </c>
      <c r="H1026" t="s">
        <v>1212</v>
      </c>
      <c r="I1026" t="s">
        <v>363</v>
      </c>
      <c r="J1026">
        <v>1</v>
      </c>
      <c r="K1026">
        <v>442000</v>
      </c>
      <c r="L1026">
        <v>0</v>
      </c>
      <c r="M1026">
        <v>316000</v>
      </c>
      <c r="N1026">
        <f>(data[[#This Row],[unit_price]]*data[[#This Row],[quantity]]) * (1-data[[#This Row],[discount]])</f>
        <v>442000</v>
      </c>
      <c r="O1026">
        <f>data[[#This Row],[sales]]-data[[#This Row],[cost]]</f>
        <v>126000</v>
      </c>
      <c r="P1026" t="str">
        <f>TEXT(data[[#This Row],[order_date]],"mmm")</f>
        <v>Jun</v>
      </c>
      <c r="Q1026">
        <f>YEAR(data[[#This Row],[order_date]])</f>
        <v>2024</v>
      </c>
      <c r="R1026">
        <f>MONTH(data[[#This Row],[order_date]])</f>
        <v>6</v>
      </c>
      <c r="S1026">
        <f>DAY(data[[#This Row],[order_date]])</f>
        <v>7</v>
      </c>
      <c r="T1026">
        <f>data[[#This Row],[profit]]/data[[#This Row],[sales]]</f>
        <v>0.28506787330316741</v>
      </c>
    </row>
    <row r="1027" spans="1:20" x14ac:dyDescent="0.35">
      <c r="A1027" t="s">
        <v>1239</v>
      </c>
      <c r="B1027" s="1">
        <v>45469</v>
      </c>
      <c r="C1027" t="s">
        <v>41</v>
      </c>
      <c r="D1027" t="s">
        <v>42</v>
      </c>
      <c r="E1027" t="s">
        <v>174</v>
      </c>
      <c r="F1027" t="s">
        <v>23</v>
      </c>
      <c r="G1027" t="s">
        <v>1211</v>
      </c>
      <c r="H1027" t="s">
        <v>1212</v>
      </c>
      <c r="I1027" t="s">
        <v>363</v>
      </c>
      <c r="J1027">
        <v>1</v>
      </c>
      <c r="K1027">
        <v>494000</v>
      </c>
      <c r="L1027">
        <v>0</v>
      </c>
      <c r="M1027">
        <v>350000</v>
      </c>
      <c r="N1027">
        <f>(data[[#This Row],[unit_price]]*data[[#This Row],[quantity]]) * (1-data[[#This Row],[discount]])</f>
        <v>494000</v>
      </c>
      <c r="O1027">
        <f>data[[#This Row],[sales]]-data[[#This Row],[cost]]</f>
        <v>144000</v>
      </c>
      <c r="P1027" t="str">
        <f>TEXT(data[[#This Row],[order_date]],"mmm")</f>
        <v>Jun</v>
      </c>
      <c r="Q1027">
        <f>YEAR(data[[#This Row],[order_date]])</f>
        <v>2024</v>
      </c>
      <c r="R1027">
        <f>MONTH(data[[#This Row],[order_date]])</f>
        <v>6</v>
      </c>
      <c r="S1027">
        <f>DAY(data[[#This Row],[order_date]])</f>
        <v>26</v>
      </c>
      <c r="T1027">
        <f>data[[#This Row],[profit]]/data[[#This Row],[sales]]</f>
        <v>0.291497975708502</v>
      </c>
    </row>
    <row r="1028" spans="1:20" x14ac:dyDescent="0.35">
      <c r="A1028" t="s">
        <v>1240</v>
      </c>
      <c r="B1028" s="1">
        <v>45471</v>
      </c>
      <c r="C1028" t="s">
        <v>36</v>
      </c>
      <c r="D1028" t="s">
        <v>37</v>
      </c>
      <c r="E1028" t="s">
        <v>71</v>
      </c>
      <c r="F1028" t="s">
        <v>23</v>
      </c>
      <c r="G1028" t="s">
        <v>1211</v>
      </c>
      <c r="H1028" t="s">
        <v>1212</v>
      </c>
      <c r="I1028" t="s">
        <v>363</v>
      </c>
      <c r="J1028">
        <v>1</v>
      </c>
      <c r="K1028">
        <v>535000</v>
      </c>
      <c r="L1028">
        <v>0</v>
      </c>
      <c r="M1028">
        <v>378000</v>
      </c>
      <c r="N1028">
        <f>(data[[#This Row],[unit_price]]*data[[#This Row],[quantity]]) * (1-data[[#This Row],[discount]])</f>
        <v>535000</v>
      </c>
      <c r="O1028">
        <f>data[[#This Row],[sales]]-data[[#This Row],[cost]]</f>
        <v>157000</v>
      </c>
      <c r="P1028" t="str">
        <f>TEXT(data[[#This Row],[order_date]],"mmm")</f>
        <v>Jun</v>
      </c>
      <c r="Q1028">
        <f>YEAR(data[[#This Row],[order_date]])</f>
        <v>2024</v>
      </c>
      <c r="R1028">
        <f>MONTH(data[[#This Row],[order_date]])</f>
        <v>6</v>
      </c>
      <c r="S1028">
        <f>DAY(data[[#This Row],[order_date]])</f>
        <v>28</v>
      </c>
      <c r="T1028">
        <f>data[[#This Row],[profit]]/data[[#This Row],[sales]]</f>
        <v>0.29345794392523367</v>
      </c>
    </row>
    <row r="1029" spans="1:20" x14ac:dyDescent="0.35">
      <c r="A1029" t="s">
        <v>1241</v>
      </c>
      <c r="B1029" s="1">
        <v>45474</v>
      </c>
      <c r="C1029" t="s">
        <v>14</v>
      </c>
      <c r="D1029" t="s">
        <v>15</v>
      </c>
      <c r="E1029" t="s">
        <v>179</v>
      </c>
      <c r="F1029" t="s">
        <v>23</v>
      </c>
      <c r="G1029" t="s">
        <v>1211</v>
      </c>
      <c r="H1029" t="s">
        <v>1212</v>
      </c>
      <c r="I1029" t="s">
        <v>363</v>
      </c>
      <c r="J1029">
        <v>1</v>
      </c>
      <c r="K1029">
        <v>571000</v>
      </c>
      <c r="L1029">
        <v>0</v>
      </c>
      <c r="M1029">
        <v>408000</v>
      </c>
      <c r="N1029">
        <f>(data[[#This Row],[unit_price]]*data[[#This Row],[quantity]]) * (1-data[[#This Row],[discount]])</f>
        <v>571000</v>
      </c>
      <c r="O1029">
        <f>data[[#This Row],[sales]]-data[[#This Row],[cost]]</f>
        <v>163000</v>
      </c>
      <c r="P1029" t="str">
        <f>TEXT(data[[#This Row],[order_date]],"mmm")</f>
        <v>Jul</v>
      </c>
      <c r="Q1029">
        <f>YEAR(data[[#This Row],[order_date]])</f>
        <v>2024</v>
      </c>
      <c r="R1029">
        <f>MONTH(data[[#This Row],[order_date]])</f>
        <v>7</v>
      </c>
      <c r="S1029">
        <f>DAY(data[[#This Row],[order_date]])</f>
        <v>1</v>
      </c>
      <c r="T1029">
        <f>data[[#This Row],[profit]]/data[[#This Row],[sales]]</f>
        <v>0.28546409807355516</v>
      </c>
    </row>
    <row r="1030" spans="1:20" x14ac:dyDescent="0.35">
      <c r="A1030" t="s">
        <v>1242</v>
      </c>
      <c r="B1030" s="1">
        <v>45492</v>
      </c>
      <c r="C1030" t="s">
        <v>14</v>
      </c>
      <c r="D1030" t="s">
        <v>15</v>
      </c>
      <c r="E1030" t="s">
        <v>43</v>
      </c>
      <c r="F1030" t="s">
        <v>17</v>
      </c>
      <c r="G1030" t="s">
        <v>1211</v>
      </c>
      <c r="H1030" t="s">
        <v>1212</v>
      </c>
      <c r="I1030" t="s">
        <v>363</v>
      </c>
      <c r="J1030">
        <v>1</v>
      </c>
      <c r="K1030">
        <v>367000</v>
      </c>
      <c r="L1030">
        <v>0</v>
      </c>
      <c r="M1030">
        <v>263000</v>
      </c>
      <c r="N1030">
        <f>(data[[#This Row],[unit_price]]*data[[#This Row],[quantity]]) * (1-data[[#This Row],[discount]])</f>
        <v>367000</v>
      </c>
      <c r="O1030">
        <f>data[[#This Row],[sales]]-data[[#This Row],[cost]]</f>
        <v>104000</v>
      </c>
      <c r="P1030" t="str">
        <f>TEXT(data[[#This Row],[order_date]],"mmm")</f>
        <v>Jul</v>
      </c>
      <c r="Q1030">
        <f>YEAR(data[[#This Row],[order_date]])</f>
        <v>2024</v>
      </c>
      <c r="R1030">
        <f>MONTH(data[[#This Row],[order_date]])</f>
        <v>7</v>
      </c>
      <c r="S1030">
        <f>DAY(data[[#This Row],[order_date]])</f>
        <v>19</v>
      </c>
      <c r="T1030">
        <f>data[[#This Row],[profit]]/data[[#This Row],[sales]]</f>
        <v>0.28337874659400547</v>
      </c>
    </row>
    <row r="1031" spans="1:20" x14ac:dyDescent="0.35">
      <c r="A1031" t="s">
        <v>1243</v>
      </c>
      <c r="B1031" s="1">
        <v>45498</v>
      </c>
      <c r="C1031" t="s">
        <v>14</v>
      </c>
      <c r="D1031" t="s">
        <v>15</v>
      </c>
      <c r="E1031" t="s">
        <v>141</v>
      </c>
      <c r="F1031" t="s">
        <v>17</v>
      </c>
      <c r="G1031" t="s">
        <v>1211</v>
      </c>
      <c r="H1031" t="s">
        <v>1212</v>
      </c>
      <c r="I1031" t="s">
        <v>363</v>
      </c>
      <c r="J1031">
        <v>1</v>
      </c>
      <c r="K1031">
        <v>533000</v>
      </c>
      <c r="L1031">
        <v>0</v>
      </c>
      <c r="M1031">
        <v>366000</v>
      </c>
      <c r="N1031">
        <f>(data[[#This Row],[unit_price]]*data[[#This Row],[quantity]]) * (1-data[[#This Row],[discount]])</f>
        <v>533000</v>
      </c>
      <c r="O1031">
        <f>data[[#This Row],[sales]]-data[[#This Row],[cost]]</f>
        <v>167000</v>
      </c>
      <c r="P1031" t="str">
        <f>TEXT(data[[#This Row],[order_date]],"mmm")</f>
        <v>Jul</v>
      </c>
      <c r="Q1031">
        <f>YEAR(data[[#This Row],[order_date]])</f>
        <v>2024</v>
      </c>
      <c r="R1031">
        <f>MONTH(data[[#This Row],[order_date]])</f>
        <v>7</v>
      </c>
      <c r="S1031">
        <f>DAY(data[[#This Row],[order_date]])</f>
        <v>25</v>
      </c>
      <c r="T1031">
        <f>data[[#This Row],[profit]]/data[[#This Row],[sales]]</f>
        <v>0.31332082551594748</v>
      </c>
    </row>
    <row r="1032" spans="1:20" x14ac:dyDescent="0.35">
      <c r="A1032" t="s">
        <v>1244</v>
      </c>
      <c r="B1032" s="1">
        <v>45550</v>
      </c>
      <c r="C1032" t="s">
        <v>25</v>
      </c>
      <c r="D1032" t="s">
        <v>26</v>
      </c>
      <c r="E1032" t="s">
        <v>260</v>
      </c>
      <c r="F1032" t="s">
        <v>23</v>
      </c>
      <c r="G1032" t="s">
        <v>1211</v>
      </c>
      <c r="H1032" t="s">
        <v>1212</v>
      </c>
      <c r="I1032" t="s">
        <v>363</v>
      </c>
      <c r="J1032">
        <v>1</v>
      </c>
      <c r="K1032">
        <v>541000</v>
      </c>
      <c r="L1032">
        <v>0</v>
      </c>
      <c r="M1032">
        <v>371000</v>
      </c>
      <c r="N1032">
        <f>(data[[#This Row],[unit_price]]*data[[#This Row],[quantity]]) * (1-data[[#This Row],[discount]])</f>
        <v>541000</v>
      </c>
      <c r="O1032">
        <f>data[[#This Row],[sales]]-data[[#This Row],[cost]]</f>
        <v>170000</v>
      </c>
      <c r="P1032" t="str">
        <f>TEXT(data[[#This Row],[order_date]],"mmm")</f>
        <v>Sep</v>
      </c>
      <c r="Q1032">
        <f>YEAR(data[[#This Row],[order_date]])</f>
        <v>2024</v>
      </c>
      <c r="R1032">
        <f>MONTH(data[[#This Row],[order_date]])</f>
        <v>9</v>
      </c>
      <c r="S1032">
        <f>DAY(data[[#This Row],[order_date]])</f>
        <v>15</v>
      </c>
      <c r="T1032">
        <f>data[[#This Row],[profit]]/data[[#This Row],[sales]]</f>
        <v>0.3142329020332717</v>
      </c>
    </row>
    <row r="1033" spans="1:20" x14ac:dyDescent="0.35">
      <c r="A1033" t="s">
        <v>1245</v>
      </c>
      <c r="B1033" s="1">
        <v>45577</v>
      </c>
      <c r="C1033" t="s">
        <v>41</v>
      </c>
      <c r="D1033" t="s">
        <v>42</v>
      </c>
      <c r="E1033" t="s">
        <v>340</v>
      </c>
      <c r="F1033" t="s">
        <v>23</v>
      </c>
      <c r="G1033" t="s">
        <v>1211</v>
      </c>
      <c r="H1033" t="s">
        <v>1212</v>
      </c>
      <c r="I1033" t="s">
        <v>363</v>
      </c>
      <c r="J1033">
        <v>3</v>
      </c>
      <c r="K1033">
        <v>422000</v>
      </c>
      <c r="L1033">
        <v>0.05</v>
      </c>
      <c r="M1033">
        <v>297000</v>
      </c>
      <c r="N1033">
        <f>(data[[#This Row],[unit_price]]*data[[#This Row],[quantity]]) * (1-data[[#This Row],[discount]])</f>
        <v>1202700</v>
      </c>
      <c r="O1033">
        <f>data[[#This Row],[sales]]-data[[#This Row],[cost]]</f>
        <v>905700</v>
      </c>
      <c r="P1033" t="str">
        <f>TEXT(data[[#This Row],[order_date]],"mmm")</f>
        <v>Oct</v>
      </c>
      <c r="Q1033">
        <f>YEAR(data[[#This Row],[order_date]])</f>
        <v>2024</v>
      </c>
      <c r="R1033">
        <f>MONTH(data[[#This Row],[order_date]])</f>
        <v>10</v>
      </c>
      <c r="S1033">
        <f>DAY(data[[#This Row],[order_date]])</f>
        <v>12</v>
      </c>
      <c r="T1033">
        <f>data[[#This Row],[profit]]/data[[#This Row],[sales]]</f>
        <v>0.75305562484410082</v>
      </c>
    </row>
    <row r="1034" spans="1:20" x14ac:dyDescent="0.35">
      <c r="A1034" t="s">
        <v>1246</v>
      </c>
      <c r="B1034" s="1">
        <v>45583</v>
      </c>
      <c r="C1034" t="s">
        <v>25</v>
      </c>
      <c r="D1034" t="s">
        <v>26</v>
      </c>
      <c r="E1034" t="s">
        <v>255</v>
      </c>
      <c r="F1034" t="s">
        <v>17</v>
      </c>
      <c r="G1034" t="s">
        <v>1211</v>
      </c>
      <c r="H1034" t="s">
        <v>1212</v>
      </c>
      <c r="I1034" t="s">
        <v>363</v>
      </c>
      <c r="J1034">
        <v>1</v>
      </c>
      <c r="K1034">
        <v>440000</v>
      </c>
      <c r="L1034">
        <v>0</v>
      </c>
      <c r="M1034">
        <v>316000</v>
      </c>
      <c r="N1034">
        <f>(data[[#This Row],[unit_price]]*data[[#This Row],[quantity]]) * (1-data[[#This Row],[discount]])</f>
        <v>440000</v>
      </c>
      <c r="O1034">
        <f>data[[#This Row],[sales]]-data[[#This Row],[cost]]</f>
        <v>124000</v>
      </c>
      <c r="P1034" t="str">
        <f>TEXT(data[[#This Row],[order_date]],"mmm")</f>
        <v>Oct</v>
      </c>
      <c r="Q1034">
        <f>YEAR(data[[#This Row],[order_date]])</f>
        <v>2024</v>
      </c>
      <c r="R1034">
        <f>MONTH(data[[#This Row],[order_date]])</f>
        <v>10</v>
      </c>
      <c r="S1034">
        <f>DAY(data[[#This Row],[order_date]])</f>
        <v>18</v>
      </c>
      <c r="T1034">
        <f>data[[#This Row],[profit]]/data[[#This Row],[sales]]</f>
        <v>0.2818181818181818</v>
      </c>
    </row>
    <row r="1035" spans="1:20" x14ac:dyDescent="0.35">
      <c r="A1035" t="s">
        <v>1247</v>
      </c>
      <c r="B1035" s="1">
        <v>45603</v>
      </c>
      <c r="C1035" t="s">
        <v>49</v>
      </c>
      <c r="D1035" t="s">
        <v>50</v>
      </c>
      <c r="E1035" t="s">
        <v>255</v>
      </c>
      <c r="F1035" t="s">
        <v>17</v>
      </c>
      <c r="G1035" t="s">
        <v>1211</v>
      </c>
      <c r="H1035" t="s">
        <v>1212</v>
      </c>
      <c r="I1035" t="s">
        <v>363</v>
      </c>
      <c r="J1035">
        <v>1</v>
      </c>
      <c r="K1035">
        <v>516000</v>
      </c>
      <c r="L1035">
        <v>0</v>
      </c>
      <c r="M1035">
        <v>361000</v>
      </c>
      <c r="N1035">
        <f>(data[[#This Row],[unit_price]]*data[[#This Row],[quantity]]) * (1-data[[#This Row],[discount]])</f>
        <v>516000</v>
      </c>
      <c r="O1035">
        <f>data[[#This Row],[sales]]-data[[#This Row],[cost]]</f>
        <v>155000</v>
      </c>
      <c r="P1035" t="str">
        <f>TEXT(data[[#This Row],[order_date]],"mmm")</f>
        <v>Nov</v>
      </c>
      <c r="Q1035">
        <f>YEAR(data[[#This Row],[order_date]])</f>
        <v>2024</v>
      </c>
      <c r="R1035">
        <f>MONTH(data[[#This Row],[order_date]])</f>
        <v>11</v>
      </c>
      <c r="S1035">
        <f>DAY(data[[#This Row],[order_date]])</f>
        <v>7</v>
      </c>
      <c r="T1035">
        <f>data[[#This Row],[profit]]/data[[#This Row],[sales]]</f>
        <v>0.30038759689922478</v>
      </c>
    </row>
    <row r="1036" spans="1:20" x14ac:dyDescent="0.35">
      <c r="A1036" t="s">
        <v>1248</v>
      </c>
      <c r="B1036" s="1">
        <v>45615</v>
      </c>
      <c r="C1036" t="s">
        <v>36</v>
      </c>
      <c r="D1036" t="s">
        <v>37</v>
      </c>
      <c r="E1036" t="s">
        <v>598</v>
      </c>
      <c r="F1036" t="s">
        <v>23</v>
      </c>
      <c r="G1036" t="s">
        <v>1211</v>
      </c>
      <c r="H1036" t="s">
        <v>1212</v>
      </c>
      <c r="I1036" t="s">
        <v>363</v>
      </c>
      <c r="J1036">
        <v>1</v>
      </c>
      <c r="K1036">
        <v>512000</v>
      </c>
      <c r="L1036">
        <v>0</v>
      </c>
      <c r="M1036">
        <v>351000</v>
      </c>
      <c r="N1036">
        <f>(data[[#This Row],[unit_price]]*data[[#This Row],[quantity]]) * (1-data[[#This Row],[discount]])</f>
        <v>512000</v>
      </c>
      <c r="O1036">
        <f>data[[#This Row],[sales]]-data[[#This Row],[cost]]</f>
        <v>161000</v>
      </c>
      <c r="P1036" t="str">
        <f>TEXT(data[[#This Row],[order_date]],"mmm")</f>
        <v>Nov</v>
      </c>
      <c r="Q1036">
        <f>YEAR(data[[#This Row],[order_date]])</f>
        <v>2024</v>
      </c>
      <c r="R1036">
        <f>MONTH(data[[#This Row],[order_date]])</f>
        <v>11</v>
      </c>
      <c r="S1036">
        <f>DAY(data[[#This Row],[order_date]])</f>
        <v>19</v>
      </c>
      <c r="T1036">
        <f>data[[#This Row],[profit]]/data[[#This Row],[sales]]</f>
        <v>0.314453125</v>
      </c>
    </row>
    <row r="1037" spans="1:20" x14ac:dyDescent="0.35">
      <c r="A1037" t="s">
        <v>1249</v>
      </c>
      <c r="B1037" s="1">
        <v>45683</v>
      </c>
      <c r="C1037" t="s">
        <v>14</v>
      </c>
      <c r="D1037" t="s">
        <v>15</v>
      </c>
      <c r="E1037" t="s">
        <v>130</v>
      </c>
      <c r="F1037" t="s">
        <v>28</v>
      </c>
      <c r="G1037" t="s">
        <v>1211</v>
      </c>
      <c r="H1037" t="s">
        <v>1212</v>
      </c>
      <c r="I1037" t="s">
        <v>363</v>
      </c>
      <c r="J1037">
        <v>1</v>
      </c>
      <c r="K1037">
        <v>578000</v>
      </c>
      <c r="L1037">
        <v>0</v>
      </c>
      <c r="M1037">
        <v>408000</v>
      </c>
      <c r="N1037">
        <f>(data[[#This Row],[unit_price]]*data[[#This Row],[quantity]]) * (1-data[[#This Row],[discount]])</f>
        <v>578000</v>
      </c>
      <c r="O1037">
        <f>data[[#This Row],[sales]]-data[[#This Row],[cost]]</f>
        <v>170000</v>
      </c>
      <c r="P1037" t="str">
        <f>TEXT(data[[#This Row],[order_date]],"mmm")</f>
        <v>Jan</v>
      </c>
      <c r="Q1037">
        <f>YEAR(data[[#This Row],[order_date]])</f>
        <v>2025</v>
      </c>
      <c r="R1037">
        <f>MONTH(data[[#This Row],[order_date]])</f>
        <v>1</v>
      </c>
      <c r="S1037">
        <f>DAY(data[[#This Row],[order_date]])</f>
        <v>26</v>
      </c>
      <c r="T1037">
        <f>data[[#This Row],[profit]]/data[[#This Row],[sales]]</f>
        <v>0.29411764705882354</v>
      </c>
    </row>
    <row r="1038" spans="1:20" x14ac:dyDescent="0.35">
      <c r="A1038" t="s">
        <v>1250</v>
      </c>
      <c r="B1038" s="1">
        <v>45684</v>
      </c>
      <c r="C1038" t="s">
        <v>25</v>
      </c>
      <c r="D1038" t="s">
        <v>26</v>
      </c>
      <c r="E1038" t="s">
        <v>447</v>
      </c>
      <c r="F1038" t="s">
        <v>23</v>
      </c>
      <c r="G1038" t="s">
        <v>1211</v>
      </c>
      <c r="H1038" t="s">
        <v>1212</v>
      </c>
      <c r="I1038" t="s">
        <v>363</v>
      </c>
      <c r="J1038">
        <v>1</v>
      </c>
      <c r="K1038">
        <v>388000</v>
      </c>
      <c r="L1038">
        <v>0</v>
      </c>
      <c r="M1038">
        <v>269000</v>
      </c>
      <c r="N1038">
        <f>(data[[#This Row],[unit_price]]*data[[#This Row],[quantity]]) * (1-data[[#This Row],[discount]])</f>
        <v>388000</v>
      </c>
      <c r="O1038">
        <f>data[[#This Row],[sales]]-data[[#This Row],[cost]]</f>
        <v>119000</v>
      </c>
      <c r="P1038" t="str">
        <f>TEXT(data[[#This Row],[order_date]],"mmm")</f>
        <v>Jan</v>
      </c>
      <c r="Q1038">
        <f>YEAR(data[[#This Row],[order_date]])</f>
        <v>2025</v>
      </c>
      <c r="R1038">
        <f>MONTH(data[[#This Row],[order_date]])</f>
        <v>1</v>
      </c>
      <c r="S1038">
        <f>DAY(data[[#This Row],[order_date]])</f>
        <v>27</v>
      </c>
      <c r="T1038">
        <f>data[[#This Row],[profit]]/data[[#This Row],[sales]]</f>
        <v>0.30670103092783507</v>
      </c>
    </row>
    <row r="1039" spans="1:20" x14ac:dyDescent="0.35">
      <c r="A1039" t="s">
        <v>1251</v>
      </c>
      <c r="B1039" s="1">
        <v>45708</v>
      </c>
      <c r="C1039" t="s">
        <v>49</v>
      </c>
      <c r="D1039" t="s">
        <v>50</v>
      </c>
      <c r="E1039" t="s">
        <v>186</v>
      </c>
      <c r="F1039" t="s">
        <v>23</v>
      </c>
      <c r="G1039" t="s">
        <v>1211</v>
      </c>
      <c r="H1039" t="s">
        <v>1212</v>
      </c>
      <c r="I1039" t="s">
        <v>363</v>
      </c>
      <c r="J1039">
        <v>2</v>
      </c>
      <c r="K1039">
        <v>428000</v>
      </c>
      <c r="L1039">
        <v>0</v>
      </c>
      <c r="M1039">
        <v>294000</v>
      </c>
      <c r="N1039">
        <f>(data[[#This Row],[unit_price]]*data[[#This Row],[quantity]]) * (1-data[[#This Row],[discount]])</f>
        <v>856000</v>
      </c>
      <c r="O1039">
        <f>data[[#This Row],[sales]]-data[[#This Row],[cost]]</f>
        <v>562000</v>
      </c>
      <c r="P1039" t="str">
        <f>TEXT(data[[#This Row],[order_date]],"mmm")</f>
        <v>Feb</v>
      </c>
      <c r="Q1039">
        <f>YEAR(data[[#This Row],[order_date]])</f>
        <v>2025</v>
      </c>
      <c r="R1039">
        <f>MONTH(data[[#This Row],[order_date]])</f>
        <v>2</v>
      </c>
      <c r="S1039">
        <f>DAY(data[[#This Row],[order_date]])</f>
        <v>20</v>
      </c>
      <c r="T1039">
        <f>data[[#This Row],[profit]]/data[[#This Row],[sales]]</f>
        <v>0.65654205607476634</v>
      </c>
    </row>
    <row r="1040" spans="1:20" x14ac:dyDescent="0.35">
      <c r="A1040" t="s">
        <v>1252</v>
      </c>
      <c r="B1040" s="1">
        <v>45723</v>
      </c>
      <c r="C1040" t="s">
        <v>41</v>
      </c>
      <c r="D1040" t="s">
        <v>42</v>
      </c>
      <c r="E1040" t="s">
        <v>798</v>
      </c>
      <c r="F1040" t="s">
        <v>28</v>
      </c>
      <c r="G1040" t="s">
        <v>1211</v>
      </c>
      <c r="H1040" t="s">
        <v>1212</v>
      </c>
      <c r="I1040" t="s">
        <v>363</v>
      </c>
      <c r="J1040">
        <v>1</v>
      </c>
      <c r="K1040">
        <v>604000</v>
      </c>
      <c r="L1040">
        <v>0.1</v>
      </c>
      <c r="M1040">
        <v>411000</v>
      </c>
      <c r="N1040">
        <f>(data[[#This Row],[unit_price]]*data[[#This Row],[quantity]]) * (1-data[[#This Row],[discount]])</f>
        <v>543600</v>
      </c>
      <c r="O1040">
        <f>data[[#This Row],[sales]]-data[[#This Row],[cost]]</f>
        <v>132600</v>
      </c>
      <c r="P1040" t="str">
        <f>TEXT(data[[#This Row],[order_date]],"mmm")</f>
        <v>Mar</v>
      </c>
      <c r="Q1040">
        <f>YEAR(data[[#This Row],[order_date]])</f>
        <v>2025</v>
      </c>
      <c r="R1040">
        <f>MONTH(data[[#This Row],[order_date]])</f>
        <v>3</v>
      </c>
      <c r="S1040">
        <f>DAY(data[[#This Row],[order_date]])</f>
        <v>7</v>
      </c>
      <c r="T1040">
        <f>data[[#This Row],[profit]]/data[[#This Row],[sales]]</f>
        <v>0.24392935982339956</v>
      </c>
    </row>
    <row r="1041" spans="1:20" x14ac:dyDescent="0.35">
      <c r="A1041" t="s">
        <v>1253</v>
      </c>
      <c r="B1041" s="1">
        <v>45729</v>
      </c>
      <c r="C1041" t="s">
        <v>49</v>
      </c>
      <c r="D1041" t="s">
        <v>50</v>
      </c>
      <c r="E1041" t="s">
        <v>224</v>
      </c>
      <c r="F1041" t="s">
        <v>23</v>
      </c>
      <c r="G1041" t="s">
        <v>1211</v>
      </c>
      <c r="H1041" t="s">
        <v>1212</v>
      </c>
      <c r="I1041" t="s">
        <v>363</v>
      </c>
      <c r="J1041">
        <v>1</v>
      </c>
      <c r="K1041">
        <v>594000</v>
      </c>
      <c r="L1041">
        <v>0</v>
      </c>
      <c r="M1041">
        <v>413000</v>
      </c>
      <c r="N1041">
        <f>(data[[#This Row],[unit_price]]*data[[#This Row],[quantity]]) * (1-data[[#This Row],[discount]])</f>
        <v>594000</v>
      </c>
      <c r="O1041">
        <f>data[[#This Row],[sales]]-data[[#This Row],[cost]]</f>
        <v>181000</v>
      </c>
      <c r="P1041" t="str">
        <f>TEXT(data[[#This Row],[order_date]],"mmm")</f>
        <v>Mar</v>
      </c>
      <c r="Q1041">
        <f>YEAR(data[[#This Row],[order_date]])</f>
        <v>2025</v>
      </c>
      <c r="R1041">
        <f>MONTH(data[[#This Row],[order_date]])</f>
        <v>3</v>
      </c>
      <c r="S1041">
        <f>DAY(data[[#This Row],[order_date]])</f>
        <v>13</v>
      </c>
      <c r="T1041">
        <f>data[[#This Row],[profit]]/data[[#This Row],[sales]]</f>
        <v>0.30471380471380471</v>
      </c>
    </row>
    <row r="1042" spans="1:20" x14ac:dyDescent="0.35">
      <c r="A1042" t="s">
        <v>1254</v>
      </c>
      <c r="B1042" s="1">
        <v>45732</v>
      </c>
      <c r="C1042" t="s">
        <v>49</v>
      </c>
      <c r="D1042" t="s">
        <v>50</v>
      </c>
      <c r="E1042" t="s">
        <v>598</v>
      </c>
      <c r="F1042" t="s">
        <v>23</v>
      </c>
      <c r="G1042" t="s">
        <v>1211</v>
      </c>
      <c r="H1042" t="s">
        <v>1212</v>
      </c>
      <c r="I1042" t="s">
        <v>363</v>
      </c>
      <c r="J1042">
        <v>1</v>
      </c>
      <c r="K1042">
        <v>429388.88888888888</v>
      </c>
      <c r="L1042">
        <v>0</v>
      </c>
      <c r="M1042">
        <v>0</v>
      </c>
      <c r="N1042">
        <f>(data[[#This Row],[unit_price]]*data[[#This Row],[quantity]]) * (1-data[[#This Row],[discount]])</f>
        <v>429388.88888888888</v>
      </c>
      <c r="O1042">
        <f>data[[#This Row],[sales]]-data[[#This Row],[cost]]</f>
        <v>429388.88888888888</v>
      </c>
      <c r="P1042" t="str">
        <f>TEXT(data[[#This Row],[order_date]],"mmm")</f>
        <v>Mar</v>
      </c>
      <c r="Q1042">
        <f>YEAR(data[[#This Row],[order_date]])</f>
        <v>2025</v>
      </c>
      <c r="R1042">
        <f>MONTH(data[[#This Row],[order_date]])</f>
        <v>3</v>
      </c>
      <c r="S1042">
        <f>DAY(data[[#This Row],[order_date]])</f>
        <v>16</v>
      </c>
      <c r="T1042">
        <f>data[[#This Row],[profit]]/data[[#This Row],[sales]]</f>
        <v>1</v>
      </c>
    </row>
    <row r="1043" spans="1:20" x14ac:dyDescent="0.35">
      <c r="A1043" t="s">
        <v>1255</v>
      </c>
      <c r="B1043" s="1">
        <v>45747</v>
      </c>
      <c r="C1043" t="s">
        <v>14</v>
      </c>
      <c r="D1043" t="s">
        <v>15</v>
      </c>
      <c r="E1043" t="s">
        <v>136</v>
      </c>
      <c r="F1043" t="s">
        <v>23</v>
      </c>
      <c r="G1043" t="s">
        <v>1211</v>
      </c>
      <c r="H1043" t="s">
        <v>1212</v>
      </c>
      <c r="I1043" t="s">
        <v>363</v>
      </c>
      <c r="J1043">
        <v>3</v>
      </c>
      <c r="K1043">
        <v>379000</v>
      </c>
      <c r="L1043">
        <v>0</v>
      </c>
      <c r="M1043">
        <v>270000</v>
      </c>
      <c r="N1043">
        <f>(data[[#This Row],[unit_price]]*data[[#This Row],[quantity]]) * (1-data[[#This Row],[discount]])</f>
        <v>1137000</v>
      </c>
      <c r="O1043">
        <f>data[[#This Row],[sales]]-data[[#This Row],[cost]]</f>
        <v>867000</v>
      </c>
      <c r="P1043" t="str">
        <f>TEXT(data[[#This Row],[order_date]],"mmm")</f>
        <v>Mar</v>
      </c>
      <c r="Q1043">
        <f>YEAR(data[[#This Row],[order_date]])</f>
        <v>2025</v>
      </c>
      <c r="R1043">
        <f>MONTH(data[[#This Row],[order_date]])</f>
        <v>3</v>
      </c>
      <c r="S1043">
        <f>DAY(data[[#This Row],[order_date]])</f>
        <v>31</v>
      </c>
      <c r="T1043">
        <f>data[[#This Row],[profit]]/data[[#This Row],[sales]]</f>
        <v>0.76253298153034299</v>
      </c>
    </row>
    <row r="1044" spans="1:20" x14ac:dyDescent="0.35">
      <c r="A1044" t="s">
        <v>1256</v>
      </c>
      <c r="B1044" s="1">
        <v>45751</v>
      </c>
      <c r="C1044" t="s">
        <v>14</v>
      </c>
      <c r="D1044" t="s">
        <v>15</v>
      </c>
      <c r="E1044" t="s">
        <v>244</v>
      </c>
      <c r="F1044" t="s">
        <v>17</v>
      </c>
      <c r="G1044" t="s">
        <v>1211</v>
      </c>
      <c r="H1044" t="s">
        <v>1212</v>
      </c>
      <c r="I1044" t="s">
        <v>363</v>
      </c>
      <c r="J1044">
        <v>1</v>
      </c>
      <c r="K1044">
        <v>412000</v>
      </c>
      <c r="L1044">
        <v>0</v>
      </c>
      <c r="M1044">
        <v>281000</v>
      </c>
      <c r="N1044">
        <f>(data[[#This Row],[unit_price]]*data[[#This Row],[quantity]]) * (1-data[[#This Row],[discount]])</f>
        <v>412000</v>
      </c>
      <c r="O1044">
        <f>data[[#This Row],[sales]]-data[[#This Row],[cost]]</f>
        <v>131000</v>
      </c>
      <c r="P1044" t="str">
        <f>TEXT(data[[#This Row],[order_date]],"mmm")</f>
        <v>Apr</v>
      </c>
      <c r="Q1044">
        <f>YEAR(data[[#This Row],[order_date]])</f>
        <v>2025</v>
      </c>
      <c r="R1044">
        <f>MONTH(data[[#This Row],[order_date]])</f>
        <v>4</v>
      </c>
      <c r="S1044">
        <f>DAY(data[[#This Row],[order_date]])</f>
        <v>4</v>
      </c>
      <c r="T1044">
        <f>data[[#This Row],[profit]]/data[[#This Row],[sales]]</f>
        <v>0.31796116504854371</v>
      </c>
    </row>
    <row r="1045" spans="1:20" x14ac:dyDescent="0.35">
      <c r="A1045" t="s">
        <v>1257</v>
      </c>
      <c r="B1045" s="1">
        <v>45765</v>
      </c>
      <c r="C1045" t="s">
        <v>41</v>
      </c>
      <c r="D1045" t="s">
        <v>42</v>
      </c>
      <c r="E1045" t="s">
        <v>95</v>
      </c>
      <c r="F1045" t="s">
        <v>23</v>
      </c>
      <c r="G1045" t="s">
        <v>1211</v>
      </c>
      <c r="H1045" t="s">
        <v>1212</v>
      </c>
      <c r="I1045" t="s">
        <v>363</v>
      </c>
      <c r="J1045">
        <v>1</v>
      </c>
      <c r="K1045">
        <v>435000</v>
      </c>
      <c r="L1045">
        <v>0.05</v>
      </c>
      <c r="M1045">
        <v>296000</v>
      </c>
      <c r="N1045">
        <f>(data[[#This Row],[unit_price]]*data[[#This Row],[quantity]]) * (1-data[[#This Row],[discount]])</f>
        <v>413250</v>
      </c>
      <c r="O1045">
        <f>data[[#This Row],[sales]]-data[[#This Row],[cost]]</f>
        <v>117250</v>
      </c>
      <c r="P1045" t="str">
        <f>TEXT(data[[#This Row],[order_date]],"mmm")</f>
        <v>Apr</v>
      </c>
      <c r="Q1045">
        <f>YEAR(data[[#This Row],[order_date]])</f>
        <v>2025</v>
      </c>
      <c r="R1045">
        <f>MONTH(data[[#This Row],[order_date]])</f>
        <v>4</v>
      </c>
      <c r="S1045">
        <f>DAY(data[[#This Row],[order_date]])</f>
        <v>18</v>
      </c>
      <c r="T1045">
        <f>data[[#This Row],[profit]]/data[[#This Row],[sales]]</f>
        <v>0.28372655777374473</v>
      </c>
    </row>
    <row r="1046" spans="1:20" x14ac:dyDescent="0.35">
      <c r="A1046" t="s">
        <v>1258</v>
      </c>
      <c r="B1046" s="1">
        <v>45766</v>
      </c>
      <c r="C1046" t="s">
        <v>25</v>
      </c>
      <c r="D1046" t="s">
        <v>26</v>
      </c>
      <c r="E1046" t="s">
        <v>141</v>
      </c>
      <c r="F1046" t="s">
        <v>17</v>
      </c>
      <c r="G1046" t="s">
        <v>1211</v>
      </c>
      <c r="H1046" t="s">
        <v>1212</v>
      </c>
      <c r="I1046" t="s">
        <v>363</v>
      </c>
      <c r="J1046">
        <v>1</v>
      </c>
      <c r="K1046">
        <v>527000</v>
      </c>
      <c r="L1046">
        <v>0</v>
      </c>
      <c r="M1046">
        <v>364000</v>
      </c>
      <c r="N1046">
        <f>(data[[#This Row],[unit_price]]*data[[#This Row],[quantity]]) * (1-data[[#This Row],[discount]])</f>
        <v>527000</v>
      </c>
      <c r="O1046">
        <f>data[[#This Row],[sales]]-data[[#This Row],[cost]]</f>
        <v>163000</v>
      </c>
      <c r="P1046" t="str">
        <f>TEXT(data[[#This Row],[order_date]],"mmm")</f>
        <v>Apr</v>
      </c>
      <c r="Q1046">
        <f>YEAR(data[[#This Row],[order_date]])</f>
        <v>2025</v>
      </c>
      <c r="R1046">
        <f>MONTH(data[[#This Row],[order_date]])</f>
        <v>4</v>
      </c>
      <c r="S1046">
        <f>DAY(data[[#This Row],[order_date]])</f>
        <v>19</v>
      </c>
      <c r="T1046">
        <f>data[[#This Row],[profit]]/data[[#This Row],[sales]]</f>
        <v>0.30929791271347251</v>
      </c>
    </row>
    <row r="1047" spans="1:20" x14ac:dyDescent="0.35">
      <c r="A1047" t="s">
        <v>1259</v>
      </c>
      <c r="B1047" s="1">
        <v>45771</v>
      </c>
      <c r="C1047" t="s">
        <v>41</v>
      </c>
      <c r="D1047" t="s">
        <v>42</v>
      </c>
      <c r="E1047" t="s">
        <v>309</v>
      </c>
      <c r="F1047" t="s">
        <v>23</v>
      </c>
      <c r="G1047" t="s">
        <v>1211</v>
      </c>
      <c r="H1047" t="s">
        <v>1212</v>
      </c>
      <c r="I1047" t="s">
        <v>363</v>
      </c>
      <c r="J1047">
        <v>5</v>
      </c>
      <c r="K1047">
        <v>343000</v>
      </c>
      <c r="L1047">
        <v>0.1</v>
      </c>
      <c r="M1047">
        <v>242000</v>
      </c>
      <c r="N1047">
        <f>(data[[#This Row],[unit_price]]*data[[#This Row],[quantity]]) * (1-data[[#This Row],[discount]])</f>
        <v>1543500</v>
      </c>
      <c r="O1047">
        <f>data[[#This Row],[sales]]-data[[#This Row],[cost]]</f>
        <v>1301500</v>
      </c>
      <c r="P1047" t="str">
        <f>TEXT(data[[#This Row],[order_date]],"mmm")</f>
        <v>Apr</v>
      </c>
      <c r="Q1047">
        <f>YEAR(data[[#This Row],[order_date]])</f>
        <v>2025</v>
      </c>
      <c r="R1047">
        <f>MONTH(data[[#This Row],[order_date]])</f>
        <v>4</v>
      </c>
      <c r="S1047">
        <f>DAY(data[[#This Row],[order_date]])</f>
        <v>24</v>
      </c>
      <c r="T1047">
        <f>data[[#This Row],[profit]]/data[[#This Row],[sales]]</f>
        <v>0.84321347586653705</v>
      </c>
    </row>
    <row r="1048" spans="1:20" x14ac:dyDescent="0.35">
      <c r="A1048" t="s">
        <v>1260</v>
      </c>
      <c r="B1048" s="1">
        <v>45776</v>
      </c>
      <c r="C1048" t="s">
        <v>49</v>
      </c>
      <c r="D1048" t="s">
        <v>50</v>
      </c>
      <c r="E1048" t="s">
        <v>164</v>
      </c>
      <c r="F1048" t="s">
        <v>23</v>
      </c>
      <c r="G1048" t="s">
        <v>1211</v>
      </c>
      <c r="H1048" t="s">
        <v>1212</v>
      </c>
      <c r="I1048" t="s">
        <v>363</v>
      </c>
      <c r="J1048">
        <v>1</v>
      </c>
      <c r="K1048">
        <v>400000</v>
      </c>
      <c r="L1048">
        <v>0</v>
      </c>
      <c r="M1048">
        <v>273000</v>
      </c>
      <c r="N1048">
        <f>(data[[#This Row],[unit_price]]*data[[#This Row],[quantity]]) * (1-data[[#This Row],[discount]])</f>
        <v>400000</v>
      </c>
      <c r="O1048">
        <f>data[[#This Row],[sales]]-data[[#This Row],[cost]]</f>
        <v>127000</v>
      </c>
      <c r="P1048" t="str">
        <f>TEXT(data[[#This Row],[order_date]],"mmm")</f>
        <v>Apr</v>
      </c>
      <c r="Q1048">
        <f>YEAR(data[[#This Row],[order_date]])</f>
        <v>2025</v>
      </c>
      <c r="R1048">
        <f>MONTH(data[[#This Row],[order_date]])</f>
        <v>4</v>
      </c>
      <c r="S1048">
        <f>DAY(data[[#This Row],[order_date]])</f>
        <v>29</v>
      </c>
      <c r="T1048">
        <f>data[[#This Row],[profit]]/data[[#This Row],[sales]]</f>
        <v>0.3175</v>
      </c>
    </row>
    <row r="1049" spans="1:20" x14ac:dyDescent="0.35">
      <c r="A1049" t="s">
        <v>1261</v>
      </c>
      <c r="B1049" s="1">
        <v>45791</v>
      </c>
      <c r="C1049" t="s">
        <v>36</v>
      </c>
      <c r="D1049" t="s">
        <v>37</v>
      </c>
      <c r="E1049" t="s">
        <v>108</v>
      </c>
      <c r="F1049" t="s">
        <v>23</v>
      </c>
      <c r="G1049" t="s">
        <v>1211</v>
      </c>
      <c r="H1049" t="s">
        <v>1212</v>
      </c>
      <c r="I1049" t="s">
        <v>363</v>
      </c>
      <c r="J1049">
        <v>1</v>
      </c>
      <c r="K1049">
        <v>480000</v>
      </c>
      <c r="L1049">
        <v>0.05</v>
      </c>
      <c r="M1049">
        <v>338000</v>
      </c>
      <c r="N1049">
        <f>(data[[#This Row],[unit_price]]*data[[#This Row],[quantity]]) * (1-data[[#This Row],[discount]])</f>
        <v>456000</v>
      </c>
      <c r="O1049">
        <f>data[[#This Row],[sales]]-data[[#This Row],[cost]]</f>
        <v>118000</v>
      </c>
      <c r="P1049" t="str">
        <f>TEXT(data[[#This Row],[order_date]],"mmm")</f>
        <v>May</v>
      </c>
      <c r="Q1049">
        <f>YEAR(data[[#This Row],[order_date]])</f>
        <v>2025</v>
      </c>
      <c r="R1049">
        <f>MONTH(data[[#This Row],[order_date]])</f>
        <v>5</v>
      </c>
      <c r="S1049">
        <f>DAY(data[[#This Row],[order_date]])</f>
        <v>14</v>
      </c>
      <c r="T1049">
        <f>data[[#This Row],[profit]]/data[[#This Row],[sales]]</f>
        <v>0.25877192982456143</v>
      </c>
    </row>
    <row r="1050" spans="1:20" x14ac:dyDescent="0.35">
      <c r="A1050" t="s">
        <v>1262</v>
      </c>
      <c r="B1050" s="1">
        <v>45801</v>
      </c>
      <c r="C1050" t="s">
        <v>14</v>
      </c>
      <c r="D1050" t="s">
        <v>15</v>
      </c>
      <c r="E1050" t="s">
        <v>53</v>
      </c>
      <c r="F1050" t="s">
        <v>17</v>
      </c>
      <c r="G1050" t="s">
        <v>1211</v>
      </c>
      <c r="H1050" t="s">
        <v>1212</v>
      </c>
      <c r="I1050" t="s">
        <v>363</v>
      </c>
      <c r="J1050">
        <v>1</v>
      </c>
      <c r="K1050">
        <v>459000</v>
      </c>
      <c r="L1050">
        <v>0</v>
      </c>
      <c r="M1050">
        <v>330000</v>
      </c>
      <c r="N1050">
        <f>(data[[#This Row],[unit_price]]*data[[#This Row],[quantity]]) * (1-data[[#This Row],[discount]])</f>
        <v>459000</v>
      </c>
      <c r="O1050">
        <f>data[[#This Row],[sales]]-data[[#This Row],[cost]]</f>
        <v>129000</v>
      </c>
      <c r="P1050" t="str">
        <f>TEXT(data[[#This Row],[order_date]],"mmm")</f>
        <v>May</v>
      </c>
      <c r="Q1050">
        <f>YEAR(data[[#This Row],[order_date]])</f>
        <v>2025</v>
      </c>
      <c r="R1050">
        <f>MONTH(data[[#This Row],[order_date]])</f>
        <v>5</v>
      </c>
      <c r="S1050">
        <f>DAY(data[[#This Row],[order_date]])</f>
        <v>24</v>
      </c>
      <c r="T1050">
        <f>data[[#This Row],[profit]]/data[[#This Row],[sales]]</f>
        <v>0.28104575163398693</v>
      </c>
    </row>
    <row r="1051" spans="1:20" x14ac:dyDescent="0.35">
      <c r="A1051" t="s">
        <v>1263</v>
      </c>
      <c r="B1051" s="1">
        <v>45805</v>
      </c>
      <c r="C1051" t="s">
        <v>41</v>
      </c>
      <c r="D1051" t="s">
        <v>42</v>
      </c>
      <c r="E1051" t="s">
        <v>247</v>
      </c>
      <c r="F1051" t="s">
        <v>17</v>
      </c>
      <c r="G1051" t="s">
        <v>1211</v>
      </c>
      <c r="H1051" t="s">
        <v>1212</v>
      </c>
      <c r="I1051" t="s">
        <v>363</v>
      </c>
      <c r="J1051">
        <v>2</v>
      </c>
      <c r="K1051">
        <v>341000</v>
      </c>
      <c r="L1051">
        <v>0</v>
      </c>
      <c r="M1051">
        <v>237000</v>
      </c>
      <c r="N1051">
        <f>(data[[#This Row],[unit_price]]*data[[#This Row],[quantity]]) * (1-data[[#This Row],[discount]])</f>
        <v>682000</v>
      </c>
      <c r="O1051">
        <f>data[[#This Row],[sales]]-data[[#This Row],[cost]]</f>
        <v>445000</v>
      </c>
      <c r="P1051" t="str">
        <f>TEXT(data[[#This Row],[order_date]],"mmm")</f>
        <v>May</v>
      </c>
      <c r="Q1051">
        <f>YEAR(data[[#This Row],[order_date]])</f>
        <v>2025</v>
      </c>
      <c r="R1051">
        <f>MONTH(data[[#This Row],[order_date]])</f>
        <v>5</v>
      </c>
      <c r="S1051">
        <f>DAY(data[[#This Row],[order_date]])</f>
        <v>28</v>
      </c>
      <c r="T1051">
        <f>data[[#This Row],[profit]]/data[[#This Row],[sales]]</f>
        <v>0.65249266862170086</v>
      </c>
    </row>
    <row r="1052" spans="1:20" x14ac:dyDescent="0.35">
      <c r="A1052" t="s">
        <v>1264</v>
      </c>
      <c r="B1052" s="1">
        <v>45809</v>
      </c>
      <c r="C1052" t="s">
        <v>41</v>
      </c>
      <c r="D1052" t="s">
        <v>42</v>
      </c>
      <c r="E1052" t="s">
        <v>265</v>
      </c>
      <c r="F1052" t="s">
        <v>23</v>
      </c>
      <c r="G1052" t="s">
        <v>1211</v>
      </c>
      <c r="H1052" t="s">
        <v>1212</v>
      </c>
      <c r="I1052" t="s">
        <v>363</v>
      </c>
      <c r="J1052">
        <v>1</v>
      </c>
      <c r="K1052">
        <v>303000</v>
      </c>
      <c r="L1052">
        <v>0</v>
      </c>
      <c r="M1052">
        <v>214000</v>
      </c>
      <c r="N1052">
        <f>(data[[#This Row],[unit_price]]*data[[#This Row],[quantity]]) * (1-data[[#This Row],[discount]])</f>
        <v>303000</v>
      </c>
      <c r="O1052">
        <f>data[[#This Row],[sales]]-data[[#This Row],[cost]]</f>
        <v>89000</v>
      </c>
      <c r="P1052" t="str">
        <f>TEXT(data[[#This Row],[order_date]],"mmm")</f>
        <v>Jun</v>
      </c>
      <c r="Q1052">
        <f>YEAR(data[[#This Row],[order_date]])</f>
        <v>2025</v>
      </c>
      <c r="R1052">
        <f>MONTH(data[[#This Row],[order_date]])</f>
        <v>6</v>
      </c>
      <c r="S1052">
        <f>DAY(data[[#This Row],[order_date]])</f>
        <v>1</v>
      </c>
      <c r="T1052">
        <f>data[[#This Row],[profit]]/data[[#This Row],[sales]]</f>
        <v>0.29372937293729373</v>
      </c>
    </row>
    <row r="1053" spans="1:20" x14ac:dyDescent="0.35">
      <c r="A1053" t="s">
        <v>1265</v>
      </c>
      <c r="B1053" s="1">
        <v>45810</v>
      </c>
      <c r="C1053" t="s">
        <v>49</v>
      </c>
      <c r="D1053" t="s">
        <v>50</v>
      </c>
      <c r="E1053" t="s">
        <v>456</v>
      </c>
      <c r="F1053" t="s">
        <v>23</v>
      </c>
      <c r="G1053" t="s">
        <v>1211</v>
      </c>
      <c r="H1053" t="s">
        <v>1212</v>
      </c>
      <c r="I1053" t="s">
        <v>363</v>
      </c>
      <c r="J1053">
        <v>1</v>
      </c>
      <c r="K1053">
        <v>373000</v>
      </c>
      <c r="L1053">
        <v>0</v>
      </c>
      <c r="M1053">
        <v>261000</v>
      </c>
      <c r="N1053">
        <f>(data[[#This Row],[unit_price]]*data[[#This Row],[quantity]]) * (1-data[[#This Row],[discount]])</f>
        <v>373000</v>
      </c>
      <c r="O1053">
        <f>data[[#This Row],[sales]]-data[[#This Row],[cost]]</f>
        <v>112000</v>
      </c>
      <c r="P1053" t="str">
        <f>TEXT(data[[#This Row],[order_date]],"mmm")</f>
        <v>Jun</v>
      </c>
      <c r="Q1053">
        <f>YEAR(data[[#This Row],[order_date]])</f>
        <v>2025</v>
      </c>
      <c r="R1053">
        <f>MONTH(data[[#This Row],[order_date]])</f>
        <v>6</v>
      </c>
      <c r="S1053">
        <f>DAY(data[[#This Row],[order_date]])</f>
        <v>2</v>
      </c>
      <c r="T1053">
        <f>data[[#This Row],[profit]]/data[[#This Row],[sales]]</f>
        <v>0.30026809651474529</v>
      </c>
    </row>
    <row r="1054" spans="1:20" x14ac:dyDescent="0.35">
      <c r="A1054" t="s">
        <v>1266</v>
      </c>
      <c r="B1054" s="1">
        <v>45812</v>
      </c>
      <c r="C1054" t="s">
        <v>14</v>
      </c>
      <c r="D1054" t="s">
        <v>15</v>
      </c>
      <c r="E1054" t="s">
        <v>85</v>
      </c>
      <c r="F1054" t="s">
        <v>23</v>
      </c>
      <c r="G1054" t="s">
        <v>1211</v>
      </c>
      <c r="H1054" t="s">
        <v>1212</v>
      </c>
      <c r="I1054" t="s">
        <v>363</v>
      </c>
      <c r="J1054">
        <v>1</v>
      </c>
      <c r="K1054">
        <v>279000</v>
      </c>
      <c r="L1054">
        <v>0</v>
      </c>
      <c r="M1054">
        <v>197000</v>
      </c>
      <c r="N1054">
        <f>(data[[#This Row],[unit_price]]*data[[#This Row],[quantity]]) * (1-data[[#This Row],[discount]])</f>
        <v>279000</v>
      </c>
      <c r="O1054">
        <f>data[[#This Row],[sales]]-data[[#This Row],[cost]]</f>
        <v>82000</v>
      </c>
      <c r="P1054" t="str">
        <f>TEXT(data[[#This Row],[order_date]],"mmm")</f>
        <v>Jun</v>
      </c>
      <c r="Q1054">
        <f>YEAR(data[[#This Row],[order_date]])</f>
        <v>2025</v>
      </c>
      <c r="R1054">
        <f>MONTH(data[[#This Row],[order_date]])</f>
        <v>6</v>
      </c>
      <c r="S1054">
        <f>DAY(data[[#This Row],[order_date]])</f>
        <v>4</v>
      </c>
      <c r="T1054">
        <f>data[[#This Row],[profit]]/data[[#This Row],[sales]]</f>
        <v>0.29390681003584229</v>
      </c>
    </row>
    <row r="1055" spans="1:20" x14ac:dyDescent="0.35">
      <c r="A1055" t="s">
        <v>1267</v>
      </c>
      <c r="B1055" s="1">
        <v>45821</v>
      </c>
      <c r="C1055" t="s">
        <v>36</v>
      </c>
      <c r="D1055" t="s">
        <v>37</v>
      </c>
      <c r="E1055" t="s">
        <v>93</v>
      </c>
      <c r="F1055" t="s">
        <v>23</v>
      </c>
      <c r="G1055" t="s">
        <v>1211</v>
      </c>
      <c r="H1055" t="s">
        <v>1212</v>
      </c>
      <c r="I1055" t="s">
        <v>363</v>
      </c>
      <c r="J1055">
        <v>1</v>
      </c>
      <c r="K1055">
        <v>452000</v>
      </c>
      <c r="L1055">
        <v>0</v>
      </c>
      <c r="M1055">
        <v>323000</v>
      </c>
      <c r="N1055">
        <f>(data[[#This Row],[unit_price]]*data[[#This Row],[quantity]]) * (1-data[[#This Row],[discount]])</f>
        <v>452000</v>
      </c>
      <c r="O1055">
        <f>data[[#This Row],[sales]]-data[[#This Row],[cost]]</f>
        <v>129000</v>
      </c>
      <c r="P1055" t="str">
        <f>TEXT(data[[#This Row],[order_date]],"mmm")</f>
        <v>Jun</v>
      </c>
      <c r="Q1055">
        <f>YEAR(data[[#This Row],[order_date]])</f>
        <v>2025</v>
      </c>
      <c r="R1055">
        <f>MONTH(data[[#This Row],[order_date]])</f>
        <v>6</v>
      </c>
      <c r="S1055">
        <f>DAY(data[[#This Row],[order_date]])</f>
        <v>13</v>
      </c>
      <c r="T1055">
        <f>data[[#This Row],[profit]]/data[[#This Row],[sales]]</f>
        <v>0.28539823008849557</v>
      </c>
    </row>
    <row r="1056" spans="1:20" x14ac:dyDescent="0.35">
      <c r="A1056" t="s">
        <v>1268</v>
      </c>
      <c r="B1056" s="1">
        <v>45833</v>
      </c>
      <c r="C1056" t="s">
        <v>41</v>
      </c>
      <c r="D1056" t="s">
        <v>42</v>
      </c>
      <c r="E1056" t="s">
        <v>97</v>
      </c>
      <c r="F1056" t="s">
        <v>23</v>
      </c>
      <c r="G1056" t="s">
        <v>1211</v>
      </c>
      <c r="H1056" t="s">
        <v>1212</v>
      </c>
      <c r="I1056" t="s">
        <v>363</v>
      </c>
      <c r="J1056">
        <v>2</v>
      </c>
      <c r="K1056">
        <v>326000</v>
      </c>
      <c r="L1056">
        <v>0</v>
      </c>
      <c r="M1056">
        <v>230000</v>
      </c>
      <c r="N1056">
        <f>(data[[#This Row],[unit_price]]*data[[#This Row],[quantity]]) * (1-data[[#This Row],[discount]])</f>
        <v>652000</v>
      </c>
      <c r="O1056">
        <f>data[[#This Row],[sales]]-data[[#This Row],[cost]]</f>
        <v>422000</v>
      </c>
      <c r="P1056" t="str">
        <f>TEXT(data[[#This Row],[order_date]],"mmm")</f>
        <v>Jun</v>
      </c>
      <c r="Q1056">
        <f>YEAR(data[[#This Row],[order_date]])</f>
        <v>2025</v>
      </c>
      <c r="R1056">
        <f>MONTH(data[[#This Row],[order_date]])</f>
        <v>6</v>
      </c>
      <c r="S1056">
        <f>DAY(data[[#This Row],[order_date]])</f>
        <v>25</v>
      </c>
      <c r="T1056">
        <f>data[[#This Row],[profit]]/data[[#This Row],[sales]]</f>
        <v>0.64723926380368102</v>
      </c>
    </row>
    <row r="1057" spans="1:20" x14ac:dyDescent="0.35">
      <c r="A1057" t="s">
        <v>1269</v>
      </c>
      <c r="B1057" s="1">
        <v>45862</v>
      </c>
      <c r="C1057" t="s">
        <v>14</v>
      </c>
      <c r="D1057" t="s">
        <v>15</v>
      </c>
      <c r="E1057" t="s">
        <v>489</v>
      </c>
      <c r="F1057" t="s">
        <v>17</v>
      </c>
      <c r="G1057" t="s">
        <v>1211</v>
      </c>
      <c r="H1057" t="s">
        <v>1212</v>
      </c>
      <c r="I1057" t="s">
        <v>363</v>
      </c>
      <c r="J1057">
        <v>1</v>
      </c>
      <c r="K1057">
        <v>546000</v>
      </c>
      <c r="L1057">
        <v>0</v>
      </c>
      <c r="M1057">
        <v>386000</v>
      </c>
      <c r="N1057">
        <f>(data[[#This Row],[unit_price]]*data[[#This Row],[quantity]]) * (1-data[[#This Row],[discount]])</f>
        <v>546000</v>
      </c>
      <c r="O1057">
        <f>data[[#This Row],[sales]]-data[[#This Row],[cost]]</f>
        <v>160000</v>
      </c>
      <c r="P1057" t="str">
        <f>TEXT(data[[#This Row],[order_date]],"mmm")</f>
        <v>Jul</v>
      </c>
      <c r="Q1057">
        <f>YEAR(data[[#This Row],[order_date]])</f>
        <v>2025</v>
      </c>
      <c r="R1057">
        <f>MONTH(data[[#This Row],[order_date]])</f>
        <v>7</v>
      </c>
      <c r="S1057">
        <f>DAY(data[[#This Row],[order_date]])</f>
        <v>24</v>
      </c>
      <c r="T1057">
        <f>data[[#This Row],[profit]]/data[[#This Row],[sales]]</f>
        <v>0.29304029304029305</v>
      </c>
    </row>
    <row r="1058" spans="1:20" x14ac:dyDescent="0.35">
      <c r="A1058" t="s">
        <v>1270</v>
      </c>
      <c r="B1058" s="1">
        <v>45864</v>
      </c>
      <c r="C1058" t="s">
        <v>14</v>
      </c>
      <c r="D1058" t="s">
        <v>15</v>
      </c>
      <c r="E1058" t="s">
        <v>174</v>
      </c>
      <c r="F1058" t="s">
        <v>23</v>
      </c>
      <c r="G1058" t="s">
        <v>1211</v>
      </c>
      <c r="H1058" t="s">
        <v>1212</v>
      </c>
      <c r="I1058" t="s">
        <v>363</v>
      </c>
      <c r="J1058">
        <v>3</v>
      </c>
      <c r="K1058">
        <v>593000</v>
      </c>
      <c r="L1058">
        <v>0</v>
      </c>
      <c r="M1058">
        <v>419000</v>
      </c>
      <c r="N1058">
        <f>(data[[#This Row],[unit_price]]*data[[#This Row],[quantity]]) * (1-data[[#This Row],[discount]])</f>
        <v>1779000</v>
      </c>
      <c r="O1058">
        <f>data[[#This Row],[sales]]-data[[#This Row],[cost]]</f>
        <v>1360000</v>
      </c>
      <c r="P1058" t="str">
        <f>TEXT(data[[#This Row],[order_date]],"mmm")</f>
        <v>Jul</v>
      </c>
      <c r="Q1058">
        <f>YEAR(data[[#This Row],[order_date]])</f>
        <v>2025</v>
      </c>
      <c r="R1058">
        <f>MONTH(data[[#This Row],[order_date]])</f>
        <v>7</v>
      </c>
      <c r="S1058">
        <f>DAY(data[[#This Row],[order_date]])</f>
        <v>26</v>
      </c>
      <c r="T1058">
        <f>data[[#This Row],[profit]]/data[[#This Row],[sales]]</f>
        <v>0.76447442383361441</v>
      </c>
    </row>
    <row r="1059" spans="1:20" x14ac:dyDescent="0.35">
      <c r="A1059" t="s">
        <v>1271</v>
      </c>
      <c r="B1059" s="1">
        <v>45899</v>
      </c>
      <c r="C1059" t="s">
        <v>41</v>
      </c>
      <c r="D1059" t="s">
        <v>42</v>
      </c>
      <c r="E1059" t="s">
        <v>368</v>
      </c>
      <c r="F1059" t="s">
        <v>23</v>
      </c>
      <c r="G1059" t="s">
        <v>1211</v>
      </c>
      <c r="H1059" t="s">
        <v>1212</v>
      </c>
      <c r="I1059" t="s">
        <v>363</v>
      </c>
      <c r="J1059">
        <v>1</v>
      </c>
      <c r="K1059">
        <v>301000</v>
      </c>
      <c r="L1059">
        <v>0</v>
      </c>
      <c r="M1059">
        <v>208000</v>
      </c>
      <c r="N1059">
        <f>(data[[#This Row],[unit_price]]*data[[#This Row],[quantity]]) * (1-data[[#This Row],[discount]])</f>
        <v>301000</v>
      </c>
      <c r="O1059">
        <f>data[[#This Row],[sales]]-data[[#This Row],[cost]]</f>
        <v>93000</v>
      </c>
      <c r="P1059" t="str">
        <f>TEXT(data[[#This Row],[order_date]],"mmm")</f>
        <v>Aug</v>
      </c>
      <c r="Q1059">
        <f>YEAR(data[[#This Row],[order_date]])</f>
        <v>2025</v>
      </c>
      <c r="R1059">
        <f>MONTH(data[[#This Row],[order_date]])</f>
        <v>8</v>
      </c>
      <c r="S1059">
        <f>DAY(data[[#This Row],[order_date]])</f>
        <v>30</v>
      </c>
      <c r="T1059">
        <f>data[[#This Row],[profit]]/data[[#This Row],[sales]]</f>
        <v>0.30897009966777411</v>
      </c>
    </row>
    <row r="1060" spans="1:20" x14ac:dyDescent="0.35">
      <c r="A1060" t="s">
        <v>1272</v>
      </c>
      <c r="B1060" s="1">
        <v>45929</v>
      </c>
      <c r="C1060" t="s">
        <v>25</v>
      </c>
      <c r="D1060" t="s">
        <v>26</v>
      </c>
      <c r="E1060" t="s">
        <v>162</v>
      </c>
      <c r="F1060" t="s">
        <v>28</v>
      </c>
      <c r="G1060" t="s">
        <v>1211</v>
      </c>
      <c r="H1060" t="s">
        <v>1212</v>
      </c>
      <c r="I1060" t="s">
        <v>363</v>
      </c>
      <c r="J1060">
        <v>2</v>
      </c>
      <c r="K1060">
        <v>455000</v>
      </c>
      <c r="L1060">
        <v>0</v>
      </c>
      <c r="M1060">
        <v>317000</v>
      </c>
      <c r="N1060">
        <f>(data[[#This Row],[unit_price]]*data[[#This Row],[quantity]]) * (1-data[[#This Row],[discount]])</f>
        <v>910000</v>
      </c>
      <c r="O1060">
        <f>data[[#This Row],[sales]]-data[[#This Row],[cost]]</f>
        <v>593000</v>
      </c>
      <c r="P1060" t="str">
        <f>TEXT(data[[#This Row],[order_date]],"mmm")</f>
        <v>Sep</v>
      </c>
      <c r="Q1060">
        <f>YEAR(data[[#This Row],[order_date]])</f>
        <v>2025</v>
      </c>
      <c r="R1060">
        <f>MONTH(data[[#This Row],[order_date]])</f>
        <v>9</v>
      </c>
      <c r="S1060">
        <f>DAY(data[[#This Row],[order_date]])</f>
        <v>29</v>
      </c>
      <c r="T1060">
        <f>data[[#This Row],[profit]]/data[[#This Row],[sales]]</f>
        <v>0.65164835164835166</v>
      </c>
    </row>
    <row r="1061" spans="1:20" x14ac:dyDescent="0.35">
      <c r="A1061" t="s">
        <v>1273</v>
      </c>
      <c r="B1061" s="1">
        <v>46013</v>
      </c>
      <c r="C1061" t="s">
        <v>14</v>
      </c>
      <c r="D1061" t="s">
        <v>15</v>
      </c>
      <c r="E1061" t="s">
        <v>47</v>
      </c>
      <c r="F1061" t="s">
        <v>23</v>
      </c>
      <c r="G1061" t="s">
        <v>1211</v>
      </c>
      <c r="H1061" t="s">
        <v>1212</v>
      </c>
      <c r="I1061" t="s">
        <v>363</v>
      </c>
      <c r="J1061">
        <v>2</v>
      </c>
      <c r="K1061">
        <v>485000</v>
      </c>
      <c r="L1061">
        <v>0</v>
      </c>
      <c r="M1061">
        <v>330000</v>
      </c>
      <c r="N1061">
        <f>(data[[#This Row],[unit_price]]*data[[#This Row],[quantity]]) * (1-data[[#This Row],[discount]])</f>
        <v>970000</v>
      </c>
      <c r="O1061">
        <f>data[[#This Row],[sales]]-data[[#This Row],[cost]]</f>
        <v>640000</v>
      </c>
      <c r="P1061" t="str">
        <f>TEXT(data[[#This Row],[order_date]],"mmm")</f>
        <v>Dec</v>
      </c>
      <c r="Q1061">
        <f>YEAR(data[[#This Row],[order_date]])</f>
        <v>2025</v>
      </c>
      <c r="R1061">
        <f>MONTH(data[[#This Row],[order_date]])</f>
        <v>12</v>
      </c>
      <c r="S1061">
        <f>DAY(data[[#This Row],[order_date]])</f>
        <v>22</v>
      </c>
      <c r="T1061">
        <f>data[[#This Row],[profit]]/data[[#This Row],[sales]]</f>
        <v>0.65979381443298968</v>
      </c>
    </row>
    <row r="1062" spans="1:20" x14ac:dyDescent="0.35">
      <c r="A1062" t="s">
        <v>1274</v>
      </c>
      <c r="B1062" s="1">
        <v>46047</v>
      </c>
      <c r="C1062" t="s">
        <v>14</v>
      </c>
      <c r="D1062" t="s">
        <v>15</v>
      </c>
      <c r="E1062" t="s">
        <v>168</v>
      </c>
      <c r="F1062" t="s">
        <v>23</v>
      </c>
      <c r="G1062" t="s">
        <v>1211</v>
      </c>
      <c r="H1062" t="s">
        <v>1212</v>
      </c>
      <c r="I1062" t="s">
        <v>363</v>
      </c>
      <c r="J1062">
        <v>1</v>
      </c>
      <c r="K1062">
        <v>368000</v>
      </c>
      <c r="L1062">
        <v>0</v>
      </c>
      <c r="M1062">
        <v>252000</v>
      </c>
      <c r="N1062">
        <f>(data[[#This Row],[unit_price]]*data[[#This Row],[quantity]]) * (1-data[[#This Row],[discount]])</f>
        <v>368000</v>
      </c>
      <c r="O1062">
        <f>data[[#This Row],[sales]]-data[[#This Row],[cost]]</f>
        <v>116000</v>
      </c>
      <c r="P1062" t="str">
        <f>TEXT(data[[#This Row],[order_date]],"mmm")</f>
        <v>Jan</v>
      </c>
      <c r="Q1062">
        <f>YEAR(data[[#This Row],[order_date]])</f>
        <v>2026</v>
      </c>
      <c r="R1062">
        <f>MONTH(data[[#This Row],[order_date]])</f>
        <v>1</v>
      </c>
      <c r="S1062">
        <f>DAY(data[[#This Row],[order_date]])</f>
        <v>25</v>
      </c>
      <c r="T1062" s="3">
        <f>data[[#This Row],[profit]]/data[[#This Row],[sales]]</f>
        <v>0.31521739130434784</v>
      </c>
    </row>
    <row r="1063" spans="1:20" x14ac:dyDescent="0.35">
      <c r="A1063" t="s">
        <v>1275</v>
      </c>
      <c r="B1063" s="1">
        <v>46064</v>
      </c>
      <c r="C1063" t="s">
        <v>49</v>
      </c>
      <c r="D1063" t="s">
        <v>50</v>
      </c>
      <c r="E1063" t="s">
        <v>179</v>
      </c>
      <c r="F1063" t="s">
        <v>23</v>
      </c>
      <c r="G1063" t="s">
        <v>1211</v>
      </c>
      <c r="H1063" t="s">
        <v>1212</v>
      </c>
      <c r="I1063" t="s">
        <v>363</v>
      </c>
      <c r="J1063">
        <v>1</v>
      </c>
      <c r="K1063">
        <v>516000</v>
      </c>
      <c r="L1063">
        <v>0</v>
      </c>
      <c r="M1063">
        <v>353000</v>
      </c>
      <c r="N1063">
        <f>(data[[#This Row],[unit_price]]*data[[#This Row],[quantity]]) * (1-data[[#This Row],[discount]])</f>
        <v>516000</v>
      </c>
      <c r="O1063">
        <f>data[[#This Row],[sales]]-data[[#This Row],[cost]]</f>
        <v>163000</v>
      </c>
      <c r="P1063" t="str">
        <f>TEXT(data[[#This Row],[order_date]],"mmm")</f>
        <v>Feb</v>
      </c>
      <c r="Q1063">
        <f>YEAR(data[[#This Row],[order_date]])</f>
        <v>2026</v>
      </c>
      <c r="R1063">
        <f>MONTH(data[[#This Row],[order_date]])</f>
        <v>2</v>
      </c>
      <c r="S1063">
        <f>DAY(data[[#This Row],[order_date]])</f>
        <v>11</v>
      </c>
      <c r="T1063">
        <f>data[[#This Row],[profit]]/data[[#This Row],[sales]]</f>
        <v>0.31589147286821706</v>
      </c>
    </row>
    <row r="1064" spans="1:20" x14ac:dyDescent="0.35">
      <c r="A1064" t="s">
        <v>1276</v>
      </c>
      <c r="B1064" s="1">
        <v>46068</v>
      </c>
      <c r="C1064" t="s">
        <v>41</v>
      </c>
      <c r="D1064" t="s">
        <v>42</v>
      </c>
      <c r="E1064" t="s">
        <v>224</v>
      </c>
      <c r="F1064" t="s">
        <v>23</v>
      </c>
      <c r="G1064" t="s">
        <v>1211</v>
      </c>
      <c r="H1064" t="s">
        <v>1212</v>
      </c>
      <c r="I1064" t="s">
        <v>363</v>
      </c>
      <c r="J1064">
        <v>1</v>
      </c>
      <c r="K1064">
        <v>532000</v>
      </c>
      <c r="L1064">
        <v>0.1</v>
      </c>
      <c r="M1064">
        <v>377000</v>
      </c>
      <c r="N1064">
        <f>(data[[#This Row],[unit_price]]*data[[#This Row],[quantity]]) * (1-data[[#This Row],[discount]])</f>
        <v>478800</v>
      </c>
      <c r="O1064">
        <f>data[[#This Row],[sales]]-data[[#This Row],[cost]]</f>
        <v>101800</v>
      </c>
      <c r="P1064" t="str">
        <f>TEXT(data[[#This Row],[order_date]],"mmm")</f>
        <v>Feb</v>
      </c>
      <c r="Q1064">
        <f>YEAR(data[[#This Row],[order_date]])</f>
        <v>2026</v>
      </c>
      <c r="R1064">
        <f>MONTH(data[[#This Row],[order_date]])</f>
        <v>2</v>
      </c>
      <c r="S1064">
        <f>DAY(data[[#This Row],[order_date]])</f>
        <v>15</v>
      </c>
      <c r="T1064">
        <f>data[[#This Row],[profit]]/data[[#This Row],[sales]]</f>
        <v>0.21261487050960734</v>
      </c>
    </row>
    <row r="1065" spans="1:20" x14ac:dyDescent="0.35">
      <c r="A1065" t="s">
        <v>1277</v>
      </c>
      <c r="B1065" s="1">
        <v>46075</v>
      </c>
      <c r="C1065" t="s">
        <v>41</v>
      </c>
      <c r="D1065" t="s">
        <v>42</v>
      </c>
      <c r="E1065" t="s">
        <v>221</v>
      </c>
      <c r="F1065" t="s">
        <v>17</v>
      </c>
      <c r="G1065" t="s">
        <v>1211</v>
      </c>
      <c r="H1065" t="s">
        <v>1212</v>
      </c>
      <c r="I1065" t="s">
        <v>363</v>
      </c>
      <c r="J1065">
        <v>2</v>
      </c>
      <c r="K1065">
        <v>417000</v>
      </c>
      <c r="L1065">
        <v>0</v>
      </c>
      <c r="M1065">
        <v>294000</v>
      </c>
      <c r="N1065">
        <f>(data[[#This Row],[unit_price]]*data[[#This Row],[quantity]]) * (1-data[[#This Row],[discount]])</f>
        <v>834000</v>
      </c>
      <c r="O1065">
        <f>data[[#This Row],[sales]]-data[[#This Row],[cost]]</f>
        <v>540000</v>
      </c>
      <c r="P1065" t="str">
        <f>TEXT(data[[#This Row],[order_date]],"mmm")</f>
        <v>Feb</v>
      </c>
      <c r="Q1065">
        <f>YEAR(data[[#This Row],[order_date]])</f>
        <v>2026</v>
      </c>
      <c r="R1065">
        <f>MONTH(data[[#This Row],[order_date]])</f>
        <v>2</v>
      </c>
      <c r="S1065">
        <f>DAY(data[[#This Row],[order_date]])</f>
        <v>22</v>
      </c>
      <c r="T1065">
        <f>data[[#This Row],[profit]]/data[[#This Row],[sales]]</f>
        <v>0.64748201438848918</v>
      </c>
    </row>
    <row r="1066" spans="1:20" x14ac:dyDescent="0.35">
      <c r="A1066" t="s">
        <v>1278</v>
      </c>
      <c r="B1066" s="1">
        <v>46098</v>
      </c>
      <c r="C1066" t="s">
        <v>14</v>
      </c>
      <c r="D1066" t="s">
        <v>15</v>
      </c>
      <c r="E1066" t="s">
        <v>205</v>
      </c>
      <c r="F1066" t="s">
        <v>17</v>
      </c>
      <c r="G1066" t="s">
        <v>1211</v>
      </c>
      <c r="H1066" t="s">
        <v>1212</v>
      </c>
      <c r="I1066" t="s">
        <v>363</v>
      </c>
      <c r="J1066">
        <v>1</v>
      </c>
      <c r="K1066">
        <v>552000</v>
      </c>
      <c r="L1066">
        <v>0</v>
      </c>
      <c r="M1066">
        <v>382000</v>
      </c>
      <c r="N1066">
        <f>(data[[#This Row],[unit_price]]*data[[#This Row],[quantity]]) * (1-data[[#This Row],[discount]])</f>
        <v>552000</v>
      </c>
      <c r="O1066">
        <f>data[[#This Row],[sales]]-data[[#This Row],[cost]]</f>
        <v>170000</v>
      </c>
      <c r="P1066" t="str">
        <f>TEXT(data[[#This Row],[order_date]],"mmm")</f>
        <v>Mar</v>
      </c>
      <c r="Q1066">
        <f>YEAR(data[[#This Row],[order_date]])</f>
        <v>2026</v>
      </c>
      <c r="R1066">
        <f>MONTH(data[[#This Row],[order_date]])</f>
        <v>3</v>
      </c>
      <c r="S1066">
        <f>DAY(data[[#This Row],[order_date]])</f>
        <v>17</v>
      </c>
      <c r="T1066">
        <f>data[[#This Row],[profit]]/data[[#This Row],[sales]]</f>
        <v>0.3079710144927536</v>
      </c>
    </row>
    <row r="1067" spans="1:20" x14ac:dyDescent="0.35">
      <c r="A1067" t="s">
        <v>1279</v>
      </c>
      <c r="B1067" s="1">
        <v>46122</v>
      </c>
      <c r="C1067" t="s">
        <v>49</v>
      </c>
      <c r="D1067" t="s">
        <v>50</v>
      </c>
      <c r="E1067" t="s">
        <v>447</v>
      </c>
      <c r="F1067" t="s">
        <v>23</v>
      </c>
      <c r="G1067" t="s">
        <v>1211</v>
      </c>
      <c r="H1067" t="s">
        <v>1212</v>
      </c>
      <c r="I1067" t="s">
        <v>363</v>
      </c>
      <c r="J1067">
        <v>2</v>
      </c>
      <c r="K1067">
        <v>570000</v>
      </c>
      <c r="L1067">
        <v>0.15</v>
      </c>
      <c r="M1067">
        <v>408000</v>
      </c>
      <c r="N1067">
        <f>(data[[#This Row],[unit_price]]*data[[#This Row],[quantity]]) * (1-data[[#This Row],[discount]])</f>
        <v>969000</v>
      </c>
      <c r="O1067">
        <f>data[[#This Row],[sales]]-data[[#This Row],[cost]]</f>
        <v>561000</v>
      </c>
      <c r="P1067" t="str">
        <f>TEXT(data[[#This Row],[order_date]],"mmm")</f>
        <v>Apr</v>
      </c>
      <c r="Q1067">
        <f>YEAR(data[[#This Row],[order_date]])</f>
        <v>2026</v>
      </c>
      <c r="R1067">
        <f>MONTH(data[[#This Row],[order_date]])</f>
        <v>4</v>
      </c>
      <c r="S1067">
        <f>DAY(data[[#This Row],[order_date]])</f>
        <v>10</v>
      </c>
      <c r="T1067">
        <f>data[[#This Row],[profit]]/data[[#This Row],[sales]]</f>
        <v>0.57894736842105265</v>
      </c>
    </row>
    <row r="1068" spans="1:20" x14ac:dyDescent="0.35">
      <c r="A1068" t="s">
        <v>1280</v>
      </c>
      <c r="B1068" s="1">
        <v>46162</v>
      </c>
      <c r="C1068" t="s">
        <v>14</v>
      </c>
      <c r="D1068" t="s">
        <v>15</v>
      </c>
      <c r="E1068" t="s">
        <v>146</v>
      </c>
      <c r="F1068" t="s">
        <v>17</v>
      </c>
      <c r="G1068" t="s">
        <v>1211</v>
      </c>
      <c r="H1068" t="s">
        <v>1212</v>
      </c>
      <c r="I1068" t="s">
        <v>363</v>
      </c>
      <c r="J1068">
        <v>1</v>
      </c>
      <c r="K1068">
        <v>582000</v>
      </c>
      <c r="L1068">
        <v>0</v>
      </c>
      <c r="M1068">
        <v>397000</v>
      </c>
      <c r="N1068">
        <f>(data[[#This Row],[unit_price]]*data[[#This Row],[quantity]]) * (1-data[[#This Row],[discount]])</f>
        <v>582000</v>
      </c>
      <c r="O1068">
        <f>data[[#This Row],[sales]]-data[[#This Row],[cost]]</f>
        <v>185000</v>
      </c>
      <c r="P1068" t="str">
        <f>TEXT(data[[#This Row],[order_date]],"mmm")</f>
        <v>May</v>
      </c>
      <c r="Q1068">
        <f>YEAR(data[[#This Row],[order_date]])</f>
        <v>2026</v>
      </c>
      <c r="R1068">
        <f>MONTH(data[[#This Row],[order_date]])</f>
        <v>5</v>
      </c>
      <c r="S1068">
        <f>DAY(data[[#This Row],[order_date]])</f>
        <v>20</v>
      </c>
      <c r="T1068">
        <f>data[[#This Row],[profit]]/data[[#This Row],[sales]]</f>
        <v>0.31786941580756012</v>
      </c>
    </row>
    <row r="1069" spans="1:20" x14ac:dyDescent="0.35">
      <c r="A1069" t="s">
        <v>1281</v>
      </c>
      <c r="B1069" s="1">
        <v>46167</v>
      </c>
      <c r="C1069" t="s">
        <v>41</v>
      </c>
      <c r="D1069" t="s">
        <v>42</v>
      </c>
      <c r="E1069" t="s">
        <v>402</v>
      </c>
      <c r="F1069" t="s">
        <v>23</v>
      </c>
      <c r="G1069" t="s">
        <v>1211</v>
      </c>
      <c r="H1069" t="s">
        <v>1212</v>
      </c>
      <c r="I1069" t="s">
        <v>363</v>
      </c>
      <c r="J1069">
        <v>1</v>
      </c>
      <c r="K1069">
        <v>448000</v>
      </c>
      <c r="L1069">
        <v>0.05</v>
      </c>
      <c r="M1069">
        <v>305000</v>
      </c>
      <c r="N1069">
        <f>(data[[#This Row],[unit_price]]*data[[#This Row],[quantity]]) * (1-data[[#This Row],[discount]])</f>
        <v>425600</v>
      </c>
      <c r="O1069">
        <f>data[[#This Row],[sales]]-data[[#This Row],[cost]]</f>
        <v>120600</v>
      </c>
      <c r="P1069" t="str">
        <f>TEXT(data[[#This Row],[order_date]],"mmm")</f>
        <v>May</v>
      </c>
      <c r="Q1069">
        <f>YEAR(data[[#This Row],[order_date]])</f>
        <v>2026</v>
      </c>
      <c r="R1069">
        <f>MONTH(data[[#This Row],[order_date]])</f>
        <v>5</v>
      </c>
      <c r="S1069">
        <f>DAY(data[[#This Row],[order_date]])</f>
        <v>25</v>
      </c>
      <c r="T1069">
        <f>data[[#This Row],[profit]]/data[[#This Row],[sales]]</f>
        <v>0.28336466165413532</v>
      </c>
    </row>
    <row r="1070" spans="1:20" x14ac:dyDescent="0.35">
      <c r="A1070" t="s">
        <v>1282</v>
      </c>
      <c r="B1070" s="1">
        <v>46202</v>
      </c>
      <c r="C1070" t="s">
        <v>14</v>
      </c>
      <c r="D1070" t="s">
        <v>15</v>
      </c>
      <c r="E1070" t="s">
        <v>413</v>
      </c>
      <c r="F1070" t="s">
        <v>23</v>
      </c>
      <c r="G1070" t="s">
        <v>1211</v>
      </c>
      <c r="H1070" t="s">
        <v>1212</v>
      </c>
      <c r="I1070" t="s">
        <v>363</v>
      </c>
      <c r="J1070">
        <v>1</v>
      </c>
      <c r="K1070">
        <v>599000</v>
      </c>
      <c r="L1070">
        <v>0.05</v>
      </c>
      <c r="M1070">
        <v>416000</v>
      </c>
      <c r="N1070">
        <f>(data[[#This Row],[unit_price]]*data[[#This Row],[quantity]]) * (1-data[[#This Row],[discount]])</f>
        <v>569050</v>
      </c>
      <c r="O1070">
        <f>data[[#This Row],[sales]]-data[[#This Row],[cost]]</f>
        <v>153050</v>
      </c>
      <c r="P1070" t="str">
        <f>TEXT(data[[#This Row],[order_date]],"mmm")</f>
        <v>Jun</v>
      </c>
      <c r="Q1070">
        <f>YEAR(data[[#This Row],[order_date]])</f>
        <v>2026</v>
      </c>
      <c r="R1070">
        <f>MONTH(data[[#This Row],[order_date]])</f>
        <v>6</v>
      </c>
      <c r="S1070">
        <f>DAY(data[[#This Row],[order_date]])</f>
        <v>29</v>
      </c>
      <c r="T1070">
        <f>data[[#This Row],[profit]]/data[[#This Row],[sales]]</f>
        <v>0.26895703365257884</v>
      </c>
    </row>
    <row r="1071" spans="1:20" x14ac:dyDescent="0.35">
      <c r="A1071" t="s">
        <v>1283</v>
      </c>
      <c r="B1071" s="1">
        <v>46203</v>
      </c>
      <c r="C1071" t="s">
        <v>41</v>
      </c>
      <c r="D1071" t="s">
        <v>42</v>
      </c>
      <c r="E1071" t="s">
        <v>55</v>
      </c>
      <c r="F1071" t="s">
        <v>17</v>
      </c>
      <c r="G1071" t="s">
        <v>1211</v>
      </c>
      <c r="H1071" t="s">
        <v>1212</v>
      </c>
      <c r="I1071" t="s">
        <v>363</v>
      </c>
      <c r="J1071">
        <v>1</v>
      </c>
      <c r="K1071">
        <v>430000</v>
      </c>
      <c r="L1071">
        <v>0</v>
      </c>
      <c r="M1071">
        <v>294000</v>
      </c>
      <c r="N1071">
        <f>(data[[#This Row],[unit_price]]*data[[#This Row],[quantity]]) * (1-data[[#This Row],[discount]])</f>
        <v>430000</v>
      </c>
      <c r="O1071">
        <f>data[[#This Row],[sales]]-data[[#This Row],[cost]]</f>
        <v>136000</v>
      </c>
      <c r="P1071" t="str">
        <f>TEXT(data[[#This Row],[order_date]],"mmm")</f>
        <v>Jun</v>
      </c>
      <c r="Q1071">
        <f>YEAR(data[[#This Row],[order_date]])</f>
        <v>2026</v>
      </c>
      <c r="R1071">
        <f>MONTH(data[[#This Row],[order_date]])</f>
        <v>6</v>
      </c>
      <c r="S1071">
        <f>DAY(data[[#This Row],[order_date]])</f>
        <v>30</v>
      </c>
      <c r="T1071">
        <f>data[[#This Row],[profit]]/data[[#This Row],[sales]]</f>
        <v>0.31627906976744186</v>
      </c>
    </row>
    <row r="1072" spans="1:20" x14ac:dyDescent="0.35">
      <c r="A1072" t="s">
        <v>1284</v>
      </c>
      <c r="B1072" s="1">
        <v>46203</v>
      </c>
      <c r="C1072" t="s">
        <v>41</v>
      </c>
      <c r="D1072" t="s">
        <v>42</v>
      </c>
      <c r="E1072" t="s">
        <v>179</v>
      </c>
      <c r="F1072" t="s">
        <v>23</v>
      </c>
      <c r="G1072" t="s">
        <v>1211</v>
      </c>
      <c r="H1072" t="s">
        <v>1212</v>
      </c>
      <c r="I1072" t="s">
        <v>363</v>
      </c>
      <c r="J1072">
        <v>1</v>
      </c>
      <c r="K1072">
        <v>517000</v>
      </c>
      <c r="L1072">
        <v>0</v>
      </c>
      <c r="M1072">
        <v>358000</v>
      </c>
      <c r="N1072">
        <f>(data[[#This Row],[unit_price]]*data[[#This Row],[quantity]]) * (1-data[[#This Row],[discount]])</f>
        <v>517000</v>
      </c>
      <c r="O1072">
        <f>data[[#This Row],[sales]]-data[[#This Row],[cost]]</f>
        <v>159000</v>
      </c>
      <c r="P1072" t="str">
        <f>TEXT(data[[#This Row],[order_date]],"mmm")</f>
        <v>Jun</v>
      </c>
      <c r="Q1072">
        <f>YEAR(data[[#This Row],[order_date]])</f>
        <v>2026</v>
      </c>
      <c r="R1072">
        <f>MONTH(data[[#This Row],[order_date]])</f>
        <v>6</v>
      </c>
      <c r="S1072">
        <f>DAY(data[[#This Row],[order_date]])</f>
        <v>30</v>
      </c>
      <c r="T1072">
        <f>data[[#This Row],[profit]]/data[[#This Row],[sales]]</f>
        <v>0.30754352030947774</v>
      </c>
    </row>
    <row r="1073" spans="1:20" x14ac:dyDescent="0.35">
      <c r="A1073" t="s">
        <v>1285</v>
      </c>
      <c r="B1073" s="1">
        <v>44946</v>
      </c>
      <c r="C1073" t="s">
        <v>14</v>
      </c>
      <c r="D1073" t="s">
        <v>15</v>
      </c>
      <c r="E1073" t="s">
        <v>582</v>
      </c>
      <c r="F1073" t="s">
        <v>17</v>
      </c>
      <c r="G1073" t="s">
        <v>1286</v>
      </c>
      <c r="H1073" t="s">
        <v>1287</v>
      </c>
      <c r="I1073" t="s">
        <v>465</v>
      </c>
      <c r="J1073">
        <v>1</v>
      </c>
      <c r="K1073">
        <v>1357000</v>
      </c>
      <c r="L1073">
        <v>0</v>
      </c>
      <c r="M1073">
        <v>1037000</v>
      </c>
      <c r="N1073">
        <f>(data[[#This Row],[unit_price]]*data[[#This Row],[quantity]]) * (1-data[[#This Row],[discount]])</f>
        <v>1357000</v>
      </c>
      <c r="O1073">
        <f>data[[#This Row],[sales]]-data[[#This Row],[cost]]</f>
        <v>320000</v>
      </c>
      <c r="P1073" t="str">
        <f>TEXT(data[[#This Row],[order_date]],"mmm")</f>
        <v>Jan</v>
      </c>
      <c r="Q1073">
        <f>YEAR(data[[#This Row],[order_date]])</f>
        <v>2023</v>
      </c>
      <c r="R1073">
        <f>MONTH(data[[#This Row],[order_date]])</f>
        <v>1</v>
      </c>
      <c r="S1073">
        <f>DAY(data[[#This Row],[order_date]])</f>
        <v>20</v>
      </c>
      <c r="T1073">
        <f>data[[#This Row],[profit]]/data[[#This Row],[sales]]</f>
        <v>0.23581429624170966</v>
      </c>
    </row>
    <row r="1074" spans="1:20" x14ac:dyDescent="0.35">
      <c r="A1074" t="s">
        <v>1288</v>
      </c>
      <c r="B1074" s="1">
        <v>44973</v>
      </c>
      <c r="C1074" t="s">
        <v>36</v>
      </c>
      <c r="D1074" t="s">
        <v>37</v>
      </c>
      <c r="E1074" t="s">
        <v>87</v>
      </c>
      <c r="F1074" t="s">
        <v>17</v>
      </c>
      <c r="G1074" t="s">
        <v>1286</v>
      </c>
      <c r="H1074" t="s">
        <v>1287</v>
      </c>
      <c r="I1074" t="s">
        <v>465</v>
      </c>
      <c r="J1074">
        <v>1</v>
      </c>
      <c r="K1074">
        <v>975000</v>
      </c>
      <c r="L1074">
        <v>0</v>
      </c>
      <c r="M1074">
        <v>724000</v>
      </c>
      <c r="N1074">
        <f>(data[[#This Row],[unit_price]]*data[[#This Row],[quantity]]) * (1-data[[#This Row],[discount]])</f>
        <v>975000</v>
      </c>
      <c r="O1074">
        <f>data[[#This Row],[sales]]-data[[#This Row],[cost]]</f>
        <v>251000</v>
      </c>
      <c r="P1074" t="str">
        <f>TEXT(data[[#This Row],[order_date]],"mmm")</f>
        <v>Feb</v>
      </c>
      <c r="Q1074">
        <f>YEAR(data[[#This Row],[order_date]])</f>
        <v>2023</v>
      </c>
      <c r="R1074">
        <f>MONTH(data[[#This Row],[order_date]])</f>
        <v>2</v>
      </c>
      <c r="S1074">
        <f>DAY(data[[#This Row],[order_date]])</f>
        <v>16</v>
      </c>
      <c r="T1074">
        <f>data[[#This Row],[profit]]/data[[#This Row],[sales]]</f>
        <v>0.25743589743589745</v>
      </c>
    </row>
    <row r="1075" spans="1:20" x14ac:dyDescent="0.35">
      <c r="A1075" t="s">
        <v>1289</v>
      </c>
      <c r="B1075" s="1">
        <v>44979</v>
      </c>
      <c r="C1075" t="s">
        <v>14</v>
      </c>
      <c r="D1075" t="s">
        <v>15</v>
      </c>
      <c r="E1075" t="s">
        <v>489</v>
      </c>
      <c r="F1075" t="s">
        <v>17</v>
      </c>
      <c r="G1075" t="s">
        <v>1286</v>
      </c>
      <c r="H1075" t="s">
        <v>1287</v>
      </c>
      <c r="I1075" t="s">
        <v>465</v>
      </c>
      <c r="J1075">
        <v>2</v>
      </c>
      <c r="K1075">
        <v>1282000</v>
      </c>
      <c r="L1075">
        <v>0</v>
      </c>
      <c r="M1075">
        <v>962000</v>
      </c>
      <c r="N1075">
        <f>(data[[#This Row],[unit_price]]*data[[#This Row],[quantity]]) * (1-data[[#This Row],[discount]])</f>
        <v>2564000</v>
      </c>
      <c r="O1075">
        <f>data[[#This Row],[sales]]-data[[#This Row],[cost]]</f>
        <v>1602000</v>
      </c>
      <c r="P1075" t="str">
        <f>TEXT(data[[#This Row],[order_date]],"mmm")</f>
        <v>Feb</v>
      </c>
      <c r="Q1075">
        <f>YEAR(data[[#This Row],[order_date]])</f>
        <v>2023</v>
      </c>
      <c r="R1075">
        <f>MONTH(data[[#This Row],[order_date]])</f>
        <v>2</v>
      </c>
      <c r="S1075">
        <f>DAY(data[[#This Row],[order_date]])</f>
        <v>22</v>
      </c>
      <c r="T1075">
        <f>data[[#This Row],[profit]]/data[[#This Row],[sales]]</f>
        <v>0.62480499219968799</v>
      </c>
    </row>
    <row r="1076" spans="1:20" x14ac:dyDescent="0.35">
      <c r="A1076" t="s">
        <v>1290</v>
      </c>
      <c r="B1076" s="1">
        <v>45003</v>
      </c>
      <c r="C1076" t="s">
        <v>49</v>
      </c>
      <c r="D1076" t="s">
        <v>50</v>
      </c>
      <c r="E1076" t="s">
        <v>57</v>
      </c>
      <c r="F1076" t="s">
        <v>58</v>
      </c>
      <c r="G1076" t="s">
        <v>1286</v>
      </c>
      <c r="H1076" t="s">
        <v>1287</v>
      </c>
      <c r="I1076" t="s">
        <v>465</v>
      </c>
      <c r="J1076">
        <v>2</v>
      </c>
      <c r="K1076">
        <v>1179000</v>
      </c>
      <c r="L1076">
        <v>0</v>
      </c>
      <c r="M1076">
        <v>909000</v>
      </c>
      <c r="N1076">
        <f>(data[[#This Row],[unit_price]]*data[[#This Row],[quantity]]) * (1-data[[#This Row],[discount]])</f>
        <v>2358000</v>
      </c>
      <c r="O1076">
        <f>data[[#This Row],[sales]]-data[[#This Row],[cost]]</f>
        <v>1449000</v>
      </c>
      <c r="P1076" t="str">
        <f>TEXT(data[[#This Row],[order_date]],"mmm")</f>
        <v>Mar</v>
      </c>
      <c r="Q1076">
        <f>YEAR(data[[#This Row],[order_date]])</f>
        <v>2023</v>
      </c>
      <c r="R1076">
        <f>MONTH(data[[#This Row],[order_date]])</f>
        <v>3</v>
      </c>
      <c r="S1076">
        <f>DAY(data[[#This Row],[order_date]])</f>
        <v>18</v>
      </c>
      <c r="T1076">
        <f>data[[#This Row],[profit]]/data[[#This Row],[sales]]</f>
        <v>0.6145038167938931</v>
      </c>
    </row>
    <row r="1077" spans="1:20" x14ac:dyDescent="0.35">
      <c r="A1077" t="s">
        <v>1291</v>
      </c>
      <c r="B1077" s="1">
        <v>45007</v>
      </c>
      <c r="C1077" t="s">
        <v>41</v>
      </c>
      <c r="D1077" t="s">
        <v>42</v>
      </c>
      <c r="E1077" t="s">
        <v>157</v>
      </c>
      <c r="F1077" t="s">
        <v>23</v>
      </c>
      <c r="G1077" t="s">
        <v>1286</v>
      </c>
      <c r="H1077" t="s">
        <v>1287</v>
      </c>
      <c r="I1077" t="s">
        <v>465</v>
      </c>
      <c r="J1077">
        <v>2</v>
      </c>
      <c r="K1077">
        <v>1274000</v>
      </c>
      <c r="L1077">
        <v>0</v>
      </c>
      <c r="M1077">
        <v>991000</v>
      </c>
      <c r="N1077">
        <f>(data[[#This Row],[unit_price]]*data[[#This Row],[quantity]]) * (1-data[[#This Row],[discount]])</f>
        <v>2548000</v>
      </c>
      <c r="O1077">
        <f>data[[#This Row],[sales]]-data[[#This Row],[cost]]</f>
        <v>1557000</v>
      </c>
      <c r="P1077" t="str">
        <f>TEXT(data[[#This Row],[order_date]],"mmm")</f>
        <v>Mar</v>
      </c>
      <c r="Q1077">
        <f>YEAR(data[[#This Row],[order_date]])</f>
        <v>2023</v>
      </c>
      <c r="R1077">
        <f>MONTH(data[[#This Row],[order_date]])</f>
        <v>3</v>
      </c>
      <c r="S1077">
        <f>DAY(data[[#This Row],[order_date]])</f>
        <v>22</v>
      </c>
      <c r="T1077">
        <f>data[[#This Row],[profit]]/data[[#This Row],[sales]]</f>
        <v>0.61106750392464682</v>
      </c>
    </row>
    <row r="1078" spans="1:20" x14ac:dyDescent="0.35">
      <c r="A1078" t="s">
        <v>1292</v>
      </c>
      <c r="B1078" s="1">
        <v>45029</v>
      </c>
      <c r="C1078" t="s">
        <v>14</v>
      </c>
      <c r="D1078" t="s">
        <v>15</v>
      </c>
      <c r="E1078" t="s">
        <v>30</v>
      </c>
      <c r="F1078" t="s">
        <v>23</v>
      </c>
      <c r="G1078" t="s">
        <v>1286</v>
      </c>
      <c r="H1078" t="s">
        <v>1287</v>
      </c>
      <c r="I1078" t="s">
        <v>465</v>
      </c>
      <c r="J1078">
        <v>2</v>
      </c>
      <c r="K1078">
        <v>1207000</v>
      </c>
      <c r="L1078">
        <v>0</v>
      </c>
      <c r="M1078">
        <v>895000</v>
      </c>
      <c r="N1078">
        <f>(data[[#This Row],[unit_price]]*data[[#This Row],[quantity]]) * (1-data[[#This Row],[discount]])</f>
        <v>2414000</v>
      </c>
      <c r="O1078">
        <f>data[[#This Row],[sales]]-data[[#This Row],[cost]]</f>
        <v>1519000</v>
      </c>
      <c r="P1078" t="str">
        <f>TEXT(data[[#This Row],[order_date]],"mmm")</f>
        <v>Apr</v>
      </c>
      <c r="Q1078">
        <f>YEAR(data[[#This Row],[order_date]])</f>
        <v>2023</v>
      </c>
      <c r="R1078">
        <f>MONTH(data[[#This Row],[order_date]])</f>
        <v>4</v>
      </c>
      <c r="S1078">
        <f>DAY(data[[#This Row],[order_date]])</f>
        <v>13</v>
      </c>
      <c r="T1078">
        <f>data[[#This Row],[profit]]/data[[#This Row],[sales]]</f>
        <v>0.62924606462303234</v>
      </c>
    </row>
    <row r="1079" spans="1:20" x14ac:dyDescent="0.35">
      <c r="A1079" t="s">
        <v>1293</v>
      </c>
      <c r="B1079" s="1">
        <v>45038</v>
      </c>
      <c r="C1079" t="s">
        <v>14</v>
      </c>
      <c r="D1079" t="s">
        <v>15</v>
      </c>
      <c r="E1079" t="s">
        <v>216</v>
      </c>
      <c r="F1079" t="s">
        <v>17</v>
      </c>
      <c r="G1079" t="s">
        <v>1286</v>
      </c>
      <c r="H1079" t="s">
        <v>1287</v>
      </c>
      <c r="I1079" t="s">
        <v>465</v>
      </c>
      <c r="J1079">
        <v>1</v>
      </c>
      <c r="K1079">
        <v>1308000</v>
      </c>
      <c r="L1079">
        <v>0</v>
      </c>
      <c r="M1079">
        <v>1019000</v>
      </c>
      <c r="N1079">
        <f>(data[[#This Row],[unit_price]]*data[[#This Row],[quantity]]) * (1-data[[#This Row],[discount]])</f>
        <v>1308000</v>
      </c>
      <c r="O1079">
        <f>data[[#This Row],[sales]]-data[[#This Row],[cost]]</f>
        <v>289000</v>
      </c>
      <c r="P1079" t="str">
        <f>TEXT(data[[#This Row],[order_date]],"mmm")</f>
        <v>Apr</v>
      </c>
      <c r="Q1079">
        <f>YEAR(data[[#This Row],[order_date]])</f>
        <v>2023</v>
      </c>
      <c r="R1079">
        <f>MONTH(data[[#This Row],[order_date]])</f>
        <v>4</v>
      </c>
      <c r="S1079">
        <f>DAY(data[[#This Row],[order_date]])</f>
        <v>22</v>
      </c>
      <c r="T1079">
        <f>data[[#This Row],[profit]]/data[[#This Row],[sales]]</f>
        <v>0.22094801223241589</v>
      </c>
    </row>
    <row r="1080" spans="1:20" x14ac:dyDescent="0.35">
      <c r="A1080" t="s">
        <v>1294</v>
      </c>
      <c r="B1080" s="1">
        <v>45039</v>
      </c>
      <c r="C1080" t="s">
        <v>14</v>
      </c>
      <c r="D1080" t="s">
        <v>15</v>
      </c>
      <c r="E1080" t="s">
        <v>179</v>
      </c>
      <c r="F1080" t="s">
        <v>23</v>
      </c>
      <c r="G1080" t="s">
        <v>1286</v>
      </c>
      <c r="H1080" t="s">
        <v>1287</v>
      </c>
      <c r="I1080" t="s">
        <v>465</v>
      </c>
      <c r="J1080">
        <v>1</v>
      </c>
      <c r="K1080">
        <v>886000</v>
      </c>
      <c r="L1080">
        <v>0</v>
      </c>
      <c r="M1080">
        <v>685000</v>
      </c>
      <c r="N1080">
        <f>(data[[#This Row],[unit_price]]*data[[#This Row],[quantity]]) * (1-data[[#This Row],[discount]])</f>
        <v>886000</v>
      </c>
      <c r="O1080">
        <f>data[[#This Row],[sales]]-data[[#This Row],[cost]]</f>
        <v>201000</v>
      </c>
      <c r="P1080" t="str">
        <f>TEXT(data[[#This Row],[order_date]],"mmm")</f>
        <v>Apr</v>
      </c>
      <c r="Q1080">
        <f>YEAR(data[[#This Row],[order_date]])</f>
        <v>2023</v>
      </c>
      <c r="R1080">
        <f>MONTH(data[[#This Row],[order_date]])</f>
        <v>4</v>
      </c>
      <c r="S1080">
        <f>DAY(data[[#This Row],[order_date]])</f>
        <v>23</v>
      </c>
      <c r="T1080">
        <f>data[[#This Row],[profit]]/data[[#This Row],[sales]]</f>
        <v>0.22686230248306999</v>
      </c>
    </row>
    <row r="1081" spans="1:20" x14ac:dyDescent="0.35">
      <c r="A1081" t="s">
        <v>1295</v>
      </c>
      <c r="B1081" s="1">
        <v>45056</v>
      </c>
      <c r="C1081" t="s">
        <v>14</v>
      </c>
      <c r="D1081" t="s">
        <v>15</v>
      </c>
      <c r="E1081" t="s">
        <v>498</v>
      </c>
      <c r="F1081" t="s">
        <v>23</v>
      </c>
      <c r="G1081" t="s">
        <v>1286</v>
      </c>
      <c r="H1081" t="s">
        <v>1287</v>
      </c>
      <c r="I1081" t="s">
        <v>465</v>
      </c>
      <c r="J1081">
        <v>1</v>
      </c>
      <c r="K1081">
        <v>1062000</v>
      </c>
      <c r="L1081">
        <v>0</v>
      </c>
      <c r="M1081">
        <v>817000</v>
      </c>
      <c r="N1081">
        <f>(data[[#This Row],[unit_price]]*data[[#This Row],[quantity]]) * (1-data[[#This Row],[discount]])</f>
        <v>1062000</v>
      </c>
      <c r="O1081">
        <f>data[[#This Row],[sales]]-data[[#This Row],[cost]]</f>
        <v>245000</v>
      </c>
      <c r="P1081" t="str">
        <f>TEXT(data[[#This Row],[order_date]],"mmm")</f>
        <v>May</v>
      </c>
      <c r="Q1081">
        <f>YEAR(data[[#This Row],[order_date]])</f>
        <v>2023</v>
      </c>
      <c r="R1081">
        <f>MONTH(data[[#This Row],[order_date]])</f>
        <v>5</v>
      </c>
      <c r="S1081">
        <f>DAY(data[[#This Row],[order_date]])</f>
        <v>10</v>
      </c>
      <c r="T1081">
        <f>data[[#This Row],[profit]]/data[[#This Row],[sales]]</f>
        <v>0.23069679849340866</v>
      </c>
    </row>
    <row r="1082" spans="1:20" x14ac:dyDescent="0.35">
      <c r="A1082" t="s">
        <v>1296</v>
      </c>
      <c r="B1082" s="1">
        <v>45073</v>
      </c>
      <c r="C1082" t="s">
        <v>14</v>
      </c>
      <c r="D1082" t="s">
        <v>15</v>
      </c>
      <c r="E1082" t="s">
        <v>260</v>
      </c>
      <c r="F1082" t="s">
        <v>23</v>
      </c>
      <c r="G1082" t="s">
        <v>1286</v>
      </c>
      <c r="H1082" t="s">
        <v>1287</v>
      </c>
      <c r="I1082" t="s">
        <v>465</v>
      </c>
      <c r="J1082">
        <v>1</v>
      </c>
      <c r="K1082">
        <v>1379000</v>
      </c>
      <c r="L1082">
        <v>0.1</v>
      </c>
      <c r="M1082">
        <v>1072000</v>
      </c>
      <c r="N1082">
        <f>(data[[#This Row],[unit_price]]*data[[#This Row],[quantity]]) * (1-data[[#This Row],[discount]])</f>
        <v>1241100</v>
      </c>
      <c r="O1082">
        <f>data[[#This Row],[sales]]-data[[#This Row],[cost]]</f>
        <v>169100</v>
      </c>
      <c r="P1082" t="str">
        <f>TEXT(data[[#This Row],[order_date]],"mmm")</f>
        <v>May</v>
      </c>
      <c r="Q1082">
        <f>YEAR(data[[#This Row],[order_date]])</f>
        <v>2023</v>
      </c>
      <c r="R1082">
        <f>MONTH(data[[#This Row],[order_date]])</f>
        <v>5</v>
      </c>
      <c r="S1082">
        <f>DAY(data[[#This Row],[order_date]])</f>
        <v>27</v>
      </c>
      <c r="T1082">
        <f>data[[#This Row],[profit]]/data[[#This Row],[sales]]</f>
        <v>0.1362501007171058</v>
      </c>
    </row>
    <row r="1083" spans="1:20" x14ac:dyDescent="0.35">
      <c r="A1083" t="s">
        <v>1297</v>
      </c>
      <c r="B1083" s="1">
        <v>45075</v>
      </c>
      <c r="C1083" t="s">
        <v>36</v>
      </c>
      <c r="D1083" t="s">
        <v>37</v>
      </c>
      <c r="E1083" t="s">
        <v>270</v>
      </c>
      <c r="F1083" t="s">
        <v>23</v>
      </c>
      <c r="G1083" t="s">
        <v>1286</v>
      </c>
      <c r="H1083" t="s">
        <v>1287</v>
      </c>
      <c r="I1083" t="s">
        <v>465</v>
      </c>
      <c r="J1083">
        <v>1</v>
      </c>
      <c r="K1083">
        <v>1280000</v>
      </c>
      <c r="L1083">
        <v>0</v>
      </c>
      <c r="M1083">
        <v>952000</v>
      </c>
      <c r="N1083">
        <f>(data[[#This Row],[unit_price]]*data[[#This Row],[quantity]]) * (1-data[[#This Row],[discount]])</f>
        <v>1280000</v>
      </c>
      <c r="O1083">
        <f>data[[#This Row],[sales]]-data[[#This Row],[cost]]</f>
        <v>328000</v>
      </c>
      <c r="P1083" t="str">
        <f>TEXT(data[[#This Row],[order_date]],"mmm")</f>
        <v>May</v>
      </c>
      <c r="Q1083">
        <f>YEAR(data[[#This Row],[order_date]])</f>
        <v>2023</v>
      </c>
      <c r="R1083">
        <f>MONTH(data[[#This Row],[order_date]])</f>
        <v>5</v>
      </c>
      <c r="S1083">
        <f>DAY(data[[#This Row],[order_date]])</f>
        <v>29</v>
      </c>
      <c r="T1083">
        <f>data[[#This Row],[profit]]/data[[#This Row],[sales]]</f>
        <v>0.25624999999999998</v>
      </c>
    </row>
    <row r="1084" spans="1:20" x14ac:dyDescent="0.35">
      <c r="A1084" t="s">
        <v>1298</v>
      </c>
      <c r="B1084" s="1">
        <v>45103</v>
      </c>
      <c r="C1084" t="s">
        <v>41</v>
      </c>
      <c r="D1084" t="s">
        <v>42</v>
      </c>
      <c r="E1084" t="s">
        <v>76</v>
      </c>
      <c r="F1084" t="s">
        <v>23</v>
      </c>
      <c r="G1084" t="s">
        <v>1286</v>
      </c>
      <c r="H1084" t="s">
        <v>1287</v>
      </c>
      <c r="I1084" t="s">
        <v>465</v>
      </c>
      <c r="J1084">
        <v>1</v>
      </c>
      <c r="K1084">
        <v>1458000</v>
      </c>
      <c r="L1084">
        <v>0.05</v>
      </c>
      <c r="M1084">
        <v>1097000</v>
      </c>
      <c r="N1084">
        <f>(data[[#This Row],[unit_price]]*data[[#This Row],[quantity]]) * (1-data[[#This Row],[discount]])</f>
        <v>1385100</v>
      </c>
      <c r="O1084">
        <f>data[[#This Row],[sales]]-data[[#This Row],[cost]]</f>
        <v>288100</v>
      </c>
      <c r="P1084" t="str">
        <f>TEXT(data[[#This Row],[order_date]],"mmm")</f>
        <v>Jun</v>
      </c>
      <c r="Q1084">
        <f>YEAR(data[[#This Row],[order_date]])</f>
        <v>2023</v>
      </c>
      <c r="R1084">
        <f>MONTH(data[[#This Row],[order_date]])</f>
        <v>6</v>
      </c>
      <c r="S1084">
        <f>DAY(data[[#This Row],[order_date]])</f>
        <v>26</v>
      </c>
      <c r="T1084">
        <f>data[[#This Row],[profit]]/data[[#This Row],[sales]]</f>
        <v>0.20799942242437369</v>
      </c>
    </row>
    <row r="1085" spans="1:20" x14ac:dyDescent="0.35">
      <c r="A1085" t="s">
        <v>1299</v>
      </c>
      <c r="B1085" s="1">
        <v>45105</v>
      </c>
      <c r="C1085" t="s">
        <v>36</v>
      </c>
      <c r="D1085" t="s">
        <v>37</v>
      </c>
      <c r="E1085" t="s">
        <v>221</v>
      </c>
      <c r="F1085" t="s">
        <v>17</v>
      </c>
      <c r="G1085" t="s">
        <v>1286</v>
      </c>
      <c r="H1085" t="s">
        <v>1287</v>
      </c>
      <c r="I1085" t="s">
        <v>465</v>
      </c>
      <c r="J1085">
        <v>1</v>
      </c>
      <c r="K1085">
        <v>1373000</v>
      </c>
      <c r="L1085">
        <v>0</v>
      </c>
      <c r="M1085">
        <v>1043000</v>
      </c>
      <c r="N1085">
        <f>(data[[#This Row],[unit_price]]*data[[#This Row],[quantity]]) * (1-data[[#This Row],[discount]])</f>
        <v>1373000</v>
      </c>
      <c r="O1085">
        <f>data[[#This Row],[sales]]-data[[#This Row],[cost]]</f>
        <v>330000</v>
      </c>
      <c r="P1085" t="str">
        <f>TEXT(data[[#This Row],[order_date]],"mmm")</f>
        <v>Jun</v>
      </c>
      <c r="Q1085">
        <f>YEAR(data[[#This Row],[order_date]])</f>
        <v>2023</v>
      </c>
      <c r="R1085">
        <f>MONTH(data[[#This Row],[order_date]])</f>
        <v>6</v>
      </c>
      <c r="S1085">
        <f>DAY(data[[#This Row],[order_date]])</f>
        <v>28</v>
      </c>
      <c r="T1085">
        <f>data[[#This Row],[profit]]/data[[#This Row],[sales]]</f>
        <v>0.2403495994173343</v>
      </c>
    </row>
    <row r="1086" spans="1:20" x14ac:dyDescent="0.35">
      <c r="A1086" t="s">
        <v>1300</v>
      </c>
      <c r="B1086" s="1">
        <v>45174</v>
      </c>
      <c r="C1086" t="s">
        <v>14</v>
      </c>
      <c r="D1086" t="s">
        <v>15</v>
      </c>
      <c r="E1086" t="s">
        <v>228</v>
      </c>
      <c r="F1086" t="s">
        <v>17</v>
      </c>
      <c r="G1086" t="s">
        <v>1286</v>
      </c>
      <c r="H1086" t="s">
        <v>1287</v>
      </c>
      <c r="I1086" t="s">
        <v>465</v>
      </c>
      <c r="J1086">
        <v>1</v>
      </c>
      <c r="K1086">
        <v>959000</v>
      </c>
      <c r="L1086">
        <v>0</v>
      </c>
      <c r="M1086">
        <v>733000</v>
      </c>
      <c r="N1086">
        <f>(data[[#This Row],[unit_price]]*data[[#This Row],[quantity]]) * (1-data[[#This Row],[discount]])</f>
        <v>959000</v>
      </c>
      <c r="O1086">
        <f>data[[#This Row],[sales]]-data[[#This Row],[cost]]</f>
        <v>226000</v>
      </c>
      <c r="P1086" t="str">
        <f>TEXT(data[[#This Row],[order_date]],"mmm")</f>
        <v>Sep</v>
      </c>
      <c r="Q1086">
        <f>YEAR(data[[#This Row],[order_date]])</f>
        <v>2023</v>
      </c>
      <c r="R1086">
        <f>MONTH(data[[#This Row],[order_date]])</f>
        <v>9</v>
      </c>
      <c r="S1086">
        <f>DAY(data[[#This Row],[order_date]])</f>
        <v>5</v>
      </c>
      <c r="T1086">
        <f>data[[#This Row],[profit]]/data[[#This Row],[sales]]</f>
        <v>0.23566214807090718</v>
      </c>
    </row>
    <row r="1087" spans="1:20" x14ac:dyDescent="0.35">
      <c r="A1087" t="s">
        <v>1301</v>
      </c>
      <c r="B1087" s="1">
        <v>45191</v>
      </c>
      <c r="C1087" t="s">
        <v>14</v>
      </c>
      <c r="D1087" t="s">
        <v>15</v>
      </c>
      <c r="E1087" t="s">
        <v>132</v>
      </c>
      <c r="F1087" t="s">
        <v>28</v>
      </c>
      <c r="G1087" t="s">
        <v>1286</v>
      </c>
      <c r="H1087" t="s">
        <v>1287</v>
      </c>
      <c r="I1087" t="s">
        <v>465</v>
      </c>
      <c r="J1087">
        <v>1</v>
      </c>
      <c r="K1087">
        <v>1033000</v>
      </c>
      <c r="L1087">
        <v>0</v>
      </c>
      <c r="M1087">
        <v>801000</v>
      </c>
      <c r="N1087">
        <f>(data[[#This Row],[unit_price]]*data[[#This Row],[quantity]]) * (1-data[[#This Row],[discount]])</f>
        <v>1033000</v>
      </c>
      <c r="O1087">
        <f>data[[#This Row],[sales]]-data[[#This Row],[cost]]</f>
        <v>232000</v>
      </c>
      <c r="P1087" t="str">
        <f>TEXT(data[[#This Row],[order_date]],"mmm")</f>
        <v>Sep</v>
      </c>
      <c r="Q1087">
        <f>YEAR(data[[#This Row],[order_date]])</f>
        <v>2023</v>
      </c>
      <c r="R1087">
        <f>MONTH(data[[#This Row],[order_date]])</f>
        <v>9</v>
      </c>
      <c r="S1087">
        <f>DAY(data[[#This Row],[order_date]])</f>
        <v>22</v>
      </c>
      <c r="T1087">
        <f>data[[#This Row],[profit]]/data[[#This Row],[sales]]</f>
        <v>0.22458857696030979</v>
      </c>
    </row>
    <row r="1088" spans="1:20" x14ac:dyDescent="0.35">
      <c r="A1088" t="s">
        <v>1302</v>
      </c>
      <c r="B1088" s="1">
        <v>45249</v>
      </c>
      <c r="C1088" t="s">
        <v>14</v>
      </c>
      <c r="D1088" t="s">
        <v>15</v>
      </c>
      <c r="E1088" t="s">
        <v>85</v>
      </c>
      <c r="F1088" t="s">
        <v>23</v>
      </c>
      <c r="G1088" t="s">
        <v>1286</v>
      </c>
      <c r="H1088" t="s">
        <v>1287</v>
      </c>
      <c r="I1088" t="s">
        <v>465</v>
      </c>
      <c r="J1088">
        <v>1</v>
      </c>
      <c r="K1088">
        <v>1465000</v>
      </c>
      <c r="L1088">
        <v>0.05</v>
      </c>
      <c r="M1088">
        <v>1090000</v>
      </c>
      <c r="N1088">
        <f>(data[[#This Row],[unit_price]]*data[[#This Row],[quantity]]) * (1-data[[#This Row],[discount]])</f>
        <v>1391750</v>
      </c>
      <c r="O1088">
        <f>data[[#This Row],[sales]]-data[[#This Row],[cost]]</f>
        <v>301750</v>
      </c>
      <c r="P1088" t="str">
        <f>TEXT(data[[#This Row],[order_date]],"mmm")</f>
        <v>Nov</v>
      </c>
      <c r="Q1088">
        <f>YEAR(data[[#This Row],[order_date]])</f>
        <v>2023</v>
      </c>
      <c r="R1088">
        <f>MONTH(data[[#This Row],[order_date]])</f>
        <v>11</v>
      </c>
      <c r="S1088">
        <f>DAY(data[[#This Row],[order_date]])</f>
        <v>19</v>
      </c>
      <c r="T1088">
        <f>data[[#This Row],[profit]]/data[[#This Row],[sales]]</f>
        <v>0.21681336446919347</v>
      </c>
    </row>
    <row r="1089" spans="1:20" x14ac:dyDescent="0.35">
      <c r="A1089" t="s">
        <v>1303</v>
      </c>
      <c r="B1089" s="1">
        <v>45254</v>
      </c>
      <c r="C1089" t="s">
        <v>14</v>
      </c>
      <c r="D1089" t="s">
        <v>15</v>
      </c>
      <c r="E1089" t="s">
        <v>498</v>
      </c>
      <c r="F1089" t="s">
        <v>23</v>
      </c>
      <c r="G1089" t="s">
        <v>1286</v>
      </c>
      <c r="H1089" t="s">
        <v>1287</v>
      </c>
      <c r="I1089" t="s">
        <v>465</v>
      </c>
      <c r="J1089">
        <v>2</v>
      </c>
      <c r="K1089">
        <v>1440000</v>
      </c>
      <c r="L1089">
        <v>0</v>
      </c>
      <c r="M1089">
        <v>1092000</v>
      </c>
      <c r="N1089">
        <f>(data[[#This Row],[unit_price]]*data[[#This Row],[quantity]]) * (1-data[[#This Row],[discount]])</f>
        <v>2880000</v>
      </c>
      <c r="O1089">
        <f>data[[#This Row],[sales]]-data[[#This Row],[cost]]</f>
        <v>1788000</v>
      </c>
      <c r="P1089" t="str">
        <f>TEXT(data[[#This Row],[order_date]],"mmm")</f>
        <v>Nov</v>
      </c>
      <c r="Q1089">
        <f>YEAR(data[[#This Row],[order_date]])</f>
        <v>2023</v>
      </c>
      <c r="R1089">
        <f>MONTH(data[[#This Row],[order_date]])</f>
        <v>11</v>
      </c>
      <c r="S1089">
        <f>DAY(data[[#This Row],[order_date]])</f>
        <v>24</v>
      </c>
      <c r="T1089">
        <f>data[[#This Row],[profit]]/data[[#This Row],[sales]]</f>
        <v>0.62083333333333335</v>
      </c>
    </row>
    <row r="1090" spans="1:20" x14ac:dyDescent="0.35">
      <c r="A1090" t="s">
        <v>1304</v>
      </c>
      <c r="B1090" s="1">
        <v>45261</v>
      </c>
      <c r="C1090" t="s">
        <v>14</v>
      </c>
      <c r="D1090" t="s">
        <v>15</v>
      </c>
      <c r="E1090" t="s">
        <v>274</v>
      </c>
      <c r="F1090" t="s">
        <v>58</v>
      </c>
      <c r="G1090" t="s">
        <v>1286</v>
      </c>
      <c r="H1090" t="s">
        <v>1287</v>
      </c>
      <c r="I1090" t="s">
        <v>465</v>
      </c>
      <c r="J1090">
        <v>3</v>
      </c>
      <c r="K1090">
        <v>1217000</v>
      </c>
      <c r="L1090">
        <v>0</v>
      </c>
      <c r="M1090">
        <v>926000</v>
      </c>
      <c r="N1090">
        <f>(data[[#This Row],[unit_price]]*data[[#This Row],[quantity]]) * (1-data[[#This Row],[discount]])</f>
        <v>3651000</v>
      </c>
      <c r="O1090">
        <f>data[[#This Row],[sales]]-data[[#This Row],[cost]]</f>
        <v>2725000</v>
      </c>
      <c r="P1090" t="str">
        <f>TEXT(data[[#This Row],[order_date]],"mmm")</f>
        <v>Dec</v>
      </c>
      <c r="Q1090">
        <f>YEAR(data[[#This Row],[order_date]])</f>
        <v>2023</v>
      </c>
      <c r="R1090">
        <f>MONTH(data[[#This Row],[order_date]])</f>
        <v>12</v>
      </c>
      <c r="S1090">
        <f>DAY(data[[#This Row],[order_date]])</f>
        <v>1</v>
      </c>
      <c r="T1090">
        <f>data[[#This Row],[profit]]/data[[#This Row],[sales]]</f>
        <v>0.74637085729937003</v>
      </c>
    </row>
    <row r="1091" spans="1:20" x14ac:dyDescent="0.35">
      <c r="A1091" t="s">
        <v>1305</v>
      </c>
      <c r="B1091" s="1">
        <v>45267</v>
      </c>
      <c r="C1091" t="s">
        <v>25</v>
      </c>
      <c r="D1091" t="s">
        <v>26</v>
      </c>
      <c r="E1091" t="s">
        <v>216</v>
      </c>
      <c r="F1091" t="s">
        <v>17</v>
      </c>
      <c r="G1091" t="s">
        <v>1286</v>
      </c>
      <c r="H1091" t="s">
        <v>1287</v>
      </c>
      <c r="I1091" t="s">
        <v>465</v>
      </c>
      <c r="J1091">
        <v>2</v>
      </c>
      <c r="K1091">
        <v>980000</v>
      </c>
      <c r="L1091">
        <v>0</v>
      </c>
      <c r="M1091">
        <v>748000</v>
      </c>
      <c r="N1091">
        <f>(data[[#This Row],[unit_price]]*data[[#This Row],[quantity]]) * (1-data[[#This Row],[discount]])</f>
        <v>1960000</v>
      </c>
      <c r="O1091">
        <f>data[[#This Row],[sales]]-data[[#This Row],[cost]]</f>
        <v>1212000</v>
      </c>
      <c r="P1091" t="str">
        <f>TEXT(data[[#This Row],[order_date]],"mmm")</f>
        <v>Dec</v>
      </c>
      <c r="Q1091">
        <f>YEAR(data[[#This Row],[order_date]])</f>
        <v>2023</v>
      </c>
      <c r="R1091">
        <f>MONTH(data[[#This Row],[order_date]])</f>
        <v>12</v>
      </c>
      <c r="S1091">
        <f>DAY(data[[#This Row],[order_date]])</f>
        <v>7</v>
      </c>
      <c r="T1091">
        <f>data[[#This Row],[profit]]/data[[#This Row],[sales]]</f>
        <v>0.61836734693877549</v>
      </c>
    </row>
    <row r="1092" spans="1:20" x14ac:dyDescent="0.35">
      <c r="A1092" t="s">
        <v>1306</v>
      </c>
      <c r="B1092" s="1">
        <v>45279</v>
      </c>
      <c r="C1092" t="s">
        <v>14</v>
      </c>
      <c r="D1092" t="s">
        <v>15</v>
      </c>
      <c r="E1092" t="s">
        <v>489</v>
      </c>
      <c r="F1092" t="s">
        <v>17</v>
      </c>
      <c r="G1092" t="s">
        <v>1286</v>
      </c>
      <c r="H1092" t="s">
        <v>1287</v>
      </c>
      <c r="I1092" t="s">
        <v>465</v>
      </c>
      <c r="J1092">
        <v>1</v>
      </c>
      <c r="K1092">
        <v>1464000</v>
      </c>
      <c r="L1092">
        <v>0.05</v>
      </c>
      <c r="M1092">
        <v>1086000</v>
      </c>
      <c r="N1092">
        <f>(data[[#This Row],[unit_price]]*data[[#This Row],[quantity]]) * (1-data[[#This Row],[discount]])</f>
        <v>1390800</v>
      </c>
      <c r="O1092">
        <f>data[[#This Row],[sales]]-data[[#This Row],[cost]]</f>
        <v>304800</v>
      </c>
      <c r="P1092" t="str">
        <f>TEXT(data[[#This Row],[order_date]],"mmm")</f>
        <v>Dec</v>
      </c>
      <c r="Q1092">
        <f>YEAR(data[[#This Row],[order_date]])</f>
        <v>2023</v>
      </c>
      <c r="R1092">
        <f>MONTH(data[[#This Row],[order_date]])</f>
        <v>12</v>
      </c>
      <c r="S1092">
        <f>DAY(data[[#This Row],[order_date]])</f>
        <v>19</v>
      </c>
      <c r="T1092">
        <f>data[[#This Row],[profit]]/data[[#This Row],[sales]]</f>
        <v>0.2191544434857636</v>
      </c>
    </row>
    <row r="1093" spans="1:20" x14ac:dyDescent="0.35">
      <c r="A1093" t="s">
        <v>1307</v>
      </c>
      <c r="B1093" s="1">
        <v>45294</v>
      </c>
      <c r="C1093" t="s">
        <v>41</v>
      </c>
      <c r="D1093" t="s">
        <v>42</v>
      </c>
      <c r="E1093" t="s">
        <v>95</v>
      </c>
      <c r="F1093" t="s">
        <v>23</v>
      </c>
      <c r="G1093" t="s">
        <v>1286</v>
      </c>
      <c r="H1093" t="s">
        <v>1287</v>
      </c>
      <c r="I1093" t="s">
        <v>465</v>
      </c>
      <c r="J1093">
        <v>1</v>
      </c>
      <c r="K1093">
        <v>1447000</v>
      </c>
      <c r="L1093">
        <v>0.05</v>
      </c>
      <c r="M1093">
        <v>1074000</v>
      </c>
      <c r="N1093">
        <f>(data[[#This Row],[unit_price]]*data[[#This Row],[quantity]]) * (1-data[[#This Row],[discount]])</f>
        <v>1374650</v>
      </c>
      <c r="O1093">
        <f>data[[#This Row],[sales]]-data[[#This Row],[cost]]</f>
        <v>300650</v>
      </c>
      <c r="P1093" t="str">
        <f>TEXT(data[[#This Row],[order_date]],"mmm")</f>
        <v>Jan</v>
      </c>
      <c r="Q1093">
        <f>YEAR(data[[#This Row],[order_date]])</f>
        <v>2024</v>
      </c>
      <c r="R1093">
        <f>MONTH(data[[#This Row],[order_date]])</f>
        <v>1</v>
      </c>
      <c r="S1093">
        <f>DAY(data[[#This Row],[order_date]])</f>
        <v>3</v>
      </c>
      <c r="T1093">
        <f>data[[#This Row],[profit]]/data[[#This Row],[sales]]</f>
        <v>0.21871021714618266</v>
      </c>
    </row>
    <row r="1094" spans="1:20" x14ac:dyDescent="0.35">
      <c r="A1094" t="s">
        <v>1308</v>
      </c>
      <c r="B1094" s="1">
        <v>45341</v>
      </c>
      <c r="C1094" t="s">
        <v>41</v>
      </c>
      <c r="D1094" t="s">
        <v>42</v>
      </c>
      <c r="E1094" t="s">
        <v>55</v>
      </c>
      <c r="F1094" t="s">
        <v>17</v>
      </c>
      <c r="G1094" t="s">
        <v>1286</v>
      </c>
      <c r="H1094" t="s">
        <v>1287</v>
      </c>
      <c r="I1094" t="s">
        <v>465</v>
      </c>
      <c r="J1094">
        <v>1</v>
      </c>
      <c r="K1094">
        <v>877000</v>
      </c>
      <c r="L1094">
        <v>0</v>
      </c>
      <c r="M1094">
        <v>682000</v>
      </c>
      <c r="N1094">
        <f>(data[[#This Row],[unit_price]]*data[[#This Row],[quantity]]) * (1-data[[#This Row],[discount]])</f>
        <v>877000</v>
      </c>
      <c r="O1094">
        <f>data[[#This Row],[sales]]-data[[#This Row],[cost]]</f>
        <v>195000</v>
      </c>
      <c r="P1094" t="str">
        <f>TEXT(data[[#This Row],[order_date]],"mmm")</f>
        <v>Feb</v>
      </c>
      <c r="Q1094">
        <f>YEAR(data[[#This Row],[order_date]])</f>
        <v>2024</v>
      </c>
      <c r="R1094">
        <f>MONTH(data[[#This Row],[order_date]])</f>
        <v>2</v>
      </c>
      <c r="S1094">
        <f>DAY(data[[#This Row],[order_date]])</f>
        <v>19</v>
      </c>
      <c r="T1094">
        <f>data[[#This Row],[profit]]/data[[#This Row],[sales]]</f>
        <v>0.22234891676168758</v>
      </c>
    </row>
    <row r="1095" spans="1:20" x14ac:dyDescent="0.35">
      <c r="A1095" t="s">
        <v>1309</v>
      </c>
      <c r="B1095" s="1">
        <v>45342</v>
      </c>
      <c r="C1095" t="s">
        <v>25</v>
      </c>
      <c r="D1095" t="s">
        <v>26</v>
      </c>
      <c r="E1095" t="s">
        <v>152</v>
      </c>
      <c r="F1095" t="s">
        <v>23</v>
      </c>
      <c r="G1095" t="s">
        <v>1286</v>
      </c>
      <c r="H1095" t="s">
        <v>1287</v>
      </c>
      <c r="I1095" t="s">
        <v>465</v>
      </c>
      <c r="J1095">
        <v>3</v>
      </c>
      <c r="K1095">
        <v>857000</v>
      </c>
      <c r="L1095">
        <v>0.1</v>
      </c>
      <c r="M1095">
        <v>656000</v>
      </c>
      <c r="N1095">
        <f>(data[[#This Row],[unit_price]]*data[[#This Row],[quantity]]) * (1-data[[#This Row],[discount]])</f>
        <v>2313900</v>
      </c>
      <c r="O1095">
        <f>data[[#This Row],[sales]]-data[[#This Row],[cost]]</f>
        <v>1657900</v>
      </c>
      <c r="P1095" t="str">
        <f>TEXT(data[[#This Row],[order_date]],"mmm")</f>
        <v>Feb</v>
      </c>
      <c r="Q1095">
        <f>YEAR(data[[#This Row],[order_date]])</f>
        <v>2024</v>
      </c>
      <c r="R1095">
        <f>MONTH(data[[#This Row],[order_date]])</f>
        <v>2</v>
      </c>
      <c r="S1095">
        <f>DAY(data[[#This Row],[order_date]])</f>
        <v>20</v>
      </c>
      <c r="T1095">
        <f>data[[#This Row],[profit]]/data[[#This Row],[sales]]</f>
        <v>0.71649595920307707</v>
      </c>
    </row>
    <row r="1096" spans="1:20" x14ac:dyDescent="0.35">
      <c r="A1096" t="s">
        <v>1310</v>
      </c>
      <c r="B1096" s="1">
        <v>45366</v>
      </c>
      <c r="C1096" t="s">
        <v>49</v>
      </c>
      <c r="D1096" t="s">
        <v>50</v>
      </c>
      <c r="E1096" t="s">
        <v>228</v>
      </c>
      <c r="F1096" t="s">
        <v>17</v>
      </c>
      <c r="G1096" t="s">
        <v>1286</v>
      </c>
      <c r="H1096" t="s">
        <v>1287</v>
      </c>
      <c r="I1096" t="s">
        <v>465</v>
      </c>
      <c r="J1096">
        <v>3</v>
      </c>
      <c r="K1096">
        <v>1256000</v>
      </c>
      <c r="L1096">
        <v>0</v>
      </c>
      <c r="M1096">
        <v>954000</v>
      </c>
      <c r="N1096">
        <f>(data[[#This Row],[unit_price]]*data[[#This Row],[quantity]]) * (1-data[[#This Row],[discount]])</f>
        <v>3768000</v>
      </c>
      <c r="O1096">
        <f>data[[#This Row],[sales]]-data[[#This Row],[cost]]</f>
        <v>2814000</v>
      </c>
      <c r="P1096" t="str">
        <f>TEXT(data[[#This Row],[order_date]],"mmm")</f>
        <v>Mar</v>
      </c>
      <c r="Q1096">
        <f>YEAR(data[[#This Row],[order_date]])</f>
        <v>2024</v>
      </c>
      <c r="R1096">
        <f>MONTH(data[[#This Row],[order_date]])</f>
        <v>3</v>
      </c>
      <c r="S1096">
        <f>DAY(data[[#This Row],[order_date]])</f>
        <v>15</v>
      </c>
      <c r="T1096">
        <f>data[[#This Row],[profit]]/data[[#This Row],[sales]]</f>
        <v>0.74681528662420382</v>
      </c>
    </row>
    <row r="1097" spans="1:20" x14ac:dyDescent="0.35">
      <c r="A1097" t="s">
        <v>1311</v>
      </c>
      <c r="B1097" s="1">
        <v>45367</v>
      </c>
      <c r="C1097" t="s">
        <v>14</v>
      </c>
      <c r="D1097" t="s">
        <v>15</v>
      </c>
      <c r="E1097" t="s">
        <v>123</v>
      </c>
      <c r="F1097" t="s">
        <v>28</v>
      </c>
      <c r="G1097" t="s">
        <v>1286</v>
      </c>
      <c r="H1097" t="s">
        <v>1287</v>
      </c>
      <c r="I1097" t="s">
        <v>465</v>
      </c>
      <c r="J1097">
        <v>1</v>
      </c>
      <c r="K1097">
        <v>1485000</v>
      </c>
      <c r="L1097">
        <v>0</v>
      </c>
      <c r="M1097">
        <v>1144000</v>
      </c>
      <c r="N1097">
        <f>(data[[#This Row],[unit_price]]*data[[#This Row],[quantity]]) * (1-data[[#This Row],[discount]])</f>
        <v>1485000</v>
      </c>
      <c r="O1097">
        <f>data[[#This Row],[sales]]-data[[#This Row],[cost]]</f>
        <v>341000</v>
      </c>
      <c r="P1097" t="str">
        <f>TEXT(data[[#This Row],[order_date]],"mmm")</f>
        <v>Mar</v>
      </c>
      <c r="Q1097">
        <f>YEAR(data[[#This Row],[order_date]])</f>
        <v>2024</v>
      </c>
      <c r="R1097">
        <f>MONTH(data[[#This Row],[order_date]])</f>
        <v>3</v>
      </c>
      <c r="S1097">
        <f>DAY(data[[#This Row],[order_date]])</f>
        <v>16</v>
      </c>
      <c r="T1097">
        <f>data[[#This Row],[profit]]/data[[#This Row],[sales]]</f>
        <v>0.22962962962962963</v>
      </c>
    </row>
    <row r="1098" spans="1:20" x14ac:dyDescent="0.35">
      <c r="A1098" t="s">
        <v>1312</v>
      </c>
      <c r="B1098" s="1">
        <v>45379</v>
      </c>
      <c r="C1098" t="s">
        <v>14</v>
      </c>
      <c r="D1098" t="s">
        <v>15</v>
      </c>
      <c r="E1098" t="s">
        <v>216</v>
      </c>
      <c r="F1098" t="s">
        <v>17</v>
      </c>
      <c r="G1098" t="s">
        <v>1286</v>
      </c>
      <c r="H1098" t="s">
        <v>1287</v>
      </c>
      <c r="I1098" t="s">
        <v>465</v>
      </c>
      <c r="J1098">
        <v>1</v>
      </c>
      <c r="K1098">
        <v>911000</v>
      </c>
      <c r="L1098">
        <v>0.15</v>
      </c>
      <c r="M1098">
        <v>688000</v>
      </c>
      <c r="N1098">
        <f>(data[[#This Row],[unit_price]]*data[[#This Row],[quantity]]) * (1-data[[#This Row],[discount]])</f>
        <v>774350</v>
      </c>
      <c r="O1098">
        <f>data[[#This Row],[sales]]-data[[#This Row],[cost]]</f>
        <v>86350</v>
      </c>
      <c r="P1098" t="str">
        <f>TEXT(data[[#This Row],[order_date]],"mmm")</f>
        <v>Mar</v>
      </c>
      <c r="Q1098">
        <f>YEAR(data[[#This Row],[order_date]])</f>
        <v>2024</v>
      </c>
      <c r="R1098">
        <f>MONTH(data[[#This Row],[order_date]])</f>
        <v>3</v>
      </c>
      <c r="S1098">
        <f>DAY(data[[#This Row],[order_date]])</f>
        <v>28</v>
      </c>
      <c r="T1098">
        <f>data[[#This Row],[profit]]/data[[#This Row],[sales]]</f>
        <v>0.11151288177180861</v>
      </c>
    </row>
    <row r="1099" spans="1:20" x14ac:dyDescent="0.35">
      <c r="A1099" t="s">
        <v>1313</v>
      </c>
      <c r="B1099" s="1">
        <v>45379</v>
      </c>
      <c r="C1099" t="s">
        <v>49</v>
      </c>
      <c r="D1099" t="s">
        <v>50</v>
      </c>
      <c r="E1099" t="s">
        <v>236</v>
      </c>
      <c r="F1099" t="s">
        <v>28</v>
      </c>
      <c r="G1099" t="s">
        <v>1286</v>
      </c>
      <c r="H1099" t="s">
        <v>1287</v>
      </c>
      <c r="I1099" t="s">
        <v>465</v>
      </c>
      <c r="J1099">
        <v>1</v>
      </c>
      <c r="K1099">
        <v>1223000</v>
      </c>
      <c r="L1099">
        <v>0.1</v>
      </c>
      <c r="M1099">
        <v>935000</v>
      </c>
      <c r="N1099">
        <f>(data[[#This Row],[unit_price]]*data[[#This Row],[quantity]]) * (1-data[[#This Row],[discount]])</f>
        <v>1100700</v>
      </c>
      <c r="O1099">
        <f>data[[#This Row],[sales]]-data[[#This Row],[cost]]</f>
        <v>165700</v>
      </c>
      <c r="P1099" t="str">
        <f>TEXT(data[[#This Row],[order_date]],"mmm")</f>
        <v>Mar</v>
      </c>
      <c r="Q1099">
        <f>YEAR(data[[#This Row],[order_date]])</f>
        <v>2024</v>
      </c>
      <c r="R1099">
        <f>MONTH(data[[#This Row],[order_date]])</f>
        <v>3</v>
      </c>
      <c r="S1099">
        <f>DAY(data[[#This Row],[order_date]])</f>
        <v>28</v>
      </c>
      <c r="T1099">
        <f>data[[#This Row],[profit]]/data[[#This Row],[sales]]</f>
        <v>0.15054056509493957</v>
      </c>
    </row>
    <row r="1100" spans="1:20" x14ac:dyDescent="0.35">
      <c r="A1100" t="s">
        <v>1314</v>
      </c>
      <c r="B1100" s="1">
        <v>45390</v>
      </c>
      <c r="C1100" t="s">
        <v>25</v>
      </c>
      <c r="D1100" t="s">
        <v>26</v>
      </c>
      <c r="E1100" t="s">
        <v>43</v>
      </c>
      <c r="F1100" t="s">
        <v>17</v>
      </c>
      <c r="G1100" t="s">
        <v>1286</v>
      </c>
      <c r="H1100" t="s">
        <v>1287</v>
      </c>
      <c r="I1100" t="s">
        <v>465</v>
      </c>
      <c r="J1100">
        <v>1</v>
      </c>
      <c r="K1100">
        <v>844000</v>
      </c>
      <c r="L1100">
        <v>0</v>
      </c>
      <c r="M1100">
        <v>631000</v>
      </c>
      <c r="N1100">
        <f>(data[[#This Row],[unit_price]]*data[[#This Row],[quantity]]) * (1-data[[#This Row],[discount]])</f>
        <v>844000</v>
      </c>
      <c r="O1100">
        <f>data[[#This Row],[sales]]-data[[#This Row],[cost]]</f>
        <v>213000</v>
      </c>
      <c r="P1100" t="str">
        <f>TEXT(data[[#This Row],[order_date]],"mmm")</f>
        <v>Apr</v>
      </c>
      <c r="Q1100">
        <f>YEAR(data[[#This Row],[order_date]])</f>
        <v>2024</v>
      </c>
      <c r="R1100">
        <f>MONTH(data[[#This Row],[order_date]])</f>
        <v>4</v>
      </c>
      <c r="S1100">
        <f>DAY(data[[#This Row],[order_date]])</f>
        <v>8</v>
      </c>
      <c r="T1100">
        <f>data[[#This Row],[profit]]/data[[#This Row],[sales]]</f>
        <v>0.25236966824644552</v>
      </c>
    </row>
    <row r="1101" spans="1:20" x14ac:dyDescent="0.35">
      <c r="A1101" t="s">
        <v>1315</v>
      </c>
      <c r="B1101" s="1">
        <v>45390</v>
      </c>
      <c r="C1101" t="s">
        <v>14</v>
      </c>
      <c r="D1101" t="s">
        <v>15</v>
      </c>
      <c r="E1101" t="s">
        <v>402</v>
      </c>
      <c r="F1101" t="s">
        <v>23</v>
      </c>
      <c r="G1101" t="s">
        <v>1286</v>
      </c>
      <c r="H1101" t="s">
        <v>1287</v>
      </c>
      <c r="I1101" t="s">
        <v>465</v>
      </c>
      <c r="J1101">
        <v>1</v>
      </c>
      <c r="K1101">
        <v>997000</v>
      </c>
      <c r="L1101">
        <v>0</v>
      </c>
      <c r="M1101">
        <v>777000</v>
      </c>
      <c r="N1101">
        <f>(data[[#This Row],[unit_price]]*data[[#This Row],[quantity]]) * (1-data[[#This Row],[discount]])</f>
        <v>997000</v>
      </c>
      <c r="O1101">
        <f>data[[#This Row],[sales]]-data[[#This Row],[cost]]</f>
        <v>220000</v>
      </c>
      <c r="P1101" t="str">
        <f>TEXT(data[[#This Row],[order_date]],"mmm")</f>
        <v>Apr</v>
      </c>
      <c r="Q1101">
        <f>YEAR(data[[#This Row],[order_date]])</f>
        <v>2024</v>
      </c>
      <c r="R1101">
        <f>MONTH(data[[#This Row],[order_date]])</f>
        <v>4</v>
      </c>
      <c r="S1101">
        <f>DAY(data[[#This Row],[order_date]])</f>
        <v>8</v>
      </c>
      <c r="T1101">
        <f>data[[#This Row],[profit]]/data[[#This Row],[sales]]</f>
        <v>0.22066198595787362</v>
      </c>
    </row>
    <row r="1102" spans="1:20" x14ac:dyDescent="0.35">
      <c r="A1102" t="s">
        <v>1316</v>
      </c>
      <c r="B1102" s="1">
        <v>45402</v>
      </c>
      <c r="C1102" t="s">
        <v>49</v>
      </c>
      <c r="D1102" t="s">
        <v>50</v>
      </c>
      <c r="E1102" t="s">
        <v>333</v>
      </c>
      <c r="F1102" t="s">
        <v>17</v>
      </c>
      <c r="G1102" t="s">
        <v>1286</v>
      </c>
      <c r="H1102" t="s">
        <v>1287</v>
      </c>
      <c r="I1102" t="s">
        <v>465</v>
      </c>
      <c r="J1102">
        <v>2</v>
      </c>
      <c r="K1102">
        <v>870000</v>
      </c>
      <c r="L1102">
        <v>0</v>
      </c>
      <c r="M1102">
        <v>665000</v>
      </c>
      <c r="N1102">
        <f>(data[[#This Row],[unit_price]]*data[[#This Row],[quantity]]) * (1-data[[#This Row],[discount]])</f>
        <v>1740000</v>
      </c>
      <c r="O1102">
        <f>data[[#This Row],[sales]]-data[[#This Row],[cost]]</f>
        <v>1075000</v>
      </c>
      <c r="P1102" t="str">
        <f>TEXT(data[[#This Row],[order_date]],"mmm")</f>
        <v>Apr</v>
      </c>
      <c r="Q1102">
        <f>YEAR(data[[#This Row],[order_date]])</f>
        <v>2024</v>
      </c>
      <c r="R1102">
        <f>MONTH(data[[#This Row],[order_date]])</f>
        <v>4</v>
      </c>
      <c r="S1102">
        <f>DAY(data[[#This Row],[order_date]])</f>
        <v>20</v>
      </c>
      <c r="T1102">
        <f>data[[#This Row],[profit]]/data[[#This Row],[sales]]</f>
        <v>0.61781609195402298</v>
      </c>
    </row>
    <row r="1103" spans="1:20" x14ac:dyDescent="0.35">
      <c r="A1103" t="s">
        <v>1317</v>
      </c>
      <c r="B1103" s="1">
        <v>45410</v>
      </c>
      <c r="C1103" t="s">
        <v>14</v>
      </c>
      <c r="D1103" t="s">
        <v>15</v>
      </c>
      <c r="E1103" t="s">
        <v>327</v>
      </c>
      <c r="F1103" t="s">
        <v>23</v>
      </c>
      <c r="G1103" t="s">
        <v>1286</v>
      </c>
      <c r="H1103" t="s">
        <v>1287</v>
      </c>
      <c r="I1103" t="s">
        <v>465</v>
      </c>
      <c r="J1103">
        <v>1</v>
      </c>
      <c r="K1103">
        <v>1384000</v>
      </c>
      <c r="L1103">
        <v>0</v>
      </c>
      <c r="M1103">
        <v>1044000</v>
      </c>
      <c r="N1103">
        <f>(data[[#This Row],[unit_price]]*data[[#This Row],[quantity]]) * (1-data[[#This Row],[discount]])</f>
        <v>1384000</v>
      </c>
      <c r="O1103">
        <f>data[[#This Row],[sales]]-data[[#This Row],[cost]]</f>
        <v>340000</v>
      </c>
      <c r="P1103" t="str">
        <f>TEXT(data[[#This Row],[order_date]],"mmm")</f>
        <v>Apr</v>
      </c>
      <c r="Q1103">
        <f>YEAR(data[[#This Row],[order_date]])</f>
        <v>2024</v>
      </c>
      <c r="R1103">
        <f>MONTH(data[[#This Row],[order_date]])</f>
        <v>4</v>
      </c>
      <c r="S1103">
        <f>DAY(data[[#This Row],[order_date]])</f>
        <v>28</v>
      </c>
      <c r="T1103">
        <f>data[[#This Row],[profit]]/data[[#This Row],[sales]]</f>
        <v>0.24566473988439305</v>
      </c>
    </row>
    <row r="1104" spans="1:20" x14ac:dyDescent="0.35">
      <c r="A1104" t="s">
        <v>1318</v>
      </c>
      <c r="B1104" s="1">
        <v>45457</v>
      </c>
      <c r="C1104" t="s">
        <v>14</v>
      </c>
      <c r="D1104" t="s">
        <v>15</v>
      </c>
      <c r="E1104" t="s">
        <v>236</v>
      </c>
      <c r="F1104" t="s">
        <v>28</v>
      </c>
      <c r="G1104" t="s">
        <v>1286</v>
      </c>
      <c r="H1104" t="s">
        <v>1287</v>
      </c>
      <c r="I1104" t="s">
        <v>465</v>
      </c>
      <c r="J1104">
        <v>1</v>
      </c>
      <c r="K1104">
        <v>1540000</v>
      </c>
      <c r="L1104">
        <v>0</v>
      </c>
      <c r="M1104">
        <v>1164000</v>
      </c>
      <c r="N1104">
        <f>(data[[#This Row],[unit_price]]*data[[#This Row],[quantity]]) * (1-data[[#This Row],[discount]])</f>
        <v>1540000</v>
      </c>
      <c r="O1104">
        <f>data[[#This Row],[sales]]-data[[#This Row],[cost]]</f>
        <v>376000</v>
      </c>
      <c r="P1104" t="str">
        <f>TEXT(data[[#This Row],[order_date]],"mmm")</f>
        <v>Jun</v>
      </c>
      <c r="Q1104">
        <f>YEAR(data[[#This Row],[order_date]])</f>
        <v>2024</v>
      </c>
      <c r="R1104">
        <f>MONTH(data[[#This Row],[order_date]])</f>
        <v>6</v>
      </c>
      <c r="S1104">
        <f>DAY(data[[#This Row],[order_date]])</f>
        <v>14</v>
      </c>
      <c r="T1104">
        <f>data[[#This Row],[profit]]/data[[#This Row],[sales]]</f>
        <v>0.24415584415584415</v>
      </c>
    </row>
    <row r="1105" spans="1:20" x14ac:dyDescent="0.35">
      <c r="A1105" t="s">
        <v>1319</v>
      </c>
      <c r="B1105" s="1">
        <v>45467</v>
      </c>
      <c r="C1105" t="s">
        <v>14</v>
      </c>
      <c r="D1105" t="s">
        <v>15</v>
      </c>
      <c r="E1105" t="s">
        <v>613</v>
      </c>
      <c r="F1105" t="s">
        <v>28</v>
      </c>
      <c r="G1105" t="s">
        <v>1286</v>
      </c>
      <c r="H1105" t="s">
        <v>1287</v>
      </c>
      <c r="I1105" t="s">
        <v>465</v>
      </c>
      <c r="J1105">
        <v>1</v>
      </c>
      <c r="K1105">
        <v>1125000</v>
      </c>
      <c r="L1105">
        <v>0</v>
      </c>
      <c r="M1105">
        <v>874000</v>
      </c>
      <c r="N1105">
        <f>(data[[#This Row],[unit_price]]*data[[#This Row],[quantity]]) * (1-data[[#This Row],[discount]])</f>
        <v>1125000</v>
      </c>
      <c r="O1105">
        <f>data[[#This Row],[sales]]-data[[#This Row],[cost]]</f>
        <v>251000</v>
      </c>
      <c r="P1105" t="str">
        <f>TEXT(data[[#This Row],[order_date]],"mmm")</f>
        <v>Jun</v>
      </c>
      <c r="Q1105">
        <f>YEAR(data[[#This Row],[order_date]])</f>
        <v>2024</v>
      </c>
      <c r="R1105">
        <f>MONTH(data[[#This Row],[order_date]])</f>
        <v>6</v>
      </c>
      <c r="S1105">
        <f>DAY(data[[#This Row],[order_date]])</f>
        <v>24</v>
      </c>
      <c r="T1105">
        <f>data[[#This Row],[profit]]/data[[#This Row],[sales]]</f>
        <v>0.22311111111111112</v>
      </c>
    </row>
    <row r="1106" spans="1:20" x14ac:dyDescent="0.35">
      <c r="A1106" t="s">
        <v>1320</v>
      </c>
      <c r="B1106" s="1">
        <v>45477</v>
      </c>
      <c r="C1106" t="s">
        <v>14</v>
      </c>
      <c r="D1106" t="s">
        <v>15</v>
      </c>
      <c r="E1106" t="s">
        <v>270</v>
      </c>
      <c r="F1106" t="s">
        <v>23</v>
      </c>
      <c r="G1106" t="s">
        <v>1286</v>
      </c>
      <c r="H1106" t="s">
        <v>1287</v>
      </c>
      <c r="I1106" t="s">
        <v>465</v>
      </c>
      <c r="J1106">
        <v>1</v>
      </c>
      <c r="K1106">
        <v>1135000</v>
      </c>
      <c r="L1106">
        <v>0</v>
      </c>
      <c r="M1106">
        <v>879000</v>
      </c>
      <c r="N1106">
        <f>(data[[#This Row],[unit_price]]*data[[#This Row],[quantity]]) * (1-data[[#This Row],[discount]])</f>
        <v>1135000</v>
      </c>
      <c r="O1106">
        <f>data[[#This Row],[sales]]-data[[#This Row],[cost]]</f>
        <v>256000</v>
      </c>
      <c r="P1106" t="str">
        <f>TEXT(data[[#This Row],[order_date]],"mmm")</f>
        <v>Jul</v>
      </c>
      <c r="Q1106">
        <f>YEAR(data[[#This Row],[order_date]])</f>
        <v>2024</v>
      </c>
      <c r="R1106">
        <f>MONTH(data[[#This Row],[order_date]])</f>
        <v>7</v>
      </c>
      <c r="S1106">
        <f>DAY(data[[#This Row],[order_date]])</f>
        <v>4</v>
      </c>
      <c r="T1106">
        <f>data[[#This Row],[profit]]/data[[#This Row],[sales]]</f>
        <v>0.22555066079295155</v>
      </c>
    </row>
    <row r="1107" spans="1:20" x14ac:dyDescent="0.35">
      <c r="A1107" t="s">
        <v>1321</v>
      </c>
      <c r="B1107" s="1">
        <v>45506</v>
      </c>
      <c r="C1107" t="s">
        <v>14</v>
      </c>
      <c r="D1107" t="s">
        <v>15</v>
      </c>
      <c r="E1107" t="s">
        <v>569</v>
      </c>
      <c r="F1107" t="s">
        <v>23</v>
      </c>
      <c r="G1107" t="s">
        <v>1286</v>
      </c>
      <c r="H1107" t="s">
        <v>1287</v>
      </c>
      <c r="I1107" t="s">
        <v>465</v>
      </c>
      <c r="J1107">
        <v>1</v>
      </c>
      <c r="K1107">
        <v>1221000</v>
      </c>
      <c r="L1107">
        <v>0</v>
      </c>
      <c r="M1107">
        <v>952000</v>
      </c>
      <c r="N1107">
        <f>(data[[#This Row],[unit_price]]*data[[#This Row],[quantity]]) * (1-data[[#This Row],[discount]])</f>
        <v>1221000</v>
      </c>
      <c r="O1107">
        <f>data[[#This Row],[sales]]-data[[#This Row],[cost]]</f>
        <v>269000</v>
      </c>
      <c r="P1107" t="str">
        <f>TEXT(data[[#This Row],[order_date]],"mmm")</f>
        <v>Aug</v>
      </c>
      <c r="Q1107">
        <f>YEAR(data[[#This Row],[order_date]])</f>
        <v>2024</v>
      </c>
      <c r="R1107">
        <f>MONTH(data[[#This Row],[order_date]])</f>
        <v>8</v>
      </c>
      <c r="S1107">
        <f>DAY(data[[#This Row],[order_date]])</f>
        <v>2</v>
      </c>
      <c r="T1107">
        <f>data[[#This Row],[profit]]/data[[#This Row],[sales]]</f>
        <v>0.2203112203112203</v>
      </c>
    </row>
    <row r="1108" spans="1:20" x14ac:dyDescent="0.35">
      <c r="A1108" t="s">
        <v>1322</v>
      </c>
      <c r="B1108" s="1">
        <v>45548</v>
      </c>
      <c r="C1108" t="s">
        <v>14</v>
      </c>
      <c r="D1108" t="s">
        <v>15</v>
      </c>
      <c r="E1108" t="s">
        <v>301</v>
      </c>
      <c r="F1108" t="s">
        <v>28</v>
      </c>
      <c r="G1108" t="s">
        <v>1286</v>
      </c>
      <c r="H1108" t="s">
        <v>1287</v>
      </c>
      <c r="I1108" t="s">
        <v>465</v>
      </c>
      <c r="J1108">
        <v>1</v>
      </c>
      <c r="K1108">
        <v>1191000</v>
      </c>
      <c r="L1108">
        <v>0</v>
      </c>
      <c r="M1108">
        <v>917000</v>
      </c>
      <c r="N1108">
        <f>(data[[#This Row],[unit_price]]*data[[#This Row],[quantity]]) * (1-data[[#This Row],[discount]])</f>
        <v>1191000</v>
      </c>
      <c r="O1108">
        <f>data[[#This Row],[sales]]-data[[#This Row],[cost]]</f>
        <v>274000</v>
      </c>
      <c r="P1108" t="str">
        <f>TEXT(data[[#This Row],[order_date]],"mmm")</f>
        <v>Sep</v>
      </c>
      <c r="Q1108">
        <f>YEAR(data[[#This Row],[order_date]])</f>
        <v>2024</v>
      </c>
      <c r="R1108">
        <f>MONTH(data[[#This Row],[order_date]])</f>
        <v>9</v>
      </c>
      <c r="S1108">
        <f>DAY(data[[#This Row],[order_date]])</f>
        <v>13</v>
      </c>
      <c r="T1108">
        <f>data[[#This Row],[profit]]/data[[#This Row],[sales]]</f>
        <v>0.23005877413937867</v>
      </c>
    </row>
    <row r="1109" spans="1:20" x14ac:dyDescent="0.35">
      <c r="A1109" t="s">
        <v>1323</v>
      </c>
      <c r="B1109" s="1">
        <v>45609</v>
      </c>
      <c r="C1109" t="s">
        <v>14</v>
      </c>
      <c r="D1109" t="s">
        <v>15</v>
      </c>
      <c r="E1109" t="s">
        <v>136</v>
      </c>
      <c r="F1109" t="s">
        <v>23</v>
      </c>
      <c r="G1109" t="s">
        <v>1286</v>
      </c>
      <c r="H1109" t="s">
        <v>1287</v>
      </c>
      <c r="I1109" t="s">
        <v>465</v>
      </c>
      <c r="J1109">
        <v>1</v>
      </c>
      <c r="K1109">
        <v>1398000</v>
      </c>
      <c r="L1109">
        <v>0</v>
      </c>
      <c r="M1109">
        <v>1053000</v>
      </c>
      <c r="N1109">
        <f>(data[[#This Row],[unit_price]]*data[[#This Row],[quantity]]) * (1-data[[#This Row],[discount]])</f>
        <v>1398000</v>
      </c>
      <c r="O1109">
        <f>data[[#This Row],[sales]]-data[[#This Row],[cost]]</f>
        <v>345000</v>
      </c>
      <c r="P1109" t="str">
        <f>TEXT(data[[#This Row],[order_date]],"mmm")</f>
        <v>Nov</v>
      </c>
      <c r="Q1109">
        <f>YEAR(data[[#This Row],[order_date]])</f>
        <v>2024</v>
      </c>
      <c r="R1109">
        <f>MONTH(data[[#This Row],[order_date]])</f>
        <v>11</v>
      </c>
      <c r="S1109">
        <f>DAY(data[[#This Row],[order_date]])</f>
        <v>13</v>
      </c>
      <c r="T1109">
        <f>data[[#This Row],[profit]]/data[[#This Row],[sales]]</f>
        <v>0.24678111587982832</v>
      </c>
    </row>
    <row r="1110" spans="1:20" x14ac:dyDescent="0.35">
      <c r="A1110" t="s">
        <v>1324</v>
      </c>
      <c r="B1110" s="1">
        <v>45617</v>
      </c>
      <c r="C1110" t="s">
        <v>14</v>
      </c>
      <c r="D1110" t="s">
        <v>15</v>
      </c>
      <c r="E1110" t="s">
        <v>91</v>
      </c>
      <c r="F1110" t="s">
        <v>23</v>
      </c>
      <c r="G1110" t="s">
        <v>1286</v>
      </c>
      <c r="H1110" t="s">
        <v>1287</v>
      </c>
      <c r="I1110" t="s">
        <v>465</v>
      </c>
      <c r="J1110">
        <v>5</v>
      </c>
      <c r="K1110">
        <v>986000</v>
      </c>
      <c r="L1110">
        <v>0</v>
      </c>
      <c r="M1110">
        <v>764000</v>
      </c>
      <c r="N1110">
        <f>(data[[#This Row],[unit_price]]*data[[#This Row],[quantity]]) * (1-data[[#This Row],[discount]])</f>
        <v>4930000</v>
      </c>
      <c r="O1110">
        <f>data[[#This Row],[sales]]-data[[#This Row],[cost]]</f>
        <v>4166000</v>
      </c>
      <c r="P1110" t="str">
        <f>TEXT(data[[#This Row],[order_date]],"mmm")</f>
        <v>Nov</v>
      </c>
      <c r="Q1110">
        <f>YEAR(data[[#This Row],[order_date]])</f>
        <v>2024</v>
      </c>
      <c r="R1110">
        <f>MONTH(data[[#This Row],[order_date]])</f>
        <v>11</v>
      </c>
      <c r="S1110">
        <f>DAY(data[[#This Row],[order_date]])</f>
        <v>21</v>
      </c>
      <c r="T1110">
        <f>data[[#This Row],[profit]]/data[[#This Row],[sales]]</f>
        <v>0.84503042596348887</v>
      </c>
    </row>
    <row r="1111" spans="1:20" x14ac:dyDescent="0.35">
      <c r="A1111" t="s">
        <v>1325</v>
      </c>
      <c r="B1111" s="1">
        <v>45620</v>
      </c>
      <c r="C1111" t="s">
        <v>36</v>
      </c>
      <c r="D1111" t="s">
        <v>37</v>
      </c>
      <c r="E1111" t="s">
        <v>79</v>
      </c>
      <c r="F1111" t="s">
        <v>17</v>
      </c>
      <c r="G1111" t="s">
        <v>1286</v>
      </c>
      <c r="H1111" t="s">
        <v>1287</v>
      </c>
      <c r="I1111" t="s">
        <v>465</v>
      </c>
      <c r="J1111">
        <v>1</v>
      </c>
      <c r="K1111">
        <v>1040000</v>
      </c>
      <c r="L1111">
        <v>0</v>
      </c>
      <c r="M1111">
        <v>802000</v>
      </c>
      <c r="N1111">
        <f>(data[[#This Row],[unit_price]]*data[[#This Row],[quantity]]) * (1-data[[#This Row],[discount]])</f>
        <v>1040000</v>
      </c>
      <c r="O1111">
        <f>data[[#This Row],[sales]]-data[[#This Row],[cost]]</f>
        <v>238000</v>
      </c>
      <c r="P1111" t="str">
        <f>TEXT(data[[#This Row],[order_date]],"mmm")</f>
        <v>Nov</v>
      </c>
      <c r="Q1111">
        <f>YEAR(data[[#This Row],[order_date]])</f>
        <v>2024</v>
      </c>
      <c r="R1111">
        <f>MONTH(data[[#This Row],[order_date]])</f>
        <v>11</v>
      </c>
      <c r="S1111">
        <f>DAY(data[[#This Row],[order_date]])</f>
        <v>24</v>
      </c>
      <c r="T1111">
        <f>data[[#This Row],[profit]]/data[[#This Row],[sales]]</f>
        <v>0.22884615384615384</v>
      </c>
    </row>
    <row r="1112" spans="1:20" x14ac:dyDescent="0.35">
      <c r="A1112" t="s">
        <v>1326</v>
      </c>
      <c r="B1112" s="1">
        <v>45646</v>
      </c>
      <c r="C1112" t="s">
        <v>49</v>
      </c>
      <c r="D1112" t="s">
        <v>50</v>
      </c>
      <c r="E1112" t="s">
        <v>179</v>
      </c>
      <c r="F1112" t="s">
        <v>23</v>
      </c>
      <c r="G1112" t="s">
        <v>1286</v>
      </c>
      <c r="H1112" t="s">
        <v>1287</v>
      </c>
      <c r="I1112" t="s">
        <v>465</v>
      </c>
      <c r="J1112">
        <v>2</v>
      </c>
      <c r="K1112">
        <v>1111000</v>
      </c>
      <c r="L1112">
        <v>0</v>
      </c>
      <c r="M1112">
        <v>837000</v>
      </c>
      <c r="N1112">
        <f>(data[[#This Row],[unit_price]]*data[[#This Row],[quantity]]) * (1-data[[#This Row],[discount]])</f>
        <v>2222000</v>
      </c>
      <c r="O1112">
        <f>data[[#This Row],[sales]]-data[[#This Row],[cost]]</f>
        <v>1385000</v>
      </c>
      <c r="P1112" t="str">
        <f>TEXT(data[[#This Row],[order_date]],"mmm")</f>
        <v>Dec</v>
      </c>
      <c r="Q1112">
        <f>YEAR(data[[#This Row],[order_date]])</f>
        <v>2024</v>
      </c>
      <c r="R1112">
        <f>MONTH(data[[#This Row],[order_date]])</f>
        <v>12</v>
      </c>
      <c r="S1112">
        <f>DAY(data[[#This Row],[order_date]])</f>
        <v>20</v>
      </c>
      <c r="T1112">
        <f>data[[#This Row],[profit]]/data[[#This Row],[sales]]</f>
        <v>0.62331233123312335</v>
      </c>
    </row>
    <row r="1113" spans="1:20" x14ac:dyDescent="0.35">
      <c r="A1113" t="s">
        <v>1327</v>
      </c>
      <c r="B1113" s="1">
        <v>45649</v>
      </c>
      <c r="C1113" t="s">
        <v>36</v>
      </c>
      <c r="D1113" t="s">
        <v>37</v>
      </c>
      <c r="E1113" t="s">
        <v>136</v>
      </c>
      <c r="F1113" t="s">
        <v>23</v>
      </c>
      <c r="G1113" t="s">
        <v>1286</v>
      </c>
      <c r="H1113" t="s">
        <v>1287</v>
      </c>
      <c r="I1113" t="s">
        <v>465</v>
      </c>
      <c r="J1113">
        <v>1</v>
      </c>
      <c r="K1113">
        <v>871000</v>
      </c>
      <c r="L1113">
        <v>0.1</v>
      </c>
      <c r="M1113">
        <v>677000</v>
      </c>
      <c r="N1113">
        <f>(data[[#This Row],[unit_price]]*data[[#This Row],[quantity]]) * (1-data[[#This Row],[discount]])</f>
        <v>783900</v>
      </c>
      <c r="O1113">
        <f>data[[#This Row],[sales]]-data[[#This Row],[cost]]</f>
        <v>106900</v>
      </c>
      <c r="P1113" t="str">
        <f>TEXT(data[[#This Row],[order_date]],"mmm")</f>
        <v>Dec</v>
      </c>
      <c r="Q1113">
        <f>YEAR(data[[#This Row],[order_date]])</f>
        <v>2024</v>
      </c>
      <c r="R1113">
        <f>MONTH(data[[#This Row],[order_date]])</f>
        <v>12</v>
      </c>
      <c r="S1113">
        <f>DAY(data[[#This Row],[order_date]])</f>
        <v>23</v>
      </c>
      <c r="T1113">
        <f>data[[#This Row],[profit]]/data[[#This Row],[sales]]</f>
        <v>0.13636943487689757</v>
      </c>
    </row>
    <row r="1114" spans="1:20" x14ac:dyDescent="0.35">
      <c r="A1114" t="s">
        <v>1328</v>
      </c>
      <c r="B1114" s="1">
        <v>45653</v>
      </c>
      <c r="C1114" t="s">
        <v>41</v>
      </c>
      <c r="D1114" t="s">
        <v>42</v>
      </c>
      <c r="E1114" t="s">
        <v>83</v>
      </c>
      <c r="F1114" t="s">
        <v>23</v>
      </c>
      <c r="G1114" t="s">
        <v>1286</v>
      </c>
      <c r="H1114" t="s">
        <v>1287</v>
      </c>
      <c r="I1114" t="s">
        <v>465</v>
      </c>
      <c r="J1114">
        <v>3</v>
      </c>
      <c r="K1114">
        <v>1351000</v>
      </c>
      <c r="L1114">
        <v>0</v>
      </c>
      <c r="M1114">
        <v>1036000</v>
      </c>
      <c r="N1114">
        <f>(data[[#This Row],[unit_price]]*data[[#This Row],[quantity]]) * (1-data[[#This Row],[discount]])</f>
        <v>4053000</v>
      </c>
      <c r="O1114">
        <f>data[[#This Row],[sales]]-data[[#This Row],[cost]]</f>
        <v>3017000</v>
      </c>
      <c r="P1114" t="str">
        <f>TEXT(data[[#This Row],[order_date]],"mmm")</f>
        <v>Dec</v>
      </c>
      <c r="Q1114">
        <f>YEAR(data[[#This Row],[order_date]])</f>
        <v>2024</v>
      </c>
      <c r="R1114">
        <f>MONTH(data[[#This Row],[order_date]])</f>
        <v>12</v>
      </c>
      <c r="S1114">
        <f>DAY(data[[#This Row],[order_date]])</f>
        <v>27</v>
      </c>
      <c r="T1114">
        <f>data[[#This Row],[profit]]/data[[#This Row],[sales]]</f>
        <v>0.74438687392055269</v>
      </c>
    </row>
    <row r="1115" spans="1:20" x14ac:dyDescent="0.35">
      <c r="A1115" t="s">
        <v>1329</v>
      </c>
      <c r="B1115" s="1">
        <v>45659</v>
      </c>
      <c r="C1115" t="s">
        <v>41</v>
      </c>
      <c r="D1115" t="s">
        <v>42</v>
      </c>
      <c r="E1115" t="s">
        <v>522</v>
      </c>
      <c r="F1115" t="s">
        <v>23</v>
      </c>
      <c r="G1115" t="s">
        <v>1286</v>
      </c>
      <c r="H1115" t="s">
        <v>1287</v>
      </c>
      <c r="I1115" t="s">
        <v>465</v>
      </c>
      <c r="J1115">
        <v>1</v>
      </c>
      <c r="K1115">
        <v>1334000</v>
      </c>
      <c r="L1115">
        <v>0</v>
      </c>
      <c r="M1115">
        <v>1017000</v>
      </c>
      <c r="N1115">
        <f>(data[[#This Row],[unit_price]]*data[[#This Row],[quantity]]) * (1-data[[#This Row],[discount]])</f>
        <v>1334000</v>
      </c>
      <c r="O1115">
        <f>data[[#This Row],[sales]]-data[[#This Row],[cost]]</f>
        <v>317000</v>
      </c>
      <c r="P1115" t="str">
        <f>TEXT(data[[#This Row],[order_date]],"mmm")</f>
        <v>Jan</v>
      </c>
      <c r="Q1115">
        <f>YEAR(data[[#This Row],[order_date]])</f>
        <v>2025</v>
      </c>
      <c r="R1115">
        <f>MONTH(data[[#This Row],[order_date]])</f>
        <v>1</v>
      </c>
      <c r="S1115">
        <f>DAY(data[[#This Row],[order_date]])</f>
        <v>2</v>
      </c>
      <c r="T1115">
        <f>data[[#This Row],[profit]]/data[[#This Row],[sales]]</f>
        <v>0.2376311844077961</v>
      </c>
    </row>
    <row r="1116" spans="1:20" x14ac:dyDescent="0.35">
      <c r="A1116" t="s">
        <v>1330</v>
      </c>
      <c r="B1116" s="1">
        <v>45677</v>
      </c>
      <c r="C1116" t="s">
        <v>14</v>
      </c>
      <c r="D1116" t="s">
        <v>15</v>
      </c>
      <c r="E1116" t="s">
        <v>366</v>
      </c>
      <c r="F1116" t="s">
        <v>58</v>
      </c>
      <c r="G1116" t="s">
        <v>1286</v>
      </c>
      <c r="H1116" t="s">
        <v>1287</v>
      </c>
      <c r="I1116" t="s">
        <v>465</v>
      </c>
      <c r="J1116">
        <v>3</v>
      </c>
      <c r="K1116">
        <v>913000</v>
      </c>
      <c r="L1116">
        <v>0</v>
      </c>
      <c r="M1116">
        <v>702000</v>
      </c>
      <c r="N1116">
        <f>(data[[#This Row],[unit_price]]*data[[#This Row],[quantity]]) * (1-data[[#This Row],[discount]])</f>
        <v>2739000</v>
      </c>
      <c r="O1116">
        <f>data[[#This Row],[sales]]-data[[#This Row],[cost]]</f>
        <v>2037000</v>
      </c>
      <c r="P1116" t="str">
        <f>TEXT(data[[#This Row],[order_date]],"mmm")</f>
        <v>Jan</v>
      </c>
      <c r="Q1116">
        <f>YEAR(data[[#This Row],[order_date]])</f>
        <v>2025</v>
      </c>
      <c r="R1116">
        <f>MONTH(data[[#This Row],[order_date]])</f>
        <v>1</v>
      </c>
      <c r="S1116">
        <f>DAY(data[[#This Row],[order_date]])</f>
        <v>20</v>
      </c>
      <c r="T1116">
        <f>data[[#This Row],[profit]]/data[[#This Row],[sales]]</f>
        <v>0.74370208105147861</v>
      </c>
    </row>
    <row r="1117" spans="1:20" x14ac:dyDescent="0.35">
      <c r="A1117" t="s">
        <v>1331</v>
      </c>
      <c r="B1117" s="1">
        <v>45685</v>
      </c>
      <c r="C1117" t="s">
        <v>41</v>
      </c>
      <c r="D1117" t="s">
        <v>42</v>
      </c>
      <c r="E1117" t="s">
        <v>87</v>
      </c>
      <c r="F1117" t="s">
        <v>17</v>
      </c>
      <c r="G1117" t="s">
        <v>1286</v>
      </c>
      <c r="H1117" t="s">
        <v>1287</v>
      </c>
      <c r="I1117" t="s">
        <v>465</v>
      </c>
      <c r="J1117">
        <v>1</v>
      </c>
      <c r="K1117">
        <v>1404000</v>
      </c>
      <c r="L1117">
        <v>0</v>
      </c>
      <c r="M1117">
        <v>1065000</v>
      </c>
      <c r="N1117">
        <f>(data[[#This Row],[unit_price]]*data[[#This Row],[quantity]]) * (1-data[[#This Row],[discount]])</f>
        <v>1404000</v>
      </c>
      <c r="O1117">
        <f>data[[#This Row],[sales]]-data[[#This Row],[cost]]</f>
        <v>339000</v>
      </c>
      <c r="P1117" t="str">
        <f>TEXT(data[[#This Row],[order_date]],"mmm")</f>
        <v>Jan</v>
      </c>
      <c r="Q1117">
        <f>YEAR(data[[#This Row],[order_date]])</f>
        <v>2025</v>
      </c>
      <c r="R1117">
        <f>MONTH(data[[#This Row],[order_date]])</f>
        <v>1</v>
      </c>
      <c r="S1117">
        <f>DAY(data[[#This Row],[order_date]])</f>
        <v>28</v>
      </c>
      <c r="T1117">
        <f>data[[#This Row],[profit]]/data[[#This Row],[sales]]</f>
        <v>0.24145299145299146</v>
      </c>
    </row>
    <row r="1118" spans="1:20" x14ac:dyDescent="0.35">
      <c r="A1118" t="s">
        <v>1332</v>
      </c>
      <c r="B1118" s="1">
        <v>45692</v>
      </c>
      <c r="C1118" t="s">
        <v>41</v>
      </c>
      <c r="D1118" t="s">
        <v>42</v>
      </c>
      <c r="E1118" t="s">
        <v>432</v>
      </c>
      <c r="F1118" t="s">
        <v>23</v>
      </c>
      <c r="G1118" t="s">
        <v>1286</v>
      </c>
      <c r="H1118" t="s">
        <v>1287</v>
      </c>
      <c r="I1118" t="s">
        <v>465</v>
      </c>
      <c r="J1118">
        <v>2</v>
      </c>
      <c r="K1118">
        <v>1101000</v>
      </c>
      <c r="L1118">
        <v>0</v>
      </c>
      <c r="M1118">
        <v>819000</v>
      </c>
      <c r="N1118">
        <f>(data[[#This Row],[unit_price]]*data[[#This Row],[quantity]]) * (1-data[[#This Row],[discount]])</f>
        <v>2202000</v>
      </c>
      <c r="O1118">
        <f>data[[#This Row],[sales]]-data[[#This Row],[cost]]</f>
        <v>1383000</v>
      </c>
      <c r="P1118" t="str">
        <f>TEXT(data[[#This Row],[order_date]],"mmm")</f>
        <v>Feb</v>
      </c>
      <c r="Q1118">
        <f>YEAR(data[[#This Row],[order_date]])</f>
        <v>2025</v>
      </c>
      <c r="R1118">
        <f>MONTH(data[[#This Row],[order_date]])</f>
        <v>2</v>
      </c>
      <c r="S1118">
        <f>DAY(data[[#This Row],[order_date]])</f>
        <v>4</v>
      </c>
      <c r="T1118">
        <f>data[[#This Row],[profit]]/data[[#This Row],[sales]]</f>
        <v>0.62806539509536785</v>
      </c>
    </row>
    <row r="1119" spans="1:20" x14ac:dyDescent="0.35">
      <c r="A1119" t="s">
        <v>1333</v>
      </c>
      <c r="B1119" s="1">
        <v>45716</v>
      </c>
      <c r="C1119" t="s">
        <v>14</v>
      </c>
      <c r="D1119" t="s">
        <v>15</v>
      </c>
      <c r="E1119" t="s">
        <v>47</v>
      </c>
      <c r="F1119" t="s">
        <v>23</v>
      </c>
      <c r="G1119" t="s">
        <v>1286</v>
      </c>
      <c r="H1119" t="s">
        <v>1287</v>
      </c>
      <c r="I1119" t="s">
        <v>465</v>
      </c>
      <c r="J1119">
        <v>1</v>
      </c>
      <c r="K1119">
        <v>951000</v>
      </c>
      <c r="L1119">
        <v>0</v>
      </c>
      <c r="M1119">
        <v>705000</v>
      </c>
      <c r="N1119">
        <f>(data[[#This Row],[unit_price]]*data[[#This Row],[quantity]]) * (1-data[[#This Row],[discount]])</f>
        <v>951000</v>
      </c>
      <c r="O1119">
        <f>data[[#This Row],[sales]]-data[[#This Row],[cost]]</f>
        <v>246000</v>
      </c>
      <c r="P1119" t="str">
        <f>TEXT(data[[#This Row],[order_date]],"mmm")</f>
        <v>Feb</v>
      </c>
      <c r="Q1119">
        <f>YEAR(data[[#This Row],[order_date]])</f>
        <v>2025</v>
      </c>
      <c r="R1119">
        <f>MONTH(data[[#This Row],[order_date]])</f>
        <v>2</v>
      </c>
      <c r="S1119">
        <f>DAY(data[[#This Row],[order_date]])</f>
        <v>28</v>
      </c>
      <c r="T1119">
        <f>data[[#This Row],[profit]]/data[[#This Row],[sales]]</f>
        <v>0.25867507886435331</v>
      </c>
    </row>
    <row r="1120" spans="1:20" x14ac:dyDescent="0.35">
      <c r="A1120" t="s">
        <v>1334</v>
      </c>
      <c r="B1120" s="1">
        <v>45748</v>
      </c>
      <c r="C1120" t="s">
        <v>36</v>
      </c>
      <c r="D1120" t="s">
        <v>37</v>
      </c>
      <c r="E1120" t="s">
        <v>493</v>
      </c>
      <c r="F1120" t="s">
        <v>23</v>
      </c>
      <c r="G1120" t="s">
        <v>1286</v>
      </c>
      <c r="H1120" t="s">
        <v>1287</v>
      </c>
      <c r="I1120" t="s">
        <v>465</v>
      </c>
      <c r="J1120">
        <v>3</v>
      </c>
      <c r="K1120">
        <v>1220060.606060606</v>
      </c>
      <c r="L1120">
        <v>0</v>
      </c>
      <c r="M1120">
        <v>0</v>
      </c>
      <c r="N1120">
        <f>(data[[#This Row],[unit_price]]*data[[#This Row],[quantity]]) * (1-data[[#This Row],[discount]])</f>
        <v>3660181.8181818179</v>
      </c>
      <c r="O1120">
        <f>data[[#This Row],[sales]]-data[[#This Row],[cost]]</f>
        <v>3660181.8181818179</v>
      </c>
      <c r="P1120" t="str">
        <f>TEXT(data[[#This Row],[order_date]],"mmm")</f>
        <v>Apr</v>
      </c>
      <c r="Q1120">
        <f>YEAR(data[[#This Row],[order_date]])</f>
        <v>2025</v>
      </c>
      <c r="R1120">
        <f>MONTH(data[[#This Row],[order_date]])</f>
        <v>4</v>
      </c>
      <c r="S1120">
        <f>DAY(data[[#This Row],[order_date]])</f>
        <v>1</v>
      </c>
      <c r="T1120">
        <f>data[[#This Row],[profit]]/data[[#This Row],[sales]]</f>
        <v>1</v>
      </c>
    </row>
    <row r="1121" spans="1:20" x14ac:dyDescent="0.35">
      <c r="A1121" t="s">
        <v>1335</v>
      </c>
      <c r="B1121" s="1">
        <v>45755</v>
      </c>
      <c r="C1121" t="s">
        <v>36</v>
      </c>
      <c r="D1121" t="s">
        <v>37</v>
      </c>
      <c r="E1121" t="s">
        <v>825</v>
      </c>
      <c r="F1121" t="s">
        <v>23</v>
      </c>
      <c r="G1121" t="s">
        <v>1286</v>
      </c>
      <c r="H1121" t="s">
        <v>1287</v>
      </c>
      <c r="I1121" t="s">
        <v>465</v>
      </c>
      <c r="J1121">
        <v>1</v>
      </c>
      <c r="K1121">
        <v>1280000</v>
      </c>
      <c r="L1121">
        <v>0.15</v>
      </c>
      <c r="M1121">
        <v>980000</v>
      </c>
      <c r="N1121">
        <f>(data[[#This Row],[unit_price]]*data[[#This Row],[quantity]]) * (1-data[[#This Row],[discount]])</f>
        <v>1088000</v>
      </c>
      <c r="O1121">
        <f>data[[#This Row],[sales]]-data[[#This Row],[cost]]</f>
        <v>108000</v>
      </c>
      <c r="P1121" t="str">
        <f>TEXT(data[[#This Row],[order_date]],"mmm")</f>
        <v>Apr</v>
      </c>
      <c r="Q1121">
        <f>YEAR(data[[#This Row],[order_date]])</f>
        <v>2025</v>
      </c>
      <c r="R1121">
        <f>MONTH(data[[#This Row],[order_date]])</f>
        <v>4</v>
      </c>
      <c r="S1121">
        <f>DAY(data[[#This Row],[order_date]])</f>
        <v>8</v>
      </c>
      <c r="T1121">
        <f>data[[#This Row],[profit]]/data[[#This Row],[sales]]</f>
        <v>9.9264705882352935E-2</v>
      </c>
    </row>
    <row r="1122" spans="1:20" x14ac:dyDescent="0.35">
      <c r="A1122" t="s">
        <v>1336</v>
      </c>
      <c r="B1122" s="1">
        <v>45820</v>
      </c>
      <c r="C1122" t="s">
        <v>14</v>
      </c>
      <c r="D1122" t="s">
        <v>15</v>
      </c>
      <c r="E1122" t="s">
        <v>197</v>
      </c>
      <c r="F1122" t="s">
        <v>28</v>
      </c>
      <c r="G1122" t="s">
        <v>1286</v>
      </c>
      <c r="H1122" t="s">
        <v>1287</v>
      </c>
      <c r="I1122" t="s">
        <v>465</v>
      </c>
      <c r="J1122">
        <v>2</v>
      </c>
      <c r="K1122">
        <v>1406000</v>
      </c>
      <c r="L1122">
        <v>0.1</v>
      </c>
      <c r="M1122">
        <v>1069000</v>
      </c>
      <c r="N1122">
        <f>(data[[#This Row],[unit_price]]*data[[#This Row],[quantity]]) * (1-data[[#This Row],[discount]])</f>
        <v>2530800</v>
      </c>
      <c r="O1122">
        <f>data[[#This Row],[sales]]-data[[#This Row],[cost]]</f>
        <v>1461800</v>
      </c>
      <c r="P1122" t="str">
        <f>TEXT(data[[#This Row],[order_date]],"mmm")</f>
        <v>Jun</v>
      </c>
      <c r="Q1122">
        <f>YEAR(data[[#This Row],[order_date]])</f>
        <v>2025</v>
      </c>
      <c r="R1122">
        <f>MONTH(data[[#This Row],[order_date]])</f>
        <v>6</v>
      </c>
      <c r="S1122">
        <f>DAY(data[[#This Row],[order_date]])</f>
        <v>12</v>
      </c>
      <c r="T1122">
        <f>data[[#This Row],[profit]]/data[[#This Row],[sales]]</f>
        <v>0.5776039197091829</v>
      </c>
    </row>
    <row r="1123" spans="1:20" x14ac:dyDescent="0.35">
      <c r="A1123" t="s">
        <v>1337</v>
      </c>
      <c r="B1123" s="1">
        <v>45857</v>
      </c>
      <c r="C1123" t="s">
        <v>14</v>
      </c>
      <c r="D1123" t="s">
        <v>15</v>
      </c>
      <c r="E1123" t="s">
        <v>634</v>
      </c>
      <c r="F1123" t="s">
        <v>17</v>
      </c>
      <c r="G1123" t="s">
        <v>1286</v>
      </c>
      <c r="H1123" t="s">
        <v>1287</v>
      </c>
      <c r="I1123" t="s">
        <v>465</v>
      </c>
      <c r="J1123">
        <v>1</v>
      </c>
      <c r="K1123">
        <v>1061000</v>
      </c>
      <c r="L1123">
        <v>0.1</v>
      </c>
      <c r="M1123">
        <v>819000</v>
      </c>
      <c r="N1123">
        <f>(data[[#This Row],[unit_price]]*data[[#This Row],[quantity]]) * (1-data[[#This Row],[discount]])</f>
        <v>954900</v>
      </c>
      <c r="O1123">
        <f>data[[#This Row],[sales]]-data[[#This Row],[cost]]</f>
        <v>135900</v>
      </c>
      <c r="P1123" t="str">
        <f>TEXT(data[[#This Row],[order_date]],"mmm")</f>
        <v>Jul</v>
      </c>
      <c r="Q1123">
        <f>YEAR(data[[#This Row],[order_date]])</f>
        <v>2025</v>
      </c>
      <c r="R1123">
        <f>MONTH(data[[#This Row],[order_date]])</f>
        <v>7</v>
      </c>
      <c r="S1123">
        <f>DAY(data[[#This Row],[order_date]])</f>
        <v>19</v>
      </c>
      <c r="T1123">
        <f>data[[#This Row],[profit]]/data[[#This Row],[sales]]</f>
        <v>0.14231856738925541</v>
      </c>
    </row>
    <row r="1124" spans="1:20" x14ac:dyDescent="0.35">
      <c r="A1124" t="s">
        <v>1338</v>
      </c>
      <c r="B1124" s="1">
        <v>45864</v>
      </c>
      <c r="C1124" t="s">
        <v>41</v>
      </c>
      <c r="D1124" t="s">
        <v>42</v>
      </c>
      <c r="E1124" t="s">
        <v>157</v>
      </c>
      <c r="F1124" t="s">
        <v>23</v>
      </c>
      <c r="G1124" t="s">
        <v>1286</v>
      </c>
      <c r="H1124" t="s">
        <v>1287</v>
      </c>
      <c r="I1124" t="s">
        <v>465</v>
      </c>
      <c r="J1124">
        <v>2</v>
      </c>
      <c r="K1124">
        <v>1460000</v>
      </c>
      <c r="L1124">
        <v>0</v>
      </c>
      <c r="M1124">
        <v>1098000</v>
      </c>
      <c r="N1124">
        <f>(data[[#This Row],[unit_price]]*data[[#This Row],[quantity]]) * (1-data[[#This Row],[discount]])</f>
        <v>2920000</v>
      </c>
      <c r="O1124">
        <f>data[[#This Row],[sales]]-data[[#This Row],[cost]]</f>
        <v>1822000</v>
      </c>
      <c r="P1124" t="str">
        <f>TEXT(data[[#This Row],[order_date]],"mmm")</f>
        <v>Jul</v>
      </c>
      <c r="Q1124">
        <f>YEAR(data[[#This Row],[order_date]])</f>
        <v>2025</v>
      </c>
      <c r="R1124">
        <f>MONTH(data[[#This Row],[order_date]])</f>
        <v>7</v>
      </c>
      <c r="S1124">
        <f>DAY(data[[#This Row],[order_date]])</f>
        <v>26</v>
      </c>
      <c r="T1124">
        <f>data[[#This Row],[profit]]/data[[#This Row],[sales]]</f>
        <v>0.62397260273972599</v>
      </c>
    </row>
    <row r="1125" spans="1:20" x14ac:dyDescent="0.35">
      <c r="A1125" t="s">
        <v>1339</v>
      </c>
      <c r="B1125" s="1">
        <v>45944</v>
      </c>
      <c r="C1125" t="s">
        <v>14</v>
      </c>
      <c r="D1125" t="s">
        <v>15</v>
      </c>
      <c r="E1125" t="s">
        <v>34</v>
      </c>
      <c r="F1125" t="s">
        <v>17</v>
      </c>
      <c r="G1125" t="s">
        <v>1286</v>
      </c>
      <c r="H1125" t="s">
        <v>1287</v>
      </c>
      <c r="I1125" t="s">
        <v>465</v>
      </c>
      <c r="J1125">
        <v>1</v>
      </c>
      <c r="K1125">
        <v>1561000</v>
      </c>
      <c r="L1125">
        <v>0</v>
      </c>
      <c r="M1125">
        <v>1196000</v>
      </c>
      <c r="N1125">
        <f>(data[[#This Row],[unit_price]]*data[[#This Row],[quantity]]) * (1-data[[#This Row],[discount]])</f>
        <v>1561000</v>
      </c>
      <c r="O1125">
        <f>data[[#This Row],[sales]]-data[[#This Row],[cost]]</f>
        <v>365000</v>
      </c>
      <c r="P1125" t="str">
        <f>TEXT(data[[#This Row],[order_date]],"mmm")</f>
        <v>Oct</v>
      </c>
      <c r="Q1125">
        <f>YEAR(data[[#This Row],[order_date]])</f>
        <v>2025</v>
      </c>
      <c r="R1125">
        <f>MONTH(data[[#This Row],[order_date]])</f>
        <v>10</v>
      </c>
      <c r="S1125">
        <f>DAY(data[[#This Row],[order_date]])</f>
        <v>14</v>
      </c>
      <c r="T1125">
        <f>data[[#This Row],[profit]]/data[[#This Row],[sales]]</f>
        <v>0.23382447149263294</v>
      </c>
    </row>
    <row r="1126" spans="1:20" x14ac:dyDescent="0.35">
      <c r="A1126" t="s">
        <v>1340</v>
      </c>
      <c r="B1126" s="1">
        <v>45955</v>
      </c>
      <c r="C1126" t="s">
        <v>49</v>
      </c>
      <c r="D1126" t="s">
        <v>50</v>
      </c>
      <c r="E1126" t="s">
        <v>559</v>
      </c>
      <c r="F1126" t="s">
        <v>23</v>
      </c>
      <c r="G1126" t="s">
        <v>1286</v>
      </c>
      <c r="H1126" t="s">
        <v>1287</v>
      </c>
      <c r="I1126" t="s">
        <v>465</v>
      </c>
      <c r="J1126">
        <v>5</v>
      </c>
      <c r="K1126">
        <v>1066000</v>
      </c>
      <c r="L1126">
        <v>0</v>
      </c>
      <c r="M1126">
        <v>801000</v>
      </c>
      <c r="N1126">
        <f>(data[[#This Row],[unit_price]]*data[[#This Row],[quantity]]) * (1-data[[#This Row],[discount]])</f>
        <v>5330000</v>
      </c>
      <c r="O1126">
        <f>data[[#This Row],[sales]]-data[[#This Row],[cost]]</f>
        <v>4529000</v>
      </c>
      <c r="P1126" t="str">
        <f>TEXT(data[[#This Row],[order_date]],"mmm")</f>
        <v>Oct</v>
      </c>
      <c r="Q1126">
        <f>YEAR(data[[#This Row],[order_date]])</f>
        <v>2025</v>
      </c>
      <c r="R1126">
        <f>MONTH(data[[#This Row],[order_date]])</f>
        <v>10</v>
      </c>
      <c r="S1126">
        <f>DAY(data[[#This Row],[order_date]])</f>
        <v>25</v>
      </c>
      <c r="T1126">
        <f>data[[#This Row],[profit]]/data[[#This Row],[sales]]</f>
        <v>0.84971857410881801</v>
      </c>
    </row>
    <row r="1127" spans="1:20" x14ac:dyDescent="0.35">
      <c r="A1127" t="s">
        <v>1341</v>
      </c>
      <c r="B1127" s="1">
        <v>45955</v>
      </c>
      <c r="C1127" t="s">
        <v>14</v>
      </c>
      <c r="D1127" t="s">
        <v>15</v>
      </c>
      <c r="E1127" t="s">
        <v>522</v>
      </c>
      <c r="F1127" t="s">
        <v>23</v>
      </c>
      <c r="G1127" t="s">
        <v>1286</v>
      </c>
      <c r="H1127" t="s">
        <v>1287</v>
      </c>
      <c r="I1127" t="s">
        <v>465</v>
      </c>
      <c r="J1127">
        <v>1</v>
      </c>
      <c r="K1127">
        <v>1414000</v>
      </c>
      <c r="L1127">
        <v>0</v>
      </c>
      <c r="M1127">
        <v>1092000</v>
      </c>
      <c r="N1127">
        <f>(data[[#This Row],[unit_price]]*data[[#This Row],[quantity]]) * (1-data[[#This Row],[discount]])</f>
        <v>1414000</v>
      </c>
      <c r="O1127">
        <f>data[[#This Row],[sales]]-data[[#This Row],[cost]]</f>
        <v>322000</v>
      </c>
      <c r="P1127" t="str">
        <f>TEXT(data[[#This Row],[order_date]],"mmm")</f>
        <v>Oct</v>
      </c>
      <c r="Q1127">
        <f>YEAR(data[[#This Row],[order_date]])</f>
        <v>2025</v>
      </c>
      <c r="R1127">
        <f>MONTH(data[[#This Row],[order_date]])</f>
        <v>10</v>
      </c>
      <c r="S1127">
        <f>DAY(data[[#This Row],[order_date]])</f>
        <v>25</v>
      </c>
      <c r="T1127">
        <f>data[[#This Row],[profit]]/data[[#This Row],[sales]]</f>
        <v>0.22772277227722773</v>
      </c>
    </row>
    <row r="1128" spans="1:20" x14ac:dyDescent="0.35">
      <c r="A1128" t="s">
        <v>1342</v>
      </c>
      <c r="B1128" s="1">
        <v>45956</v>
      </c>
      <c r="C1128" t="s">
        <v>41</v>
      </c>
      <c r="D1128" t="s">
        <v>42</v>
      </c>
      <c r="E1128" t="s">
        <v>262</v>
      </c>
      <c r="F1128" t="s">
        <v>23</v>
      </c>
      <c r="G1128" t="s">
        <v>1286</v>
      </c>
      <c r="H1128" t="s">
        <v>1287</v>
      </c>
      <c r="I1128" t="s">
        <v>465</v>
      </c>
      <c r="J1128">
        <v>1</v>
      </c>
      <c r="K1128">
        <v>1420000</v>
      </c>
      <c r="L1128">
        <v>0.05</v>
      </c>
      <c r="M1128">
        <v>1106000</v>
      </c>
      <c r="N1128">
        <f>(data[[#This Row],[unit_price]]*data[[#This Row],[quantity]]) * (1-data[[#This Row],[discount]])</f>
        <v>1349000</v>
      </c>
      <c r="O1128">
        <f>data[[#This Row],[sales]]-data[[#This Row],[cost]]</f>
        <v>243000</v>
      </c>
      <c r="P1128" t="str">
        <f>TEXT(data[[#This Row],[order_date]],"mmm")</f>
        <v>Oct</v>
      </c>
      <c r="Q1128">
        <f>YEAR(data[[#This Row],[order_date]])</f>
        <v>2025</v>
      </c>
      <c r="R1128">
        <f>MONTH(data[[#This Row],[order_date]])</f>
        <v>10</v>
      </c>
      <c r="S1128">
        <f>DAY(data[[#This Row],[order_date]])</f>
        <v>26</v>
      </c>
      <c r="T1128">
        <f>data[[#This Row],[profit]]/data[[#This Row],[sales]]</f>
        <v>0.18013343217197925</v>
      </c>
    </row>
    <row r="1129" spans="1:20" x14ac:dyDescent="0.35">
      <c r="A1129" t="s">
        <v>1343</v>
      </c>
      <c r="B1129" s="1">
        <v>45988</v>
      </c>
      <c r="C1129" t="s">
        <v>49</v>
      </c>
      <c r="D1129" t="s">
        <v>50</v>
      </c>
      <c r="E1129" t="s">
        <v>121</v>
      </c>
      <c r="F1129" t="s">
        <v>23</v>
      </c>
      <c r="G1129" t="s">
        <v>1286</v>
      </c>
      <c r="H1129" t="s">
        <v>1287</v>
      </c>
      <c r="I1129" t="s">
        <v>465</v>
      </c>
      <c r="J1129">
        <v>2</v>
      </c>
      <c r="K1129">
        <v>1339000</v>
      </c>
      <c r="L1129">
        <v>0</v>
      </c>
      <c r="M1129">
        <v>1026000</v>
      </c>
      <c r="N1129">
        <f>(data[[#This Row],[unit_price]]*data[[#This Row],[quantity]]) * (1-data[[#This Row],[discount]])</f>
        <v>2678000</v>
      </c>
      <c r="O1129">
        <f>data[[#This Row],[sales]]-data[[#This Row],[cost]]</f>
        <v>1652000</v>
      </c>
      <c r="P1129" t="str">
        <f>TEXT(data[[#This Row],[order_date]],"mmm")</f>
        <v>Nov</v>
      </c>
      <c r="Q1129">
        <f>YEAR(data[[#This Row],[order_date]])</f>
        <v>2025</v>
      </c>
      <c r="R1129">
        <f>MONTH(data[[#This Row],[order_date]])</f>
        <v>11</v>
      </c>
      <c r="S1129">
        <f>DAY(data[[#This Row],[order_date]])</f>
        <v>27</v>
      </c>
      <c r="T1129">
        <f>data[[#This Row],[profit]]/data[[#This Row],[sales]]</f>
        <v>0.61687826736370421</v>
      </c>
    </row>
    <row r="1130" spans="1:20" x14ac:dyDescent="0.35">
      <c r="A1130" t="s">
        <v>1344</v>
      </c>
      <c r="B1130" s="1">
        <v>45992</v>
      </c>
      <c r="C1130" t="s">
        <v>41</v>
      </c>
      <c r="D1130" t="s">
        <v>42</v>
      </c>
      <c r="E1130" t="s">
        <v>582</v>
      </c>
      <c r="F1130" t="s">
        <v>17</v>
      </c>
      <c r="G1130" t="s">
        <v>1286</v>
      </c>
      <c r="H1130" t="s">
        <v>1287</v>
      </c>
      <c r="I1130" t="s">
        <v>465</v>
      </c>
      <c r="J1130">
        <v>1</v>
      </c>
      <c r="K1130">
        <v>1004000</v>
      </c>
      <c r="L1130">
        <v>0</v>
      </c>
      <c r="M1130">
        <v>773000</v>
      </c>
      <c r="N1130">
        <f>(data[[#This Row],[unit_price]]*data[[#This Row],[quantity]]) * (1-data[[#This Row],[discount]])</f>
        <v>1004000</v>
      </c>
      <c r="O1130">
        <f>data[[#This Row],[sales]]-data[[#This Row],[cost]]</f>
        <v>231000</v>
      </c>
      <c r="P1130" t="str">
        <f>TEXT(data[[#This Row],[order_date]],"mmm")</f>
        <v>Dec</v>
      </c>
      <c r="Q1130">
        <f>YEAR(data[[#This Row],[order_date]])</f>
        <v>2025</v>
      </c>
      <c r="R1130">
        <f>MONTH(data[[#This Row],[order_date]])</f>
        <v>12</v>
      </c>
      <c r="S1130">
        <f>DAY(data[[#This Row],[order_date]])</f>
        <v>1</v>
      </c>
      <c r="T1130">
        <f>data[[#This Row],[profit]]/data[[#This Row],[sales]]</f>
        <v>0.23007968127490039</v>
      </c>
    </row>
    <row r="1131" spans="1:20" x14ac:dyDescent="0.35">
      <c r="A1131" t="s">
        <v>1345</v>
      </c>
      <c r="B1131" s="1">
        <v>45998</v>
      </c>
      <c r="C1131" t="s">
        <v>49</v>
      </c>
      <c r="D1131" t="s">
        <v>50</v>
      </c>
      <c r="E1131" t="s">
        <v>97</v>
      </c>
      <c r="F1131" t="s">
        <v>23</v>
      </c>
      <c r="G1131" t="s">
        <v>1286</v>
      </c>
      <c r="H1131" t="s">
        <v>1287</v>
      </c>
      <c r="I1131" t="s">
        <v>465</v>
      </c>
      <c r="J1131">
        <v>1</v>
      </c>
      <c r="K1131">
        <v>1513000</v>
      </c>
      <c r="L1131">
        <v>0</v>
      </c>
      <c r="M1131">
        <v>1155000</v>
      </c>
      <c r="N1131">
        <f>(data[[#This Row],[unit_price]]*data[[#This Row],[quantity]]) * (1-data[[#This Row],[discount]])</f>
        <v>1513000</v>
      </c>
      <c r="O1131">
        <f>data[[#This Row],[sales]]-data[[#This Row],[cost]]</f>
        <v>358000</v>
      </c>
      <c r="P1131" t="str">
        <f>TEXT(data[[#This Row],[order_date]],"mmm")</f>
        <v>Dec</v>
      </c>
      <c r="Q1131">
        <f>YEAR(data[[#This Row],[order_date]])</f>
        <v>2025</v>
      </c>
      <c r="R1131">
        <f>MONTH(data[[#This Row],[order_date]])</f>
        <v>12</v>
      </c>
      <c r="S1131">
        <f>DAY(data[[#This Row],[order_date]])</f>
        <v>7</v>
      </c>
      <c r="T1131">
        <f>data[[#This Row],[profit]]/data[[#This Row],[sales]]</f>
        <v>0.23661599471249173</v>
      </c>
    </row>
    <row r="1132" spans="1:20" x14ac:dyDescent="0.35">
      <c r="A1132" t="s">
        <v>1346</v>
      </c>
      <c r="B1132" s="1">
        <v>46056</v>
      </c>
      <c r="C1132" t="s">
        <v>49</v>
      </c>
      <c r="D1132" t="s">
        <v>50</v>
      </c>
      <c r="E1132" t="s">
        <v>218</v>
      </c>
      <c r="F1132" t="s">
        <v>23</v>
      </c>
      <c r="G1132" t="s">
        <v>1286</v>
      </c>
      <c r="H1132" t="s">
        <v>1287</v>
      </c>
      <c r="I1132" t="s">
        <v>465</v>
      </c>
      <c r="J1132">
        <v>2</v>
      </c>
      <c r="K1132">
        <v>1213000</v>
      </c>
      <c r="L1132">
        <v>0</v>
      </c>
      <c r="M1132">
        <v>943000</v>
      </c>
      <c r="N1132">
        <f>(data[[#This Row],[unit_price]]*data[[#This Row],[quantity]]) * (1-data[[#This Row],[discount]])</f>
        <v>2426000</v>
      </c>
      <c r="O1132">
        <f>data[[#This Row],[sales]]-data[[#This Row],[cost]]</f>
        <v>1483000</v>
      </c>
      <c r="P1132" t="str">
        <f>TEXT(data[[#This Row],[order_date]],"mmm")</f>
        <v>Feb</v>
      </c>
      <c r="Q1132">
        <f>YEAR(data[[#This Row],[order_date]])</f>
        <v>2026</v>
      </c>
      <c r="R1132">
        <f>MONTH(data[[#This Row],[order_date]])</f>
        <v>2</v>
      </c>
      <c r="S1132">
        <f>DAY(data[[#This Row],[order_date]])</f>
        <v>3</v>
      </c>
      <c r="T1132">
        <f>data[[#This Row],[profit]]/data[[#This Row],[sales]]</f>
        <v>0.61129431162407255</v>
      </c>
    </row>
    <row r="1133" spans="1:20" x14ac:dyDescent="0.35">
      <c r="A1133" t="s">
        <v>1347</v>
      </c>
      <c r="B1133" s="1">
        <v>46107</v>
      </c>
      <c r="C1133" t="s">
        <v>41</v>
      </c>
      <c r="D1133" t="s">
        <v>42</v>
      </c>
      <c r="E1133" t="s">
        <v>498</v>
      </c>
      <c r="F1133" t="s">
        <v>23</v>
      </c>
      <c r="G1133" t="s">
        <v>1286</v>
      </c>
      <c r="H1133" t="s">
        <v>1287</v>
      </c>
      <c r="I1133" t="s">
        <v>465</v>
      </c>
      <c r="J1133">
        <v>1</v>
      </c>
      <c r="K1133">
        <v>1350000</v>
      </c>
      <c r="L1133">
        <v>0</v>
      </c>
      <c r="M1133">
        <v>1015000</v>
      </c>
      <c r="N1133">
        <f>(data[[#This Row],[unit_price]]*data[[#This Row],[quantity]]) * (1-data[[#This Row],[discount]])</f>
        <v>1350000</v>
      </c>
      <c r="O1133">
        <f>data[[#This Row],[sales]]-data[[#This Row],[cost]]</f>
        <v>335000</v>
      </c>
      <c r="P1133" t="str">
        <f>TEXT(data[[#This Row],[order_date]],"mmm")</f>
        <v>Mar</v>
      </c>
      <c r="Q1133">
        <f>YEAR(data[[#This Row],[order_date]])</f>
        <v>2026</v>
      </c>
      <c r="R1133">
        <f>MONTH(data[[#This Row],[order_date]])</f>
        <v>3</v>
      </c>
      <c r="S1133">
        <f>DAY(data[[#This Row],[order_date]])</f>
        <v>26</v>
      </c>
      <c r="T1133">
        <f>data[[#This Row],[profit]]/data[[#This Row],[sales]]</f>
        <v>0.24814814814814815</v>
      </c>
    </row>
    <row r="1134" spans="1:20" x14ac:dyDescent="0.35">
      <c r="A1134" t="s">
        <v>1348</v>
      </c>
      <c r="B1134" s="1">
        <v>46126</v>
      </c>
      <c r="C1134" t="s">
        <v>14</v>
      </c>
      <c r="D1134" t="s">
        <v>15</v>
      </c>
      <c r="E1134" t="s">
        <v>553</v>
      </c>
      <c r="F1134" t="s">
        <v>17</v>
      </c>
      <c r="G1134" t="s">
        <v>1286</v>
      </c>
      <c r="H1134" t="s">
        <v>1287</v>
      </c>
      <c r="I1134" t="s">
        <v>465</v>
      </c>
      <c r="J1134">
        <v>1</v>
      </c>
      <c r="K1134">
        <v>1328000</v>
      </c>
      <c r="L1134">
        <v>0</v>
      </c>
      <c r="M1134">
        <v>999000</v>
      </c>
      <c r="N1134">
        <f>(data[[#This Row],[unit_price]]*data[[#This Row],[quantity]]) * (1-data[[#This Row],[discount]])</f>
        <v>1328000</v>
      </c>
      <c r="O1134">
        <f>data[[#This Row],[sales]]-data[[#This Row],[cost]]</f>
        <v>329000</v>
      </c>
      <c r="P1134" t="str">
        <f>TEXT(data[[#This Row],[order_date]],"mmm")</f>
        <v>Apr</v>
      </c>
      <c r="Q1134">
        <f>YEAR(data[[#This Row],[order_date]])</f>
        <v>2026</v>
      </c>
      <c r="R1134">
        <f>MONTH(data[[#This Row],[order_date]])</f>
        <v>4</v>
      </c>
      <c r="S1134">
        <f>DAY(data[[#This Row],[order_date]])</f>
        <v>14</v>
      </c>
      <c r="T1134">
        <f>data[[#This Row],[profit]]/data[[#This Row],[sales]]</f>
        <v>0.24774096385542169</v>
      </c>
    </row>
    <row r="1135" spans="1:20" x14ac:dyDescent="0.35">
      <c r="A1135" t="s">
        <v>1349</v>
      </c>
      <c r="B1135" s="1">
        <v>46126</v>
      </c>
      <c r="C1135" t="s">
        <v>14</v>
      </c>
      <c r="D1135" t="s">
        <v>15</v>
      </c>
      <c r="E1135" t="s">
        <v>598</v>
      </c>
      <c r="F1135" t="s">
        <v>23</v>
      </c>
      <c r="G1135" t="s">
        <v>1286</v>
      </c>
      <c r="H1135" t="s">
        <v>1287</v>
      </c>
      <c r="I1135" t="s">
        <v>465</v>
      </c>
      <c r="J1135">
        <v>1</v>
      </c>
      <c r="K1135">
        <v>1628000</v>
      </c>
      <c r="L1135">
        <v>0.05</v>
      </c>
      <c r="M1135">
        <v>1260000</v>
      </c>
      <c r="N1135">
        <f>(data[[#This Row],[unit_price]]*data[[#This Row],[quantity]]) * (1-data[[#This Row],[discount]])</f>
        <v>1546600</v>
      </c>
      <c r="O1135">
        <f>data[[#This Row],[sales]]-data[[#This Row],[cost]]</f>
        <v>286600</v>
      </c>
      <c r="P1135" t="str">
        <f>TEXT(data[[#This Row],[order_date]],"mmm")</f>
        <v>Apr</v>
      </c>
      <c r="Q1135">
        <f>YEAR(data[[#This Row],[order_date]])</f>
        <v>2026</v>
      </c>
      <c r="R1135">
        <f>MONTH(data[[#This Row],[order_date]])</f>
        <v>4</v>
      </c>
      <c r="S1135">
        <f>DAY(data[[#This Row],[order_date]])</f>
        <v>14</v>
      </c>
      <c r="T1135">
        <f>data[[#This Row],[profit]]/data[[#This Row],[sales]]</f>
        <v>0.18530971162550111</v>
      </c>
    </row>
    <row r="1136" spans="1:20" x14ac:dyDescent="0.35">
      <c r="A1136" t="s">
        <v>1350</v>
      </c>
      <c r="B1136" s="1">
        <v>46128</v>
      </c>
      <c r="C1136" t="s">
        <v>14</v>
      </c>
      <c r="D1136" t="s">
        <v>15</v>
      </c>
      <c r="E1136" t="s">
        <v>95</v>
      </c>
      <c r="F1136" t="s">
        <v>23</v>
      </c>
      <c r="G1136" t="s">
        <v>1286</v>
      </c>
      <c r="H1136" t="s">
        <v>1287</v>
      </c>
      <c r="I1136" t="s">
        <v>465</v>
      </c>
      <c r="J1136">
        <v>1</v>
      </c>
      <c r="K1136">
        <v>1183000</v>
      </c>
      <c r="L1136">
        <v>0</v>
      </c>
      <c r="M1136">
        <v>880000</v>
      </c>
      <c r="N1136">
        <f>(data[[#This Row],[unit_price]]*data[[#This Row],[quantity]]) * (1-data[[#This Row],[discount]])</f>
        <v>1183000</v>
      </c>
      <c r="O1136">
        <f>data[[#This Row],[sales]]-data[[#This Row],[cost]]</f>
        <v>303000</v>
      </c>
      <c r="P1136" t="str">
        <f>TEXT(data[[#This Row],[order_date]],"mmm")</f>
        <v>Apr</v>
      </c>
      <c r="Q1136">
        <f>YEAR(data[[#This Row],[order_date]])</f>
        <v>2026</v>
      </c>
      <c r="R1136">
        <f>MONTH(data[[#This Row],[order_date]])</f>
        <v>4</v>
      </c>
      <c r="S1136">
        <f>DAY(data[[#This Row],[order_date]])</f>
        <v>16</v>
      </c>
      <c r="T1136">
        <f>data[[#This Row],[profit]]/data[[#This Row],[sales]]</f>
        <v>0.25612848689771767</v>
      </c>
    </row>
    <row r="1137" spans="1:20" x14ac:dyDescent="0.35">
      <c r="A1137" t="s">
        <v>1351</v>
      </c>
      <c r="B1137" s="1">
        <v>46151</v>
      </c>
      <c r="C1137" t="s">
        <v>41</v>
      </c>
      <c r="D1137" t="s">
        <v>42</v>
      </c>
      <c r="E1137" t="s">
        <v>798</v>
      </c>
      <c r="F1137" t="s">
        <v>28</v>
      </c>
      <c r="G1137" t="s">
        <v>1286</v>
      </c>
      <c r="H1137" t="s">
        <v>1287</v>
      </c>
      <c r="I1137" t="s">
        <v>465</v>
      </c>
      <c r="J1137">
        <v>1</v>
      </c>
      <c r="K1137">
        <v>1181000</v>
      </c>
      <c r="L1137">
        <v>0</v>
      </c>
      <c r="M1137">
        <v>912000</v>
      </c>
      <c r="N1137">
        <f>(data[[#This Row],[unit_price]]*data[[#This Row],[quantity]]) * (1-data[[#This Row],[discount]])</f>
        <v>1181000</v>
      </c>
      <c r="O1137">
        <f>data[[#This Row],[sales]]-data[[#This Row],[cost]]</f>
        <v>269000</v>
      </c>
      <c r="P1137" t="str">
        <f>TEXT(data[[#This Row],[order_date]],"mmm")</f>
        <v>May</v>
      </c>
      <c r="Q1137">
        <f>YEAR(data[[#This Row],[order_date]])</f>
        <v>2026</v>
      </c>
      <c r="R1137">
        <f>MONTH(data[[#This Row],[order_date]])</f>
        <v>5</v>
      </c>
      <c r="S1137">
        <f>DAY(data[[#This Row],[order_date]])</f>
        <v>9</v>
      </c>
      <c r="T1137">
        <f>data[[#This Row],[profit]]/data[[#This Row],[sales]]</f>
        <v>0.22777307366638441</v>
      </c>
    </row>
    <row r="1138" spans="1:20" x14ac:dyDescent="0.35">
      <c r="A1138" t="s">
        <v>1352</v>
      </c>
      <c r="B1138" s="1">
        <v>46152</v>
      </c>
      <c r="C1138" t="s">
        <v>49</v>
      </c>
      <c r="D1138" t="s">
        <v>50</v>
      </c>
      <c r="E1138" t="s">
        <v>307</v>
      </c>
      <c r="F1138" t="s">
        <v>28</v>
      </c>
      <c r="G1138" t="s">
        <v>1286</v>
      </c>
      <c r="H1138" t="s">
        <v>1287</v>
      </c>
      <c r="I1138" t="s">
        <v>465</v>
      </c>
      <c r="J1138">
        <v>1</v>
      </c>
      <c r="K1138">
        <v>1212000</v>
      </c>
      <c r="L1138">
        <v>0.05</v>
      </c>
      <c r="M1138">
        <v>906000</v>
      </c>
      <c r="N1138">
        <f>(data[[#This Row],[unit_price]]*data[[#This Row],[quantity]]) * (1-data[[#This Row],[discount]])</f>
        <v>1151400</v>
      </c>
      <c r="O1138">
        <f>data[[#This Row],[sales]]-data[[#This Row],[cost]]</f>
        <v>245400</v>
      </c>
      <c r="P1138" t="str">
        <f>TEXT(data[[#This Row],[order_date]],"mmm")</f>
        <v>May</v>
      </c>
      <c r="Q1138">
        <f>YEAR(data[[#This Row],[order_date]])</f>
        <v>2026</v>
      </c>
      <c r="R1138">
        <f>MONTH(data[[#This Row],[order_date]])</f>
        <v>5</v>
      </c>
      <c r="S1138">
        <f>DAY(data[[#This Row],[order_date]])</f>
        <v>10</v>
      </c>
      <c r="T1138">
        <f>data[[#This Row],[profit]]/data[[#This Row],[sales]]</f>
        <v>0.21313183949973943</v>
      </c>
    </row>
    <row r="1139" spans="1:20" x14ac:dyDescent="0.35">
      <c r="A1139" t="s">
        <v>1353</v>
      </c>
      <c r="B1139" s="1">
        <v>46197</v>
      </c>
      <c r="C1139" t="s">
        <v>36</v>
      </c>
      <c r="D1139" t="s">
        <v>37</v>
      </c>
      <c r="E1139" t="s">
        <v>432</v>
      </c>
      <c r="F1139" t="s">
        <v>23</v>
      </c>
      <c r="G1139" t="s">
        <v>1286</v>
      </c>
      <c r="H1139" t="s">
        <v>1287</v>
      </c>
      <c r="I1139" t="s">
        <v>465</v>
      </c>
      <c r="J1139">
        <v>1</v>
      </c>
      <c r="K1139">
        <v>1504000</v>
      </c>
      <c r="L1139">
        <v>0</v>
      </c>
      <c r="M1139">
        <v>1123000</v>
      </c>
      <c r="N1139">
        <f>(data[[#This Row],[unit_price]]*data[[#This Row],[quantity]]) * (1-data[[#This Row],[discount]])</f>
        <v>1504000</v>
      </c>
      <c r="O1139">
        <f>data[[#This Row],[sales]]-data[[#This Row],[cost]]</f>
        <v>381000</v>
      </c>
      <c r="P1139" t="str">
        <f>TEXT(data[[#This Row],[order_date]],"mmm")</f>
        <v>Jun</v>
      </c>
      <c r="Q1139">
        <f>YEAR(data[[#This Row],[order_date]])</f>
        <v>2026</v>
      </c>
      <c r="R1139">
        <f>MONTH(data[[#This Row],[order_date]])</f>
        <v>6</v>
      </c>
      <c r="S1139">
        <f>DAY(data[[#This Row],[order_date]])</f>
        <v>24</v>
      </c>
      <c r="T1139">
        <f>data[[#This Row],[profit]]/data[[#This Row],[sales]]</f>
        <v>0.25332446808510639</v>
      </c>
    </row>
    <row r="1140" spans="1:20" x14ac:dyDescent="0.35">
      <c r="A1140" t="s">
        <v>1354</v>
      </c>
      <c r="B1140" s="1">
        <v>44950</v>
      </c>
      <c r="C1140" t="s">
        <v>49</v>
      </c>
      <c r="D1140" t="s">
        <v>50</v>
      </c>
      <c r="E1140" t="s">
        <v>634</v>
      </c>
      <c r="F1140" t="s">
        <v>17</v>
      </c>
      <c r="G1140" t="s">
        <v>1355</v>
      </c>
      <c r="H1140" t="s">
        <v>1356</v>
      </c>
      <c r="I1140" t="s">
        <v>754</v>
      </c>
      <c r="J1140">
        <v>2</v>
      </c>
      <c r="K1140">
        <v>66000</v>
      </c>
      <c r="L1140">
        <v>0</v>
      </c>
      <c r="M1140">
        <v>40000</v>
      </c>
      <c r="N1140">
        <f>(data[[#This Row],[unit_price]]*data[[#This Row],[quantity]]) * (1-data[[#This Row],[discount]])</f>
        <v>132000</v>
      </c>
      <c r="O1140">
        <f>data[[#This Row],[sales]]-data[[#This Row],[cost]]</f>
        <v>92000</v>
      </c>
      <c r="P1140" t="str">
        <f>TEXT(data[[#This Row],[order_date]],"mmm")</f>
        <v>Jan</v>
      </c>
      <c r="Q1140">
        <f>YEAR(data[[#This Row],[order_date]])</f>
        <v>2023</v>
      </c>
      <c r="R1140">
        <f>MONTH(data[[#This Row],[order_date]])</f>
        <v>1</v>
      </c>
      <c r="S1140">
        <f>DAY(data[[#This Row],[order_date]])</f>
        <v>24</v>
      </c>
      <c r="T1140">
        <f>data[[#This Row],[profit]]/data[[#This Row],[sales]]</f>
        <v>0.69696969696969702</v>
      </c>
    </row>
    <row r="1141" spans="1:20" x14ac:dyDescent="0.35">
      <c r="A1141" t="s">
        <v>1357</v>
      </c>
      <c r="B1141" s="1">
        <v>44976</v>
      </c>
      <c r="C1141" t="s">
        <v>14</v>
      </c>
      <c r="D1141" t="s">
        <v>15</v>
      </c>
      <c r="E1141" t="s">
        <v>110</v>
      </c>
      <c r="F1141" t="s">
        <v>23</v>
      </c>
      <c r="G1141" t="s">
        <v>1355</v>
      </c>
      <c r="H1141" t="s">
        <v>1356</v>
      </c>
      <c r="I1141" t="s">
        <v>754</v>
      </c>
      <c r="J1141">
        <v>1</v>
      </c>
      <c r="K1141">
        <v>63000</v>
      </c>
      <c r="L1141">
        <v>0</v>
      </c>
      <c r="M1141">
        <v>37000</v>
      </c>
      <c r="N1141">
        <f>(data[[#This Row],[unit_price]]*data[[#This Row],[quantity]]) * (1-data[[#This Row],[discount]])</f>
        <v>63000</v>
      </c>
      <c r="O1141">
        <f>data[[#This Row],[sales]]-data[[#This Row],[cost]]</f>
        <v>26000</v>
      </c>
      <c r="P1141" t="str">
        <f>TEXT(data[[#This Row],[order_date]],"mmm")</f>
        <v>Feb</v>
      </c>
      <c r="Q1141">
        <f>YEAR(data[[#This Row],[order_date]])</f>
        <v>2023</v>
      </c>
      <c r="R1141">
        <f>MONTH(data[[#This Row],[order_date]])</f>
        <v>2</v>
      </c>
      <c r="S1141">
        <f>DAY(data[[#This Row],[order_date]])</f>
        <v>19</v>
      </c>
      <c r="T1141">
        <f>data[[#This Row],[profit]]/data[[#This Row],[sales]]</f>
        <v>0.41269841269841268</v>
      </c>
    </row>
    <row r="1142" spans="1:20" x14ac:dyDescent="0.35">
      <c r="A1142" t="s">
        <v>1358</v>
      </c>
      <c r="B1142" s="1">
        <v>44995</v>
      </c>
      <c r="C1142" t="s">
        <v>14</v>
      </c>
      <c r="D1142" t="s">
        <v>15</v>
      </c>
      <c r="E1142" t="s">
        <v>553</v>
      </c>
      <c r="F1142" t="s">
        <v>17</v>
      </c>
      <c r="G1142" t="s">
        <v>1355</v>
      </c>
      <c r="H1142" t="s">
        <v>1356</v>
      </c>
      <c r="I1142" t="s">
        <v>754</v>
      </c>
      <c r="J1142">
        <v>1</v>
      </c>
      <c r="K1142">
        <v>83000</v>
      </c>
      <c r="L1142">
        <v>0.05</v>
      </c>
      <c r="M1142">
        <v>49000</v>
      </c>
      <c r="N1142">
        <f>(data[[#This Row],[unit_price]]*data[[#This Row],[quantity]]) * (1-data[[#This Row],[discount]])</f>
        <v>78850</v>
      </c>
      <c r="O1142">
        <f>data[[#This Row],[sales]]-data[[#This Row],[cost]]</f>
        <v>29850</v>
      </c>
      <c r="P1142" t="str">
        <f>TEXT(data[[#This Row],[order_date]],"mmm")</f>
        <v>Mar</v>
      </c>
      <c r="Q1142">
        <f>YEAR(data[[#This Row],[order_date]])</f>
        <v>2023</v>
      </c>
      <c r="R1142">
        <f>MONTH(data[[#This Row],[order_date]])</f>
        <v>3</v>
      </c>
      <c r="S1142">
        <f>DAY(data[[#This Row],[order_date]])</f>
        <v>10</v>
      </c>
      <c r="T1142">
        <f>data[[#This Row],[profit]]/data[[#This Row],[sales]]</f>
        <v>0.37856689917564995</v>
      </c>
    </row>
    <row r="1143" spans="1:20" x14ac:dyDescent="0.35">
      <c r="A1143" t="s">
        <v>1359</v>
      </c>
      <c r="B1143" s="1">
        <v>45039</v>
      </c>
      <c r="C1143" t="s">
        <v>14</v>
      </c>
      <c r="D1143" t="s">
        <v>15</v>
      </c>
      <c r="E1143" t="s">
        <v>95</v>
      </c>
      <c r="F1143" t="s">
        <v>23</v>
      </c>
      <c r="G1143" t="s">
        <v>1355</v>
      </c>
      <c r="H1143" t="s">
        <v>1356</v>
      </c>
      <c r="I1143" t="s">
        <v>754</v>
      </c>
      <c r="J1143">
        <v>1</v>
      </c>
      <c r="K1143">
        <v>60000</v>
      </c>
      <c r="L1143">
        <v>0</v>
      </c>
      <c r="M1143">
        <v>36000</v>
      </c>
      <c r="N1143">
        <f>(data[[#This Row],[unit_price]]*data[[#This Row],[quantity]]) * (1-data[[#This Row],[discount]])</f>
        <v>60000</v>
      </c>
      <c r="O1143">
        <f>data[[#This Row],[sales]]-data[[#This Row],[cost]]</f>
        <v>24000</v>
      </c>
      <c r="P1143" t="str">
        <f>TEXT(data[[#This Row],[order_date]],"mmm")</f>
        <v>Apr</v>
      </c>
      <c r="Q1143">
        <f>YEAR(data[[#This Row],[order_date]])</f>
        <v>2023</v>
      </c>
      <c r="R1143">
        <f>MONTH(data[[#This Row],[order_date]])</f>
        <v>4</v>
      </c>
      <c r="S1143">
        <f>DAY(data[[#This Row],[order_date]])</f>
        <v>23</v>
      </c>
      <c r="T1143">
        <f>data[[#This Row],[profit]]/data[[#This Row],[sales]]</f>
        <v>0.4</v>
      </c>
    </row>
    <row r="1144" spans="1:20" x14ac:dyDescent="0.35">
      <c r="A1144" t="s">
        <v>1360</v>
      </c>
      <c r="B1144" s="1">
        <v>45060</v>
      </c>
      <c r="C1144" t="s">
        <v>36</v>
      </c>
      <c r="D1144" t="s">
        <v>37</v>
      </c>
      <c r="E1144" t="s">
        <v>327</v>
      </c>
      <c r="F1144" t="s">
        <v>23</v>
      </c>
      <c r="G1144" t="s">
        <v>1355</v>
      </c>
      <c r="H1144" t="s">
        <v>1356</v>
      </c>
      <c r="I1144" t="s">
        <v>754</v>
      </c>
      <c r="J1144">
        <v>1</v>
      </c>
      <c r="K1144">
        <v>89000</v>
      </c>
      <c r="L1144">
        <v>0</v>
      </c>
      <c r="M1144">
        <v>54000</v>
      </c>
      <c r="N1144">
        <f>(data[[#This Row],[unit_price]]*data[[#This Row],[quantity]]) * (1-data[[#This Row],[discount]])</f>
        <v>89000</v>
      </c>
      <c r="O1144">
        <f>data[[#This Row],[sales]]-data[[#This Row],[cost]]</f>
        <v>35000</v>
      </c>
      <c r="P1144" t="str">
        <f>TEXT(data[[#This Row],[order_date]],"mmm")</f>
        <v>May</v>
      </c>
      <c r="Q1144">
        <f>YEAR(data[[#This Row],[order_date]])</f>
        <v>2023</v>
      </c>
      <c r="R1144">
        <f>MONTH(data[[#This Row],[order_date]])</f>
        <v>5</v>
      </c>
      <c r="S1144">
        <f>DAY(data[[#This Row],[order_date]])</f>
        <v>14</v>
      </c>
      <c r="T1144">
        <f>data[[#This Row],[profit]]/data[[#This Row],[sales]]</f>
        <v>0.39325842696629215</v>
      </c>
    </row>
    <row r="1145" spans="1:20" x14ac:dyDescent="0.35">
      <c r="A1145" t="s">
        <v>1361</v>
      </c>
      <c r="B1145" s="1">
        <v>45067</v>
      </c>
      <c r="C1145" t="s">
        <v>14</v>
      </c>
      <c r="D1145" t="s">
        <v>15</v>
      </c>
      <c r="E1145" t="s">
        <v>825</v>
      </c>
      <c r="F1145" t="s">
        <v>23</v>
      </c>
      <c r="G1145" t="s">
        <v>1355</v>
      </c>
      <c r="H1145" t="s">
        <v>1356</v>
      </c>
      <c r="I1145" t="s">
        <v>754</v>
      </c>
      <c r="J1145">
        <v>1</v>
      </c>
      <c r="K1145">
        <v>61000</v>
      </c>
      <c r="L1145">
        <v>0.05</v>
      </c>
      <c r="M1145">
        <v>36000</v>
      </c>
      <c r="N1145">
        <f>(data[[#This Row],[unit_price]]*data[[#This Row],[quantity]]) * (1-data[[#This Row],[discount]])</f>
        <v>57950</v>
      </c>
      <c r="O1145">
        <f>data[[#This Row],[sales]]-data[[#This Row],[cost]]</f>
        <v>21950</v>
      </c>
      <c r="P1145" t="str">
        <f>TEXT(data[[#This Row],[order_date]],"mmm")</f>
        <v>May</v>
      </c>
      <c r="Q1145">
        <f>YEAR(data[[#This Row],[order_date]])</f>
        <v>2023</v>
      </c>
      <c r="R1145">
        <f>MONTH(data[[#This Row],[order_date]])</f>
        <v>5</v>
      </c>
      <c r="S1145">
        <f>DAY(data[[#This Row],[order_date]])</f>
        <v>21</v>
      </c>
      <c r="T1145">
        <f>data[[#This Row],[profit]]/data[[#This Row],[sales]]</f>
        <v>0.37877480586712681</v>
      </c>
    </row>
    <row r="1146" spans="1:20" x14ac:dyDescent="0.35">
      <c r="A1146" t="s">
        <v>1362</v>
      </c>
      <c r="B1146" s="1">
        <v>45069</v>
      </c>
      <c r="C1146" t="s">
        <v>49</v>
      </c>
      <c r="D1146" t="s">
        <v>50</v>
      </c>
      <c r="E1146" t="s">
        <v>104</v>
      </c>
      <c r="F1146" t="s">
        <v>28</v>
      </c>
      <c r="G1146" t="s">
        <v>1355</v>
      </c>
      <c r="H1146" t="s">
        <v>1356</v>
      </c>
      <c r="I1146" t="s">
        <v>754</v>
      </c>
      <c r="J1146">
        <v>1</v>
      </c>
      <c r="K1146">
        <v>95000</v>
      </c>
      <c r="L1146">
        <v>0</v>
      </c>
      <c r="M1146">
        <v>57000</v>
      </c>
      <c r="N1146">
        <f>(data[[#This Row],[unit_price]]*data[[#This Row],[quantity]]) * (1-data[[#This Row],[discount]])</f>
        <v>95000</v>
      </c>
      <c r="O1146">
        <f>data[[#This Row],[sales]]-data[[#This Row],[cost]]</f>
        <v>38000</v>
      </c>
      <c r="P1146" t="str">
        <f>TEXT(data[[#This Row],[order_date]],"mmm")</f>
        <v>May</v>
      </c>
      <c r="Q1146">
        <f>YEAR(data[[#This Row],[order_date]])</f>
        <v>2023</v>
      </c>
      <c r="R1146">
        <f>MONTH(data[[#This Row],[order_date]])</f>
        <v>5</v>
      </c>
      <c r="S1146">
        <f>DAY(data[[#This Row],[order_date]])</f>
        <v>23</v>
      </c>
      <c r="T1146">
        <f>data[[#This Row],[profit]]/data[[#This Row],[sales]]</f>
        <v>0.4</v>
      </c>
    </row>
    <row r="1147" spans="1:20" x14ac:dyDescent="0.35">
      <c r="A1147" t="s">
        <v>1363</v>
      </c>
      <c r="B1147" s="1">
        <v>45098</v>
      </c>
      <c r="C1147" t="s">
        <v>14</v>
      </c>
      <c r="D1147" t="s">
        <v>15</v>
      </c>
      <c r="E1147" t="s">
        <v>16</v>
      </c>
      <c r="F1147" t="s">
        <v>17</v>
      </c>
      <c r="G1147" t="s">
        <v>1355</v>
      </c>
      <c r="H1147" t="s">
        <v>1356</v>
      </c>
      <c r="I1147" t="s">
        <v>754</v>
      </c>
      <c r="J1147">
        <v>1</v>
      </c>
      <c r="K1147">
        <v>61000</v>
      </c>
      <c r="L1147">
        <v>0</v>
      </c>
      <c r="M1147">
        <v>37000</v>
      </c>
      <c r="N1147">
        <f>(data[[#This Row],[unit_price]]*data[[#This Row],[quantity]]) * (1-data[[#This Row],[discount]])</f>
        <v>61000</v>
      </c>
      <c r="O1147">
        <f>data[[#This Row],[sales]]-data[[#This Row],[cost]]</f>
        <v>24000</v>
      </c>
      <c r="P1147" t="str">
        <f>TEXT(data[[#This Row],[order_date]],"mmm")</f>
        <v>Jun</v>
      </c>
      <c r="Q1147">
        <f>YEAR(data[[#This Row],[order_date]])</f>
        <v>2023</v>
      </c>
      <c r="R1147">
        <f>MONTH(data[[#This Row],[order_date]])</f>
        <v>6</v>
      </c>
      <c r="S1147">
        <f>DAY(data[[#This Row],[order_date]])</f>
        <v>21</v>
      </c>
      <c r="T1147">
        <f>data[[#This Row],[profit]]/data[[#This Row],[sales]]</f>
        <v>0.39344262295081966</v>
      </c>
    </row>
    <row r="1148" spans="1:20" x14ac:dyDescent="0.35">
      <c r="A1148" t="s">
        <v>1364</v>
      </c>
      <c r="B1148" s="1">
        <v>45102</v>
      </c>
      <c r="C1148" t="s">
        <v>36</v>
      </c>
      <c r="D1148" t="s">
        <v>37</v>
      </c>
      <c r="E1148" t="s">
        <v>126</v>
      </c>
      <c r="F1148" t="s">
        <v>17</v>
      </c>
      <c r="G1148" t="s">
        <v>1355</v>
      </c>
      <c r="H1148" t="s">
        <v>1356</v>
      </c>
      <c r="I1148" t="s">
        <v>754</v>
      </c>
      <c r="J1148">
        <v>1</v>
      </c>
      <c r="K1148">
        <v>65000</v>
      </c>
      <c r="L1148">
        <v>0</v>
      </c>
      <c r="M1148">
        <v>39000</v>
      </c>
      <c r="N1148">
        <f>(data[[#This Row],[unit_price]]*data[[#This Row],[quantity]]) * (1-data[[#This Row],[discount]])</f>
        <v>65000</v>
      </c>
      <c r="O1148">
        <f>data[[#This Row],[sales]]-data[[#This Row],[cost]]</f>
        <v>26000</v>
      </c>
      <c r="P1148" t="str">
        <f>TEXT(data[[#This Row],[order_date]],"mmm")</f>
        <v>Jun</v>
      </c>
      <c r="Q1148">
        <f>YEAR(data[[#This Row],[order_date]])</f>
        <v>2023</v>
      </c>
      <c r="R1148">
        <f>MONTH(data[[#This Row],[order_date]])</f>
        <v>6</v>
      </c>
      <c r="S1148">
        <f>DAY(data[[#This Row],[order_date]])</f>
        <v>25</v>
      </c>
      <c r="T1148">
        <f>data[[#This Row],[profit]]/data[[#This Row],[sales]]</f>
        <v>0.4</v>
      </c>
    </row>
    <row r="1149" spans="1:20" x14ac:dyDescent="0.35">
      <c r="A1149" t="s">
        <v>1365</v>
      </c>
      <c r="B1149" s="1">
        <v>45103</v>
      </c>
      <c r="C1149" t="s">
        <v>25</v>
      </c>
      <c r="D1149" t="s">
        <v>26</v>
      </c>
      <c r="E1149" t="s">
        <v>413</v>
      </c>
      <c r="F1149" t="s">
        <v>23</v>
      </c>
      <c r="G1149" t="s">
        <v>1355</v>
      </c>
      <c r="H1149" t="s">
        <v>1356</v>
      </c>
      <c r="I1149" t="s">
        <v>754</v>
      </c>
      <c r="J1149">
        <v>1</v>
      </c>
      <c r="K1149">
        <v>72384.61538461539</v>
      </c>
      <c r="L1149">
        <v>0</v>
      </c>
      <c r="M1149">
        <v>0</v>
      </c>
      <c r="N1149">
        <f>(data[[#This Row],[unit_price]]*data[[#This Row],[quantity]]) * (1-data[[#This Row],[discount]])</f>
        <v>72384.61538461539</v>
      </c>
      <c r="O1149">
        <f>data[[#This Row],[sales]]-data[[#This Row],[cost]]</f>
        <v>72384.61538461539</v>
      </c>
      <c r="P1149" t="str">
        <f>TEXT(data[[#This Row],[order_date]],"mmm")</f>
        <v>Jun</v>
      </c>
      <c r="Q1149">
        <f>YEAR(data[[#This Row],[order_date]])</f>
        <v>2023</v>
      </c>
      <c r="R1149">
        <f>MONTH(data[[#This Row],[order_date]])</f>
        <v>6</v>
      </c>
      <c r="S1149">
        <f>DAY(data[[#This Row],[order_date]])</f>
        <v>26</v>
      </c>
      <c r="T1149">
        <f>data[[#This Row],[profit]]/data[[#This Row],[sales]]</f>
        <v>1</v>
      </c>
    </row>
    <row r="1150" spans="1:20" x14ac:dyDescent="0.35">
      <c r="A1150" t="s">
        <v>1366</v>
      </c>
      <c r="B1150" s="1">
        <v>45107</v>
      </c>
      <c r="C1150" t="s">
        <v>25</v>
      </c>
      <c r="D1150" t="s">
        <v>26</v>
      </c>
      <c r="E1150" t="s">
        <v>498</v>
      </c>
      <c r="F1150" t="s">
        <v>23</v>
      </c>
      <c r="G1150" t="s">
        <v>1355</v>
      </c>
      <c r="H1150" t="s">
        <v>1356</v>
      </c>
      <c r="I1150" t="s">
        <v>754</v>
      </c>
      <c r="J1150">
        <v>1</v>
      </c>
      <c r="K1150">
        <v>78000</v>
      </c>
      <c r="L1150">
        <v>0</v>
      </c>
      <c r="M1150">
        <v>47000</v>
      </c>
      <c r="N1150">
        <f>(data[[#This Row],[unit_price]]*data[[#This Row],[quantity]]) * (1-data[[#This Row],[discount]])</f>
        <v>78000</v>
      </c>
      <c r="O1150">
        <f>data[[#This Row],[sales]]-data[[#This Row],[cost]]</f>
        <v>31000</v>
      </c>
      <c r="P1150" t="str">
        <f>TEXT(data[[#This Row],[order_date]],"mmm")</f>
        <v>Jun</v>
      </c>
      <c r="Q1150">
        <f>YEAR(data[[#This Row],[order_date]])</f>
        <v>2023</v>
      </c>
      <c r="R1150">
        <f>MONTH(data[[#This Row],[order_date]])</f>
        <v>6</v>
      </c>
      <c r="S1150">
        <f>DAY(data[[#This Row],[order_date]])</f>
        <v>30</v>
      </c>
      <c r="T1150">
        <f>data[[#This Row],[profit]]/data[[#This Row],[sales]]</f>
        <v>0.39743589743589741</v>
      </c>
    </row>
    <row r="1151" spans="1:20" x14ac:dyDescent="0.35">
      <c r="A1151" t="s">
        <v>1367</v>
      </c>
      <c r="B1151" s="1">
        <v>45121</v>
      </c>
      <c r="C1151" t="s">
        <v>49</v>
      </c>
      <c r="D1151" t="s">
        <v>50</v>
      </c>
      <c r="E1151" t="s">
        <v>255</v>
      </c>
      <c r="F1151" t="s">
        <v>17</v>
      </c>
      <c r="G1151" t="s">
        <v>1355</v>
      </c>
      <c r="H1151" t="s">
        <v>1356</v>
      </c>
      <c r="I1151" t="s">
        <v>754</v>
      </c>
      <c r="J1151">
        <v>2</v>
      </c>
      <c r="K1151">
        <v>92000</v>
      </c>
      <c r="L1151">
        <v>0</v>
      </c>
      <c r="M1151">
        <v>56000</v>
      </c>
      <c r="N1151">
        <f>(data[[#This Row],[unit_price]]*data[[#This Row],[quantity]]) * (1-data[[#This Row],[discount]])</f>
        <v>184000</v>
      </c>
      <c r="O1151">
        <f>data[[#This Row],[sales]]-data[[#This Row],[cost]]</f>
        <v>128000</v>
      </c>
      <c r="P1151" t="str">
        <f>TEXT(data[[#This Row],[order_date]],"mmm")</f>
        <v>Jul</v>
      </c>
      <c r="Q1151">
        <f>YEAR(data[[#This Row],[order_date]])</f>
        <v>2023</v>
      </c>
      <c r="R1151">
        <f>MONTH(data[[#This Row],[order_date]])</f>
        <v>7</v>
      </c>
      <c r="S1151">
        <f>DAY(data[[#This Row],[order_date]])</f>
        <v>14</v>
      </c>
      <c r="T1151">
        <f>data[[#This Row],[profit]]/data[[#This Row],[sales]]</f>
        <v>0.69565217391304346</v>
      </c>
    </row>
    <row r="1152" spans="1:20" x14ac:dyDescent="0.35">
      <c r="A1152" t="s">
        <v>1368</v>
      </c>
      <c r="B1152" s="1">
        <v>45134</v>
      </c>
      <c r="C1152" t="s">
        <v>14</v>
      </c>
      <c r="D1152" t="s">
        <v>15</v>
      </c>
      <c r="E1152" t="s">
        <v>186</v>
      </c>
      <c r="F1152" t="s">
        <v>23</v>
      </c>
      <c r="G1152" t="s">
        <v>1355</v>
      </c>
      <c r="H1152" t="s">
        <v>1356</v>
      </c>
      <c r="I1152" t="s">
        <v>754</v>
      </c>
      <c r="J1152">
        <v>1</v>
      </c>
      <c r="K1152">
        <v>81000</v>
      </c>
      <c r="L1152">
        <v>0</v>
      </c>
      <c r="M1152">
        <v>49000</v>
      </c>
      <c r="N1152">
        <f>(data[[#This Row],[unit_price]]*data[[#This Row],[quantity]]) * (1-data[[#This Row],[discount]])</f>
        <v>81000</v>
      </c>
      <c r="O1152">
        <f>data[[#This Row],[sales]]-data[[#This Row],[cost]]</f>
        <v>32000</v>
      </c>
      <c r="P1152" t="str">
        <f>TEXT(data[[#This Row],[order_date]],"mmm")</f>
        <v>Jul</v>
      </c>
      <c r="Q1152">
        <f>YEAR(data[[#This Row],[order_date]])</f>
        <v>2023</v>
      </c>
      <c r="R1152">
        <f>MONTH(data[[#This Row],[order_date]])</f>
        <v>7</v>
      </c>
      <c r="S1152">
        <f>DAY(data[[#This Row],[order_date]])</f>
        <v>27</v>
      </c>
      <c r="T1152">
        <f>data[[#This Row],[profit]]/data[[#This Row],[sales]]</f>
        <v>0.39506172839506171</v>
      </c>
    </row>
    <row r="1153" spans="1:20" x14ac:dyDescent="0.35">
      <c r="A1153" t="s">
        <v>1369</v>
      </c>
      <c r="B1153" s="1">
        <v>45151</v>
      </c>
      <c r="C1153" t="s">
        <v>14</v>
      </c>
      <c r="D1153" t="s">
        <v>15</v>
      </c>
      <c r="E1153" t="s">
        <v>134</v>
      </c>
      <c r="F1153" t="s">
        <v>28</v>
      </c>
      <c r="G1153" t="s">
        <v>1355</v>
      </c>
      <c r="H1153" t="s">
        <v>1356</v>
      </c>
      <c r="I1153" t="s">
        <v>754</v>
      </c>
      <c r="J1153">
        <v>1</v>
      </c>
      <c r="K1153">
        <v>86000</v>
      </c>
      <c r="L1153">
        <v>0.05</v>
      </c>
      <c r="M1153">
        <v>53000</v>
      </c>
      <c r="N1153">
        <f>(data[[#This Row],[unit_price]]*data[[#This Row],[quantity]]) * (1-data[[#This Row],[discount]])</f>
        <v>81700</v>
      </c>
      <c r="O1153">
        <f>data[[#This Row],[sales]]-data[[#This Row],[cost]]</f>
        <v>28700</v>
      </c>
      <c r="P1153" t="str">
        <f>TEXT(data[[#This Row],[order_date]],"mmm")</f>
        <v>Aug</v>
      </c>
      <c r="Q1153">
        <f>YEAR(data[[#This Row],[order_date]])</f>
        <v>2023</v>
      </c>
      <c r="R1153">
        <f>MONTH(data[[#This Row],[order_date]])</f>
        <v>8</v>
      </c>
      <c r="S1153">
        <f>DAY(data[[#This Row],[order_date]])</f>
        <v>13</v>
      </c>
      <c r="T1153">
        <f>data[[#This Row],[profit]]/data[[#This Row],[sales]]</f>
        <v>0.35128518971848227</v>
      </c>
    </row>
    <row r="1154" spans="1:20" x14ac:dyDescent="0.35">
      <c r="A1154" t="s">
        <v>1370</v>
      </c>
      <c r="B1154" s="1">
        <v>45177</v>
      </c>
      <c r="C1154" t="s">
        <v>14</v>
      </c>
      <c r="D1154" t="s">
        <v>15</v>
      </c>
      <c r="E1154" t="s">
        <v>224</v>
      </c>
      <c r="F1154" t="s">
        <v>23</v>
      </c>
      <c r="G1154" t="s">
        <v>1355</v>
      </c>
      <c r="H1154" t="s">
        <v>1356</v>
      </c>
      <c r="I1154" t="s">
        <v>754</v>
      </c>
      <c r="J1154">
        <v>1</v>
      </c>
      <c r="K1154">
        <v>70000</v>
      </c>
      <c r="L1154">
        <v>0.15</v>
      </c>
      <c r="M1154">
        <v>43000</v>
      </c>
      <c r="N1154">
        <f>(data[[#This Row],[unit_price]]*data[[#This Row],[quantity]]) * (1-data[[#This Row],[discount]])</f>
        <v>59500</v>
      </c>
      <c r="O1154">
        <f>data[[#This Row],[sales]]-data[[#This Row],[cost]]</f>
        <v>16500</v>
      </c>
      <c r="P1154" t="str">
        <f>TEXT(data[[#This Row],[order_date]],"mmm")</f>
        <v>Sep</v>
      </c>
      <c r="Q1154">
        <f>YEAR(data[[#This Row],[order_date]])</f>
        <v>2023</v>
      </c>
      <c r="R1154">
        <f>MONTH(data[[#This Row],[order_date]])</f>
        <v>9</v>
      </c>
      <c r="S1154">
        <f>DAY(data[[#This Row],[order_date]])</f>
        <v>8</v>
      </c>
      <c r="T1154">
        <f>data[[#This Row],[profit]]/data[[#This Row],[sales]]</f>
        <v>0.27731092436974791</v>
      </c>
    </row>
    <row r="1155" spans="1:20" x14ac:dyDescent="0.35">
      <c r="A1155" t="s">
        <v>1371</v>
      </c>
      <c r="B1155" s="1">
        <v>45198</v>
      </c>
      <c r="C1155" t="s">
        <v>41</v>
      </c>
      <c r="D1155" t="s">
        <v>42</v>
      </c>
      <c r="E1155" t="s">
        <v>456</v>
      </c>
      <c r="F1155" t="s">
        <v>23</v>
      </c>
      <c r="G1155" t="s">
        <v>1355</v>
      </c>
      <c r="H1155" t="s">
        <v>1356</v>
      </c>
      <c r="I1155" t="s">
        <v>754</v>
      </c>
      <c r="J1155">
        <v>1</v>
      </c>
      <c r="K1155">
        <v>92000</v>
      </c>
      <c r="L1155">
        <v>0.1</v>
      </c>
      <c r="M1155">
        <v>53000</v>
      </c>
      <c r="N1155">
        <f>(data[[#This Row],[unit_price]]*data[[#This Row],[quantity]]) * (1-data[[#This Row],[discount]])</f>
        <v>82800</v>
      </c>
      <c r="O1155">
        <f>data[[#This Row],[sales]]-data[[#This Row],[cost]]</f>
        <v>29800</v>
      </c>
      <c r="P1155" t="str">
        <f>TEXT(data[[#This Row],[order_date]],"mmm")</f>
        <v>Sep</v>
      </c>
      <c r="Q1155">
        <f>YEAR(data[[#This Row],[order_date]])</f>
        <v>2023</v>
      </c>
      <c r="R1155">
        <f>MONTH(data[[#This Row],[order_date]])</f>
        <v>9</v>
      </c>
      <c r="S1155">
        <f>DAY(data[[#This Row],[order_date]])</f>
        <v>29</v>
      </c>
      <c r="T1155">
        <f>data[[#This Row],[profit]]/data[[#This Row],[sales]]</f>
        <v>0.35990338164251207</v>
      </c>
    </row>
    <row r="1156" spans="1:20" x14ac:dyDescent="0.35">
      <c r="A1156" t="s">
        <v>1372</v>
      </c>
      <c r="B1156" s="1">
        <v>45236</v>
      </c>
      <c r="C1156" t="s">
        <v>14</v>
      </c>
      <c r="D1156" t="s">
        <v>15</v>
      </c>
      <c r="E1156" t="s">
        <v>195</v>
      </c>
      <c r="F1156" t="s">
        <v>23</v>
      </c>
      <c r="G1156" t="s">
        <v>1355</v>
      </c>
      <c r="H1156" t="s">
        <v>1356</v>
      </c>
      <c r="I1156" t="s">
        <v>754</v>
      </c>
      <c r="J1156">
        <v>1</v>
      </c>
      <c r="K1156">
        <v>49000</v>
      </c>
      <c r="L1156">
        <v>0</v>
      </c>
      <c r="M1156">
        <v>29000</v>
      </c>
      <c r="N1156">
        <f>(data[[#This Row],[unit_price]]*data[[#This Row],[quantity]]) * (1-data[[#This Row],[discount]])</f>
        <v>49000</v>
      </c>
      <c r="O1156">
        <f>data[[#This Row],[sales]]-data[[#This Row],[cost]]</f>
        <v>20000</v>
      </c>
      <c r="P1156" t="str">
        <f>TEXT(data[[#This Row],[order_date]],"mmm")</f>
        <v>Nov</v>
      </c>
      <c r="Q1156">
        <f>YEAR(data[[#This Row],[order_date]])</f>
        <v>2023</v>
      </c>
      <c r="R1156">
        <f>MONTH(data[[#This Row],[order_date]])</f>
        <v>11</v>
      </c>
      <c r="S1156">
        <f>DAY(data[[#This Row],[order_date]])</f>
        <v>6</v>
      </c>
      <c r="T1156">
        <f>data[[#This Row],[profit]]/data[[#This Row],[sales]]</f>
        <v>0.40816326530612246</v>
      </c>
    </row>
    <row r="1157" spans="1:20" x14ac:dyDescent="0.35">
      <c r="A1157" t="s">
        <v>1373</v>
      </c>
      <c r="B1157" s="1">
        <v>45240</v>
      </c>
      <c r="C1157" t="s">
        <v>25</v>
      </c>
      <c r="D1157" t="s">
        <v>26</v>
      </c>
      <c r="E1157" t="s">
        <v>130</v>
      </c>
      <c r="F1157" t="s">
        <v>28</v>
      </c>
      <c r="G1157" t="s">
        <v>1355</v>
      </c>
      <c r="H1157" t="s">
        <v>1356</v>
      </c>
      <c r="I1157" t="s">
        <v>754</v>
      </c>
      <c r="J1157">
        <v>3</v>
      </c>
      <c r="K1157">
        <v>94000</v>
      </c>
      <c r="L1157">
        <v>0</v>
      </c>
      <c r="M1157">
        <v>58000</v>
      </c>
      <c r="N1157">
        <f>(data[[#This Row],[unit_price]]*data[[#This Row],[quantity]]) * (1-data[[#This Row],[discount]])</f>
        <v>282000</v>
      </c>
      <c r="O1157">
        <f>data[[#This Row],[sales]]-data[[#This Row],[cost]]</f>
        <v>224000</v>
      </c>
      <c r="P1157" t="str">
        <f>TEXT(data[[#This Row],[order_date]],"mmm")</f>
        <v>Nov</v>
      </c>
      <c r="Q1157">
        <f>YEAR(data[[#This Row],[order_date]])</f>
        <v>2023</v>
      </c>
      <c r="R1157">
        <f>MONTH(data[[#This Row],[order_date]])</f>
        <v>11</v>
      </c>
      <c r="S1157">
        <f>DAY(data[[#This Row],[order_date]])</f>
        <v>10</v>
      </c>
      <c r="T1157">
        <f>data[[#This Row],[profit]]/data[[#This Row],[sales]]</f>
        <v>0.79432624113475181</v>
      </c>
    </row>
    <row r="1158" spans="1:20" x14ac:dyDescent="0.35">
      <c r="A1158" t="s">
        <v>1374</v>
      </c>
      <c r="B1158" s="1">
        <v>45245</v>
      </c>
      <c r="C1158" t="s">
        <v>14</v>
      </c>
      <c r="D1158" t="s">
        <v>15</v>
      </c>
      <c r="E1158" t="s">
        <v>164</v>
      </c>
      <c r="F1158" t="s">
        <v>23</v>
      </c>
      <c r="G1158" t="s">
        <v>1355</v>
      </c>
      <c r="H1158" t="s">
        <v>1356</v>
      </c>
      <c r="I1158" t="s">
        <v>754</v>
      </c>
      <c r="J1158">
        <v>3</v>
      </c>
      <c r="K1158">
        <v>66000</v>
      </c>
      <c r="L1158">
        <v>0</v>
      </c>
      <c r="M1158">
        <v>39000</v>
      </c>
      <c r="N1158">
        <f>(data[[#This Row],[unit_price]]*data[[#This Row],[quantity]]) * (1-data[[#This Row],[discount]])</f>
        <v>198000</v>
      </c>
      <c r="O1158">
        <f>data[[#This Row],[sales]]-data[[#This Row],[cost]]</f>
        <v>159000</v>
      </c>
      <c r="P1158" t="str">
        <f>TEXT(data[[#This Row],[order_date]],"mmm")</f>
        <v>Nov</v>
      </c>
      <c r="Q1158">
        <f>YEAR(data[[#This Row],[order_date]])</f>
        <v>2023</v>
      </c>
      <c r="R1158">
        <f>MONTH(data[[#This Row],[order_date]])</f>
        <v>11</v>
      </c>
      <c r="S1158">
        <f>DAY(data[[#This Row],[order_date]])</f>
        <v>15</v>
      </c>
      <c r="T1158">
        <f>data[[#This Row],[profit]]/data[[#This Row],[sales]]</f>
        <v>0.80303030303030298</v>
      </c>
    </row>
    <row r="1159" spans="1:20" x14ac:dyDescent="0.35">
      <c r="A1159" t="s">
        <v>1375</v>
      </c>
      <c r="B1159" s="1">
        <v>45271</v>
      </c>
      <c r="C1159" t="s">
        <v>14</v>
      </c>
      <c r="D1159" t="s">
        <v>15</v>
      </c>
      <c r="E1159" t="s">
        <v>172</v>
      </c>
      <c r="F1159" t="s">
        <v>23</v>
      </c>
      <c r="G1159" t="s">
        <v>1355</v>
      </c>
      <c r="H1159" t="s">
        <v>1356</v>
      </c>
      <c r="I1159" t="s">
        <v>754</v>
      </c>
      <c r="J1159">
        <v>1</v>
      </c>
      <c r="K1159">
        <v>48000</v>
      </c>
      <c r="L1159">
        <v>0</v>
      </c>
      <c r="M1159">
        <v>29000</v>
      </c>
      <c r="N1159">
        <f>(data[[#This Row],[unit_price]]*data[[#This Row],[quantity]]) * (1-data[[#This Row],[discount]])</f>
        <v>48000</v>
      </c>
      <c r="O1159">
        <f>data[[#This Row],[sales]]-data[[#This Row],[cost]]</f>
        <v>19000</v>
      </c>
      <c r="P1159" t="str">
        <f>TEXT(data[[#This Row],[order_date]],"mmm")</f>
        <v>Dec</v>
      </c>
      <c r="Q1159">
        <f>YEAR(data[[#This Row],[order_date]])</f>
        <v>2023</v>
      </c>
      <c r="R1159">
        <f>MONTH(data[[#This Row],[order_date]])</f>
        <v>12</v>
      </c>
      <c r="S1159">
        <f>DAY(data[[#This Row],[order_date]])</f>
        <v>11</v>
      </c>
      <c r="T1159">
        <f>data[[#This Row],[profit]]/data[[#This Row],[sales]]</f>
        <v>0.39583333333333331</v>
      </c>
    </row>
    <row r="1160" spans="1:20" x14ac:dyDescent="0.35">
      <c r="A1160" t="s">
        <v>1376</v>
      </c>
      <c r="B1160" s="1">
        <v>45280</v>
      </c>
      <c r="C1160" t="s">
        <v>14</v>
      </c>
      <c r="D1160" t="s">
        <v>15</v>
      </c>
      <c r="E1160" t="s">
        <v>168</v>
      </c>
      <c r="F1160" t="s">
        <v>23</v>
      </c>
      <c r="G1160" t="s">
        <v>1355</v>
      </c>
      <c r="H1160" t="s">
        <v>1356</v>
      </c>
      <c r="I1160" t="s">
        <v>754</v>
      </c>
      <c r="J1160">
        <v>1</v>
      </c>
      <c r="K1160">
        <v>49000</v>
      </c>
      <c r="L1160">
        <v>0</v>
      </c>
      <c r="M1160">
        <v>29000</v>
      </c>
      <c r="N1160">
        <f>(data[[#This Row],[unit_price]]*data[[#This Row],[quantity]]) * (1-data[[#This Row],[discount]])</f>
        <v>49000</v>
      </c>
      <c r="O1160">
        <f>data[[#This Row],[sales]]-data[[#This Row],[cost]]</f>
        <v>20000</v>
      </c>
      <c r="P1160" t="str">
        <f>TEXT(data[[#This Row],[order_date]],"mmm")</f>
        <v>Dec</v>
      </c>
      <c r="Q1160">
        <f>YEAR(data[[#This Row],[order_date]])</f>
        <v>2023</v>
      </c>
      <c r="R1160">
        <f>MONTH(data[[#This Row],[order_date]])</f>
        <v>12</v>
      </c>
      <c r="S1160">
        <f>DAY(data[[#This Row],[order_date]])</f>
        <v>20</v>
      </c>
      <c r="T1160">
        <f>data[[#This Row],[profit]]/data[[#This Row],[sales]]</f>
        <v>0.40816326530612246</v>
      </c>
    </row>
    <row r="1161" spans="1:20" x14ac:dyDescent="0.35">
      <c r="A1161" t="s">
        <v>1377</v>
      </c>
      <c r="B1161" s="1">
        <v>45284</v>
      </c>
      <c r="C1161" t="s">
        <v>25</v>
      </c>
      <c r="D1161" t="s">
        <v>26</v>
      </c>
      <c r="E1161" t="s">
        <v>117</v>
      </c>
      <c r="F1161" t="s">
        <v>23</v>
      </c>
      <c r="G1161" t="s">
        <v>1355</v>
      </c>
      <c r="H1161" t="s">
        <v>1356</v>
      </c>
      <c r="I1161" t="s">
        <v>754</v>
      </c>
      <c r="J1161">
        <v>1</v>
      </c>
      <c r="K1161">
        <v>50000</v>
      </c>
      <c r="L1161">
        <v>0</v>
      </c>
      <c r="M1161">
        <v>31000</v>
      </c>
      <c r="N1161">
        <f>(data[[#This Row],[unit_price]]*data[[#This Row],[quantity]]) * (1-data[[#This Row],[discount]])</f>
        <v>50000</v>
      </c>
      <c r="O1161">
        <f>data[[#This Row],[sales]]-data[[#This Row],[cost]]</f>
        <v>19000</v>
      </c>
      <c r="P1161" t="str">
        <f>TEXT(data[[#This Row],[order_date]],"mmm")</f>
        <v>Dec</v>
      </c>
      <c r="Q1161">
        <f>YEAR(data[[#This Row],[order_date]])</f>
        <v>2023</v>
      </c>
      <c r="R1161">
        <f>MONTH(data[[#This Row],[order_date]])</f>
        <v>12</v>
      </c>
      <c r="S1161">
        <f>DAY(data[[#This Row],[order_date]])</f>
        <v>24</v>
      </c>
      <c r="T1161">
        <f>data[[#This Row],[profit]]/data[[#This Row],[sales]]</f>
        <v>0.38</v>
      </c>
    </row>
    <row r="1162" spans="1:20" x14ac:dyDescent="0.35">
      <c r="A1162" t="s">
        <v>1378</v>
      </c>
      <c r="B1162" s="1">
        <v>45286</v>
      </c>
      <c r="C1162" t="s">
        <v>41</v>
      </c>
      <c r="D1162" t="s">
        <v>42</v>
      </c>
      <c r="E1162" t="s">
        <v>582</v>
      </c>
      <c r="F1162" t="s">
        <v>17</v>
      </c>
      <c r="G1162" t="s">
        <v>1355</v>
      </c>
      <c r="H1162" t="s">
        <v>1356</v>
      </c>
      <c r="I1162" t="s">
        <v>754</v>
      </c>
      <c r="J1162">
        <v>1</v>
      </c>
      <c r="K1162">
        <v>72384.61538461539</v>
      </c>
      <c r="L1162">
        <v>0</v>
      </c>
      <c r="M1162">
        <v>42000</v>
      </c>
      <c r="N1162">
        <f>(data[[#This Row],[unit_price]]*data[[#This Row],[quantity]]) * (1-data[[#This Row],[discount]])</f>
        <v>72384.61538461539</v>
      </c>
      <c r="O1162">
        <f>data[[#This Row],[sales]]-data[[#This Row],[cost]]</f>
        <v>30384.61538461539</v>
      </c>
      <c r="P1162" t="str">
        <f>TEXT(data[[#This Row],[order_date]],"mmm")</f>
        <v>Dec</v>
      </c>
      <c r="Q1162">
        <f>YEAR(data[[#This Row],[order_date]])</f>
        <v>2023</v>
      </c>
      <c r="R1162">
        <f>MONTH(data[[#This Row],[order_date]])</f>
        <v>12</v>
      </c>
      <c r="S1162">
        <f>DAY(data[[#This Row],[order_date]])</f>
        <v>26</v>
      </c>
      <c r="T1162">
        <f>data[[#This Row],[profit]]/data[[#This Row],[sales]]</f>
        <v>0.41976620616365573</v>
      </c>
    </row>
    <row r="1163" spans="1:20" x14ac:dyDescent="0.35">
      <c r="A1163" t="s">
        <v>1379</v>
      </c>
      <c r="B1163" s="1">
        <v>45290</v>
      </c>
      <c r="C1163" t="s">
        <v>49</v>
      </c>
      <c r="D1163" t="s">
        <v>50</v>
      </c>
      <c r="E1163" t="s">
        <v>333</v>
      </c>
      <c r="F1163" t="s">
        <v>17</v>
      </c>
      <c r="G1163" t="s">
        <v>1355</v>
      </c>
      <c r="H1163" t="s">
        <v>1356</v>
      </c>
      <c r="I1163" t="s">
        <v>754</v>
      </c>
      <c r="J1163">
        <v>1</v>
      </c>
      <c r="K1163">
        <v>89000</v>
      </c>
      <c r="L1163">
        <v>0</v>
      </c>
      <c r="M1163">
        <v>52000</v>
      </c>
      <c r="N1163">
        <f>(data[[#This Row],[unit_price]]*data[[#This Row],[quantity]]) * (1-data[[#This Row],[discount]])</f>
        <v>89000</v>
      </c>
      <c r="O1163">
        <f>data[[#This Row],[sales]]-data[[#This Row],[cost]]</f>
        <v>37000</v>
      </c>
      <c r="P1163" t="str">
        <f>TEXT(data[[#This Row],[order_date]],"mmm")</f>
        <v>Dec</v>
      </c>
      <c r="Q1163">
        <f>YEAR(data[[#This Row],[order_date]])</f>
        <v>2023</v>
      </c>
      <c r="R1163">
        <f>MONTH(data[[#This Row],[order_date]])</f>
        <v>12</v>
      </c>
      <c r="S1163">
        <f>DAY(data[[#This Row],[order_date]])</f>
        <v>30</v>
      </c>
      <c r="T1163">
        <f>data[[#This Row],[profit]]/data[[#This Row],[sales]]</f>
        <v>0.4157303370786517</v>
      </c>
    </row>
    <row r="1164" spans="1:20" x14ac:dyDescent="0.35">
      <c r="A1164" t="s">
        <v>1380</v>
      </c>
      <c r="B1164" s="1">
        <v>45327</v>
      </c>
      <c r="C1164" t="s">
        <v>41</v>
      </c>
      <c r="D1164" t="s">
        <v>42</v>
      </c>
      <c r="E1164" t="s">
        <v>228</v>
      </c>
      <c r="F1164" t="s">
        <v>17</v>
      </c>
      <c r="G1164" t="s">
        <v>1355</v>
      </c>
      <c r="H1164" t="s">
        <v>1356</v>
      </c>
      <c r="I1164" t="s">
        <v>754</v>
      </c>
      <c r="J1164">
        <v>1</v>
      </c>
      <c r="K1164">
        <v>54000</v>
      </c>
      <c r="L1164">
        <v>0</v>
      </c>
      <c r="M1164">
        <v>33000</v>
      </c>
      <c r="N1164">
        <f>(data[[#This Row],[unit_price]]*data[[#This Row],[quantity]]) * (1-data[[#This Row],[discount]])</f>
        <v>54000</v>
      </c>
      <c r="O1164">
        <f>data[[#This Row],[sales]]-data[[#This Row],[cost]]</f>
        <v>21000</v>
      </c>
      <c r="P1164" t="str">
        <f>TEXT(data[[#This Row],[order_date]],"mmm")</f>
        <v>Feb</v>
      </c>
      <c r="Q1164">
        <f>YEAR(data[[#This Row],[order_date]])</f>
        <v>2024</v>
      </c>
      <c r="R1164">
        <f>MONTH(data[[#This Row],[order_date]])</f>
        <v>2</v>
      </c>
      <c r="S1164">
        <f>DAY(data[[#This Row],[order_date]])</f>
        <v>5</v>
      </c>
      <c r="T1164">
        <f>data[[#This Row],[profit]]/data[[#This Row],[sales]]</f>
        <v>0.3888888888888889</v>
      </c>
    </row>
    <row r="1165" spans="1:20" x14ac:dyDescent="0.35">
      <c r="A1165" t="s">
        <v>1381</v>
      </c>
      <c r="B1165" s="1">
        <v>45352</v>
      </c>
      <c r="C1165" t="s">
        <v>14</v>
      </c>
      <c r="D1165" t="s">
        <v>15</v>
      </c>
      <c r="E1165" t="s">
        <v>553</v>
      </c>
      <c r="F1165" t="s">
        <v>17</v>
      </c>
      <c r="G1165" t="s">
        <v>1355</v>
      </c>
      <c r="H1165" t="s">
        <v>1356</v>
      </c>
      <c r="I1165" t="s">
        <v>754</v>
      </c>
      <c r="J1165">
        <v>1</v>
      </c>
      <c r="K1165">
        <v>87000</v>
      </c>
      <c r="L1165">
        <v>0</v>
      </c>
      <c r="M1165">
        <v>51000</v>
      </c>
      <c r="N1165">
        <f>(data[[#This Row],[unit_price]]*data[[#This Row],[quantity]]) * (1-data[[#This Row],[discount]])</f>
        <v>87000</v>
      </c>
      <c r="O1165">
        <f>data[[#This Row],[sales]]-data[[#This Row],[cost]]</f>
        <v>36000</v>
      </c>
      <c r="P1165" t="str">
        <f>TEXT(data[[#This Row],[order_date]],"mmm")</f>
        <v>Mar</v>
      </c>
      <c r="Q1165">
        <f>YEAR(data[[#This Row],[order_date]])</f>
        <v>2024</v>
      </c>
      <c r="R1165">
        <f>MONTH(data[[#This Row],[order_date]])</f>
        <v>3</v>
      </c>
      <c r="S1165">
        <f>DAY(data[[#This Row],[order_date]])</f>
        <v>1</v>
      </c>
      <c r="T1165">
        <f>data[[#This Row],[profit]]/data[[#This Row],[sales]]</f>
        <v>0.41379310344827586</v>
      </c>
    </row>
    <row r="1166" spans="1:20" x14ac:dyDescent="0.35">
      <c r="A1166" t="s">
        <v>1382</v>
      </c>
      <c r="B1166" s="1">
        <v>45373</v>
      </c>
      <c r="C1166" t="s">
        <v>36</v>
      </c>
      <c r="D1166" t="s">
        <v>37</v>
      </c>
      <c r="E1166" t="s">
        <v>553</v>
      </c>
      <c r="F1166" t="s">
        <v>17</v>
      </c>
      <c r="G1166" t="s">
        <v>1355</v>
      </c>
      <c r="H1166" t="s">
        <v>1356</v>
      </c>
      <c r="I1166" t="s">
        <v>754</v>
      </c>
      <c r="J1166">
        <v>1</v>
      </c>
      <c r="K1166">
        <v>51000</v>
      </c>
      <c r="L1166">
        <v>0</v>
      </c>
      <c r="M1166">
        <v>31000</v>
      </c>
      <c r="N1166">
        <f>(data[[#This Row],[unit_price]]*data[[#This Row],[quantity]]) * (1-data[[#This Row],[discount]])</f>
        <v>51000</v>
      </c>
      <c r="O1166">
        <f>data[[#This Row],[sales]]-data[[#This Row],[cost]]</f>
        <v>20000</v>
      </c>
      <c r="P1166" t="str">
        <f>TEXT(data[[#This Row],[order_date]],"mmm")</f>
        <v>Mar</v>
      </c>
      <c r="Q1166">
        <f>YEAR(data[[#This Row],[order_date]])</f>
        <v>2024</v>
      </c>
      <c r="R1166">
        <f>MONTH(data[[#This Row],[order_date]])</f>
        <v>3</v>
      </c>
      <c r="S1166">
        <f>DAY(data[[#This Row],[order_date]])</f>
        <v>22</v>
      </c>
      <c r="T1166">
        <f>data[[#This Row],[profit]]/data[[#This Row],[sales]]</f>
        <v>0.39215686274509803</v>
      </c>
    </row>
    <row r="1167" spans="1:20" x14ac:dyDescent="0.35">
      <c r="A1167" t="s">
        <v>1383</v>
      </c>
      <c r="B1167" s="1">
        <v>45392</v>
      </c>
      <c r="C1167" t="s">
        <v>41</v>
      </c>
      <c r="D1167" t="s">
        <v>42</v>
      </c>
      <c r="E1167" t="s">
        <v>43</v>
      </c>
      <c r="F1167" t="s">
        <v>17</v>
      </c>
      <c r="G1167" t="s">
        <v>1355</v>
      </c>
      <c r="H1167" t="s">
        <v>1356</v>
      </c>
      <c r="I1167" t="s">
        <v>754</v>
      </c>
      <c r="J1167">
        <v>1</v>
      </c>
      <c r="K1167">
        <v>52000</v>
      </c>
      <c r="L1167">
        <v>0</v>
      </c>
      <c r="M1167">
        <v>32000</v>
      </c>
      <c r="N1167">
        <f>(data[[#This Row],[unit_price]]*data[[#This Row],[quantity]]) * (1-data[[#This Row],[discount]])</f>
        <v>52000</v>
      </c>
      <c r="O1167">
        <f>data[[#This Row],[sales]]-data[[#This Row],[cost]]</f>
        <v>20000</v>
      </c>
      <c r="P1167" t="str">
        <f>TEXT(data[[#This Row],[order_date]],"mmm")</f>
        <v>Apr</v>
      </c>
      <c r="Q1167">
        <f>YEAR(data[[#This Row],[order_date]])</f>
        <v>2024</v>
      </c>
      <c r="R1167">
        <f>MONTH(data[[#This Row],[order_date]])</f>
        <v>4</v>
      </c>
      <c r="S1167">
        <f>DAY(data[[#This Row],[order_date]])</f>
        <v>10</v>
      </c>
      <c r="T1167">
        <f>data[[#This Row],[profit]]/data[[#This Row],[sales]]</f>
        <v>0.38461538461538464</v>
      </c>
    </row>
    <row r="1168" spans="1:20" x14ac:dyDescent="0.35">
      <c r="A1168" t="s">
        <v>1384</v>
      </c>
      <c r="B1168" s="1">
        <v>45415</v>
      </c>
      <c r="C1168" t="s">
        <v>49</v>
      </c>
      <c r="D1168" t="s">
        <v>50</v>
      </c>
      <c r="E1168" t="s">
        <v>150</v>
      </c>
      <c r="F1168" t="s">
        <v>28</v>
      </c>
      <c r="G1168" t="s">
        <v>1355</v>
      </c>
      <c r="H1168" t="s">
        <v>1356</v>
      </c>
      <c r="I1168" t="s">
        <v>754</v>
      </c>
      <c r="J1168">
        <v>5</v>
      </c>
      <c r="K1168">
        <v>91000</v>
      </c>
      <c r="L1168">
        <v>0</v>
      </c>
      <c r="M1168">
        <v>56000</v>
      </c>
      <c r="N1168">
        <f>(data[[#This Row],[unit_price]]*data[[#This Row],[quantity]]) * (1-data[[#This Row],[discount]])</f>
        <v>455000</v>
      </c>
      <c r="O1168">
        <f>data[[#This Row],[sales]]-data[[#This Row],[cost]]</f>
        <v>399000</v>
      </c>
      <c r="P1168" t="str">
        <f>TEXT(data[[#This Row],[order_date]],"mmm")</f>
        <v>May</v>
      </c>
      <c r="Q1168">
        <f>YEAR(data[[#This Row],[order_date]])</f>
        <v>2024</v>
      </c>
      <c r="R1168">
        <f>MONTH(data[[#This Row],[order_date]])</f>
        <v>5</v>
      </c>
      <c r="S1168">
        <f>DAY(data[[#This Row],[order_date]])</f>
        <v>3</v>
      </c>
      <c r="T1168">
        <f>data[[#This Row],[profit]]/data[[#This Row],[sales]]</f>
        <v>0.87692307692307692</v>
      </c>
    </row>
    <row r="1169" spans="1:20" x14ac:dyDescent="0.35">
      <c r="A1169" t="s">
        <v>1385</v>
      </c>
      <c r="B1169" s="1">
        <v>45464</v>
      </c>
      <c r="C1169" t="s">
        <v>14</v>
      </c>
      <c r="D1169" t="s">
        <v>15</v>
      </c>
      <c r="E1169" t="s">
        <v>182</v>
      </c>
      <c r="F1169" t="s">
        <v>23</v>
      </c>
      <c r="G1169" t="s">
        <v>1355</v>
      </c>
      <c r="H1169" t="s">
        <v>1356</v>
      </c>
      <c r="I1169" t="s">
        <v>754</v>
      </c>
      <c r="J1169">
        <v>1</v>
      </c>
      <c r="K1169">
        <v>92000</v>
      </c>
      <c r="L1169">
        <v>0</v>
      </c>
      <c r="M1169">
        <v>55000</v>
      </c>
      <c r="N1169">
        <f>(data[[#This Row],[unit_price]]*data[[#This Row],[quantity]]) * (1-data[[#This Row],[discount]])</f>
        <v>92000</v>
      </c>
      <c r="O1169">
        <f>data[[#This Row],[sales]]-data[[#This Row],[cost]]</f>
        <v>37000</v>
      </c>
      <c r="P1169" t="str">
        <f>TEXT(data[[#This Row],[order_date]],"mmm")</f>
        <v>Jun</v>
      </c>
      <c r="Q1169">
        <f>YEAR(data[[#This Row],[order_date]])</f>
        <v>2024</v>
      </c>
      <c r="R1169">
        <f>MONTH(data[[#This Row],[order_date]])</f>
        <v>6</v>
      </c>
      <c r="S1169">
        <f>DAY(data[[#This Row],[order_date]])</f>
        <v>21</v>
      </c>
      <c r="T1169">
        <f>data[[#This Row],[profit]]/data[[#This Row],[sales]]</f>
        <v>0.40217391304347827</v>
      </c>
    </row>
    <row r="1170" spans="1:20" x14ac:dyDescent="0.35">
      <c r="A1170" t="s">
        <v>1386</v>
      </c>
      <c r="B1170" s="1">
        <v>45528</v>
      </c>
      <c r="C1170" t="s">
        <v>41</v>
      </c>
      <c r="D1170" t="s">
        <v>42</v>
      </c>
      <c r="E1170" t="s">
        <v>61</v>
      </c>
      <c r="F1170" t="s">
        <v>23</v>
      </c>
      <c r="G1170" t="s">
        <v>1355</v>
      </c>
      <c r="H1170" t="s">
        <v>1356</v>
      </c>
      <c r="I1170" t="s">
        <v>754</v>
      </c>
      <c r="J1170">
        <v>2</v>
      </c>
      <c r="K1170">
        <v>50000</v>
      </c>
      <c r="L1170">
        <v>0</v>
      </c>
      <c r="M1170">
        <v>29000</v>
      </c>
      <c r="N1170">
        <f>(data[[#This Row],[unit_price]]*data[[#This Row],[quantity]]) * (1-data[[#This Row],[discount]])</f>
        <v>100000</v>
      </c>
      <c r="O1170">
        <f>data[[#This Row],[sales]]-data[[#This Row],[cost]]</f>
        <v>71000</v>
      </c>
      <c r="P1170" t="str">
        <f>TEXT(data[[#This Row],[order_date]],"mmm")</f>
        <v>Aug</v>
      </c>
      <c r="Q1170">
        <f>YEAR(data[[#This Row],[order_date]])</f>
        <v>2024</v>
      </c>
      <c r="R1170">
        <f>MONTH(data[[#This Row],[order_date]])</f>
        <v>8</v>
      </c>
      <c r="S1170">
        <f>DAY(data[[#This Row],[order_date]])</f>
        <v>24</v>
      </c>
      <c r="T1170">
        <f>data[[#This Row],[profit]]/data[[#This Row],[sales]]</f>
        <v>0.71</v>
      </c>
    </row>
    <row r="1171" spans="1:20" x14ac:dyDescent="0.35">
      <c r="A1171" t="s">
        <v>1387</v>
      </c>
      <c r="B1171" s="1">
        <v>45528</v>
      </c>
      <c r="C1171" t="s">
        <v>41</v>
      </c>
      <c r="D1171" t="s">
        <v>42</v>
      </c>
      <c r="E1171" t="s">
        <v>83</v>
      </c>
      <c r="F1171" t="s">
        <v>23</v>
      </c>
      <c r="G1171" t="s">
        <v>1355</v>
      </c>
      <c r="H1171" t="s">
        <v>1356</v>
      </c>
      <c r="I1171" t="s">
        <v>754</v>
      </c>
      <c r="J1171">
        <v>1</v>
      </c>
      <c r="K1171">
        <v>55000</v>
      </c>
      <c r="L1171">
        <v>0.15</v>
      </c>
      <c r="M1171">
        <v>33000</v>
      </c>
      <c r="N1171">
        <f>(data[[#This Row],[unit_price]]*data[[#This Row],[quantity]]) * (1-data[[#This Row],[discount]])</f>
        <v>46750</v>
      </c>
      <c r="O1171">
        <f>data[[#This Row],[sales]]-data[[#This Row],[cost]]</f>
        <v>13750</v>
      </c>
      <c r="P1171" t="str">
        <f>TEXT(data[[#This Row],[order_date]],"mmm")</f>
        <v>Aug</v>
      </c>
      <c r="Q1171">
        <f>YEAR(data[[#This Row],[order_date]])</f>
        <v>2024</v>
      </c>
      <c r="R1171">
        <f>MONTH(data[[#This Row],[order_date]])</f>
        <v>8</v>
      </c>
      <c r="S1171">
        <f>DAY(data[[#This Row],[order_date]])</f>
        <v>24</v>
      </c>
      <c r="T1171">
        <f>data[[#This Row],[profit]]/data[[#This Row],[sales]]</f>
        <v>0.29411764705882354</v>
      </c>
    </row>
    <row r="1172" spans="1:20" x14ac:dyDescent="0.35">
      <c r="A1172" t="s">
        <v>1388</v>
      </c>
      <c r="B1172" s="1">
        <v>45538</v>
      </c>
      <c r="C1172" t="s">
        <v>14</v>
      </c>
      <c r="D1172" t="s">
        <v>15</v>
      </c>
      <c r="E1172" t="s">
        <v>110</v>
      </c>
      <c r="F1172" t="s">
        <v>23</v>
      </c>
      <c r="G1172" t="s">
        <v>1355</v>
      </c>
      <c r="H1172" t="s">
        <v>1356</v>
      </c>
      <c r="I1172" t="s">
        <v>754</v>
      </c>
      <c r="J1172">
        <v>1</v>
      </c>
      <c r="K1172">
        <v>52000</v>
      </c>
      <c r="L1172">
        <v>0</v>
      </c>
      <c r="M1172">
        <v>31000</v>
      </c>
      <c r="N1172">
        <f>(data[[#This Row],[unit_price]]*data[[#This Row],[quantity]]) * (1-data[[#This Row],[discount]])</f>
        <v>52000</v>
      </c>
      <c r="O1172">
        <f>data[[#This Row],[sales]]-data[[#This Row],[cost]]</f>
        <v>21000</v>
      </c>
      <c r="P1172" t="str">
        <f>TEXT(data[[#This Row],[order_date]],"mmm")</f>
        <v>Sep</v>
      </c>
      <c r="Q1172">
        <f>YEAR(data[[#This Row],[order_date]])</f>
        <v>2024</v>
      </c>
      <c r="R1172">
        <f>MONTH(data[[#This Row],[order_date]])</f>
        <v>9</v>
      </c>
      <c r="S1172">
        <f>DAY(data[[#This Row],[order_date]])</f>
        <v>3</v>
      </c>
      <c r="T1172">
        <f>data[[#This Row],[profit]]/data[[#This Row],[sales]]</f>
        <v>0.40384615384615385</v>
      </c>
    </row>
    <row r="1173" spans="1:20" x14ac:dyDescent="0.35">
      <c r="A1173" t="s">
        <v>1389</v>
      </c>
      <c r="B1173" s="1">
        <v>45539</v>
      </c>
      <c r="C1173" t="s">
        <v>25</v>
      </c>
      <c r="D1173" t="s">
        <v>26</v>
      </c>
      <c r="E1173" t="s">
        <v>172</v>
      </c>
      <c r="F1173" t="s">
        <v>23</v>
      </c>
      <c r="G1173" t="s">
        <v>1355</v>
      </c>
      <c r="H1173" t="s">
        <v>1356</v>
      </c>
      <c r="I1173" t="s">
        <v>754</v>
      </c>
      <c r="J1173">
        <v>1</v>
      </c>
      <c r="K1173">
        <v>95000</v>
      </c>
      <c r="L1173">
        <v>0</v>
      </c>
      <c r="M1173">
        <v>57000</v>
      </c>
      <c r="N1173">
        <f>(data[[#This Row],[unit_price]]*data[[#This Row],[quantity]]) * (1-data[[#This Row],[discount]])</f>
        <v>95000</v>
      </c>
      <c r="O1173">
        <f>data[[#This Row],[sales]]-data[[#This Row],[cost]]</f>
        <v>38000</v>
      </c>
      <c r="P1173" t="str">
        <f>TEXT(data[[#This Row],[order_date]],"mmm")</f>
        <v>Sep</v>
      </c>
      <c r="Q1173">
        <f>YEAR(data[[#This Row],[order_date]])</f>
        <v>2024</v>
      </c>
      <c r="R1173">
        <f>MONTH(data[[#This Row],[order_date]])</f>
        <v>9</v>
      </c>
      <c r="S1173">
        <f>DAY(data[[#This Row],[order_date]])</f>
        <v>4</v>
      </c>
      <c r="T1173">
        <f>data[[#This Row],[profit]]/data[[#This Row],[sales]]</f>
        <v>0.4</v>
      </c>
    </row>
    <row r="1174" spans="1:20" x14ac:dyDescent="0.35">
      <c r="A1174" t="s">
        <v>1390</v>
      </c>
      <c r="B1174" s="1">
        <v>45540</v>
      </c>
      <c r="C1174" t="s">
        <v>14</v>
      </c>
      <c r="D1174" t="s">
        <v>15</v>
      </c>
      <c r="E1174" t="s">
        <v>95</v>
      </c>
      <c r="F1174" t="s">
        <v>23</v>
      </c>
      <c r="G1174" t="s">
        <v>1355</v>
      </c>
      <c r="H1174" t="s">
        <v>1356</v>
      </c>
      <c r="I1174" t="s">
        <v>754</v>
      </c>
      <c r="J1174">
        <v>1</v>
      </c>
      <c r="K1174">
        <v>92000</v>
      </c>
      <c r="L1174">
        <v>0.15</v>
      </c>
      <c r="M1174">
        <v>55000</v>
      </c>
      <c r="N1174">
        <f>(data[[#This Row],[unit_price]]*data[[#This Row],[quantity]]) * (1-data[[#This Row],[discount]])</f>
        <v>78200</v>
      </c>
      <c r="O1174">
        <f>data[[#This Row],[sales]]-data[[#This Row],[cost]]</f>
        <v>23200</v>
      </c>
      <c r="P1174" t="str">
        <f>TEXT(data[[#This Row],[order_date]],"mmm")</f>
        <v>Sep</v>
      </c>
      <c r="Q1174">
        <f>YEAR(data[[#This Row],[order_date]])</f>
        <v>2024</v>
      </c>
      <c r="R1174">
        <f>MONTH(data[[#This Row],[order_date]])</f>
        <v>9</v>
      </c>
      <c r="S1174">
        <f>DAY(data[[#This Row],[order_date]])</f>
        <v>5</v>
      </c>
      <c r="T1174">
        <f>data[[#This Row],[profit]]/data[[#This Row],[sales]]</f>
        <v>0.29667519181585678</v>
      </c>
    </row>
    <row r="1175" spans="1:20" x14ac:dyDescent="0.35">
      <c r="A1175" t="s">
        <v>1391</v>
      </c>
      <c r="B1175" s="1">
        <v>45542</v>
      </c>
      <c r="C1175" t="s">
        <v>36</v>
      </c>
      <c r="D1175" t="s">
        <v>37</v>
      </c>
      <c r="E1175" t="s">
        <v>258</v>
      </c>
      <c r="F1175" t="s">
        <v>23</v>
      </c>
      <c r="G1175" t="s">
        <v>1355</v>
      </c>
      <c r="H1175" t="s">
        <v>1356</v>
      </c>
      <c r="I1175" t="s">
        <v>754</v>
      </c>
      <c r="J1175">
        <v>1</v>
      </c>
      <c r="K1175">
        <v>56000</v>
      </c>
      <c r="L1175">
        <v>0.05</v>
      </c>
      <c r="M1175">
        <v>33000</v>
      </c>
      <c r="N1175">
        <f>(data[[#This Row],[unit_price]]*data[[#This Row],[quantity]]) * (1-data[[#This Row],[discount]])</f>
        <v>53200</v>
      </c>
      <c r="O1175">
        <f>data[[#This Row],[sales]]-data[[#This Row],[cost]]</f>
        <v>20200</v>
      </c>
      <c r="P1175" t="str">
        <f>TEXT(data[[#This Row],[order_date]],"mmm")</f>
        <v>Sep</v>
      </c>
      <c r="Q1175">
        <f>YEAR(data[[#This Row],[order_date]])</f>
        <v>2024</v>
      </c>
      <c r="R1175">
        <f>MONTH(data[[#This Row],[order_date]])</f>
        <v>9</v>
      </c>
      <c r="S1175">
        <f>DAY(data[[#This Row],[order_date]])</f>
        <v>7</v>
      </c>
      <c r="T1175">
        <f>data[[#This Row],[profit]]/data[[#This Row],[sales]]</f>
        <v>0.37969924812030076</v>
      </c>
    </row>
    <row r="1176" spans="1:20" x14ac:dyDescent="0.35">
      <c r="A1176" t="s">
        <v>1392</v>
      </c>
      <c r="B1176" s="1">
        <v>45581</v>
      </c>
      <c r="C1176" t="s">
        <v>49</v>
      </c>
      <c r="D1176" t="s">
        <v>50</v>
      </c>
      <c r="E1176" t="s">
        <v>274</v>
      </c>
      <c r="F1176" t="s">
        <v>58</v>
      </c>
      <c r="G1176" t="s">
        <v>1355</v>
      </c>
      <c r="H1176" t="s">
        <v>1356</v>
      </c>
      <c r="I1176" t="s">
        <v>754</v>
      </c>
      <c r="J1176">
        <v>1</v>
      </c>
      <c r="K1176">
        <v>78000</v>
      </c>
      <c r="L1176">
        <v>0</v>
      </c>
      <c r="M1176">
        <v>48000</v>
      </c>
      <c r="N1176">
        <f>(data[[#This Row],[unit_price]]*data[[#This Row],[quantity]]) * (1-data[[#This Row],[discount]])</f>
        <v>78000</v>
      </c>
      <c r="O1176">
        <f>data[[#This Row],[sales]]-data[[#This Row],[cost]]</f>
        <v>30000</v>
      </c>
      <c r="P1176" t="str">
        <f>TEXT(data[[#This Row],[order_date]],"mmm")</f>
        <v>Oct</v>
      </c>
      <c r="Q1176">
        <f>YEAR(data[[#This Row],[order_date]])</f>
        <v>2024</v>
      </c>
      <c r="R1176">
        <f>MONTH(data[[#This Row],[order_date]])</f>
        <v>10</v>
      </c>
      <c r="S1176">
        <f>DAY(data[[#This Row],[order_date]])</f>
        <v>16</v>
      </c>
      <c r="T1176">
        <f>data[[#This Row],[profit]]/data[[#This Row],[sales]]</f>
        <v>0.38461538461538464</v>
      </c>
    </row>
    <row r="1177" spans="1:20" x14ac:dyDescent="0.35">
      <c r="A1177" t="s">
        <v>1393</v>
      </c>
      <c r="B1177" s="1">
        <v>45631</v>
      </c>
      <c r="C1177" t="s">
        <v>14</v>
      </c>
      <c r="D1177" t="s">
        <v>15</v>
      </c>
      <c r="E1177" t="s">
        <v>230</v>
      </c>
      <c r="F1177" t="s">
        <v>23</v>
      </c>
      <c r="G1177" t="s">
        <v>1355</v>
      </c>
      <c r="H1177" t="s">
        <v>1356</v>
      </c>
      <c r="I1177" t="s">
        <v>754</v>
      </c>
      <c r="J1177">
        <v>3</v>
      </c>
      <c r="K1177">
        <v>77000</v>
      </c>
      <c r="L1177">
        <v>0.15</v>
      </c>
      <c r="M1177">
        <v>45000</v>
      </c>
      <c r="N1177">
        <f>(data[[#This Row],[unit_price]]*data[[#This Row],[quantity]]) * (1-data[[#This Row],[discount]])</f>
        <v>196350</v>
      </c>
      <c r="O1177">
        <f>data[[#This Row],[sales]]-data[[#This Row],[cost]]</f>
        <v>151350</v>
      </c>
      <c r="P1177" t="str">
        <f>TEXT(data[[#This Row],[order_date]],"mmm")</f>
        <v>Dec</v>
      </c>
      <c r="Q1177">
        <f>YEAR(data[[#This Row],[order_date]])</f>
        <v>2024</v>
      </c>
      <c r="R1177">
        <f>MONTH(data[[#This Row],[order_date]])</f>
        <v>12</v>
      </c>
      <c r="S1177">
        <f>DAY(data[[#This Row],[order_date]])</f>
        <v>5</v>
      </c>
      <c r="T1177">
        <f>data[[#This Row],[profit]]/data[[#This Row],[sales]]</f>
        <v>0.77081741787624136</v>
      </c>
    </row>
    <row r="1178" spans="1:20" x14ac:dyDescent="0.35">
      <c r="A1178" t="s">
        <v>1394</v>
      </c>
      <c r="B1178" s="1">
        <v>45674</v>
      </c>
      <c r="C1178" t="s">
        <v>14</v>
      </c>
      <c r="D1178" t="s">
        <v>15</v>
      </c>
      <c r="E1178" t="s">
        <v>1041</v>
      </c>
      <c r="F1178" t="s">
        <v>23</v>
      </c>
      <c r="G1178" t="s">
        <v>1355</v>
      </c>
      <c r="H1178" t="s">
        <v>1356</v>
      </c>
      <c r="I1178" t="s">
        <v>754</v>
      </c>
      <c r="J1178">
        <v>1</v>
      </c>
      <c r="K1178">
        <v>68000</v>
      </c>
      <c r="L1178">
        <v>0</v>
      </c>
      <c r="M1178">
        <v>41000</v>
      </c>
      <c r="N1178">
        <f>(data[[#This Row],[unit_price]]*data[[#This Row],[quantity]]) * (1-data[[#This Row],[discount]])</f>
        <v>68000</v>
      </c>
      <c r="O1178">
        <f>data[[#This Row],[sales]]-data[[#This Row],[cost]]</f>
        <v>27000</v>
      </c>
      <c r="P1178" t="str">
        <f>TEXT(data[[#This Row],[order_date]],"mmm")</f>
        <v>Jan</v>
      </c>
      <c r="Q1178">
        <f>YEAR(data[[#This Row],[order_date]])</f>
        <v>2025</v>
      </c>
      <c r="R1178">
        <f>MONTH(data[[#This Row],[order_date]])</f>
        <v>1</v>
      </c>
      <c r="S1178">
        <f>DAY(data[[#This Row],[order_date]])</f>
        <v>17</v>
      </c>
      <c r="T1178">
        <f>data[[#This Row],[profit]]/data[[#This Row],[sales]]</f>
        <v>0.39705882352941174</v>
      </c>
    </row>
    <row r="1179" spans="1:20" x14ac:dyDescent="0.35">
      <c r="A1179" t="s">
        <v>1395</v>
      </c>
      <c r="B1179" s="1">
        <v>45702</v>
      </c>
      <c r="C1179" t="s">
        <v>25</v>
      </c>
      <c r="D1179" t="s">
        <v>26</v>
      </c>
      <c r="E1179" t="s">
        <v>218</v>
      </c>
      <c r="F1179" t="s">
        <v>23</v>
      </c>
      <c r="G1179" t="s">
        <v>1355</v>
      </c>
      <c r="H1179" t="s">
        <v>1356</v>
      </c>
      <c r="I1179" t="s">
        <v>754</v>
      </c>
      <c r="J1179">
        <v>1</v>
      </c>
      <c r="K1179">
        <v>50000</v>
      </c>
      <c r="L1179">
        <v>0</v>
      </c>
      <c r="M1179">
        <v>31000</v>
      </c>
      <c r="N1179">
        <f>(data[[#This Row],[unit_price]]*data[[#This Row],[quantity]]) * (1-data[[#This Row],[discount]])</f>
        <v>50000</v>
      </c>
      <c r="O1179">
        <f>data[[#This Row],[sales]]-data[[#This Row],[cost]]</f>
        <v>19000</v>
      </c>
      <c r="P1179" t="str">
        <f>TEXT(data[[#This Row],[order_date]],"mmm")</f>
        <v>Feb</v>
      </c>
      <c r="Q1179">
        <f>YEAR(data[[#This Row],[order_date]])</f>
        <v>2025</v>
      </c>
      <c r="R1179">
        <f>MONTH(data[[#This Row],[order_date]])</f>
        <v>2</v>
      </c>
      <c r="S1179">
        <f>DAY(data[[#This Row],[order_date]])</f>
        <v>14</v>
      </c>
      <c r="T1179">
        <f>data[[#This Row],[profit]]/data[[#This Row],[sales]]</f>
        <v>0.38</v>
      </c>
    </row>
    <row r="1180" spans="1:20" x14ac:dyDescent="0.35">
      <c r="A1180" t="s">
        <v>1396</v>
      </c>
      <c r="B1180" s="1">
        <v>45753</v>
      </c>
      <c r="C1180" t="s">
        <v>49</v>
      </c>
      <c r="D1180" t="s">
        <v>50</v>
      </c>
      <c r="E1180" t="s">
        <v>126</v>
      </c>
      <c r="F1180" t="s">
        <v>17</v>
      </c>
      <c r="G1180" t="s">
        <v>1355</v>
      </c>
      <c r="H1180" t="s">
        <v>1356</v>
      </c>
      <c r="I1180" t="s">
        <v>754</v>
      </c>
      <c r="J1180">
        <v>1</v>
      </c>
      <c r="K1180">
        <v>100000</v>
      </c>
      <c r="L1180">
        <v>0</v>
      </c>
      <c r="M1180">
        <v>59000</v>
      </c>
      <c r="N1180">
        <f>(data[[#This Row],[unit_price]]*data[[#This Row],[quantity]]) * (1-data[[#This Row],[discount]])</f>
        <v>100000</v>
      </c>
      <c r="O1180">
        <f>data[[#This Row],[sales]]-data[[#This Row],[cost]]</f>
        <v>41000</v>
      </c>
      <c r="P1180" t="str">
        <f>TEXT(data[[#This Row],[order_date]],"mmm")</f>
        <v>Apr</v>
      </c>
      <c r="Q1180">
        <f>YEAR(data[[#This Row],[order_date]])</f>
        <v>2025</v>
      </c>
      <c r="R1180">
        <f>MONTH(data[[#This Row],[order_date]])</f>
        <v>4</v>
      </c>
      <c r="S1180">
        <f>DAY(data[[#This Row],[order_date]])</f>
        <v>6</v>
      </c>
      <c r="T1180">
        <f>data[[#This Row],[profit]]/data[[#This Row],[sales]]</f>
        <v>0.41</v>
      </c>
    </row>
    <row r="1181" spans="1:20" x14ac:dyDescent="0.35">
      <c r="A1181" t="s">
        <v>1397</v>
      </c>
      <c r="B1181" s="1">
        <v>45758</v>
      </c>
      <c r="C1181" t="s">
        <v>49</v>
      </c>
      <c r="D1181" t="s">
        <v>50</v>
      </c>
      <c r="E1181" t="s">
        <v>493</v>
      </c>
      <c r="F1181" t="s">
        <v>23</v>
      </c>
      <c r="G1181" t="s">
        <v>1355</v>
      </c>
      <c r="H1181" t="s">
        <v>1356</v>
      </c>
      <c r="I1181" t="s">
        <v>754</v>
      </c>
      <c r="J1181">
        <v>2</v>
      </c>
      <c r="K1181">
        <v>67000</v>
      </c>
      <c r="L1181">
        <v>0</v>
      </c>
      <c r="M1181">
        <v>41000</v>
      </c>
      <c r="N1181">
        <f>(data[[#This Row],[unit_price]]*data[[#This Row],[quantity]]) * (1-data[[#This Row],[discount]])</f>
        <v>134000</v>
      </c>
      <c r="O1181">
        <f>data[[#This Row],[sales]]-data[[#This Row],[cost]]</f>
        <v>93000</v>
      </c>
      <c r="P1181" t="str">
        <f>TEXT(data[[#This Row],[order_date]],"mmm")</f>
        <v>Apr</v>
      </c>
      <c r="Q1181">
        <f>YEAR(data[[#This Row],[order_date]])</f>
        <v>2025</v>
      </c>
      <c r="R1181">
        <f>MONTH(data[[#This Row],[order_date]])</f>
        <v>4</v>
      </c>
      <c r="S1181">
        <f>DAY(data[[#This Row],[order_date]])</f>
        <v>11</v>
      </c>
      <c r="T1181">
        <f>data[[#This Row],[profit]]/data[[#This Row],[sales]]</f>
        <v>0.69402985074626866</v>
      </c>
    </row>
    <row r="1182" spans="1:20" x14ac:dyDescent="0.35">
      <c r="A1182" t="s">
        <v>1398</v>
      </c>
      <c r="B1182" s="1">
        <v>45763</v>
      </c>
      <c r="C1182" t="s">
        <v>41</v>
      </c>
      <c r="D1182" t="s">
        <v>42</v>
      </c>
      <c r="E1182" t="s">
        <v>265</v>
      </c>
      <c r="F1182" t="s">
        <v>23</v>
      </c>
      <c r="G1182" t="s">
        <v>1355</v>
      </c>
      <c r="H1182" t="s">
        <v>1356</v>
      </c>
      <c r="I1182" t="s">
        <v>754</v>
      </c>
      <c r="J1182">
        <v>1</v>
      </c>
      <c r="K1182">
        <v>55000</v>
      </c>
      <c r="L1182">
        <v>0</v>
      </c>
      <c r="M1182">
        <v>33000</v>
      </c>
      <c r="N1182">
        <f>(data[[#This Row],[unit_price]]*data[[#This Row],[quantity]]) * (1-data[[#This Row],[discount]])</f>
        <v>55000</v>
      </c>
      <c r="O1182">
        <f>data[[#This Row],[sales]]-data[[#This Row],[cost]]</f>
        <v>22000</v>
      </c>
      <c r="P1182" t="str">
        <f>TEXT(data[[#This Row],[order_date]],"mmm")</f>
        <v>Apr</v>
      </c>
      <c r="Q1182">
        <f>YEAR(data[[#This Row],[order_date]])</f>
        <v>2025</v>
      </c>
      <c r="R1182">
        <f>MONTH(data[[#This Row],[order_date]])</f>
        <v>4</v>
      </c>
      <c r="S1182">
        <f>DAY(data[[#This Row],[order_date]])</f>
        <v>16</v>
      </c>
      <c r="T1182">
        <f>data[[#This Row],[profit]]/data[[#This Row],[sales]]</f>
        <v>0.4</v>
      </c>
    </row>
    <row r="1183" spans="1:20" x14ac:dyDescent="0.35">
      <c r="A1183" t="s">
        <v>1399</v>
      </c>
      <c r="B1183" s="1">
        <v>45771</v>
      </c>
      <c r="C1183" t="s">
        <v>14</v>
      </c>
      <c r="D1183" t="s">
        <v>15</v>
      </c>
      <c r="E1183" t="s">
        <v>155</v>
      </c>
      <c r="F1183" t="s">
        <v>58</v>
      </c>
      <c r="G1183" t="s">
        <v>1355</v>
      </c>
      <c r="H1183" t="s">
        <v>1356</v>
      </c>
      <c r="I1183" t="s">
        <v>754</v>
      </c>
      <c r="J1183">
        <v>1</v>
      </c>
      <c r="K1183">
        <v>86000</v>
      </c>
      <c r="L1183">
        <v>0</v>
      </c>
      <c r="M1183">
        <v>50000</v>
      </c>
      <c r="N1183">
        <f>(data[[#This Row],[unit_price]]*data[[#This Row],[quantity]]) * (1-data[[#This Row],[discount]])</f>
        <v>86000</v>
      </c>
      <c r="O1183">
        <f>data[[#This Row],[sales]]-data[[#This Row],[cost]]</f>
        <v>36000</v>
      </c>
      <c r="P1183" t="str">
        <f>TEXT(data[[#This Row],[order_date]],"mmm")</f>
        <v>Apr</v>
      </c>
      <c r="Q1183">
        <f>YEAR(data[[#This Row],[order_date]])</f>
        <v>2025</v>
      </c>
      <c r="R1183">
        <f>MONTH(data[[#This Row],[order_date]])</f>
        <v>4</v>
      </c>
      <c r="S1183">
        <f>DAY(data[[#This Row],[order_date]])</f>
        <v>24</v>
      </c>
      <c r="T1183">
        <f>data[[#This Row],[profit]]/data[[#This Row],[sales]]</f>
        <v>0.41860465116279072</v>
      </c>
    </row>
    <row r="1184" spans="1:20" x14ac:dyDescent="0.35">
      <c r="A1184" t="s">
        <v>1400</v>
      </c>
      <c r="B1184" s="1">
        <v>45778</v>
      </c>
      <c r="C1184" t="s">
        <v>14</v>
      </c>
      <c r="D1184" t="s">
        <v>15</v>
      </c>
      <c r="E1184" t="s">
        <v>55</v>
      </c>
      <c r="F1184" t="s">
        <v>17</v>
      </c>
      <c r="G1184" t="s">
        <v>1355</v>
      </c>
      <c r="H1184" t="s">
        <v>1356</v>
      </c>
      <c r="I1184" t="s">
        <v>754</v>
      </c>
      <c r="J1184">
        <v>1</v>
      </c>
      <c r="K1184">
        <v>68000</v>
      </c>
      <c r="L1184">
        <v>0.1</v>
      </c>
      <c r="M1184">
        <v>40000</v>
      </c>
      <c r="N1184">
        <f>(data[[#This Row],[unit_price]]*data[[#This Row],[quantity]]) * (1-data[[#This Row],[discount]])</f>
        <v>61200</v>
      </c>
      <c r="O1184">
        <f>data[[#This Row],[sales]]-data[[#This Row],[cost]]</f>
        <v>21200</v>
      </c>
      <c r="P1184" t="str">
        <f>TEXT(data[[#This Row],[order_date]],"mmm")</f>
        <v>May</v>
      </c>
      <c r="Q1184">
        <f>YEAR(data[[#This Row],[order_date]])</f>
        <v>2025</v>
      </c>
      <c r="R1184">
        <f>MONTH(data[[#This Row],[order_date]])</f>
        <v>5</v>
      </c>
      <c r="S1184">
        <f>DAY(data[[#This Row],[order_date]])</f>
        <v>1</v>
      </c>
      <c r="T1184">
        <f>data[[#This Row],[profit]]/data[[#This Row],[sales]]</f>
        <v>0.34640522875816993</v>
      </c>
    </row>
    <row r="1185" spans="1:20" x14ac:dyDescent="0.35">
      <c r="A1185" t="s">
        <v>1401</v>
      </c>
      <c r="B1185" s="1">
        <v>45793</v>
      </c>
      <c r="C1185" t="s">
        <v>49</v>
      </c>
      <c r="D1185" t="s">
        <v>50</v>
      </c>
      <c r="E1185" t="s">
        <v>89</v>
      </c>
      <c r="F1185" t="s">
        <v>23</v>
      </c>
      <c r="G1185" t="s">
        <v>1355</v>
      </c>
      <c r="H1185" t="s">
        <v>1356</v>
      </c>
      <c r="I1185" t="s">
        <v>754</v>
      </c>
      <c r="J1185">
        <v>1</v>
      </c>
      <c r="K1185">
        <v>86000</v>
      </c>
      <c r="L1185">
        <v>0</v>
      </c>
      <c r="M1185">
        <v>53000</v>
      </c>
      <c r="N1185">
        <f>(data[[#This Row],[unit_price]]*data[[#This Row],[quantity]]) * (1-data[[#This Row],[discount]])</f>
        <v>86000</v>
      </c>
      <c r="O1185">
        <f>data[[#This Row],[sales]]-data[[#This Row],[cost]]</f>
        <v>33000</v>
      </c>
      <c r="P1185" t="str">
        <f>TEXT(data[[#This Row],[order_date]],"mmm")</f>
        <v>May</v>
      </c>
      <c r="Q1185">
        <f>YEAR(data[[#This Row],[order_date]])</f>
        <v>2025</v>
      </c>
      <c r="R1185">
        <f>MONTH(data[[#This Row],[order_date]])</f>
        <v>5</v>
      </c>
      <c r="S1185">
        <f>DAY(data[[#This Row],[order_date]])</f>
        <v>16</v>
      </c>
      <c r="T1185">
        <f>data[[#This Row],[profit]]/data[[#This Row],[sales]]</f>
        <v>0.38372093023255816</v>
      </c>
    </row>
    <row r="1186" spans="1:20" x14ac:dyDescent="0.35">
      <c r="A1186" t="s">
        <v>1402</v>
      </c>
      <c r="B1186" s="1">
        <v>45801</v>
      </c>
      <c r="C1186" t="s">
        <v>41</v>
      </c>
      <c r="D1186" t="s">
        <v>42</v>
      </c>
      <c r="E1186" t="s">
        <v>93</v>
      </c>
      <c r="F1186" t="s">
        <v>23</v>
      </c>
      <c r="G1186" t="s">
        <v>1355</v>
      </c>
      <c r="H1186" t="s">
        <v>1356</v>
      </c>
      <c r="I1186" t="s">
        <v>754</v>
      </c>
      <c r="J1186">
        <v>3</v>
      </c>
      <c r="K1186">
        <v>54000</v>
      </c>
      <c r="L1186">
        <v>0</v>
      </c>
      <c r="M1186">
        <v>33000</v>
      </c>
      <c r="N1186">
        <f>(data[[#This Row],[unit_price]]*data[[#This Row],[quantity]]) * (1-data[[#This Row],[discount]])</f>
        <v>162000</v>
      </c>
      <c r="O1186">
        <f>data[[#This Row],[sales]]-data[[#This Row],[cost]]</f>
        <v>129000</v>
      </c>
      <c r="P1186" t="str">
        <f>TEXT(data[[#This Row],[order_date]],"mmm")</f>
        <v>May</v>
      </c>
      <c r="Q1186">
        <f>YEAR(data[[#This Row],[order_date]])</f>
        <v>2025</v>
      </c>
      <c r="R1186">
        <f>MONTH(data[[#This Row],[order_date]])</f>
        <v>5</v>
      </c>
      <c r="S1186">
        <f>DAY(data[[#This Row],[order_date]])</f>
        <v>24</v>
      </c>
      <c r="T1186">
        <f>data[[#This Row],[profit]]/data[[#This Row],[sales]]</f>
        <v>0.79629629629629628</v>
      </c>
    </row>
    <row r="1187" spans="1:20" x14ac:dyDescent="0.35">
      <c r="A1187" t="s">
        <v>1403</v>
      </c>
      <c r="B1187" s="1">
        <v>45804</v>
      </c>
      <c r="C1187" t="s">
        <v>14</v>
      </c>
      <c r="D1187" t="s">
        <v>15</v>
      </c>
      <c r="E1187" t="s">
        <v>203</v>
      </c>
      <c r="F1187" t="s">
        <v>17</v>
      </c>
      <c r="G1187" t="s">
        <v>1355</v>
      </c>
      <c r="H1187" t="s">
        <v>1356</v>
      </c>
      <c r="I1187" t="s">
        <v>754</v>
      </c>
      <c r="J1187">
        <v>1</v>
      </c>
      <c r="K1187">
        <v>64000</v>
      </c>
      <c r="L1187">
        <v>0</v>
      </c>
      <c r="M1187">
        <v>40000</v>
      </c>
      <c r="N1187">
        <f>(data[[#This Row],[unit_price]]*data[[#This Row],[quantity]]) * (1-data[[#This Row],[discount]])</f>
        <v>64000</v>
      </c>
      <c r="O1187">
        <f>data[[#This Row],[sales]]-data[[#This Row],[cost]]</f>
        <v>24000</v>
      </c>
      <c r="P1187" t="str">
        <f>TEXT(data[[#This Row],[order_date]],"mmm")</f>
        <v>May</v>
      </c>
      <c r="Q1187">
        <f>YEAR(data[[#This Row],[order_date]])</f>
        <v>2025</v>
      </c>
      <c r="R1187">
        <f>MONTH(data[[#This Row],[order_date]])</f>
        <v>5</v>
      </c>
      <c r="S1187">
        <f>DAY(data[[#This Row],[order_date]])</f>
        <v>27</v>
      </c>
      <c r="T1187">
        <f>data[[#This Row],[profit]]/data[[#This Row],[sales]]</f>
        <v>0.375</v>
      </c>
    </row>
    <row r="1188" spans="1:20" x14ac:dyDescent="0.35">
      <c r="A1188" t="s">
        <v>1404</v>
      </c>
      <c r="B1188" s="1">
        <v>45816</v>
      </c>
      <c r="C1188" t="s">
        <v>14</v>
      </c>
      <c r="D1188" t="s">
        <v>15</v>
      </c>
      <c r="E1188" t="s">
        <v>174</v>
      </c>
      <c r="F1188" t="s">
        <v>23</v>
      </c>
      <c r="G1188" t="s">
        <v>1355</v>
      </c>
      <c r="H1188" t="s">
        <v>1356</v>
      </c>
      <c r="I1188" t="s">
        <v>754</v>
      </c>
      <c r="J1188">
        <v>1</v>
      </c>
      <c r="K1188">
        <v>100000</v>
      </c>
      <c r="L1188">
        <v>0.05</v>
      </c>
      <c r="M1188">
        <v>59000</v>
      </c>
      <c r="N1188">
        <f>(data[[#This Row],[unit_price]]*data[[#This Row],[quantity]]) * (1-data[[#This Row],[discount]])</f>
        <v>95000</v>
      </c>
      <c r="O1188">
        <f>data[[#This Row],[sales]]-data[[#This Row],[cost]]</f>
        <v>36000</v>
      </c>
      <c r="P1188" t="str">
        <f>TEXT(data[[#This Row],[order_date]],"mmm")</f>
        <v>Jun</v>
      </c>
      <c r="Q1188">
        <f>YEAR(data[[#This Row],[order_date]])</f>
        <v>2025</v>
      </c>
      <c r="R1188">
        <f>MONTH(data[[#This Row],[order_date]])</f>
        <v>6</v>
      </c>
      <c r="S1188">
        <f>DAY(data[[#This Row],[order_date]])</f>
        <v>8</v>
      </c>
      <c r="T1188">
        <f>data[[#This Row],[profit]]/data[[#This Row],[sales]]</f>
        <v>0.37894736842105264</v>
      </c>
    </row>
    <row r="1189" spans="1:20" x14ac:dyDescent="0.35">
      <c r="A1189" t="s">
        <v>1405</v>
      </c>
      <c r="B1189" s="1">
        <v>45826</v>
      </c>
      <c r="C1189" t="s">
        <v>49</v>
      </c>
      <c r="D1189" t="s">
        <v>50</v>
      </c>
      <c r="E1189" t="s">
        <v>559</v>
      </c>
      <c r="F1189" t="s">
        <v>23</v>
      </c>
      <c r="G1189" t="s">
        <v>1355</v>
      </c>
      <c r="H1189" t="s">
        <v>1356</v>
      </c>
      <c r="I1189" t="s">
        <v>754</v>
      </c>
      <c r="J1189">
        <v>1</v>
      </c>
      <c r="K1189">
        <v>83000</v>
      </c>
      <c r="L1189">
        <v>0</v>
      </c>
      <c r="M1189">
        <v>50000</v>
      </c>
      <c r="N1189">
        <f>(data[[#This Row],[unit_price]]*data[[#This Row],[quantity]]) * (1-data[[#This Row],[discount]])</f>
        <v>83000</v>
      </c>
      <c r="O1189">
        <f>data[[#This Row],[sales]]-data[[#This Row],[cost]]</f>
        <v>33000</v>
      </c>
      <c r="P1189" t="str">
        <f>TEXT(data[[#This Row],[order_date]],"mmm")</f>
        <v>Jun</v>
      </c>
      <c r="Q1189">
        <f>YEAR(data[[#This Row],[order_date]])</f>
        <v>2025</v>
      </c>
      <c r="R1189">
        <f>MONTH(data[[#This Row],[order_date]])</f>
        <v>6</v>
      </c>
      <c r="S1189">
        <f>DAY(data[[#This Row],[order_date]])</f>
        <v>18</v>
      </c>
      <c r="T1189">
        <f>data[[#This Row],[profit]]/data[[#This Row],[sales]]</f>
        <v>0.39759036144578314</v>
      </c>
    </row>
    <row r="1190" spans="1:20" x14ac:dyDescent="0.35">
      <c r="A1190" t="s">
        <v>1406</v>
      </c>
      <c r="B1190" s="1">
        <v>45844</v>
      </c>
      <c r="C1190" t="s">
        <v>14</v>
      </c>
      <c r="D1190" t="s">
        <v>15</v>
      </c>
      <c r="E1190" t="s">
        <v>27</v>
      </c>
      <c r="F1190" t="s">
        <v>28</v>
      </c>
      <c r="G1190" t="s">
        <v>1355</v>
      </c>
      <c r="H1190" t="s">
        <v>1356</v>
      </c>
      <c r="I1190" t="s">
        <v>754</v>
      </c>
      <c r="J1190">
        <v>1</v>
      </c>
      <c r="K1190">
        <v>53000</v>
      </c>
      <c r="L1190">
        <v>0</v>
      </c>
      <c r="M1190">
        <v>32000</v>
      </c>
      <c r="N1190">
        <f>(data[[#This Row],[unit_price]]*data[[#This Row],[quantity]]) * (1-data[[#This Row],[discount]])</f>
        <v>53000</v>
      </c>
      <c r="O1190">
        <f>data[[#This Row],[sales]]-data[[#This Row],[cost]]</f>
        <v>21000</v>
      </c>
      <c r="P1190" t="str">
        <f>TEXT(data[[#This Row],[order_date]],"mmm")</f>
        <v>Jul</v>
      </c>
      <c r="Q1190">
        <f>YEAR(data[[#This Row],[order_date]])</f>
        <v>2025</v>
      </c>
      <c r="R1190">
        <f>MONTH(data[[#This Row],[order_date]])</f>
        <v>7</v>
      </c>
      <c r="S1190">
        <f>DAY(data[[#This Row],[order_date]])</f>
        <v>6</v>
      </c>
      <c r="T1190">
        <f>data[[#This Row],[profit]]/data[[#This Row],[sales]]</f>
        <v>0.39622641509433965</v>
      </c>
    </row>
    <row r="1191" spans="1:20" x14ac:dyDescent="0.35">
      <c r="A1191" t="s">
        <v>1407</v>
      </c>
      <c r="B1191" s="1">
        <v>45846</v>
      </c>
      <c r="C1191" t="s">
        <v>14</v>
      </c>
      <c r="D1191" t="s">
        <v>15</v>
      </c>
      <c r="E1191" t="s">
        <v>307</v>
      </c>
      <c r="F1191" t="s">
        <v>28</v>
      </c>
      <c r="G1191" t="s">
        <v>1355</v>
      </c>
      <c r="H1191" t="s">
        <v>1356</v>
      </c>
      <c r="I1191" t="s">
        <v>754</v>
      </c>
      <c r="J1191">
        <v>1</v>
      </c>
      <c r="K1191">
        <v>101000</v>
      </c>
      <c r="L1191">
        <v>0</v>
      </c>
      <c r="M1191">
        <v>60000</v>
      </c>
      <c r="N1191">
        <f>(data[[#This Row],[unit_price]]*data[[#This Row],[quantity]]) * (1-data[[#This Row],[discount]])</f>
        <v>101000</v>
      </c>
      <c r="O1191">
        <f>data[[#This Row],[sales]]-data[[#This Row],[cost]]</f>
        <v>41000</v>
      </c>
      <c r="P1191" t="str">
        <f>TEXT(data[[#This Row],[order_date]],"mmm")</f>
        <v>Jul</v>
      </c>
      <c r="Q1191">
        <f>YEAR(data[[#This Row],[order_date]])</f>
        <v>2025</v>
      </c>
      <c r="R1191">
        <f>MONTH(data[[#This Row],[order_date]])</f>
        <v>7</v>
      </c>
      <c r="S1191">
        <f>DAY(data[[#This Row],[order_date]])</f>
        <v>8</v>
      </c>
      <c r="T1191">
        <f>data[[#This Row],[profit]]/data[[#This Row],[sales]]</f>
        <v>0.40594059405940597</v>
      </c>
    </row>
    <row r="1192" spans="1:20" x14ac:dyDescent="0.35">
      <c r="A1192" t="s">
        <v>1408</v>
      </c>
      <c r="B1192" s="1">
        <v>45856</v>
      </c>
      <c r="C1192" t="s">
        <v>41</v>
      </c>
      <c r="D1192" t="s">
        <v>42</v>
      </c>
      <c r="E1192" t="s">
        <v>825</v>
      </c>
      <c r="F1192" t="s">
        <v>23</v>
      </c>
      <c r="G1192" t="s">
        <v>1355</v>
      </c>
      <c r="H1192" t="s">
        <v>1356</v>
      </c>
      <c r="I1192" t="s">
        <v>754</v>
      </c>
      <c r="J1192">
        <v>1</v>
      </c>
      <c r="K1192">
        <v>72000</v>
      </c>
      <c r="L1192">
        <v>0</v>
      </c>
      <c r="M1192">
        <v>42000</v>
      </c>
      <c r="N1192">
        <f>(data[[#This Row],[unit_price]]*data[[#This Row],[quantity]]) * (1-data[[#This Row],[discount]])</f>
        <v>72000</v>
      </c>
      <c r="O1192">
        <f>data[[#This Row],[sales]]-data[[#This Row],[cost]]</f>
        <v>30000</v>
      </c>
      <c r="P1192" t="str">
        <f>TEXT(data[[#This Row],[order_date]],"mmm")</f>
        <v>Jul</v>
      </c>
      <c r="Q1192">
        <f>YEAR(data[[#This Row],[order_date]])</f>
        <v>2025</v>
      </c>
      <c r="R1192">
        <f>MONTH(data[[#This Row],[order_date]])</f>
        <v>7</v>
      </c>
      <c r="S1192">
        <f>DAY(data[[#This Row],[order_date]])</f>
        <v>18</v>
      </c>
      <c r="T1192">
        <f>data[[#This Row],[profit]]/data[[#This Row],[sales]]</f>
        <v>0.41666666666666669</v>
      </c>
    </row>
    <row r="1193" spans="1:20" x14ac:dyDescent="0.35">
      <c r="A1193" t="s">
        <v>1409</v>
      </c>
      <c r="B1193" s="1">
        <v>45870</v>
      </c>
      <c r="C1193" t="s">
        <v>14</v>
      </c>
      <c r="D1193" t="s">
        <v>15</v>
      </c>
      <c r="E1193" t="s">
        <v>203</v>
      </c>
      <c r="F1193" t="s">
        <v>17</v>
      </c>
      <c r="G1193" t="s">
        <v>1355</v>
      </c>
      <c r="H1193" t="s">
        <v>1356</v>
      </c>
      <c r="I1193" t="s">
        <v>754</v>
      </c>
      <c r="J1193">
        <v>1</v>
      </c>
      <c r="K1193">
        <v>93000</v>
      </c>
      <c r="L1193">
        <v>0.1</v>
      </c>
      <c r="M1193">
        <v>56000</v>
      </c>
      <c r="N1193">
        <f>(data[[#This Row],[unit_price]]*data[[#This Row],[quantity]]) * (1-data[[#This Row],[discount]])</f>
        <v>83700</v>
      </c>
      <c r="O1193">
        <f>data[[#This Row],[sales]]-data[[#This Row],[cost]]</f>
        <v>27700</v>
      </c>
      <c r="P1193" t="str">
        <f>TEXT(data[[#This Row],[order_date]],"mmm")</f>
        <v>Aug</v>
      </c>
      <c r="Q1193">
        <f>YEAR(data[[#This Row],[order_date]])</f>
        <v>2025</v>
      </c>
      <c r="R1193">
        <f>MONTH(data[[#This Row],[order_date]])</f>
        <v>8</v>
      </c>
      <c r="S1193">
        <f>DAY(data[[#This Row],[order_date]])</f>
        <v>1</v>
      </c>
      <c r="T1193">
        <f>data[[#This Row],[profit]]/data[[#This Row],[sales]]</f>
        <v>0.33094384707287933</v>
      </c>
    </row>
    <row r="1194" spans="1:20" x14ac:dyDescent="0.35">
      <c r="A1194" t="s">
        <v>1410</v>
      </c>
      <c r="B1194" s="1">
        <v>45884</v>
      </c>
      <c r="C1194" t="s">
        <v>36</v>
      </c>
      <c r="D1194" t="s">
        <v>37</v>
      </c>
      <c r="E1194" t="s">
        <v>311</v>
      </c>
      <c r="F1194" t="s">
        <v>17</v>
      </c>
      <c r="G1194" t="s">
        <v>1355</v>
      </c>
      <c r="H1194" t="s">
        <v>1356</v>
      </c>
      <c r="I1194" t="s">
        <v>754</v>
      </c>
      <c r="J1194">
        <v>3</v>
      </c>
      <c r="K1194">
        <v>91000</v>
      </c>
      <c r="L1194">
        <v>0</v>
      </c>
      <c r="M1194">
        <v>56000</v>
      </c>
      <c r="N1194">
        <f>(data[[#This Row],[unit_price]]*data[[#This Row],[quantity]]) * (1-data[[#This Row],[discount]])</f>
        <v>273000</v>
      </c>
      <c r="O1194">
        <f>data[[#This Row],[sales]]-data[[#This Row],[cost]]</f>
        <v>217000</v>
      </c>
      <c r="P1194" t="str">
        <f>TEXT(data[[#This Row],[order_date]],"mmm")</f>
        <v>Aug</v>
      </c>
      <c r="Q1194">
        <f>YEAR(data[[#This Row],[order_date]])</f>
        <v>2025</v>
      </c>
      <c r="R1194">
        <f>MONTH(data[[#This Row],[order_date]])</f>
        <v>8</v>
      </c>
      <c r="S1194">
        <f>DAY(data[[#This Row],[order_date]])</f>
        <v>15</v>
      </c>
      <c r="T1194">
        <f>data[[#This Row],[profit]]/data[[#This Row],[sales]]</f>
        <v>0.79487179487179482</v>
      </c>
    </row>
    <row r="1195" spans="1:20" x14ac:dyDescent="0.35">
      <c r="A1195" t="s">
        <v>1411</v>
      </c>
      <c r="B1195" s="1">
        <v>45898</v>
      </c>
      <c r="C1195" t="s">
        <v>14</v>
      </c>
      <c r="D1195" t="s">
        <v>15</v>
      </c>
      <c r="E1195" t="s">
        <v>179</v>
      </c>
      <c r="F1195" t="s">
        <v>23</v>
      </c>
      <c r="G1195" t="s">
        <v>1355</v>
      </c>
      <c r="H1195" t="s">
        <v>1356</v>
      </c>
      <c r="I1195" t="s">
        <v>754</v>
      </c>
      <c r="J1195">
        <v>3</v>
      </c>
      <c r="K1195">
        <v>55000</v>
      </c>
      <c r="L1195">
        <v>0</v>
      </c>
      <c r="M1195">
        <v>33000</v>
      </c>
      <c r="N1195">
        <f>(data[[#This Row],[unit_price]]*data[[#This Row],[quantity]]) * (1-data[[#This Row],[discount]])</f>
        <v>165000</v>
      </c>
      <c r="O1195">
        <f>data[[#This Row],[sales]]-data[[#This Row],[cost]]</f>
        <v>132000</v>
      </c>
      <c r="P1195" t="str">
        <f>TEXT(data[[#This Row],[order_date]],"mmm")</f>
        <v>Aug</v>
      </c>
      <c r="Q1195">
        <f>YEAR(data[[#This Row],[order_date]])</f>
        <v>2025</v>
      </c>
      <c r="R1195">
        <f>MONTH(data[[#This Row],[order_date]])</f>
        <v>8</v>
      </c>
      <c r="S1195">
        <f>DAY(data[[#This Row],[order_date]])</f>
        <v>29</v>
      </c>
      <c r="T1195">
        <f>data[[#This Row],[profit]]/data[[#This Row],[sales]]</f>
        <v>0.8</v>
      </c>
    </row>
    <row r="1196" spans="1:20" x14ac:dyDescent="0.35">
      <c r="A1196" t="s">
        <v>1412</v>
      </c>
      <c r="B1196" s="1">
        <v>45898</v>
      </c>
      <c r="C1196" t="s">
        <v>14</v>
      </c>
      <c r="D1196" t="s">
        <v>15</v>
      </c>
      <c r="E1196" t="s">
        <v>423</v>
      </c>
      <c r="F1196" t="s">
        <v>17</v>
      </c>
      <c r="G1196" t="s">
        <v>1355</v>
      </c>
      <c r="H1196" t="s">
        <v>1356</v>
      </c>
      <c r="I1196" t="s">
        <v>754</v>
      </c>
      <c r="J1196">
        <v>1</v>
      </c>
      <c r="K1196">
        <v>70000</v>
      </c>
      <c r="L1196">
        <v>0</v>
      </c>
      <c r="M1196">
        <v>42000</v>
      </c>
      <c r="N1196">
        <f>(data[[#This Row],[unit_price]]*data[[#This Row],[quantity]]) * (1-data[[#This Row],[discount]])</f>
        <v>70000</v>
      </c>
      <c r="O1196">
        <f>data[[#This Row],[sales]]-data[[#This Row],[cost]]</f>
        <v>28000</v>
      </c>
      <c r="P1196" t="str">
        <f>TEXT(data[[#This Row],[order_date]],"mmm")</f>
        <v>Aug</v>
      </c>
      <c r="Q1196">
        <f>YEAR(data[[#This Row],[order_date]])</f>
        <v>2025</v>
      </c>
      <c r="R1196">
        <f>MONTH(data[[#This Row],[order_date]])</f>
        <v>8</v>
      </c>
      <c r="S1196">
        <f>DAY(data[[#This Row],[order_date]])</f>
        <v>29</v>
      </c>
      <c r="T1196">
        <f>data[[#This Row],[profit]]/data[[#This Row],[sales]]</f>
        <v>0.4</v>
      </c>
    </row>
    <row r="1197" spans="1:20" x14ac:dyDescent="0.35">
      <c r="A1197" t="s">
        <v>1413</v>
      </c>
      <c r="B1197" s="1">
        <v>45905</v>
      </c>
      <c r="C1197" t="s">
        <v>41</v>
      </c>
      <c r="D1197" t="s">
        <v>42</v>
      </c>
      <c r="E1197" t="s">
        <v>172</v>
      </c>
      <c r="F1197" t="s">
        <v>23</v>
      </c>
      <c r="G1197" t="s">
        <v>1355</v>
      </c>
      <c r="H1197" t="s">
        <v>1356</v>
      </c>
      <c r="I1197" t="s">
        <v>754</v>
      </c>
      <c r="J1197">
        <v>2</v>
      </c>
      <c r="K1197">
        <v>96000</v>
      </c>
      <c r="L1197">
        <v>0</v>
      </c>
      <c r="M1197">
        <v>59000</v>
      </c>
      <c r="N1197">
        <f>(data[[#This Row],[unit_price]]*data[[#This Row],[quantity]]) * (1-data[[#This Row],[discount]])</f>
        <v>192000</v>
      </c>
      <c r="O1197">
        <f>data[[#This Row],[sales]]-data[[#This Row],[cost]]</f>
        <v>133000</v>
      </c>
      <c r="P1197" t="str">
        <f>TEXT(data[[#This Row],[order_date]],"mmm")</f>
        <v>Sep</v>
      </c>
      <c r="Q1197">
        <f>YEAR(data[[#This Row],[order_date]])</f>
        <v>2025</v>
      </c>
      <c r="R1197">
        <f>MONTH(data[[#This Row],[order_date]])</f>
        <v>9</v>
      </c>
      <c r="S1197">
        <f>DAY(data[[#This Row],[order_date]])</f>
        <v>5</v>
      </c>
      <c r="T1197">
        <f>data[[#This Row],[profit]]/data[[#This Row],[sales]]</f>
        <v>0.69270833333333337</v>
      </c>
    </row>
    <row r="1198" spans="1:20" x14ac:dyDescent="0.35">
      <c r="A1198" t="s">
        <v>1414</v>
      </c>
      <c r="B1198" s="1">
        <v>45921</v>
      </c>
      <c r="C1198" t="s">
        <v>14</v>
      </c>
      <c r="D1198" t="s">
        <v>15</v>
      </c>
      <c r="E1198" t="s">
        <v>164</v>
      </c>
      <c r="F1198" t="s">
        <v>23</v>
      </c>
      <c r="G1198" t="s">
        <v>1355</v>
      </c>
      <c r="H1198" t="s">
        <v>1356</v>
      </c>
      <c r="I1198" t="s">
        <v>754</v>
      </c>
      <c r="J1198">
        <v>1</v>
      </c>
      <c r="K1198">
        <v>74000</v>
      </c>
      <c r="L1198">
        <v>0.05</v>
      </c>
      <c r="M1198">
        <v>45000</v>
      </c>
      <c r="N1198">
        <f>(data[[#This Row],[unit_price]]*data[[#This Row],[quantity]]) * (1-data[[#This Row],[discount]])</f>
        <v>70300</v>
      </c>
      <c r="O1198">
        <f>data[[#This Row],[sales]]-data[[#This Row],[cost]]</f>
        <v>25300</v>
      </c>
      <c r="P1198" t="str">
        <f>TEXT(data[[#This Row],[order_date]],"mmm")</f>
        <v>Sep</v>
      </c>
      <c r="Q1198">
        <f>YEAR(data[[#This Row],[order_date]])</f>
        <v>2025</v>
      </c>
      <c r="R1198">
        <f>MONTH(data[[#This Row],[order_date]])</f>
        <v>9</v>
      </c>
      <c r="S1198">
        <f>DAY(data[[#This Row],[order_date]])</f>
        <v>21</v>
      </c>
      <c r="T1198">
        <f>data[[#This Row],[profit]]/data[[#This Row],[sales]]</f>
        <v>0.35988620199146515</v>
      </c>
    </row>
    <row r="1199" spans="1:20" x14ac:dyDescent="0.35">
      <c r="A1199" t="s">
        <v>1415</v>
      </c>
      <c r="B1199" s="1">
        <v>45958</v>
      </c>
      <c r="C1199" t="s">
        <v>25</v>
      </c>
      <c r="D1199" t="s">
        <v>26</v>
      </c>
      <c r="E1199" t="s">
        <v>378</v>
      </c>
      <c r="F1199" t="s">
        <v>23</v>
      </c>
      <c r="G1199" t="s">
        <v>1355</v>
      </c>
      <c r="H1199" t="s">
        <v>1356</v>
      </c>
      <c r="I1199" t="s">
        <v>754</v>
      </c>
      <c r="J1199">
        <v>1</v>
      </c>
      <c r="K1199">
        <v>76000</v>
      </c>
      <c r="L1199">
        <v>0</v>
      </c>
      <c r="M1199">
        <v>45000</v>
      </c>
      <c r="N1199">
        <f>(data[[#This Row],[unit_price]]*data[[#This Row],[quantity]]) * (1-data[[#This Row],[discount]])</f>
        <v>76000</v>
      </c>
      <c r="O1199">
        <f>data[[#This Row],[sales]]-data[[#This Row],[cost]]</f>
        <v>31000</v>
      </c>
      <c r="P1199" t="str">
        <f>TEXT(data[[#This Row],[order_date]],"mmm")</f>
        <v>Oct</v>
      </c>
      <c r="Q1199">
        <f>YEAR(data[[#This Row],[order_date]])</f>
        <v>2025</v>
      </c>
      <c r="R1199">
        <f>MONTH(data[[#This Row],[order_date]])</f>
        <v>10</v>
      </c>
      <c r="S1199">
        <f>DAY(data[[#This Row],[order_date]])</f>
        <v>28</v>
      </c>
      <c r="T1199">
        <f>data[[#This Row],[profit]]/data[[#This Row],[sales]]</f>
        <v>0.40789473684210525</v>
      </c>
    </row>
    <row r="1200" spans="1:20" x14ac:dyDescent="0.35">
      <c r="A1200" t="s">
        <v>1416</v>
      </c>
      <c r="B1200" s="1">
        <v>45958</v>
      </c>
      <c r="C1200" t="s">
        <v>14</v>
      </c>
      <c r="D1200" t="s">
        <v>15</v>
      </c>
      <c r="E1200" t="s">
        <v>65</v>
      </c>
      <c r="F1200" t="s">
        <v>17</v>
      </c>
      <c r="G1200" t="s">
        <v>1355</v>
      </c>
      <c r="H1200" t="s">
        <v>1356</v>
      </c>
      <c r="I1200" t="s">
        <v>754</v>
      </c>
      <c r="J1200">
        <v>1</v>
      </c>
      <c r="K1200">
        <v>57000</v>
      </c>
      <c r="L1200">
        <v>0</v>
      </c>
      <c r="M1200">
        <v>34000</v>
      </c>
      <c r="N1200">
        <f>(data[[#This Row],[unit_price]]*data[[#This Row],[quantity]]) * (1-data[[#This Row],[discount]])</f>
        <v>57000</v>
      </c>
      <c r="O1200">
        <f>data[[#This Row],[sales]]-data[[#This Row],[cost]]</f>
        <v>23000</v>
      </c>
      <c r="P1200" t="str">
        <f>TEXT(data[[#This Row],[order_date]],"mmm")</f>
        <v>Oct</v>
      </c>
      <c r="Q1200">
        <f>YEAR(data[[#This Row],[order_date]])</f>
        <v>2025</v>
      </c>
      <c r="R1200">
        <f>MONTH(data[[#This Row],[order_date]])</f>
        <v>10</v>
      </c>
      <c r="S1200">
        <f>DAY(data[[#This Row],[order_date]])</f>
        <v>28</v>
      </c>
      <c r="T1200">
        <f>data[[#This Row],[profit]]/data[[#This Row],[sales]]</f>
        <v>0.40350877192982454</v>
      </c>
    </row>
    <row r="1201" spans="1:20" x14ac:dyDescent="0.35">
      <c r="A1201" t="s">
        <v>1417</v>
      </c>
      <c r="B1201" s="1">
        <v>46020</v>
      </c>
      <c r="C1201" t="s">
        <v>14</v>
      </c>
      <c r="D1201" t="s">
        <v>15</v>
      </c>
      <c r="E1201" t="s">
        <v>22</v>
      </c>
      <c r="F1201" t="s">
        <v>23</v>
      </c>
      <c r="G1201" t="s">
        <v>1355</v>
      </c>
      <c r="H1201" t="s">
        <v>1356</v>
      </c>
      <c r="I1201" t="s">
        <v>754</v>
      </c>
      <c r="J1201">
        <v>1</v>
      </c>
      <c r="K1201">
        <v>72384.61538461539</v>
      </c>
      <c r="L1201">
        <v>0</v>
      </c>
      <c r="M1201">
        <v>42000</v>
      </c>
      <c r="N1201">
        <f>(data[[#This Row],[unit_price]]*data[[#This Row],[quantity]]) * (1-data[[#This Row],[discount]])</f>
        <v>72384.61538461539</v>
      </c>
      <c r="O1201">
        <f>data[[#This Row],[sales]]-data[[#This Row],[cost]]</f>
        <v>30384.61538461539</v>
      </c>
      <c r="P1201" t="str">
        <f>TEXT(data[[#This Row],[order_date]],"mmm")</f>
        <v>Dec</v>
      </c>
      <c r="Q1201">
        <f>YEAR(data[[#This Row],[order_date]])</f>
        <v>2025</v>
      </c>
      <c r="R1201">
        <f>MONTH(data[[#This Row],[order_date]])</f>
        <v>12</v>
      </c>
      <c r="S1201">
        <f>DAY(data[[#This Row],[order_date]])</f>
        <v>29</v>
      </c>
      <c r="T1201">
        <f>data[[#This Row],[profit]]/data[[#This Row],[sales]]</f>
        <v>0.41976620616365573</v>
      </c>
    </row>
    <row r="1202" spans="1:20" x14ac:dyDescent="0.35">
      <c r="A1202" t="s">
        <v>1418</v>
      </c>
      <c r="B1202" s="1">
        <v>46055</v>
      </c>
      <c r="C1202" t="s">
        <v>49</v>
      </c>
      <c r="D1202" t="s">
        <v>50</v>
      </c>
      <c r="E1202" t="s">
        <v>462</v>
      </c>
      <c r="F1202" t="s">
        <v>58</v>
      </c>
      <c r="G1202" t="s">
        <v>1355</v>
      </c>
      <c r="H1202" t="s">
        <v>1356</v>
      </c>
      <c r="I1202" t="s">
        <v>754</v>
      </c>
      <c r="J1202">
        <v>1</v>
      </c>
      <c r="K1202">
        <v>68000</v>
      </c>
      <c r="L1202">
        <v>0</v>
      </c>
      <c r="M1202">
        <v>41000</v>
      </c>
      <c r="N1202">
        <f>(data[[#This Row],[unit_price]]*data[[#This Row],[quantity]]) * (1-data[[#This Row],[discount]])</f>
        <v>68000</v>
      </c>
      <c r="O1202">
        <f>data[[#This Row],[sales]]-data[[#This Row],[cost]]</f>
        <v>27000</v>
      </c>
      <c r="P1202" t="str">
        <f>TEXT(data[[#This Row],[order_date]],"mmm")</f>
        <v>Feb</v>
      </c>
      <c r="Q1202">
        <f>YEAR(data[[#This Row],[order_date]])</f>
        <v>2026</v>
      </c>
      <c r="R1202">
        <f>MONTH(data[[#This Row],[order_date]])</f>
        <v>2</v>
      </c>
      <c r="S1202">
        <f>DAY(data[[#This Row],[order_date]])</f>
        <v>2</v>
      </c>
      <c r="T1202">
        <f>data[[#This Row],[profit]]/data[[#This Row],[sales]]</f>
        <v>0.39705882352941174</v>
      </c>
    </row>
    <row r="1203" spans="1:20" x14ac:dyDescent="0.35">
      <c r="A1203" t="s">
        <v>1419</v>
      </c>
      <c r="B1203" s="1">
        <v>46057</v>
      </c>
      <c r="C1203" t="s">
        <v>14</v>
      </c>
      <c r="D1203" t="s">
        <v>15</v>
      </c>
      <c r="E1203" t="s">
        <v>164</v>
      </c>
      <c r="F1203" t="s">
        <v>23</v>
      </c>
      <c r="G1203" t="s">
        <v>1355</v>
      </c>
      <c r="H1203" t="s">
        <v>1356</v>
      </c>
      <c r="I1203" t="s">
        <v>754</v>
      </c>
      <c r="J1203">
        <v>1</v>
      </c>
      <c r="K1203">
        <v>54000</v>
      </c>
      <c r="L1203">
        <v>0</v>
      </c>
      <c r="M1203">
        <v>32000</v>
      </c>
      <c r="N1203">
        <f>(data[[#This Row],[unit_price]]*data[[#This Row],[quantity]]) * (1-data[[#This Row],[discount]])</f>
        <v>54000</v>
      </c>
      <c r="O1203">
        <f>data[[#This Row],[sales]]-data[[#This Row],[cost]]</f>
        <v>22000</v>
      </c>
      <c r="P1203" t="str">
        <f>TEXT(data[[#This Row],[order_date]],"mmm")</f>
        <v>Feb</v>
      </c>
      <c r="Q1203">
        <f>YEAR(data[[#This Row],[order_date]])</f>
        <v>2026</v>
      </c>
      <c r="R1203">
        <f>MONTH(data[[#This Row],[order_date]])</f>
        <v>2</v>
      </c>
      <c r="S1203">
        <f>DAY(data[[#This Row],[order_date]])</f>
        <v>4</v>
      </c>
      <c r="T1203">
        <f>data[[#This Row],[profit]]/data[[#This Row],[sales]]</f>
        <v>0.40740740740740738</v>
      </c>
    </row>
    <row r="1204" spans="1:20" x14ac:dyDescent="0.35">
      <c r="A1204" t="s">
        <v>1420</v>
      </c>
      <c r="B1204" s="1">
        <v>46057</v>
      </c>
      <c r="C1204" t="s">
        <v>14</v>
      </c>
      <c r="D1204" t="s">
        <v>15</v>
      </c>
      <c r="E1204" t="s">
        <v>117</v>
      </c>
      <c r="F1204" t="s">
        <v>23</v>
      </c>
      <c r="G1204" t="s">
        <v>1355</v>
      </c>
      <c r="H1204" t="s">
        <v>1356</v>
      </c>
      <c r="I1204" t="s">
        <v>754</v>
      </c>
      <c r="J1204">
        <v>3</v>
      </c>
      <c r="K1204">
        <v>71000</v>
      </c>
      <c r="L1204">
        <v>0</v>
      </c>
      <c r="M1204">
        <v>43000</v>
      </c>
      <c r="N1204">
        <f>(data[[#This Row],[unit_price]]*data[[#This Row],[quantity]]) * (1-data[[#This Row],[discount]])</f>
        <v>213000</v>
      </c>
      <c r="O1204">
        <f>data[[#This Row],[sales]]-data[[#This Row],[cost]]</f>
        <v>170000</v>
      </c>
      <c r="P1204" t="str">
        <f>TEXT(data[[#This Row],[order_date]],"mmm")</f>
        <v>Feb</v>
      </c>
      <c r="Q1204">
        <f>YEAR(data[[#This Row],[order_date]])</f>
        <v>2026</v>
      </c>
      <c r="R1204">
        <f>MONTH(data[[#This Row],[order_date]])</f>
        <v>2</v>
      </c>
      <c r="S1204">
        <f>DAY(data[[#This Row],[order_date]])</f>
        <v>4</v>
      </c>
      <c r="T1204">
        <f>data[[#This Row],[profit]]/data[[#This Row],[sales]]</f>
        <v>0.7981220657276995</v>
      </c>
    </row>
    <row r="1205" spans="1:20" x14ac:dyDescent="0.35">
      <c r="A1205" t="s">
        <v>1421</v>
      </c>
      <c r="B1205" s="1">
        <v>46087</v>
      </c>
      <c r="C1205" t="s">
        <v>49</v>
      </c>
      <c r="D1205" t="s">
        <v>50</v>
      </c>
      <c r="E1205" t="s">
        <v>260</v>
      </c>
      <c r="F1205" t="s">
        <v>23</v>
      </c>
      <c r="G1205" t="s">
        <v>1355</v>
      </c>
      <c r="H1205" t="s">
        <v>1356</v>
      </c>
      <c r="I1205" t="s">
        <v>754</v>
      </c>
      <c r="J1205">
        <v>1</v>
      </c>
      <c r="K1205">
        <v>90000</v>
      </c>
      <c r="L1205">
        <v>0</v>
      </c>
      <c r="M1205">
        <v>52000</v>
      </c>
      <c r="N1205">
        <f>(data[[#This Row],[unit_price]]*data[[#This Row],[quantity]]) * (1-data[[#This Row],[discount]])</f>
        <v>90000</v>
      </c>
      <c r="O1205">
        <f>data[[#This Row],[sales]]-data[[#This Row],[cost]]</f>
        <v>38000</v>
      </c>
      <c r="P1205" t="str">
        <f>TEXT(data[[#This Row],[order_date]],"mmm")</f>
        <v>Mar</v>
      </c>
      <c r="Q1205">
        <f>YEAR(data[[#This Row],[order_date]])</f>
        <v>2026</v>
      </c>
      <c r="R1205">
        <f>MONTH(data[[#This Row],[order_date]])</f>
        <v>3</v>
      </c>
      <c r="S1205">
        <f>DAY(data[[#This Row],[order_date]])</f>
        <v>6</v>
      </c>
      <c r="T1205">
        <f>data[[#This Row],[profit]]/data[[#This Row],[sales]]</f>
        <v>0.42222222222222222</v>
      </c>
    </row>
    <row r="1206" spans="1:20" x14ac:dyDescent="0.35">
      <c r="A1206" t="s">
        <v>1422</v>
      </c>
      <c r="B1206" s="1">
        <v>46106</v>
      </c>
      <c r="C1206" t="s">
        <v>14</v>
      </c>
      <c r="D1206" t="s">
        <v>15</v>
      </c>
      <c r="E1206" t="s">
        <v>43</v>
      </c>
      <c r="F1206" t="s">
        <v>17</v>
      </c>
      <c r="G1206" t="s">
        <v>1355</v>
      </c>
      <c r="H1206" t="s">
        <v>1356</v>
      </c>
      <c r="I1206" t="s">
        <v>754</v>
      </c>
      <c r="J1206">
        <v>1</v>
      </c>
      <c r="K1206">
        <v>77000</v>
      </c>
      <c r="L1206">
        <v>0.15</v>
      </c>
      <c r="M1206">
        <v>46000</v>
      </c>
      <c r="N1206">
        <f>(data[[#This Row],[unit_price]]*data[[#This Row],[quantity]]) * (1-data[[#This Row],[discount]])</f>
        <v>65450</v>
      </c>
      <c r="O1206">
        <f>data[[#This Row],[sales]]-data[[#This Row],[cost]]</f>
        <v>19450</v>
      </c>
      <c r="P1206" t="str">
        <f>TEXT(data[[#This Row],[order_date]],"mmm")</f>
        <v>Mar</v>
      </c>
      <c r="Q1206">
        <f>YEAR(data[[#This Row],[order_date]])</f>
        <v>2026</v>
      </c>
      <c r="R1206">
        <f>MONTH(data[[#This Row],[order_date]])</f>
        <v>3</v>
      </c>
      <c r="S1206">
        <f>DAY(data[[#This Row],[order_date]])</f>
        <v>25</v>
      </c>
      <c r="T1206">
        <f>data[[#This Row],[profit]]/data[[#This Row],[sales]]</f>
        <v>0.29717341482047366</v>
      </c>
    </row>
    <row r="1207" spans="1:20" x14ac:dyDescent="0.35">
      <c r="A1207" t="s">
        <v>1423</v>
      </c>
      <c r="B1207" s="1">
        <v>46124</v>
      </c>
      <c r="C1207" t="s">
        <v>14</v>
      </c>
      <c r="D1207" t="s">
        <v>15</v>
      </c>
      <c r="E1207" t="s">
        <v>524</v>
      </c>
      <c r="F1207" t="s">
        <v>17</v>
      </c>
      <c r="G1207" t="s">
        <v>1355</v>
      </c>
      <c r="H1207" t="s">
        <v>1356</v>
      </c>
      <c r="I1207" t="s">
        <v>754</v>
      </c>
      <c r="J1207">
        <v>1</v>
      </c>
      <c r="K1207">
        <v>72384.61538461539</v>
      </c>
      <c r="L1207">
        <v>0</v>
      </c>
      <c r="M1207">
        <v>0</v>
      </c>
      <c r="N1207">
        <f>(data[[#This Row],[unit_price]]*data[[#This Row],[quantity]]) * (1-data[[#This Row],[discount]])</f>
        <v>72384.61538461539</v>
      </c>
      <c r="O1207">
        <f>data[[#This Row],[sales]]-data[[#This Row],[cost]]</f>
        <v>72384.61538461539</v>
      </c>
      <c r="P1207" t="str">
        <f>TEXT(data[[#This Row],[order_date]],"mmm")</f>
        <v>Apr</v>
      </c>
      <c r="Q1207">
        <f>YEAR(data[[#This Row],[order_date]])</f>
        <v>2026</v>
      </c>
      <c r="R1207">
        <f>MONTH(data[[#This Row],[order_date]])</f>
        <v>4</v>
      </c>
      <c r="S1207">
        <f>DAY(data[[#This Row],[order_date]])</f>
        <v>12</v>
      </c>
      <c r="T1207">
        <f>data[[#This Row],[profit]]/data[[#This Row],[sales]]</f>
        <v>1</v>
      </c>
    </row>
    <row r="1208" spans="1:20" x14ac:dyDescent="0.35">
      <c r="A1208" t="s">
        <v>1424</v>
      </c>
      <c r="B1208" s="1">
        <v>46152</v>
      </c>
      <c r="C1208" t="s">
        <v>14</v>
      </c>
      <c r="D1208" t="s">
        <v>15</v>
      </c>
      <c r="E1208" t="s">
        <v>236</v>
      </c>
      <c r="F1208" t="s">
        <v>28</v>
      </c>
      <c r="G1208" t="s">
        <v>1355</v>
      </c>
      <c r="H1208" t="s">
        <v>1356</v>
      </c>
      <c r="I1208" t="s">
        <v>754</v>
      </c>
      <c r="J1208">
        <v>1</v>
      </c>
      <c r="K1208">
        <v>57000</v>
      </c>
      <c r="L1208">
        <v>0</v>
      </c>
      <c r="M1208">
        <v>35000</v>
      </c>
      <c r="N1208">
        <f>(data[[#This Row],[unit_price]]*data[[#This Row],[quantity]]) * (1-data[[#This Row],[discount]])</f>
        <v>57000</v>
      </c>
      <c r="O1208">
        <f>data[[#This Row],[sales]]-data[[#This Row],[cost]]</f>
        <v>22000</v>
      </c>
      <c r="P1208" t="str">
        <f>TEXT(data[[#This Row],[order_date]],"mmm")</f>
        <v>May</v>
      </c>
      <c r="Q1208">
        <f>YEAR(data[[#This Row],[order_date]])</f>
        <v>2026</v>
      </c>
      <c r="R1208">
        <f>MONTH(data[[#This Row],[order_date]])</f>
        <v>5</v>
      </c>
      <c r="S1208">
        <f>DAY(data[[#This Row],[order_date]])</f>
        <v>10</v>
      </c>
      <c r="T1208">
        <f>data[[#This Row],[profit]]/data[[#This Row],[sales]]</f>
        <v>0.38596491228070173</v>
      </c>
    </row>
    <row r="1209" spans="1:20" x14ac:dyDescent="0.35">
      <c r="A1209" t="s">
        <v>1425</v>
      </c>
      <c r="B1209" s="1">
        <v>44951</v>
      </c>
      <c r="C1209" t="s">
        <v>41</v>
      </c>
      <c r="D1209" t="s">
        <v>42</v>
      </c>
      <c r="E1209" t="s">
        <v>16</v>
      </c>
      <c r="F1209" t="s">
        <v>17</v>
      </c>
      <c r="G1209" t="s">
        <v>1426</v>
      </c>
      <c r="H1209" t="s">
        <v>1427</v>
      </c>
      <c r="I1209" t="s">
        <v>754</v>
      </c>
      <c r="J1209">
        <v>1</v>
      </c>
      <c r="K1209">
        <v>95000</v>
      </c>
      <c r="L1209">
        <v>0</v>
      </c>
      <c r="M1209">
        <v>62000</v>
      </c>
      <c r="N1209">
        <f>(data[[#This Row],[unit_price]]*data[[#This Row],[quantity]]) * (1-data[[#This Row],[discount]])</f>
        <v>95000</v>
      </c>
      <c r="O1209">
        <f>data[[#This Row],[sales]]-data[[#This Row],[cost]]</f>
        <v>33000</v>
      </c>
      <c r="P1209" t="str">
        <f>TEXT(data[[#This Row],[order_date]],"mmm")</f>
        <v>Jan</v>
      </c>
      <c r="Q1209">
        <f>YEAR(data[[#This Row],[order_date]])</f>
        <v>2023</v>
      </c>
      <c r="R1209">
        <f>MONTH(data[[#This Row],[order_date]])</f>
        <v>1</v>
      </c>
      <c r="S1209">
        <f>DAY(data[[#This Row],[order_date]])</f>
        <v>25</v>
      </c>
      <c r="T1209">
        <f>data[[#This Row],[profit]]/data[[#This Row],[sales]]</f>
        <v>0.3473684210526316</v>
      </c>
    </row>
    <row r="1210" spans="1:20" x14ac:dyDescent="0.35">
      <c r="A1210" t="s">
        <v>1428</v>
      </c>
      <c r="B1210" s="1">
        <v>44968</v>
      </c>
      <c r="C1210" t="s">
        <v>41</v>
      </c>
      <c r="D1210" t="s">
        <v>42</v>
      </c>
      <c r="E1210" t="s">
        <v>456</v>
      </c>
      <c r="F1210" t="s">
        <v>23</v>
      </c>
      <c r="G1210" t="s">
        <v>1426</v>
      </c>
      <c r="H1210" t="s">
        <v>1427</v>
      </c>
      <c r="I1210" t="s">
        <v>754</v>
      </c>
      <c r="J1210">
        <v>1</v>
      </c>
      <c r="K1210">
        <v>112000</v>
      </c>
      <c r="L1210">
        <v>0</v>
      </c>
      <c r="M1210">
        <v>73000</v>
      </c>
      <c r="N1210">
        <f>(data[[#This Row],[unit_price]]*data[[#This Row],[quantity]]) * (1-data[[#This Row],[discount]])</f>
        <v>112000</v>
      </c>
      <c r="O1210">
        <f>data[[#This Row],[sales]]-data[[#This Row],[cost]]</f>
        <v>39000</v>
      </c>
      <c r="P1210" t="str">
        <f>TEXT(data[[#This Row],[order_date]],"mmm")</f>
        <v>Feb</v>
      </c>
      <c r="Q1210">
        <f>YEAR(data[[#This Row],[order_date]])</f>
        <v>2023</v>
      </c>
      <c r="R1210">
        <f>MONTH(data[[#This Row],[order_date]])</f>
        <v>2</v>
      </c>
      <c r="S1210">
        <f>DAY(data[[#This Row],[order_date]])</f>
        <v>11</v>
      </c>
      <c r="T1210">
        <f>data[[#This Row],[profit]]/data[[#This Row],[sales]]</f>
        <v>0.3482142857142857</v>
      </c>
    </row>
    <row r="1211" spans="1:20" x14ac:dyDescent="0.35">
      <c r="A1211" t="s">
        <v>1429</v>
      </c>
      <c r="B1211" s="1">
        <v>44980</v>
      </c>
      <c r="C1211" t="s">
        <v>41</v>
      </c>
      <c r="D1211" t="s">
        <v>42</v>
      </c>
      <c r="E1211" t="s">
        <v>146</v>
      </c>
      <c r="F1211" t="s">
        <v>17</v>
      </c>
      <c r="G1211" t="s">
        <v>1426</v>
      </c>
      <c r="H1211" t="s">
        <v>1427</v>
      </c>
      <c r="I1211" t="s">
        <v>754</v>
      </c>
      <c r="J1211">
        <v>2</v>
      </c>
      <c r="K1211">
        <v>73000</v>
      </c>
      <c r="L1211">
        <v>0</v>
      </c>
      <c r="M1211">
        <v>46000</v>
      </c>
      <c r="N1211">
        <f>(data[[#This Row],[unit_price]]*data[[#This Row],[quantity]]) * (1-data[[#This Row],[discount]])</f>
        <v>146000</v>
      </c>
      <c r="O1211">
        <f>data[[#This Row],[sales]]-data[[#This Row],[cost]]</f>
        <v>100000</v>
      </c>
      <c r="P1211" t="str">
        <f>TEXT(data[[#This Row],[order_date]],"mmm")</f>
        <v>Feb</v>
      </c>
      <c r="Q1211">
        <f>YEAR(data[[#This Row],[order_date]])</f>
        <v>2023</v>
      </c>
      <c r="R1211">
        <f>MONTH(data[[#This Row],[order_date]])</f>
        <v>2</v>
      </c>
      <c r="S1211">
        <f>DAY(data[[#This Row],[order_date]])</f>
        <v>23</v>
      </c>
      <c r="T1211">
        <f>data[[#This Row],[profit]]/data[[#This Row],[sales]]</f>
        <v>0.68493150684931503</v>
      </c>
    </row>
    <row r="1212" spans="1:20" x14ac:dyDescent="0.35">
      <c r="A1212" t="s">
        <v>1430</v>
      </c>
      <c r="B1212" s="1">
        <v>45020</v>
      </c>
      <c r="C1212" t="s">
        <v>25</v>
      </c>
      <c r="D1212" t="s">
        <v>26</v>
      </c>
      <c r="E1212" t="s">
        <v>83</v>
      </c>
      <c r="F1212" t="s">
        <v>23</v>
      </c>
      <c r="G1212" t="s">
        <v>1426</v>
      </c>
      <c r="H1212" t="s">
        <v>1427</v>
      </c>
      <c r="I1212" t="s">
        <v>754</v>
      </c>
      <c r="J1212">
        <v>1</v>
      </c>
      <c r="K1212">
        <v>118000</v>
      </c>
      <c r="L1212">
        <v>0</v>
      </c>
      <c r="M1212">
        <v>79000</v>
      </c>
      <c r="N1212">
        <f>(data[[#This Row],[unit_price]]*data[[#This Row],[quantity]]) * (1-data[[#This Row],[discount]])</f>
        <v>118000</v>
      </c>
      <c r="O1212">
        <f>data[[#This Row],[sales]]-data[[#This Row],[cost]]</f>
        <v>39000</v>
      </c>
      <c r="P1212" t="str">
        <f>TEXT(data[[#This Row],[order_date]],"mmm")</f>
        <v>Apr</v>
      </c>
      <c r="Q1212">
        <f>YEAR(data[[#This Row],[order_date]])</f>
        <v>2023</v>
      </c>
      <c r="R1212">
        <f>MONTH(data[[#This Row],[order_date]])</f>
        <v>4</v>
      </c>
      <c r="S1212">
        <f>DAY(data[[#This Row],[order_date]])</f>
        <v>4</v>
      </c>
      <c r="T1212">
        <f>data[[#This Row],[profit]]/data[[#This Row],[sales]]</f>
        <v>0.33050847457627119</v>
      </c>
    </row>
    <row r="1213" spans="1:20" x14ac:dyDescent="0.35">
      <c r="A1213" t="s">
        <v>1431</v>
      </c>
      <c r="B1213" s="1">
        <v>45029</v>
      </c>
      <c r="C1213" t="s">
        <v>36</v>
      </c>
      <c r="D1213" t="s">
        <v>37</v>
      </c>
      <c r="E1213" t="s">
        <v>168</v>
      </c>
      <c r="F1213" t="s">
        <v>23</v>
      </c>
      <c r="G1213" t="s">
        <v>1426</v>
      </c>
      <c r="H1213" t="s">
        <v>1427</v>
      </c>
      <c r="I1213" t="s">
        <v>754</v>
      </c>
      <c r="J1213">
        <v>2</v>
      </c>
      <c r="K1213">
        <v>67000</v>
      </c>
      <c r="L1213">
        <v>0</v>
      </c>
      <c r="M1213">
        <v>43000</v>
      </c>
      <c r="N1213">
        <f>(data[[#This Row],[unit_price]]*data[[#This Row],[quantity]]) * (1-data[[#This Row],[discount]])</f>
        <v>134000</v>
      </c>
      <c r="O1213">
        <f>data[[#This Row],[sales]]-data[[#This Row],[cost]]</f>
        <v>91000</v>
      </c>
      <c r="P1213" t="str">
        <f>TEXT(data[[#This Row],[order_date]],"mmm")</f>
        <v>Apr</v>
      </c>
      <c r="Q1213">
        <f>YEAR(data[[#This Row],[order_date]])</f>
        <v>2023</v>
      </c>
      <c r="R1213">
        <f>MONTH(data[[#This Row],[order_date]])</f>
        <v>4</v>
      </c>
      <c r="S1213">
        <f>DAY(data[[#This Row],[order_date]])</f>
        <v>13</v>
      </c>
      <c r="T1213">
        <f>data[[#This Row],[profit]]/data[[#This Row],[sales]]</f>
        <v>0.67910447761194026</v>
      </c>
    </row>
    <row r="1214" spans="1:20" x14ac:dyDescent="0.35">
      <c r="A1214" t="s">
        <v>1432</v>
      </c>
      <c r="B1214" s="1">
        <v>45033</v>
      </c>
      <c r="C1214" t="s">
        <v>14</v>
      </c>
      <c r="D1214" t="s">
        <v>15</v>
      </c>
      <c r="E1214" t="s">
        <v>61</v>
      </c>
      <c r="F1214" t="s">
        <v>23</v>
      </c>
      <c r="G1214" t="s">
        <v>1426</v>
      </c>
      <c r="H1214" t="s">
        <v>1427</v>
      </c>
      <c r="I1214" t="s">
        <v>754</v>
      </c>
      <c r="J1214">
        <v>1</v>
      </c>
      <c r="K1214">
        <v>104000</v>
      </c>
      <c r="L1214">
        <v>0</v>
      </c>
      <c r="M1214">
        <v>66000</v>
      </c>
      <c r="N1214">
        <f>(data[[#This Row],[unit_price]]*data[[#This Row],[quantity]]) * (1-data[[#This Row],[discount]])</f>
        <v>104000</v>
      </c>
      <c r="O1214">
        <f>data[[#This Row],[sales]]-data[[#This Row],[cost]]</f>
        <v>38000</v>
      </c>
      <c r="P1214" t="str">
        <f>TEXT(data[[#This Row],[order_date]],"mmm")</f>
        <v>Apr</v>
      </c>
      <c r="Q1214">
        <f>YEAR(data[[#This Row],[order_date]])</f>
        <v>2023</v>
      </c>
      <c r="R1214">
        <f>MONTH(data[[#This Row],[order_date]])</f>
        <v>4</v>
      </c>
      <c r="S1214">
        <f>DAY(data[[#This Row],[order_date]])</f>
        <v>17</v>
      </c>
      <c r="T1214">
        <f>data[[#This Row],[profit]]/data[[#This Row],[sales]]</f>
        <v>0.36538461538461536</v>
      </c>
    </row>
    <row r="1215" spans="1:20" x14ac:dyDescent="0.35">
      <c r="A1215" t="s">
        <v>1433</v>
      </c>
      <c r="B1215" s="1">
        <v>45034</v>
      </c>
      <c r="C1215" t="s">
        <v>14</v>
      </c>
      <c r="D1215" t="s">
        <v>15</v>
      </c>
      <c r="E1215" t="s">
        <v>242</v>
      </c>
      <c r="F1215" t="s">
        <v>17</v>
      </c>
      <c r="G1215" t="s">
        <v>1426</v>
      </c>
      <c r="H1215" t="s">
        <v>1427</v>
      </c>
      <c r="I1215" t="s">
        <v>754</v>
      </c>
      <c r="J1215">
        <v>1</v>
      </c>
      <c r="K1215">
        <v>66000</v>
      </c>
      <c r="L1215">
        <v>0</v>
      </c>
      <c r="M1215">
        <v>42000</v>
      </c>
      <c r="N1215">
        <f>(data[[#This Row],[unit_price]]*data[[#This Row],[quantity]]) * (1-data[[#This Row],[discount]])</f>
        <v>66000</v>
      </c>
      <c r="O1215">
        <f>data[[#This Row],[sales]]-data[[#This Row],[cost]]</f>
        <v>24000</v>
      </c>
      <c r="P1215" t="str">
        <f>TEXT(data[[#This Row],[order_date]],"mmm")</f>
        <v>Apr</v>
      </c>
      <c r="Q1215">
        <f>YEAR(data[[#This Row],[order_date]])</f>
        <v>2023</v>
      </c>
      <c r="R1215">
        <f>MONTH(data[[#This Row],[order_date]])</f>
        <v>4</v>
      </c>
      <c r="S1215">
        <f>DAY(data[[#This Row],[order_date]])</f>
        <v>18</v>
      </c>
      <c r="T1215">
        <f>data[[#This Row],[profit]]/data[[#This Row],[sales]]</f>
        <v>0.36363636363636365</v>
      </c>
    </row>
    <row r="1216" spans="1:20" x14ac:dyDescent="0.35">
      <c r="A1216" t="s">
        <v>1434</v>
      </c>
      <c r="B1216" s="1">
        <v>45039</v>
      </c>
      <c r="C1216" t="s">
        <v>36</v>
      </c>
      <c r="D1216" t="s">
        <v>37</v>
      </c>
      <c r="E1216" t="s">
        <v>333</v>
      </c>
      <c r="F1216" t="s">
        <v>17</v>
      </c>
      <c r="G1216" t="s">
        <v>1426</v>
      </c>
      <c r="H1216" t="s">
        <v>1427</v>
      </c>
      <c r="I1216" t="s">
        <v>754</v>
      </c>
      <c r="J1216">
        <v>2</v>
      </c>
      <c r="K1216">
        <v>51000</v>
      </c>
      <c r="L1216">
        <v>0</v>
      </c>
      <c r="M1216">
        <v>34000</v>
      </c>
      <c r="N1216">
        <f>(data[[#This Row],[unit_price]]*data[[#This Row],[quantity]]) * (1-data[[#This Row],[discount]])</f>
        <v>102000</v>
      </c>
      <c r="O1216">
        <f>data[[#This Row],[sales]]-data[[#This Row],[cost]]</f>
        <v>68000</v>
      </c>
      <c r="P1216" t="str">
        <f>TEXT(data[[#This Row],[order_date]],"mmm")</f>
        <v>Apr</v>
      </c>
      <c r="Q1216">
        <f>YEAR(data[[#This Row],[order_date]])</f>
        <v>2023</v>
      </c>
      <c r="R1216">
        <f>MONTH(data[[#This Row],[order_date]])</f>
        <v>4</v>
      </c>
      <c r="S1216">
        <f>DAY(data[[#This Row],[order_date]])</f>
        <v>23</v>
      </c>
      <c r="T1216">
        <f>data[[#This Row],[profit]]/data[[#This Row],[sales]]</f>
        <v>0.66666666666666663</v>
      </c>
    </row>
    <row r="1217" spans="1:20" x14ac:dyDescent="0.35">
      <c r="A1217" t="s">
        <v>1435</v>
      </c>
      <c r="B1217" s="1">
        <v>45042</v>
      </c>
      <c r="C1217" t="s">
        <v>36</v>
      </c>
      <c r="D1217" t="s">
        <v>37</v>
      </c>
      <c r="E1217" t="s">
        <v>517</v>
      </c>
      <c r="F1217" t="s">
        <v>23</v>
      </c>
      <c r="G1217" t="s">
        <v>1426</v>
      </c>
      <c r="H1217" t="s">
        <v>1427</v>
      </c>
      <c r="I1217" t="s">
        <v>754</v>
      </c>
      <c r="J1217">
        <v>2</v>
      </c>
      <c r="K1217">
        <v>102000</v>
      </c>
      <c r="L1217">
        <v>0</v>
      </c>
      <c r="M1217">
        <v>68000</v>
      </c>
      <c r="N1217">
        <f>(data[[#This Row],[unit_price]]*data[[#This Row],[quantity]]) * (1-data[[#This Row],[discount]])</f>
        <v>204000</v>
      </c>
      <c r="O1217">
        <f>data[[#This Row],[sales]]-data[[#This Row],[cost]]</f>
        <v>136000</v>
      </c>
      <c r="P1217" t="str">
        <f>TEXT(data[[#This Row],[order_date]],"mmm")</f>
        <v>Apr</v>
      </c>
      <c r="Q1217">
        <f>YEAR(data[[#This Row],[order_date]])</f>
        <v>2023</v>
      </c>
      <c r="R1217">
        <f>MONTH(data[[#This Row],[order_date]])</f>
        <v>4</v>
      </c>
      <c r="S1217">
        <f>DAY(data[[#This Row],[order_date]])</f>
        <v>26</v>
      </c>
      <c r="T1217">
        <f>data[[#This Row],[profit]]/data[[#This Row],[sales]]</f>
        <v>0.66666666666666663</v>
      </c>
    </row>
    <row r="1218" spans="1:20" x14ac:dyDescent="0.35">
      <c r="A1218" t="s">
        <v>1436</v>
      </c>
      <c r="B1218" s="1">
        <v>45100</v>
      </c>
      <c r="C1218" t="s">
        <v>49</v>
      </c>
      <c r="D1218" t="s">
        <v>50</v>
      </c>
      <c r="E1218" t="s">
        <v>366</v>
      </c>
      <c r="F1218" t="s">
        <v>58</v>
      </c>
      <c r="G1218" t="s">
        <v>1426</v>
      </c>
      <c r="H1218" t="s">
        <v>1427</v>
      </c>
      <c r="I1218" t="s">
        <v>754</v>
      </c>
      <c r="J1218">
        <v>3</v>
      </c>
      <c r="K1218">
        <v>107000</v>
      </c>
      <c r="L1218">
        <v>0</v>
      </c>
      <c r="M1218">
        <v>70000</v>
      </c>
      <c r="N1218">
        <f>(data[[#This Row],[unit_price]]*data[[#This Row],[quantity]]) * (1-data[[#This Row],[discount]])</f>
        <v>321000</v>
      </c>
      <c r="O1218">
        <f>data[[#This Row],[sales]]-data[[#This Row],[cost]]</f>
        <v>251000</v>
      </c>
      <c r="P1218" t="str">
        <f>TEXT(data[[#This Row],[order_date]],"mmm")</f>
        <v>Jun</v>
      </c>
      <c r="Q1218">
        <f>YEAR(data[[#This Row],[order_date]])</f>
        <v>2023</v>
      </c>
      <c r="R1218">
        <f>MONTH(data[[#This Row],[order_date]])</f>
        <v>6</v>
      </c>
      <c r="S1218">
        <f>DAY(data[[#This Row],[order_date]])</f>
        <v>23</v>
      </c>
      <c r="T1218">
        <f>data[[#This Row],[profit]]/data[[#This Row],[sales]]</f>
        <v>0.7819314641744548</v>
      </c>
    </row>
    <row r="1219" spans="1:20" x14ac:dyDescent="0.35">
      <c r="A1219" t="s">
        <v>1437</v>
      </c>
      <c r="B1219" s="1">
        <v>45109</v>
      </c>
      <c r="C1219" t="s">
        <v>49</v>
      </c>
      <c r="D1219" t="s">
        <v>50</v>
      </c>
      <c r="E1219" t="s">
        <v>186</v>
      </c>
      <c r="F1219" t="s">
        <v>23</v>
      </c>
      <c r="G1219" t="s">
        <v>1426</v>
      </c>
      <c r="H1219" t="s">
        <v>1427</v>
      </c>
      <c r="I1219" t="s">
        <v>754</v>
      </c>
      <c r="J1219">
        <v>1</v>
      </c>
      <c r="K1219">
        <v>147000</v>
      </c>
      <c r="L1219">
        <v>0.05</v>
      </c>
      <c r="M1219">
        <v>93000</v>
      </c>
      <c r="N1219">
        <f>(data[[#This Row],[unit_price]]*data[[#This Row],[quantity]]) * (1-data[[#This Row],[discount]])</f>
        <v>139650</v>
      </c>
      <c r="O1219">
        <f>data[[#This Row],[sales]]-data[[#This Row],[cost]]</f>
        <v>46650</v>
      </c>
      <c r="P1219" t="str">
        <f>TEXT(data[[#This Row],[order_date]],"mmm")</f>
        <v>Jul</v>
      </c>
      <c r="Q1219">
        <f>YEAR(data[[#This Row],[order_date]])</f>
        <v>2023</v>
      </c>
      <c r="R1219">
        <f>MONTH(data[[#This Row],[order_date]])</f>
        <v>7</v>
      </c>
      <c r="S1219">
        <f>DAY(data[[#This Row],[order_date]])</f>
        <v>2</v>
      </c>
      <c r="T1219">
        <f>data[[#This Row],[profit]]/data[[#This Row],[sales]]</f>
        <v>0.33404940923737914</v>
      </c>
    </row>
    <row r="1220" spans="1:20" x14ac:dyDescent="0.35">
      <c r="A1220" t="s">
        <v>1438</v>
      </c>
      <c r="B1220" s="1">
        <v>45109</v>
      </c>
      <c r="C1220" t="s">
        <v>49</v>
      </c>
      <c r="D1220" t="s">
        <v>50</v>
      </c>
      <c r="E1220" t="s">
        <v>214</v>
      </c>
      <c r="F1220" t="s">
        <v>23</v>
      </c>
      <c r="G1220" t="s">
        <v>1426</v>
      </c>
      <c r="H1220" t="s">
        <v>1427</v>
      </c>
      <c r="I1220" t="s">
        <v>754</v>
      </c>
      <c r="J1220">
        <v>1</v>
      </c>
      <c r="K1220">
        <v>146000</v>
      </c>
      <c r="L1220">
        <v>0</v>
      </c>
      <c r="M1220">
        <v>93000</v>
      </c>
      <c r="N1220">
        <f>(data[[#This Row],[unit_price]]*data[[#This Row],[quantity]]) * (1-data[[#This Row],[discount]])</f>
        <v>146000</v>
      </c>
      <c r="O1220">
        <f>data[[#This Row],[sales]]-data[[#This Row],[cost]]</f>
        <v>53000</v>
      </c>
      <c r="P1220" t="str">
        <f>TEXT(data[[#This Row],[order_date]],"mmm")</f>
        <v>Jul</v>
      </c>
      <c r="Q1220">
        <f>YEAR(data[[#This Row],[order_date]])</f>
        <v>2023</v>
      </c>
      <c r="R1220">
        <f>MONTH(data[[#This Row],[order_date]])</f>
        <v>7</v>
      </c>
      <c r="S1220">
        <f>DAY(data[[#This Row],[order_date]])</f>
        <v>2</v>
      </c>
      <c r="T1220">
        <f>data[[#This Row],[profit]]/data[[#This Row],[sales]]</f>
        <v>0.36301369863013699</v>
      </c>
    </row>
    <row r="1221" spans="1:20" x14ac:dyDescent="0.35">
      <c r="A1221" t="s">
        <v>1439</v>
      </c>
      <c r="B1221" s="1">
        <v>45126</v>
      </c>
      <c r="C1221" t="s">
        <v>25</v>
      </c>
      <c r="D1221" t="s">
        <v>26</v>
      </c>
      <c r="E1221" t="s">
        <v>113</v>
      </c>
      <c r="F1221" t="s">
        <v>23</v>
      </c>
      <c r="G1221" t="s">
        <v>1426</v>
      </c>
      <c r="H1221" t="s">
        <v>1427</v>
      </c>
      <c r="I1221" t="s">
        <v>754</v>
      </c>
      <c r="J1221">
        <v>3</v>
      </c>
      <c r="K1221">
        <v>134000</v>
      </c>
      <c r="L1221">
        <v>0.05</v>
      </c>
      <c r="M1221">
        <v>87000</v>
      </c>
      <c r="N1221">
        <f>(data[[#This Row],[unit_price]]*data[[#This Row],[quantity]]) * (1-data[[#This Row],[discount]])</f>
        <v>381900</v>
      </c>
      <c r="O1221">
        <f>data[[#This Row],[sales]]-data[[#This Row],[cost]]</f>
        <v>294900</v>
      </c>
      <c r="P1221" t="str">
        <f>TEXT(data[[#This Row],[order_date]],"mmm")</f>
        <v>Jul</v>
      </c>
      <c r="Q1221">
        <f>YEAR(data[[#This Row],[order_date]])</f>
        <v>2023</v>
      </c>
      <c r="R1221">
        <f>MONTH(data[[#This Row],[order_date]])</f>
        <v>7</v>
      </c>
      <c r="S1221">
        <f>DAY(data[[#This Row],[order_date]])</f>
        <v>19</v>
      </c>
      <c r="T1221">
        <f>data[[#This Row],[profit]]/data[[#This Row],[sales]]</f>
        <v>0.77219167321288296</v>
      </c>
    </row>
    <row r="1222" spans="1:20" x14ac:dyDescent="0.35">
      <c r="A1222" t="s">
        <v>1440</v>
      </c>
      <c r="B1222" s="1">
        <v>45128</v>
      </c>
      <c r="C1222" t="s">
        <v>14</v>
      </c>
      <c r="D1222" t="s">
        <v>15</v>
      </c>
      <c r="E1222" t="s">
        <v>352</v>
      </c>
      <c r="F1222" t="s">
        <v>23</v>
      </c>
      <c r="G1222" t="s">
        <v>1426</v>
      </c>
      <c r="H1222" t="s">
        <v>1427</v>
      </c>
      <c r="I1222" t="s">
        <v>754</v>
      </c>
      <c r="J1222">
        <v>1</v>
      </c>
      <c r="K1222">
        <v>126000</v>
      </c>
      <c r="L1222">
        <v>0</v>
      </c>
      <c r="M1222">
        <v>82000</v>
      </c>
      <c r="N1222">
        <f>(data[[#This Row],[unit_price]]*data[[#This Row],[quantity]]) * (1-data[[#This Row],[discount]])</f>
        <v>126000</v>
      </c>
      <c r="O1222">
        <f>data[[#This Row],[sales]]-data[[#This Row],[cost]]</f>
        <v>44000</v>
      </c>
      <c r="P1222" t="str">
        <f>TEXT(data[[#This Row],[order_date]],"mmm")</f>
        <v>Jul</v>
      </c>
      <c r="Q1222">
        <f>YEAR(data[[#This Row],[order_date]])</f>
        <v>2023</v>
      </c>
      <c r="R1222">
        <f>MONTH(data[[#This Row],[order_date]])</f>
        <v>7</v>
      </c>
      <c r="S1222">
        <f>DAY(data[[#This Row],[order_date]])</f>
        <v>21</v>
      </c>
      <c r="T1222">
        <f>data[[#This Row],[profit]]/data[[#This Row],[sales]]</f>
        <v>0.34920634920634919</v>
      </c>
    </row>
    <row r="1223" spans="1:20" x14ac:dyDescent="0.35">
      <c r="A1223" t="s">
        <v>1441</v>
      </c>
      <c r="B1223" s="1">
        <v>45150</v>
      </c>
      <c r="C1223" t="s">
        <v>36</v>
      </c>
      <c r="D1223" t="s">
        <v>37</v>
      </c>
      <c r="E1223" t="s">
        <v>270</v>
      </c>
      <c r="F1223" t="s">
        <v>23</v>
      </c>
      <c r="G1223" t="s">
        <v>1426</v>
      </c>
      <c r="H1223" t="s">
        <v>1427</v>
      </c>
      <c r="I1223" t="s">
        <v>754</v>
      </c>
      <c r="J1223">
        <v>1</v>
      </c>
      <c r="K1223">
        <v>80000</v>
      </c>
      <c r="L1223">
        <v>0</v>
      </c>
      <c r="M1223">
        <v>51000</v>
      </c>
      <c r="N1223">
        <f>(data[[#This Row],[unit_price]]*data[[#This Row],[quantity]]) * (1-data[[#This Row],[discount]])</f>
        <v>80000</v>
      </c>
      <c r="O1223">
        <f>data[[#This Row],[sales]]-data[[#This Row],[cost]]</f>
        <v>29000</v>
      </c>
      <c r="P1223" t="str">
        <f>TEXT(data[[#This Row],[order_date]],"mmm")</f>
        <v>Aug</v>
      </c>
      <c r="Q1223">
        <f>YEAR(data[[#This Row],[order_date]])</f>
        <v>2023</v>
      </c>
      <c r="R1223">
        <f>MONTH(data[[#This Row],[order_date]])</f>
        <v>8</v>
      </c>
      <c r="S1223">
        <f>DAY(data[[#This Row],[order_date]])</f>
        <v>12</v>
      </c>
      <c r="T1223">
        <f>data[[#This Row],[profit]]/data[[#This Row],[sales]]</f>
        <v>0.36249999999999999</v>
      </c>
    </row>
    <row r="1224" spans="1:20" x14ac:dyDescent="0.35">
      <c r="A1224" t="s">
        <v>1442</v>
      </c>
      <c r="B1224" s="1">
        <v>45166</v>
      </c>
      <c r="C1224" t="s">
        <v>14</v>
      </c>
      <c r="D1224" t="s">
        <v>15</v>
      </c>
      <c r="E1224" t="s">
        <v>394</v>
      </c>
      <c r="F1224" t="s">
        <v>23</v>
      </c>
      <c r="G1224" t="s">
        <v>1426</v>
      </c>
      <c r="H1224" t="s">
        <v>1427</v>
      </c>
      <c r="I1224" t="s">
        <v>754</v>
      </c>
      <c r="J1224">
        <v>1</v>
      </c>
      <c r="K1224">
        <v>57000</v>
      </c>
      <c r="L1224">
        <v>0.05</v>
      </c>
      <c r="M1224">
        <v>36000</v>
      </c>
      <c r="N1224">
        <f>(data[[#This Row],[unit_price]]*data[[#This Row],[quantity]]) * (1-data[[#This Row],[discount]])</f>
        <v>54150</v>
      </c>
      <c r="O1224">
        <f>data[[#This Row],[sales]]-data[[#This Row],[cost]]</f>
        <v>18150</v>
      </c>
      <c r="P1224" t="str">
        <f>TEXT(data[[#This Row],[order_date]],"mmm")</f>
        <v>Aug</v>
      </c>
      <c r="Q1224">
        <f>YEAR(data[[#This Row],[order_date]])</f>
        <v>2023</v>
      </c>
      <c r="R1224">
        <f>MONTH(data[[#This Row],[order_date]])</f>
        <v>8</v>
      </c>
      <c r="S1224">
        <f>DAY(data[[#This Row],[order_date]])</f>
        <v>28</v>
      </c>
      <c r="T1224">
        <f>data[[#This Row],[profit]]/data[[#This Row],[sales]]</f>
        <v>0.33518005540166207</v>
      </c>
    </row>
    <row r="1225" spans="1:20" x14ac:dyDescent="0.35">
      <c r="A1225" t="s">
        <v>1443</v>
      </c>
      <c r="B1225" s="1">
        <v>45179</v>
      </c>
      <c r="C1225" t="s">
        <v>14</v>
      </c>
      <c r="D1225" t="s">
        <v>15</v>
      </c>
      <c r="E1225" t="s">
        <v>741</v>
      </c>
      <c r="F1225" t="s">
        <v>23</v>
      </c>
      <c r="G1225" t="s">
        <v>1426</v>
      </c>
      <c r="H1225" t="s">
        <v>1427</v>
      </c>
      <c r="I1225" t="s">
        <v>754</v>
      </c>
      <c r="J1225">
        <v>2</v>
      </c>
      <c r="K1225">
        <v>102788.73239436619</v>
      </c>
      <c r="L1225">
        <v>0</v>
      </c>
      <c r="M1225">
        <v>65000</v>
      </c>
      <c r="N1225">
        <f>(data[[#This Row],[unit_price]]*data[[#This Row],[quantity]]) * (1-data[[#This Row],[discount]])</f>
        <v>205577.46478873238</v>
      </c>
      <c r="O1225">
        <f>data[[#This Row],[sales]]-data[[#This Row],[cost]]</f>
        <v>140577.46478873238</v>
      </c>
      <c r="P1225" t="str">
        <f>TEXT(data[[#This Row],[order_date]],"mmm")</f>
        <v>Sep</v>
      </c>
      <c r="Q1225">
        <f>YEAR(data[[#This Row],[order_date]])</f>
        <v>2023</v>
      </c>
      <c r="R1225">
        <f>MONTH(data[[#This Row],[order_date]])</f>
        <v>9</v>
      </c>
      <c r="S1225">
        <f>DAY(data[[#This Row],[order_date]])</f>
        <v>10</v>
      </c>
      <c r="T1225">
        <f>data[[#This Row],[profit]]/data[[#This Row],[sales]]</f>
        <v>0.68381748424225808</v>
      </c>
    </row>
    <row r="1226" spans="1:20" x14ac:dyDescent="0.35">
      <c r="A1226" t="s">
        <v>1444</v>
      </c>
      <c r="B1226" s="1">
        <v>45190</v>
      </c>
      <c r="C1226" t="s">
        <v>41</v>
      </c>
      <c r="D1226" t="s">
        <v>42</v>
      </c>
      <c r="E1226" t="s">
        <v>258</v>
      </c>
      <c r="F1226" t="s">
        <v>23</v>
      </c>
      <c r="G1226" t="s">
        <v>1426</v>
      </c>
      <c r="H1226" t="s">
        <v>1427</v>
      </c>
      <c r="I1226" t="s">
        <v>754</v>
      </c>
      <c r="J1226">
        <v>1</v>
      </c>
      <c r="K1226">
        <v>91000</v>
      </c>
      <c r="L1226">
        <v>0</v>
      </c>
      <c r="M1226">
        <v>59000</v>
      </c>
      <c r="N1226">
        <f>(data[[#This Row],[unit_price]]*data[[#This Row],[quantity]]) * (1-data[[#This Row],[discount]])</f>
        <v>91000</v>
      </c>
      <c r="O1226">
        <f>data[[#This Row],[sales]]-data[[#This Row],[cost]]</f>
        <v>32000</v>
      </c>
      <c r="P1226" t="str">
        <f>TEXT(data[[#This Row],[order_date]],"mmm")</f>
        <v>Sep</v>
      </c>
      <c r="Q1226">
        <f>YEAR(data[[#This Row],[order_date]])</f>
        <v>2023</v>
      </c>
      <c r="R1226">
        <f>MONTH(data[[#This Row],[order_date]])</f>
        <v>9</v>
      </c>
      <c r="S1226">
        <f>DAY(data[[#This Row],[order_date]])</f>
        <v>21</v>
      </c>
      <c r="T1226">
        <f>data[[#This Row],[profit]]/data[[#This Row],[sales]]</f>
        <v>0.35164835164835168</v>
      </c>
    </row>
    <row r="1227" spans="1:20" x14ac:dyDescent="0.35">
      <c r="A1227" t="s">
        <v>1445</v>
      </c>
      <c r="B1227" s="1">
        <v>45199</v>
      </c>
      <c r="C1227" t="s">
        <v>41</v>
      </c>
      <c r="D1227" t="s">
        <v>42</v>
      </c>
      <c r="E1227" t="s">
        <v>34</v>
      </c>
      <c r="F1227" t="s">
        <v>17</v>
      </c>
      <c r="G1227" t="s">
        <v>1426</v>
      </c>
      <c r="H1227" t="s">
        <v>1427</v>
      </c>
      <c r="I1227" t="s">
        <v>754</v>
      </c>
      <c r="J1227">
        <v>1</v>
      </c>
      <c r="K1227">
        <v>51000</v>
      </c>
      <c r="L1227">
        <v>0</v>
      </c>
      <c r="M1227">
        <v>32000</v>
      </c>
      <c r="N1227">
        <f>(data[[#This Row],[unit_price]]*data[[#This Row],[quantity]]) * (1-data[[#This Row],[discount]])</f>
        <v>51000</v>
      </c>
      <c r="O1227">
        <f>data[[#This Row],[sales]]-data[[#This Row],[cost]]</f>
        <v>19000</v>
      </c>
      <c r="P1227" t="str">
        <f>TEXT(data[[#This Row],[order_date]],"mmm")</f>
        <v>Sep</v>
      </c>
      <c r="Q1227">
        <f>YEAR(data[[#This Row],[order_date]])</f>
        <v>2023</v>
      </c>
      <c r="R1227">
        <f>MONTH(data[[#This Row],[order_date]])</f>
        <v>9</v>
      </c>
      <c r="S1227">
        <f>DAY(data[[#This Row],[order_date]])</f>
        <v>30</v>
      </c>
      <c r="T1227">
        <f>data[[#This Row],[profit]]/data[[#This Row],[sales]]</f>
        <v>0.37254901960784315</v>
      </c>
    </row>
    <row r="1228" spans="1:20" x14ac:dyDescent="0.35">
      <c r="A1228" t="s">
        <v>1446</v>
      </c>
      <c r="B1228" s="1">
        <v>45211</v>
      </c>
      <c r="C1228" t="s">
        <v>41</v>
      </c>
      <c r="D1228" t="s">
        <v>42</v>
      </c>
      <c r="E1228" t="s">
        <v>335</v>
      </c>
      <c r="F1228" t="s">
        <v>23</v>
      </c>
      <c r="G1228" t="s">
        <v>1426</v>
      </c>
      <c r="H1228" t="s">
        <v>1427</v>
      </c>
      <c r="I1228" t="s">
        <v>754</v>
      </c>
      <c r="J1228">
        <v>1</v>
      </c>
      <c r="K1228">
        <v>85000</v>
      </c>
      <c r="L1228">
        <v>0</v>
      </c>
      <c r="M1228">
        <v>55000</v>
      </c>
      <c r="N1228">
        <f>(data[[#This Row],[unit_price]]*data[[#This Row],[quantity]]) * (1-data[[#This Row],[discount]])</f>
        <v>85000</v>
      </c>
      <c r="O1228">
        <f>data[[#This Row],[sales]]-data[[#This Row],[cost]]</f>
        <v>30000</v>
      </c>
      <c r="P1228" t="str">
        <f>TEXT(data[[#This Row],[order_date]],"mmm")</f>
        <v>Oct</v>
      </c>
      <c r="Q1228">
        <f>YEAR(data[[#This Row],[order_date]])</f>
        <v>2023</v>
      </c>
      <c r="R1228">
        <f>MONTH(data[[#This Row],[order_date]])</f>
        <v>10</v>
      </c>
      <c r="S1228">
        <f>DAY(data[[#This Row],[order_date]])</f>
        <v>12</v>
      </c>
      <c r="T1228">
        <f>data[[#This Row],[profit]]/data[[#This Row],[sales]]</f>
        <v>0.35294117647058826</v>
      </c>
    </row>
    <row r="1229" spans="1:20" x14ac:dyDescent="0.35">
      <c r="A1229" t="s">
        <v>1447</v>
      </c>
      <c r="B1229" s="1">
        <v>45231</v>
      </c>
      <c r="C1229" t="s">
        <v>14</v>
      </c>
      <c r="D1229" t="s">
        <v>15</v>
      </c>
      <c r="E1229" t="s">
        <v>402</v>
      </c>
      <c r="F1229" t="s">
        <v>23</v>
      </c>
      <c r="G1229" t="s">
        <v>1426</v>
      </c>
      <c r="H1229" t="s">
        <v>1427</v>
      </c>
      <c r="I1229" t="s">
        <v>754</v>
      </c>
      <c r="J1229">
        <v>1</v>
      </c>
      <c r="K1229">
        <v>67000</v>
      </c>
      <c r="L1229">
        <v>0</v>
      </c>
      <c r="M1229">
        <v>45000</v>
      </c>
      <c r="N1229">
        <f>(data[[#This Row],[unit_price]]*data[[#This Row],[quantity]]) * (1-data[[#This Row],[discount]])</f>
        <v>67000</v>
      </c>
      <c r="O1229">
        <f>data[[#This Row],[sales]]-data[[#This Row],[cost]]</f>
        <v>22000</v>
      </c>
      <c r="P1229" t="str">
        <f>TEXT(data[[#This Row],[order_date]],"mmm")</f>
        <v>Nov</v>
      </c>
      <c r="Q1229">
        <f>YEAR(data[[#This Row],[order_date]])</f>
        <v>2023</v>
      </c>
      <c r="R1229">
        <f>MONTH(data[[#This Row],[order_date]])</f>
        <v>11</v>
      </c>
      <c r="S1229">
        <f>DAY(data[[#This Row],[order_date]])</f>
        <v>1</v>
      </c>
      <c r="T1229">
        <f>data[[#This Row],[profit]]/data[[#This Row],[sales]]</f>
        <v>0.32835820895522388</v>
      </c>
    </row>
    <row r="1230" spans="1:20" x14ac:dyDescent="0.35">
      <c r="A1230" t="s">
        <v>1448</v>
      </c>
      <c r="B1230" s="1">
        <v>45335</v>
      </c>
      <c r="C1230" t="s">
        <v>14</v>
      </c>
      <c r="D1230" t="s">
        <v>15</v>
      </c>
      <c r="E1230" t="s">
        <v>287</v>
      </c>
      <c r="F1230" t="s">
        <v>28</v>
      </c>
      <c r="G1230" t="s">
        <v>1426</v>
      </c>
      <c r="H1230" t="s">
        <v>1427</v>
      </c>
      <c r="I1230" t="s">
        <v>754</v>
      </c>
      <c r="J1230">
        <v>2</v>
      </c>
      <c r="K1230">
        <v>120000</v>
      </c>
      <c r="L1230">
        <v>0.05</v>
      </c>
      <c r="M1230">
        <v>76000</v>
      </c>
      <c r="N1230">
        <f>(data[[#This Row],[unit_price]]*data[[#This Row],[quantity]]) * (1-data[[#This Row],[discount]])</f>
        <v>228000</v>
      </c>
      <c r="O1230">
        <f>data[[#This Row],[sales]]-data[[#This Row],[cost]]</f>
        <v>152000</v>
      </c>
      <c r="P1230" t="str">
        <f>TEXT(data[[#This Row],[order_date]],"mmm")</f>
        <v>Feb</v>
      </c>
      <c r="Q1230">
        <f>YEAR(data[[#This Row],[order_date]])</f>
        <v>2024</v>
      </c>
      <c r="R1230">
        <f>MONTH(data[[#This Row],[order_date]])</f>
        <v>2</v>
      </c>
      <c r="S1230">
        <f>DAY(data[[#This Row],[order_date]])</f>
        <v>13</v>
      </c>
      <c r="T1230">
        <f>data[[#This Row],[profit]]/data[[#This Row],[sales]]</f>
        <v>0.66666666666666663</v>
      </c>
    </row>
    <row r="1231" spans="1:20" x14ac:dyDescent="0.35">
      <c r="A1231" t="s">
        <v>1449</v>
      </c>
      <c r="B1231" s="1">
        <v>45343</v>
      </c>
      <c r="C1231" t="s">
        <v>36</v>
      </c>
      <c r="D1231" t="s">
        <v>37</v>
      </c>
      <c r="E1231" t="s">
        <v>16</v>
      </c>
      <c r="F1231" t="s">
        <v>17</v>
      </c>
      <c r="G1231" t="s">
        <v>1426</v>
      </c>
      <c r="H1231" t="s">
        <v>1427</v>
      </c>
      <c r="I1231" t="s">
        <v>754</v>
      </c>
      <c r="J1231">
        <v>1</v>
      </c>
      <c r="K1231">
        <v>116000</v>
      </c>
      <c r="L1231">
        <v>0</v>
      </c>
      <c r="M1231">
        <v>78000</v>
      </c>
      <c r="N1231">
        <f>(data[[#This Row],[unit_price]]*data[[#This Row],[quantity]]) * (1-data[[#This Row],[discount]])</f>
        <v>116000</v>
      </c>
      <c r="O1231">
        <f>data[[#This Row],[sales]]-data[[#This Row],[cost]]</f>
        <v>38000</v>
      </c>
      <c r="P1231" t="str">
        <f>TEXT(data[[#This Row],[order_date]],"mmm")</f>
        <v>Feb</v>
      </c>
      <c r="Q1231">
        <f>YEAR(data[[#This Row],[order_date]])</f>
        <v>2024</v>
      </c>
      <c r="R1231">
        <f>MONTH(data[[#This Row],[order_date]])</f>
        <v>2</v>
      </c>
      <c r="S1231">
        <f>DAY(data[[#This Row],[order_date]])</f>
        <v>21</v>
      </c>
      <c r="T1231">
        <f>data[[#This Row],[profit]]/data[[#This Row],[sales]]</f>
        <v>0.32758620689655171</v>
      </c>
    </row>
    <row r="1232" spans="1:20" x14ac:dyDescent="0.35">
      <c r="A1232" t="s">
        <v>1450</v>
      </c>
      <c r="B1232" s="1">
        <v>45376</v>
      </c>
      <c r="C1232" t="s">
        <v>25</v>
      </c>
      <c r="D1232" t="s">
        <v>26</v>
      </c>
      <c r="E1232" t="s">
        <v>359</v>
      </c>
      <c r="F1232" t="s">
        <v>23</v>
      </c>
      <c r="G1232" t="s">
        <v>1426</v>
      </c>
      <c r="H1232" t="s">
        <v>1427</v>
      </c>
      <c r="I1232" t="s">
        <v>754</v>
      </c>
      <c r="J1232">
        <v>1</v>
      </c>
      <c r="K1232">
        <v>58000</v>
      </c>
      <c r="L1232">
        <v>0</v>
      </c>
      <c r="M1232">
        <v>37000</v>
      </c>
      <c r="N1232">
        <f>(data[[#This Row],[unit_price]]*data[[#This Row],[quantity]]) * (1-data[[#This Row],[discount]])</f>
        <v>58000</v>
      </c>
      <c r="O1232">
        <f>data[[#This Row],[sales]]-data[[#This Row],[cost]]</f>
        <v>21000</v>
      </c>
      <c r="P1232" t="str">
        <f>TEXT(data[[#This Row],[order_date]],"mmm")</f>
        <v>Mar</v>
      </c>
      <c r="Q1232">
        <f>YEAR(data[[#This Row],[order_date]])</f>
        <v>2024</v>
      </c>
      <c r="R1232">
        <f>MONTH(data[[#This Row],[order_date]])</f>
        <v>3</v>
      </c>
      <c r="S1232">
        <f>DAY(data[[#This Row],[order_date]])</f>
        <v>25</v>
      </c>
      <c r="T1232">
        <f>data[[#This Row],[profit]]/data[[#This Row],[sales]]</f>
        <v>0.36206896551724138</v>
      </c>
    </row>
    <row r="1233" spans="1:20" x14ac:dyDescent="0.35">
      <c r="A1233" t="s">
        <v>1451</v>
      </c>
      <c r="B1233" s="1">
        <v>45384</v>
      </c>
      <c r="C1233" t="s">
        <v>14</v>
      </c>
      <c r="D1233" t="s">
        <v>15</v>
      </c>
      <c r="E1233" t="s">
        <v>30</v>
      </c>
      <c r="F1233" t="s">
        <v>23</v>
      </c>
      <c r="G1233" t="s">
        <v>1426</v>
      </c>
      <c r="H1233" t="s">
        <v>1427</v>
      </c>
      <c r="I1233" t="s">
        <v>754</v>
      </c>
      <c r="J1233">
        <v>1</v>
      </c>
      <c r="K1233">
        <v>79000</v>
      </c>
      <c r="L1233">
        <v>0.05</v>
      </c>
      <c r="M1233">
        <v>53000</v>
      </c>
      <c r="N1233">
        <f>(data[[#This Row],[unit_price]]*data[[#This Row],[quantity]]) * (1-data[[#This Row],[discount]])</f>
        <v>75050</v>
      </c>
      <c r="O1233">
        <f>data[[#This Row],[sales]]-data[[#This Row],[cost]]</f>
        <v>22050</v>
      </c>
      <c r="P1233" t="str">
        <f>TEXT(data[[#This Row],[order_date]],"mmm")</f>
        <v>Apr</v>
      </c>
      <c r="Q1233">
        <f>YEAR(data[[#This Row],[order_date]])</f>
        <v>2024</v>
      </c>
      <c r="R1233">
        <f>MONTH(data[[#This Row],[order_date]])</f>
        <v>4</v>
      </c>
      <c r="S1233">
        <f>DAY(data[[#This Row],[order_date]])</f>
        <v>2</v>
      </c>
      <c r="T1233">
        <f>data[[#This Row],[profit]]/data[[#This Row],[sales]]</f>
        <v>0.29380413057961358</v>
      </c>
    </row>
    <row r="1234" spans="1:20" x14ac:dyDescent="0.35">
      <c r="A1234" t="s">
        <v>1452</v>
      </c>
      <c r="B1234" s="1">
        <v>45386</v>
      </c>
      <c r="C1234" t="s">
        <v>14</v>
      </c>
      <c r="D1234" t="s">
        <v>15</v>
      </c>
      <c r="E1234" t="s">
        <v>319</v>
      </c>
      <c r="F1234" t="s">
        <v>23</v>
      </c>
      <c r="G1234" t="s">
        <v>1426</v>
      </c>
      <c r="H1234" t="s">
        <v>1427</v>
      </c>
      <c r="I1234" t="s">
        <v>754</v>
      </c>
      <c r="J1234">
        <v>1</v>
      </c>
      <c r="K1234">
        <v>102788.73239436619</v>
      </c>
      <c r="L1234">
        <v>0</v>
      </c>
      <c r="M1234">
        <v>65000</v>
      </c>
      <c r="N1234">
        <f>(data[[#This Row],[unit_price]]*data[[#This Row],[quantity]]) * (1-data[[#This Row],[discount]])</f>
        <v>102788.73239436619</v>
      </c>
      <c r="O1234">
        <f>data[[#This Row],[sales]]-data[[#This Row],[cost]]</f>
        <v>37788.73239436619</v>
      </c>
      <c r="P1234" t="str">
        <f>TEXT(data[[#This Row],[order_date]],"mmm")</f>
        <v>Apr</v>
      </c>
      <c r="Q1234">
        <f>YEAR(data[[#This Row],[order_date]])</f>
        <v>2024</v>
      </c>
      <c r="R1234">
        <f>MONTH(data[[#This Row],[order_date]])</f>
        <v>4</v>
      </c>
      <c r="S1234">
        <f>DAY(data[[#This Row],[order_date]])</f>
        <v>4</v>
      </c>
      <c r="T1234">
        <f>data[[#This Row],[profit]]/data[[#This Row],[sales]]</f>
        <v>0.36763496848451627</v>
      </c>
    </row>
    <row r="1235" spans="1:20" x14ac:dyDescent="0.35">
      <c r="A1235" t="s">
        <v>1453</v>
      </c>
      <c r="B1235" s="1">
        <v>45417</v>
      </c>
      <c r="C1235" t="s">
        <v>25</v>
      </c>
      <c r="D1235" t="s">
        <v>26</v>
      </c>
      <c r="E1235" t="s">
        <v>323</v>
      </c>
      <c r="F1235" t="s">
        <v>28</v>
      </c>
      <c r="G1235" t="s">
        <v>1426</v>
      </c>
      <c r="H1235" t="s">
        <v>1427</v>
      </c>
      <c r="I1235" t="s">
        <v>754</v>
      </c>
      <c r="J1235">
        <v>1</v>
      </c>
      <c r="K1235">
        <v>132000</v>
      </c>
      <c r="L1235">
        <v>0</v>
      </c>
      <c r="M1235">
        <v>87000</v>
      </c>
      <c r="N1235">
        <f>(data[[#This Row],[unit_price]]*data[[#This Row],[quantity]]) * (1-data[[#This Row],[discount]])</f>
        <v>132000</v>
      </c>
      <c r="O1235">
        <f>data[[#This Row],[sales]]-data[[#This Row],[cost]]</f>
        <v>45000</v>
      </c>
      <c r="P1235" t="str">
        <f>TEXT(data[[#This Row],[order_date]],"mmm")</f>
        <v>May</v>
      </c>
      <c r="Q1235">
        <f>YEAR(data[[#This Row],[order_date]])</f>
        <v>2024</v>
      </c>
      <c r="R1235">
        <f>MONTH(data[[#This Row],[order_date]])</f>
        <v>5</v>
      </c>
      <c r="S1235">
        <f>DAY(data[[#This Row],[order_date]])</f>
        <v>5</v>
      </c>
      <c r="T1235">
        <f>data[[#This Row],[profit]]/data[[#This Row],[sales]]</f>
        <v>0.34090909090909088</v>
      </c>
    </row>
    <row r="1236" spans="1:20" x14ac:dyDescent="0.35">
      <c r="A1236" t="s">
        <v>1454</v>
      </c>
      <c r="B1236" s="1">
        <v>45419</v>
      </c>
      <c r="C1236" t="s">
        <v>41</v>
      </c>
      <c r="D1236" t="s">
        <v>42</v>
      </c>
      <c r="E1236" t="s">
        <v>413</v>
      </c>
      <c r="F1236" t="s">
        <v>23</v>
      </c>
      <c r="G1236" t="s">
        <v>1426</v>
      </c>
      <c r="H1236" t="s">
        <v>1427</v>
      </c>
      <c r="I1236" t="s">
        <v>754</v>
      </c>
      <c r="J1236">
        <v>3</v>
      </c>
      <c r="K1236">
        <v>81000</v>
      </c>
      <c r="L1236">
        <v>0</v>
      </c>
      <c r="M1236">
        <v>52000</v>
      </c>
      <c r="N1236">
        <f>(data[[#This Row],[unit_price]]*data[[#This Row],[quantity]]) * (1-data[[#This Row],[discount]])</f>
        <v>243000</v>
      </c>
      <c r="O1236">
        <f>data[[#This Row],[sales]]-data[[#This Row],[cost]]</f>
        <v>191000</v>
      </c>
      <c r="P1236" t="str">
        <f>TEXT(data[[#This Row],[order_date]],"mmm")</f>
        <v>May</v>
      </c>
      <c r="Q1236">
        <f>YEAR(data[[#This Row],[order_date]])</f>
        <v>2024</v>
      </c>
      <c r="R1236">
        <f>MONTH(data[[#This Row],[order_date]])</f>
        <v>5</v>
      </c>
      <c r="S1236">
        <f>DAY(data[[#This Row],[order_date]])</f>
        <v>7</v>
      </c>
      <c r="T1236">
        <f>data[[#This Row],[profit]]/data[[#This Row],[sales]]</f>
        <v>0.78600823045267487</v>
      </c>
    </row>
    <row r="1237" spans="1:20" x14ac:dyDescent="0.35">
      <c r="A1237" t="s">
        <v>1455</v>
      </c>
      <c r="B1237" s="1">
        <v>45482</v>
      </c>
      <c r="C1237" t="s">
        <v>41</v>
      </c>
      <c r="D1237" t="s">
        <v>42</v>
      </c>
      <c r="E1237" t="s">
        <v>239</v>
      </c>
      <c r="F1237" t="s">
        <v>23</v>
      </c>
      <c r="G1237" t="s">
        <v>1426</v>
      </c>
      <c r="H1237" t="s">
        <v>1427</v>
      </c>
      <c r="I1237" t="s">
        <v>754</v>
      </c>
      <c r="J1237">
        <v>2</v>
      </c>
      <c r="K1237">
        <v>144000</v>
      </c>
      <c r="L1237">
        <v>0</v>
      </c>
      <c r="M1237">
        <v>93000</v>
      </c>
      <c r="N1237">
        <f>(data[[#This Row],[unit_price]]*data[[#This Row],[quantity]]) * (1-data[[#This Row],[discount]])</f>
        <v>288000</v>
      </c>
      <c r="O1237">
        <f>data[[#This Row],[sales]]-data[[#This Row],[cost]]</f>
        <v>195000</v>
      </c>
      <c r="P1237" t="str">
        <f>TEXT(data[[#This Row],[order_date]],"mmm")</f>
        <v>Jul</v>
      </c>
      <c r="Q1237">
        <f>YEAR(data[[#This Row],[order_date]])</f>
        <v>2024</v>
      </c>
      <c r="R1237">
        <f>MONTH(data[[#This Row],[order_date]])</f>
        <v>7</v>
      </c>
      <c r="S1237">
        <f>DAY(data[[#This Row],[order_date]])</f>
        <v>9</v>
      </c>
      <c r="T1237">
        <f>data[[#This Row],[profit]]/data[[#This Row],[sales]]</f>
        <v>0.67708333333333337</v>
      </c>
    </row>
    <row r="1238" spans="1:20" x14ac:dyDescent="0.35">
      <c r="A1238" t="s">
        <v>1456</v>
      </c>
      <c r="B1238" s="1">
        <v>45501</v>
      </c>
      <c r="C1238" t="s">
        <v>25</v>
      </c>
      <c r="D1238" t="s">
        <v>26</v>
      </c>
      <c r="E1238" t="s">
        <v>193</v>
      </c>
      <c r="F1238" t="s">
        <v>23</v>
      </c>
      <c r="G1238" t="s">
        <v>1426</v>
      </c>
      <c r="H1238" t="s">
        <v>1427</v>
      </c>
      <c r="I1238" t="s">
        <v>754</v>
      </c>
      <c r="J1238">
        <v>1</v>
      </c>
      <c r="K1238">
        <v>98000</v>
      </c>
      <c r="L1238">
        <v>0</v>
      </c>
      <c r="M1238">
        <v>63000</v>
      </c>
      <c r="N1238">
        <f>(data[[#This Row],[unit_price]]*data[[#This Row],[quantity]]) * (1-data[[#This Row],[discount]])</f>
        <v>98000</v>
      </c>
      <c r="O1238">
        <f>data[[#This Row],[sales]]-data[[#This Row],[cost]]</f>
        <v>35000</v>
      </c>
      <c r="P1238" t="str">
        <f>TEXT(data[[#This Row],[order_date]],"mmm")</f>
        <v>Jul</v>
      </c>
      <c r="Q1238">
        <f>YEAR(data[[#This Row],[order_date]])</f>
        <v>2024</v>
      </c>
      <c r="R1238">
        <f>MONTH(data[[#This Row],[order_date]])</f>
        <v>7</v>
      </c>
      <c r="S1238">
        <f>DAY(data[[#This Row],[order_date]])</f>
        <v>28</v>
      </c>
      <c r="T1238">
        <f>data[[#This Row],[profit]]/data[[#This Row],[sales]]</f>
        <v>0.35714285714285715</v>
      </c>
    </row>
    <row r="1239" spans="1:20" x14ac:dyDescent="0.35">
      <c r="A1239" t="s">
        <v>1457</v>
      </c>
      <c r="B1239" s="1">
        <v>45523</v>
      </c>
      <c r="C1239" t="s">
        <v>41</v>
      </c>
      <c r="D1239" t="s">
        <v>42</v>
      </c>
      <c r="E1239" t="s">
        <v>27</v>
      </c>
      <c r="F1239" t="s">
        <v>28</v>
      </c>
      <c r="G1239" t="s">
        <v>1426</v>
      </c>
      <c r="H1239" t="s">
        <v>1427</v>
      </c>
      <c r="I1239" t="s">
        <v>754</v>
      </c>
      <c r="J1239">
        <v>2</v>
      </c>
      <c r="K1239">
        <v>156000</v>
      </c>
      <c r="L1239">
        <v>0</v>
      </c>
      <c r="M1239">
        <v>104000</v>
      </c>
      <c r="N1239">
        <f>(data[[#This Row],[unit_price]]*data[[#This Row],[quantity]]) * (1-data[[#This Row],[discount]])</f>
        <v>312000</v>
      </c>
      <c r="O1239">
        <f>data[[#This Row],[sales]]-data[[#This Row],[cost]]</f>
        <v>208000</v>
      </c>
      <c r="P1239" t="str">
        <f>TEXT(data[[#This Row],[order_date]],"mmm")</f>
        <v>Aug</v>
      </c>
      <c r="Q1239">
        <f>YEAR(data[[#This Row],[order_date]])</f>
        <v>2024</v>
      </c>
      <c r="R1239">
        <f>MONTH(data[[#This Row],[order_date]])</f>
        <v>8</v>
      </c>
      <c r="S1239">
        <f>DAY(data[[#This Row],[order_date]])</f>
        <v>19</v>
      </c>
      <c r="T1239">
        <f>data[[#This Row],[profit]]/data[[#This Row],[sales]]</f>
        <v>0.66666666666666663</v>
      </c>
    </row>
    <row r="1240" spans="1:20" x14ac:dyDescent="0.35">
      <c r="A1240" t="s">
        <v>1458</v>
      </c>
      <c r="B1240" s="1">
        <v>45527</v>
      </c>
      <c r="C1240" t="s">
        <v>36</v>
      </c>
      <c r="D1240" t="s">
        <v>37</v>
      </c>
      <c r="E1240" t="s">
        <v>212</v>
      </c>
      <c r="F1240" t="s">
        <v>28</v>
      </c>
      <c r="G1240" t="s">
        <v>1426</v>
      </c>
      <c r="H1240" t="s">
        <v>1427</v>
      </c>
      <c r="I1240" t="s">
        <v>754</v>
      </c>
      <c r="J1240">
        <v>1</v>
      </c>
      <c r="K1240">
        <v>115000</v>
      </c>
      <c r="L1240">
        <v>0</v>
      </c>
      <c r="M1240">
        <v>75000</v>
      </c>
      <c r="N1240">
        <f>(data[[#This Row],[unit_price]]*data[[#This Row],[quantity]]) * (1-data[[#This Row],[discount]])</f>
        <v>115000</v>
      </c>
      <c r="O1240">
        <f>data[[#This Row],[sales]]-data[[#This Row],[cost]]</f>
        <v>40000</v>
      </c>
      <c r="P1240" t="str">
        <f>TEXT(data[[#This Row],[order_date]],"mmm")</f>
        <v>Aug</v>
      </c>
      <c r="Q1240">
        <f>YEAR(data[[#This Row],[order_date]])</f>
        <v>2024</v>
      </c>
      <c r="R1240">
        <f>MONTH(data[[#This Row],[order_date]])</f>
        <v>8</v>
      </c>
      <c r="S1240">
        <f>DAY(data[[#This Row],[order_date]])</f>
        <v>23</v>
      </c>
      <c r="T1240">
        <f>data[[#This Row],[profit]]/data[[#This Row],[sales]]</f>
        <v>0.34782608695652173</v>
      </c>
    </row>
    <row r="1241" spans="1:20" x14ac:dyDescent="0.35">
      <c r="A1241" t="s">
        <v>1459</v>
      </c>
      <c r="B1241" s="1">
        <v>45538</v>
      </c>
      <c r="C1241" t="s">
        <v>36</v>
      </c>
      <c r="D1241" t="s">
        <v>37</v>
      </c>
      <c r="E1241" t="s">
        <v>337</v>
      </c>
      <c r="F1241" t="s">
        <v>23</v>
      </c>
      <c r="G1241" t="s">
        <v>1426</v>
      </c>
      <c r="H1241" t="s">
        <v>1427</v>
      </c>
      <c r="I1241" t="s">
        <v>754</v>
      </c>
      <c r="J1241">
        <v>2</v>
      </c>
      <c r="K1241">
        <v>66000</v>
      </c>
      <c r="L1241">
        <v>0</v>
      </c>
      <c r="M1241">
        <v>42000</v>
      </c>
      <c r="N1241">
        <f>(data[[#This Row],[unit_price]]*data[[#This Row],[quantity]]) * (1-data[[#This Row],[discount]])</f>
        <v>132000</v>
      </c>
      <c r="O1241">
        <f>data[[#This Row],[sales]]-data[[#This Row],[cost]]</f>
        <v>90000</v>
      </c>
      <c r="P1241" t="str">
        <f>TEXT(data[[#This Row],[order_date]],"mmm")</f>
        <v>Sep</v>
      </c>
      <c r="Q1241">
        <f>YEAR(data[[#This Row],[order_date]])</f>
        <v>2024</v>
      </c>
      <c r="R1241">
        <f>MONTH(data[[#This Row],[order_date]])</f>
        <v>9</v>
      </c>
      <c r="S1241">
        <f>DAY(data[[#This Row],[order_date]])</f>
        <v>3</v>
      </c>
      <c r="T1241">
        <f>data[[#This Row],[profit]]/data[[#This Row],[sales]]</f>
        <v>0.68181818181818177</v>
      </c>
    </row>
    <row r="1242" spans="1:20" x14ac:dyDescent="0.35">
      <c r="A1242" t="s">
        <v>1460</v>
      </c>
      <c r="B1242" s="1">
        <v>45544</v>
      </c>
      <c r="C1242" t="s">
        <v>36</v>
      </c>
      <c r="D1242" t="s">
        <v>37</v>
      </c>
      <c r="E1242" t="s">
        <v>39</v>
      </c>
      <c r="F1242" t="s">
        <v>23</v>
      </c>
      <c r="G1242" t="s">
        <v>1426</v>
      </c>
      <c r="H1242" t="s">
        <v>1427</v>
      </c>
      <c r="I1242" t="s">
        <v>754</v>
      </c>
      <c r="J1242">
        <v>1</v>
      </c>
      <c r="K1242">
        <v>60000</v>
      </c>
      <c r="L1242">
        <v>0.1</v>
      </c>
      <c r="M1242">
        <v>38000</v>
      </c>
      <c r="N1242">
        <f>(data[[#This Row],[unit_price]]*data[[#This Row],[quantity]]) * (1-data[[#This Row],[discount]])</f>
        <v>54000</v>
      </c>
      <c r="O1242">
        <f>data[[#This Row],[sales]]-data[[#This Row],[cost]]</f>
        <v>16000</v>
      </c>
      <c r="P1242" t="str">
        <f>TEXT(data[[#This Row],[order_date]],"mmm")</f>
        <v>Sep</v>
      </c>
      <c r="Q1242">
        <f>YEAR(data[[#This Row],[order_date]])</f>
        <v>2024</v>
      </c>
      <c r="R1242">
        <f>MONTH(data[[#This Row],[order_date]])</f>
        <v>9</v>
      </c>
      <c r="S1242">
        <f>DAY(data[[#This Row],[order_date]])</f>
        <v>9</v>
      </c>
      <c r="T1242">
        <f>data[[#This Row],[profit]]/data[[#This Row],[sales]]</f>
        <v>0.29629629629629628</v>
      </c>
    </row>
    <row r="1243" spans="1:20" x14ac:dyDescent="0.35">
      <c r="A1243" t="s">
        <v>1461</v>
      </c>
      <c r="B1243" s="1">
        <v>45546</v>
      </c>
      <c r="C1243" t="s">
        <v>14</v>
      </c>
      <c r="D1243" t="s">
        <v>15</v>
      </c>
      <c r="E1243" t="s">
        <v>65</v>
      </c>
      <c r="F1243" t="s">
        <v>17</v>
      </c>
      <c r="G1243" t="s">
        <v>1426</v>
      </c>
      <c r="H1243" t="s">
        <v>1427</v>
      </c>
      <c r="I1243" t="s">
        <v>754</v>
      </c>
      <c r="J1243">
        <v>2</v>
      </c>
      <c r="K1243">
        <v>89000</v>
      </c>
      <c r="L1243">
        <v>0.05</v>
      </c>
      <c r="M1243">
        <v>59000</v>
      </c>
      <c r="N1243">
        <f>(data[[#This Row],[unit_price]]*data[[#This Row],[quantity]]) * (1-data[[#This Row],[discount]])</f>
        <v>169100</v>
      </c>
      <c r="O1243">
        <f>data[[#This Row],[sales]]-data[[#This Row],[cost]]</f>
        <v>110100</v>
      </c>
      <c r="P1243" t="str">
        <f>TEXT(data[[#This Row],[order_date]],"mmm")</f>
        <v>Sep</v>
      </c>
      <c r="Q1243">
        <f>YEAR(data[[#This Row],[order_date]])</f>
        <v>2024</v>
      </c>
      <c r="R1243">
        <f>MONTH(data[[#This Row],[order_date]])</f>
        <v>9</v>
      </c>
      <c r="S1243">
        <f>DAY(data[[#This Row],[order_date]])</f>
        <v>11</v>
      </c>
      <c r="T1243">
        <f>data[[#This Row],[profit]]/data[[#This Row],[sales]]</f>
        <v>0.6510940272028386</v>
      </c>
    </row>
    <row r="1244" spans="1:20" x14ac:dyDescent="0.35">
      <c r="A1244" t="s">
        <v>1462</v>
      </c>
      <c r="B1244" s="1">
        <v>45582</v>
      </c>
      <c r="C1244" t="s">
        <v>14</v>
      </c>
      <c r="D1244" t="s">
        <v>15</v>
      </c>
      <c r="E1244" t="s">
        <v>258</v>
      </c>
      <c r="F1244" t="s">
        <v>23</v>
      </c>
      <c r="G1244" t="s">
        <v>1426</v>
      </c>
      <c r="H1244" t="s">
        <v>1427</v>
      </c>
      <c r="I1244" t="s">
        <v>754</v>
      </c>
      <c r="J1244">
        <v>2</v>
      </c>
      <c r="K1244">
        <v>133000</v>
      </c>
      <c r="L1244">
        <v>0</v>
      </c>
      <c r="M1244">
        <v>89000</v>
      </c>
      <c r="N1244">
        <f>(data[[#This Row],[unit_price]]*data[[#This Row],[quantity]]) * (1-data[[#This Row],[discount]])</f>
        <v>266000</v>
      </c>
      <c r="O1244">
        <f>data[[#This Row],[sales]]-data[[#This Row],[cost]]</f>
        <v>177000</v>
      </c>
      <c r="P1244" t="str">
        <f>TEXT(data[[#This Row],[order_date]],"mmm")</f>
        <v>Oct</v>
      </c>
      <c r="Q1244">
        <f>YEAR(data[[#This Row],[order_date]])</f>
        <v>2024</v>
      </c>
      <c r="R1244">
        <f>MONTH(data[[#This Row],[order_date]])</f>
        <v>10</v>
      </c>
      <c r="S1244">
        <f>DAY(data[[#This Row],[order_date]])</f>
        <v>17</v>
      </c>
      <c r="T1244">
        <f>data[[#This Row],[profit]]/data[[#This Row],[sales]]</f>
        <v>0.66541353383458646</v>
      </c>
    </row>
    <row r="1245" spans="1:20" x14ac:dyDescent="0.35">
      <c r="A1245" t="s">
        <v>1463</v>
      </c>
      <c r="B1245" s="1">
        <v>45634</v>
      </c>
      <c r="C1245" t="s">
        <v>14</v>
      </c>
      <c r="D1245" t="s">
        <v>15</v>
      </c>
      <c r="E1245" t="s">
        <v>378</v>
      </c>
      <c r="F1245" t="s">
        <v>23</v>
      </c>
      <c r="G1245" t="s">
        <v>1426</v>
      </c>
      <c r="H1245" t="s">
        <v>1427</v>
      </c>
      <c r="I1245" t="s">
        <v>754</v>
      </c>
      <c r="J1245">
        <v>1</v>
      </c>
      <c r="K1245">
        <v>109000</v>
      </c>
      <c r="L1245">
        <v>0.1</v>
      </c>
      <c r="M1245">
        <v>70000</v>
      </c>
      <c r="N1245">
        <f>(data[[#This Row],[unit_price]]*data[[#This Row],[quantity]]) * (1-data[[#This Row],[discount]])</f>
        <v>98100</v>
      </c>
      <c r="O1245">
        <f>data[[#This Row],[sales]]-data[[#This Row],[cost]]</f>
        <v>28100</v>
      </c>
      <c r="P1245" t="str">
        <f>TEXT(data[[#This Row],[order_date]],"mmm")</f>
        <v>Dec</v>
      </c>
      <c r="Q1245">
        <f>YEAR(data[[#This Row],[order_date]])</f>
        <v>2024</v>
      </c>
      <c r="R1245">
        <f>MONTH(data[[#This Row],[order_date]])</f>
        <v>12</v>
      </c>
      <c r="S1245">
        <f>DAY(data[[#This Row],[order_date]])</f>
        <v>8</v>
      </c>
      <c r="T1245">
        <f>data[[#This Row],[profit]]/data[[#This Row],[sales]]</f>
        <v>0.28644240570846075</v>
      </c>
    </row>
    <row r="1246" spans="1:20" x14ac:dyDescent="0.35">
      <c r="A1246" t="s">
        <v>1464</v>
      </c>
      <c r="B1246" s="1">
        <v>45642</v>
      </c>
      <c r="C1246" t="s">
        <v>49</v>
      </c>
      <c r="D1246" t="s">
        <v>50</v>
      </c>
      <c r="E1246" t="s">
        <v>456</v>
      </c>
      <c r="F1246" t="s">
        <v>23</v>
      </c>
      <c r="G1246" t="s">
        <v>1426</v>
      </c>
      <c r="H1246" t="s">
        <v>1427</v>
      </c>
      <c r="I1246" t="s">
        <v>754</v>
      </c>
      <c r="J1246">
        <v>3</v>
      </c>
      <c r="K1246">
        <v>94000</v>
      </c>
      <c r="L1246">
        <v>0</v>
      </c>
      <c r="M1246">
        <v>61000</v>
      </c>
      <c r="N1246">
        <f>(data[[#This Row],[unit_price]]*data[[#This Row],[quantity]]) * (1-data[[#This Row],[discount]])</f>
        <v>282000</v>
      </c>
      <c r="O1246">
        <f>data[[#This Row],[sales]]-data[[#This Row],[cost]]</f>
        <v>221000</v>
      </c>
      <c r="P1246" t="str">
        <f>TEXT(data[[#This Row],[order_date]],"mmm")</f>
        <v>Dec</v>
      </c>
      <c r="Q1246">
        <f>YEAR(data[[#This Row],[order_date]])</f>
        <v>2024</v>
      </c>
      <c r="R1246">
        <f>MONTH(data[[#This Row],[order_date]])</f>
        <v>12</v>
      </c>
      <c r="S1246">
        <f>DAY(data[[#This Row],[order_date]])</f>
        <v>16</v>
      </c>
      <c r="T1246">
        <f>data[[#This Row],[profit]]/data[[#This Row],[sales]]</f>
        <v>0.78368794326241131</v>
      </c>
    </row>
    <row r="1247" spans="1:20" x14ac:dyDescent="0.35">
      <c r="A1247" t="s">
        <v>1465</v>
      </c>
      <c r="B1247" s="1">
        <v>45644</v>
      </c>
      <c r="C1247" t="s">
        <v>41</v>
      </c>
      <c r="D1247" t="s">
        <v>42</v>
      </c>
      <c r="E1247" t="s">
        <v>47</v>
      </c>
      <c r="F1247" t="s">
        <v>23</v>
      </c>
      <c r="G1247" t="s">
        <v>1426</v>
      </c>
      <c r="H1247" t="s">
        <v>1427</v>
      </c>
      <c r="I1247" t="s">
        <v>754</v>
      </c>
      <c r="J1247">
        <v>1</v>
      </c>
      <c r="K1247">
        <v>152000</v>
      </c>
      <c r="L1247">
        <v>0</v>
      </c>
      <c r="M1247">
        <v>98000</v>
      </c>
      <c r="N1247">
        <f>(data[[#This Row],[unit_price]]*data[[#This Row],[quantity]]) * (1-data[[#This Row],[discount]])</f>
        <v>152000</v>
      </c>
      <c r="O1247">
        <f>data[[#This Row],[sales]]-data[[#This Row],[cost]]</f>
        <v>54000</v>
      </c>
      <c r="P1247" t="str">
        <f>TEXT(data[[#This Row],[order_date]],"mmm")</f>
        <v>Dec</v>
      </c>
      <c r="Q1247">
        <f>YEAR(data[[#This Row],[order_date]])</f>
        <v>2024</v>
      </c>
      <c r="R1247">
        <f>MONTH(data[[#This Row],[order_date]])</f>
        <v>12</v>
      </c>
      <c r="S1247">
        <f>DAY(data[[#This Row],[order_date]])</f>
        <v>18</v>
      </c>
      <c r="T1247">
        <f>data[[#This Row],[profit]]/data[[#This Row],[sales]]</f>
        <v>0.35526315789473684</v>
      </c>
    </row>
    <row r="1248" spans="1:20" x14ac:dyDescent="0.35">
      <c r="A1248" t="s">
        <v>1466</v>
      </c>
      <c r="B1248" s="1">
        <v>45688</v>
      </c>
      <c r="C1248" t="s">
        <v>14</v>
      </c>
      <c r="D1248" t="s">
        <v>15</v>
      </c>
      <c r="E1248" t="s">
        <v>79</v>
      </c>
      <c r="F1248" t="s">
        <v>17</v>
      </c>
      <c r="G1248" t="s">
        <v>1426</v>
      </c>
      <c r="H1248" t="s">
        <v>1427</v>
      </c>
      <c r="I1248" t="s">
        <v>754</v>
      </c>
      <c r="J1248">
        <v>2</v>
      </c>
      <c r="K1248">
        <v>58000</v>
      </c>
      <c r="L1248">
        <v>0</v>
      </c>
      <c r="M1248">
        <v>37000</v>
      </c>
      <c r="N1248">
        <f>(data[[#This Row],[unit_price]]*data[[#This Row],[quantity]]) * (1-data[[#This Row],[discount]])</f>
        <v>116000</v>
      </c>
      <c r="O1248">
        <f>data[[#This Row],[sales]]-data[[#This Row],[cost]]</f>
        <v>79000</v>
      </c>
      <c r="P1248" t="str">
        <f>TEXT(data[[#This Row],[order_date]],"mmm")</f>
        <v>Jan</v>
      </c>
      <c r="Q1248">
        <f>YEAR(data[[#This Row],[order_date]])</f>
        <v>2025</v>
      </c>
      <c r="R1248">
        <f>MONTH(data[[#This Row],[order_date]])</f>
        <v>1</v>
      </c>
      <c r="S1248">
        <f>DAY(data[[#This Row],[order_date]])</f>
        <v>31</v>
      </c>
      <c r="T1248">
        <f>data[[#This Row],[profit]]/data[[#This Row],[sales]]</f>
        <v>0.68103448275862066</v>
      </c>
    </row>
    <row r="1249" spans="1:20" x14ac:dyDescent="0.35">
      <c r="A1249" t="s">
        <v>1467</v>
      </c>
      <c r="B1249" s="1">
        <v>45697</v>
      </c>
      <c r="C1249" t="s">
        <v>14</v>
      </c>
      <c r="D1249" t="s">
        <v>15</v>
      </c>
      <c r="E1249" t="s">
        <v>569</v>
      </c>
      <c r="F1249" t="s">
        <v>23</v>
      </c>
      <c r="G1249" t="s">
        <v>1426</v>
      </c>
      <c r="H1249" t="s">
        <v>1427</v>
      </c>
      <c r="I1249" t="s">
        <v>754</v>
      </c>
      <c r="J1249">
        <v>1</v>
      </c>
      <c r="K1249">
        <v>113000</v>
      </c>
      <c r="L1249">
        <v>0</v>
      </c>
      <c r="M1249">
        <v>74000</v>
      </c>
      <c r="N1249">
        <f>(data[[#This Row],[unit_price]]*data[[#This Row],[quantity]]) * (1-data[[#This Row],[discount]])</f>
        <v>113000</v>
      </c>
      <c r="O1249">
        <f>data[[#This Row],[sales]]-data[[#This Row],[cost]]</f>
        <v>39000</v>
      </c>
      <c r="P1249" t="str">
        <f>TEXT(data[[#This Row],[order_date]],"mmm")</f>
        <v>Feb</v>
      </c>
      <c r="Q1249">
        <f>YEAR(data[[#This Row],[order_date]])</f>
        <v>2025</v>
      </c>
      <c r="R1249">
        <f>MONTH(data[[#This Row],[order_date]])</f>
        <v>2</v>
      </c>
      <c r="S1249">
        <f>DAY(data[[#This Row],[order_date]])</f>
        <v>9</v>
      </c>
      <c r="T1249">
        <f>data[[#This Row],[profit]]/data[[#This Row],[sales]]</f>
        <v>0.34513274336283184</v>
      </c>
    </row>
    <row r="1250" spans="1:20" x14ac:dyDescent="0.35">
      <c r="A1250" t="s">
        <v>1468</v>
      </c>
      <c r="B1250" s="1">
        <v>45740</v>
      </c>
      <c r="C1250" t="s">
        <v>25</v>
      </c>
      <c r="D1250" t="s">
        <v>26</v>
      </c>
      <c r="E1250" t="s">
        <v>1041</v>
      </c>
      <c r="F1250" t="s">
        <v>23</v>
      </c>
      <c r="G1250" t="s">
        <v>1426</v>
      </c>
      <c r="H1250" t="s">
        <v>1427</v>
      </c>
      <c r="I1250" t="s">
        <v>754</v>
      </c>
      <c r="J1250">
        <v>1</v>
      </c>
      <c r="K1250">
        <v>120000</v>
      </c>
      <c r="L1250">
        <v>0</v>
      </c>
      <c r="M1250">
        <v>77000</v>
      </c>
      <c r="N1250">
        <f>(data[[#This Row],[unit_price]]*data[[#This Row],[quantity]]) * (1-data[[#This Row],[discount]])</f>
        <v>120000</v>
      </c>
      <c r="O1250">
        <f>data[[#This Row],[sales]]-data[[#This Row],[cost]]</f>
        <v>43000</v>
      </c>
      <c r="P1250" t="str">
        <f>TEXT(data[[#This Row],[order_date]],"mmm")</f>
        <v>Mar</v>
      </c>
      <c r="Q1250">
        <f>YEAR(data[[#This Row],[order_date]])</f>
        <v>2025</v>
      </c>
      <c r="R1250">
        <f>MONTH(data[[#This Row],[order_date]])</f>
        <v>3</v>
      </c>
      <c r="S1250">
        <f>DAY(data[[#This Row],[order_date]])</f>
        <v>24</v>
      </c>
      <c r="T1250">
        <f>data[[#This Row],[profit]]/data[[#This Row],[sales]]</f>
        <v>0.35833333333333334</v>
      </c>
    </row>
    <row r="1251" spans="1:20" x14ac:dyDescent="0.35">
      <c r="A1251" t="s">
        <v>1469</v>
      </c>
      <c r="B1251" s="1">
        <v>45788</v>
      </c>
      <c r="C1251" t="s">
        <v>14</v>
      </c>
      <c r="D1251" t="s">
        <v>15</v>
      </c>
      <c r="E1251" t="s">
        <v>287</v>
      </c>
      <c r="F1251" t="s">
        <v>28</v>
      </c>
      <c r="G1251" t="s">
        <v>1426</v>
      </c>
      <c r="H1251" t="s">
        <v>1427</v>
      </c>
      <c r="I1251" t="s">
        <v>754</v>
      </c>
      <c r="J1251">
        <v>3</v>
      </c>
      <c r="K1251">
        <v>75000</v>
      </c>
      <c r="L1251">
        <v>0</v>
      </c>
      <c r="M1251">
        <v>48000</v>
      </c>
      <c r="N1251">
        <f>(data[[#This Row],[unit_price]]*data[[#This Row],[quantity]]) * (1-data[[#This Row],[discount]])</f>
        <v>225000</v>
      </c>
      <c r="O1251">
        <f>data[[#This Row],[sales]]-data[[#This Row],[cost]]</f>
        <v>177000</v>
      </c>
      <c r="P1251" t="str">
        <f>TEXT(data[[#This Row],[order_date]],"mmm")</f>
        <v>May</v>
      </c>
      <c r="Q1251">
        <f>YEAR(data[[#This Row],[order_date]])</f>
        <v>2025</v>
      </c>
      <c r="R1251">
        <f>MONTH(data[[#This Row],[order_date]])</f>
        <v>5</v>
      </c>
      <c r="S1251">
        <f>DAY(data[[#This Row],[order_date]])</f>
        <v>11</v>
      </c>
      <c r="T1251">
        <f>data[[#This Row],[profit]]/data[[#This Row],[sales]]</f>
        <v>0.78666666666666663</v>
      </c>
    </row>
    <row r="1252" spans="1:20" x14ac:dyDescent="0.35">
      <c r="A1252" t="s">
        <v>1470</v>
      </c>
      <c r="B1252" s="1">
        <v>45796</v>
      </c>
      <c r="C1252" t="s">
        <v>49</v>
      </c>
      <c r="D1252" t="s">
        <v>50</v>
      </c>
      <c r="E1252" t="s">
        <v>55</v>
      </c>
      <c r="F1252" t="s">
        <v>17</v>
      </c>
      <c r="G1252" t="s">
        <v>1426</v>
      </c>
      <c r="H1252" t="s">
        <v>1427</v>
      </c>
      <c r="I1252" t="s">
        <v>754</v>
      </c>
      <c r="J1252">
        <v>2</v>
      </c>
      <c r="K1252">
        <v>67000</v>
      </c>
      <c r="L1252">
        <v>0</v>
      </c>
      <c r="M1252">
        <v>44000</v>
      </c>
      <c r="N1252">
        <f>(data[[#This Row],[unit_price]]*data[[#This Row],[quantity]]) * (1-data[[#This Row],[discount]])</f>
        <v>134000</v>
      </c>
      <c r="O1252">
        <f>data[[#This Row],[sales]]-data[[#This Row],[cost]]</f>
        <v>90000</v>
      </c>
      <c r="P1252" t="str">
        <f>TEXT(data[[#This Row],[order_date]],"mmm")</f>
        <v>May</v>
      </c>
      <c r="Q1252">
        <f>YEAR(data[[#This Row],[order_date]])</f>
        <v>2025</v>
      </c>
      <c r="R1252">
        <f>MONTH(data[[#This Row],[order_date]])</f>
        <v>5</v>
      </c>
      <c r="S1252">
        <f>DAY(data[[#This Row],[order_date]])</f>
        <v>19</v>
      </c>
      <c r="T1252">
        <f>data[[#This Row],[profit]]/data[[#This Row],[sales]]</f>
        <v>0.67164179104477617</v>
      </c>
    </row>
    <row r="1253" spans="1:20" x14ac:dyDescent="0.35">
      <c r="A1253" t="s">
        <v>1471</v>
      </c>
      <c r="B1253" s="1">
        <v>45800</v>
      </c>
      <c r="C1253" t="s">
        <v>14</v>
      </c>
      <c r="D1253" t="s">
        <v>15</v>
      </c>
      <c r="E1253" t="s">
        <v>242</v>
      </c>
      <c r="F1253" t="s">
        <v>17</v>
      </c>
      <c r="G1253" t="s">
        <v>1426</v>
      </c>
      <c r="H1253" t="s">
        <v>1427</v>
      </c>
      <c r="I1253" t="s">
        <v>754</v>
      </c>
      <c r="J1253">
        <v>3</v>
      </c>
      <c r="K1253">
        <v>61000</v>
      </c>
      <c r="L1253">
        <v>0</v>
      </c>
      <c r="M1253">
        <v>41000</v>
      </c>
      <c r="N1253">
        <f>(data[[#This Row],[unit_price]]*data[[#This Row],[quantity]]) * (1-data[[#This Row],[discount]])</f>
        <v>183000</v>
      </c>
      <c r="O1253">
        <f>data[[#This Row],[sales]]-data[[#This Row],[cost]]</f>
        <v>142000</v>
      </c>
      <c r="P1253" t="str">
        <f>TEXT(data[[#This Row],[order_date]],"mmm")</f>
        <v>May</v>
      </c>
      <c r="Q1253">
        <f>YEAR(data[[#This Row],[order_date]])</f>
        <v>2025</v>
      </c>
      <c r="R1253">
        <f>MONTH(data[[#This Row],[order_date]])</f>
        <v>5</v>
      </c>
      <c r="S1253">
        <f>DAY(data[[#This Row],[order_date]])</f>
        <v>23</v>
      </c>
      <c r="T1253">
        <f>data[[#This Row],[profit]]/data[[#This Row],[sales]]</f>
        <v>0.77595628415300544</v>
      </c>
    </row>
    <row r="1254" spans="1:20" x14ac:dyDescent="0.35">
      <c r="A1254" t="s">
        <v>1472</v>
      </c>
      <c r="B1254" s="1">
        <v>45826</v>
      </c>
      <c r="C1254" t="s">
        <v>14</v>
      </c>
      <c r="D1254" t="s">
        <v>15</v>
      </c>
      <c r="E1254" t="s">
        <v>136</v>
      </c>
      <c r="F1254" t="s">
        <v>23</v>
      </c>
      <c r="G1254" t="s">
        <v>1426</v>
      </c>
      <c r="H1254" t="s">
        <v>1427</v>
      </c>
      <c r="I1254" t="s">
        <v>754</v>
      </c>
      <c r="J1254">
        <v>1</v>
      </c>
      <c r="K1254">
        <v>105000</v>
      </c>
      <c r="L1254">
        <v>0</v>
      </c>
      <c r="M1254">
        <v>66000</v>
      </c>
      <c r="N1254">
        <f>(data[[#This Row],[unit_price]]*data[[#This Row],[quantity]]) * (1-data[[#This Row],[discount]])</f>
        <v>105000</v>
      </c>
      <c r="O1254">
        <f>data[[#This Row],[sales]]-data[[#This Row],[cost]]</f>
        <v>39000</v>
      </c>
      <c r="P1254" t="str">
        <f>TEXT(data[[#This Row],[order_date]],"mmm")</f>
        <v>Jun</v>
      </c>
      <c r="Q1254">
        <f>YEAR(data[[#This Row],[order_date]])</f>
        <v>2025</v>
      </c>
      <c r="R1254">
        <f>MONTH(data[[#This Row],[order_date]])</f>
        <v>6</v>
      </c>
      <c r="S1254">
        <f>DAY(data[[#This Row],[order_date]])</f>
        <v>18</v>
      </c>
      <c r="T1254">
        <f>data[[#This Row],[profit]]/data[[#This Row],[sales]]</f>
        <v>0.37142857142857144</v>
      </c>
    </row>
    <row r="1255" spans="1:20" x14ac:dyDescent="0.35">
      <c r="A1255" t="s">
        <v>1473</v>
      </c>
      <c r="B1255" s="1">
        <v>45839</v>
      </c>
      <c r="C1255" t="s">
        <v>14</v>
      </c>
      <c r="D1255" t="s">
        <v>15</v>
      </c>
      <c r="E1255" t="s">
        <v>191</v>
      </c>
      <c r="F1255" t="s">
        <v>23</v>
      </c>
      <c r="G1255" t="s">
        <v>1426</v>
      </c>
      <c r="H1255" t="s">
        <v>1427</v>
      </c>
      <c r="I1255" t="s">
        <v>754</v>
      </c>
      <c r="J1255">
        <v>1</v>
      </c>
      <c r="K1255">
        <v>86000</v>
      </c>
      <c r="L1255">
        <v>0</v>
      </c>
      <c r="M1255">
        <v>56000</v>
      </c>
      <c r="N1255">
        <f>(data[[#This Row],[unit_price]]*data[[#This Row],[quantity]]) * (1-data[[#This Row],[discount]])</f>
        <v>86000</v>
      </c>
      <c r="O1255">
        <f>data[[#This Row],[sales]]-data[[#This Row],[cost]]</f>
        <v>30000</v>
      </c>
      <c r="P1255" t="str">
        <f>TEXT(data[[#This Row],[order_date]],"mmm")</f>
        <v>Jul</v>
      </c>
      <c r="Q1255">
        <f>YEAR(data[[#This Row],[order_date]])</f>
        <v>2025</v>
      </c>
      <c r="R1255">
        <f>MONTH(data[[#This Row],[order_date]])</f>
        <v>7</v>
      </c>
      <c r="S1255">
        <f>DAY(data[[#This Row],[order_date]])</f>
        <v>1</v>
      </c>
      <c r="T1255">
        <f>data[[#This Row],[profit]]/data[[#This Row],[sales]]</f>
        <v>0.34883720930232559</v>
      </c>
    </row>
    <row r="1256" spans="1:20" x14ac:dyDescent="0.35">
      <c r="A1256" t="s">
        <v>1474</v>
      </c>
      <c r="B1256" s="1">
        <v>45850</v>
      </c>
      <c r="C1256" t="s">
        <v>36</v>
      </c>
      <c r="D1256" t="s">
        <v>37</v>
      </c>
      <c r="E1256" t="s">
        <v>366</v>
      </c>
      <c r="F1256" t="s">
        <v>58</v>
      </c>
      <c r="G1256" t="s">
        <v>1426</v>
      </c>
      <c r="H1256" t="s">
        <v>1427</v>
      </c>
      <c r="I1256" t="s">
        <v>754</v>
      </c>
      <c r="J1256">
        <v>1</v>
      </c>
      <c r="K1256">
        <v>107000</v>
      </c>
      <c r="L1256">
        <v>0</v>
      </c>
      <c r="M1256">
        <v>69000</v>
      </c>
      <c r="N1256">
        <f>(data[[#This Row],[unit_price]]*data[[#This Row],[quantity]]) * (1-data[[#This Row],[discount]])</f>
        <v>107000</v>
      </c>
      <c r="O1256">
        <f>data[[#This Row],[sales]]-data[[#This Row],[cost]]</f>
        <v>38000</v>
      </c>
      <c r="P1256" t="str">
        <f>TEXT(data[[#This Row],[order_date]],"mmm")</f>
        <v>Jul</v>
      </c>
      <c r="Q1256">
        <f>YEAR(data[[#This Row],[order_date]])</f>
        <v>2025</v>
      </c>
      <c r="R1256">
        <f>MONTH(data[[#This Row],[order_date]])</f>
        <v>7</v>
      </c>
      <c r="S1256">
        <f>DAY(data[[#This Row],[order_date]])</f>
        <v>12</v>
      </c>
      <c r="T1256">
        <f>data[[#This Row],[profit]]/data[[#This Row],[sales]]</f>
        <v>0.35514018691588783</v>
      </c>
    </row>
    <row r="1257" spans="1:20" x14ac:dyDescent="0.35">
      <c r="A1257" t="s">
        <v>1475</v>
      </c>
      <c r="B1257" s="1">
        <v>45851</v>
      </c>
      <c r="C1257" t="s">
        <v>14</v>
      </c>
      <c r="D1257" t="s">
        <v>15</v>
      </c>
      <c r="E1257" t="s">
        <v>191</v>
      </c>
      <c r="F1257" t="s">
        <v>23</v>
      </c>
      <c r="G1257" t="s">
        <v>1426</v>
      </c>
      <c r="H1257" t="s">
        <v>1427</v>
      </c>
      <c r="I1257" t="s">
        <v>754</v>
      </c>
      <c r="J1257">
        <v>1</v>
      </c>
      <c r="K1257">
        <v>88000</v>
      </c>
      <c r="L1257">
        <v>0</v>
      </c>
      <c r="M1257">
        <v>56000</v>
      </c>
      <c r="N1257">
        <f>(data[[#This Row],[unit_price]]*data[[#This Row],[quantity]]) * (1-data[[#This Row],[discount]])</f>
        <v>88000</v>
      </c>
      <c r="O1257">
        <f>data[[#This Row],[sales]]-data[[#This Row],[cost]]</f>
        <v>32000</v>
      </c>
      <c r="P1257" t="str">
        <f>TEXT(data[[#This Row],[order_date]],"mmm")</f>
        <v>Jul</v>
      </c>
      <c r="Q1257">
        <f>YEAR(data[[#This Row],[order_date]])</f>
        <v>2025</v>
      </c>
      <c r="R1257">
        <f>MONTH(data[[#This Row],[order_date]])</f>
        <v>7</v>
      </c>
      <c r="S1257">
        <f>DAY(data[[#This Row],[order_date]])</f>
        <v>13</v>
      </c>
      <c r="T1257">
        <f>data[[#This Row],[profit]]/data[[#This Row],[sales]]</f>
        <v>0.36363636363636365</v>
      </c>
    </row>
    <row r="1258" spans="1:20" x14ac:dyDescent="0.35">
      <c r="A1258" t="s">
        <v>1476</v>
      </c>
      <c r="B1258" s="1">
        <v>45858</v>
      </c>
      <c r="C1258" t="s">
        <v>41</v>
      </c>
      <c r="D1258" t="s">
        <v>42</v>
      </c>
      <c r="E1258" t="s">
        <v>99</v>
      </c>
      <c r="F1258" t="s">
        <v>23</v>
      </c>
      <c r="G1258" t="s">
        <v>1426</v>
      </c>
      <c r="H1258" t="s">
        <v>1427</v>
      </c>
      <c r="I1258" t="s">
        <v>754</v>
      </c>
      <c r="J1258">
        <v>1</v>
      </c>
      <c r="K1258">
        <v>126000</v>
      </c>
      <c r="L1258">
        <v>0</v>
      </c>
      <c r="M1258">
        <v>82000</v>
      </c>
      <c r="N1258">
        <f>(data[[#This Row],[unit_price]]*data[[#This Row],[quantity]]) * (1-data[[#This Row],[discount]])</f>
        <v>126000</v>
      </c>
      <c r="O1258">
        <f>data[[#This Row],[sales]]-data[[#This Row],[cost]]</f>
        <v>44000</v>
      </c>
      <c r="P1258" t="str">
        <f>TEXT(data[[#This Row],[order_date]],"mmm")</f>
        <v>Jul</v>
      </c>
      <c r="Q1258">
        <f>YEAR(data[[#This Row],[order_date]])</f>
        <v>2025</v>
      </c>
      <c r="R1258">
        <f>MONTH(data[[#This Row],[order_date]])</f>
        <v>7</v>
      </c>
      <c r="S1258">
        <f>DAY(data[[#This Row],[order_date]])</f>
        <v>20</v>
      </c>
      <c r="T1258">
        <f>data[[#This Row],[profit]]/data[[#This Row],[sales]]</f>
        <v>0.34920634920634919</v>
      </c>
    </row>
    <row r="1259" spans="1:20" x14ac:dyDescent="0.35">
      <c r="A1259" t="s">
        <v>1477</v>
      </c>
      <c r="B1259" s="1">
        <v>45870</v>
      </c>
      <c r="C1259" t="s">
        <v>36</v>
      </c>
      <c r="D1259" t="s">
        <v>37</v>
      </c>
      <c r="E1259" t="s">
        <v>168</v>
      </c>
      <c r="F1259" t="s">
        <v>23</v>
      </c>
      <c r="G1259" t="s">
        <v>1426</v>
      </c>
      <c r="H1259" t="s">
        <v>1427</v>
      </c>
      <c r="I1259" t="s">
        <v>754</v>
      </c>
      <c r="J1259">
        <v>1</v>
      </c>
      <c r="K1259">
        <v>114000</v>
      </c>
      <c r="L1259">
        <v>0</v>
      </c>
      <c r="M1259">
        <v>73000</v>
      </c>
      <c r="N1259">
        <f>(data[[#This Row],[unit_price]]*data[[#This Row],[quantity]]) * (1-data[[#This Row],[discount]])</f>
        <v>114000</v>
      </c>
      <c r="O1259">
        <f>data[[#This Row],[sales]]-data[[#This Row],[cost]]</f>
        <v>41000</v>
      </c>
      <c r="P1259" t="str">
        <f>TEXT(data[[#This Row],[order_date]],"mmm")</f>
        <v>Aug</v>
      </c>
      <c r="Q1259">
        <f>YEAR(data[[#This Row],[order_date]])</f>
        <v>2025</v>
      </c>
      <c r="R1259">
        <f>MONTH(data[[#This Row],[order_date]])</f>
        <v>8</v>
      </c>
      <c r="S1259">
        <f>DAY(data[[#This Row],[order_date]])</f>
        <v>1</v>
      </c>
      <c r="T1259">
        <f>data[[#This Row],[profit]]/data[[#This Row],[sales]]</f>
        <v>0.35964912280701755</v>
      </c>
    </row>
    <row r="1260" spans="1:20" x14ac:dyDescent="0.35">
      <c r="A1260" t="s">
        <v>1478</v>
      </c>
      <c r="B1260" s="1">
        <v>45914</v>
      </c>
      <c r="C1260" t="s">
        <v>14</v>
      </c>
      <c r="D1260" t="s">
        <v>15</v>
      </c>
      <c r="E1260" t="s">
        <v>45</v>
      </c>
      <c r="F1260" t="s">
        <v>17</v>
      </c>
      <c r="G1260" t="s">
        <v>1426</v>
      </c>
      <c r="H1260" t="s">
        <v>1427</v>
      </c>
      <c r="I1260" t="s">
        <v>754</v>
      </c>
      <c r="J1260">
        <v>1</v>
      </c>
      <c r="K1260">
        <v>153000</v>
      </c>
      <c r="L1260">
        <v>0</v>
      </c>
      <c r="M1260">
        <v>102000</v>
      </c>
      <c r="N1260">
        <f>(data[[#This Row],[unit_price]]*data[[#This Row],[quantity]]) * (1-data[[#This Row],[discount]])</f>
        <v>153000</v>
      </c>
      <c r="O1260">
        <f>data[[#This Row],[sales]]-data[[#This Row],[cost]]</f>
        <v>51000</v>
      </c>
      <c r="P1260" t="str">
        <f>TEXT(data[[#This Row],[order_date]],"mmm")</f>
        <v>Sep</v>
      </c>
      <c r="Q1260">
        <f>YEAR(data[[#This Row],[order_date]])</f>
        <v>2025</v>
      </c>
      <c r="R1260">
        <f>MONTH(data[[#This Row],[order_date]])</f>
        <v>9</v>
      </c>
      <c r="S1260">
        <f>DAY(data[[#This Row],[order_date]])</f>
        <v>14</v>
      </c>
      <c r="T1260">
        <f>data[[#This Row],[profit]]/data[[#This Row],[sales]]</f>
        <v>0.33333333333333331</v>
      </c>
    </row>
    <row r="1261" spans="1:20" x14ac:dyDescent="0.35">
      <c r="A1261" t="s">
        <v>1479</v>
      </c>
      <c r="B1261" s="1">
        <v>45914</v>
      </c>
      <c r="C1261" t="s">
        <v>41</v>
      </c>
      <c r="D1261" t="s">
        <v>42</v>
      </c>
      <c r="E1261" t="s">
        <v>182</v>
      </c>
      <c r="F1261" t="s">
        <v>23</v>
      </c>
      <c r="G1261" t="s">
        <v>1426</v>
      </c>
      <c r="H1261" t="s">
        <v>1427</v>
      </c>
      <c r="I1261" t="s">
        <v>754</v>
      </c>
      <c r="J1261">
        <v>2</v>
      </c>
      <c r="K1261">
        <v>140000</v>
      </c>
      <c r="L1261">
        <v>0.05</v>
      </c>
      <c r="M1261">
        <v>90000</v>
      </c>
      <c r="N1261">
        <f>(data[[#This Row],[unit_price]]*data[[#This Row],[quantity]]) * (1-data[[#This Row],[discount]])</f>
        <v>266000</v>
      </c>
      <c r="O1261">
        <f>data[[#This Row],[sales]]-data[[#This Row],[cost]]</f>
        <v>176000</v>
      </c>
      <c r="P1261" t="str">
        <f>TEXT(data[[#This Row],[order_date]],"mmm")</f>
        <v>Sep</v>
      </c>
      <c r="Q1261">
        <f>YEAR(data[[#This Row],[order_date]])</f>
        <v>2025</v>
      </c>
      <c r="R1261">
        <f>MONTH(data[[#This Row],[order_date]])</f>
        <v>9</v>
      </c>
      <c r="S1261">
        <f>DAY(data[[#This Row],[order_date]])</f>
        <v>14</v>
      </c>
      <c r="T1261">
        <f>data[[#This Row],[profit]]/data[[#This Row],[sales]]</f>
        <v>0.66165413533834583</v>
      </c>
    </row>
    <row r="1262" spans="1:20" x14ac:dyDescent="0.35">
      <c r="A1262" t="s">
        <v>1480</v>
      </c>
      <c r="B1262" s="1">
        <v>45939</v>
      </c>
      <c r="C1262" t="s">
        <v>49</v>
      </c>
      <c r="D1262" t="s">
        <v>50</v>
      </c>
      <c r="E1262" t="s">
        <v>99</v>
      </c>
      <c r="F1262" t="s">
        <v>23</v>
      </c>
      <c r="G1262" t="s">
        <v>1426</v>
      </c>
      <c r="H1262" t="s">
        <v>1427</v>
      </c>
      <c r="I1262" t="s">
        <v>754</v>
      </c>
      <c r="J1262">
        <v>1</v>
      </c>
      <c r="K1262">
        <v>143000</v>
      </c>
      <c r="L1262">
        <v>0</v>
      </c>
      <c r="M1262">
        <v>91000</v>
      </c>
      <c r="N1262">
        <f>(data[[#This Row],[unit_price]]*data[[#This Row],[quantity]]) * (1-data[[#This Row],[discount]])</f>
        <v>143000</v>
      </c>
      <c r="O1262">
        <f>data[[#This Row],[sales]]-data[[#This Row],[cost]]</f>
        <v>52000</v>
      </c>
      <c r="P1262" t="str">
        <f>TEXT(data[[#This Row],[order_date]],"mmm")</f>
        <v>Oct</v>
      </c>
      <c r="Q1262">
        <f>YEAR(data[[#This Row],[order_date]])</f>
        <v>2025</v>
      </c>
      <c r="R1262">
        <f>MONTH(data[[#This Row],[order_date]])</f>
        <v>10</v>
      </c>
      <c r="S1262">
        <f>DAY(data[[#This Row],[order_date]])</f>
        <v>9</v>
      </c>
      <c r="T1262">
        <f>data[[#This Row],[profit]]/data[[#This Row],[sales]]</f>
        <v>0.36363636363636365</v>
      </c>
    </row>
    <row r="1263" spans="1:20" x14ac:dyDescent="0.35">
      <c r="A1263" t="s">
        <v>1481</v>
      </c>
      <c r="B1263" s="1">
        <v>45974</v>
      </c>
      <c r="C1263" t="s">
        <v>14</v>
      </c>
      <c r="D1263" t="s">
        <v>15</v>
      </c>
      <c r="E1263" t="s">
        <v>522</v>
      </c>
      <c r="F1263" t="s">
        <v>23</v>
      </c>
      <c r="G1263" t="s">
        <v>1426</v>
      </c>
      <c r="H1263" t="s">
        <v>1427</v>
      </c>
      <c r="I1263" t="s">
        <v>754</v>
      </c>
      <c r="J1263">
        <v>1</v>
      </c>
      <c r="K1263">
        <v>97000</v>
      </c>
      <c r="L1263">
        <v>0.1</v>
      </c>
      <c r="M1263">
        <v>64000</v>
      </c>
      <c r="N1263">
        <f>(data[[#This Row],[unit_price]]*data[[#This Row],[quantity]]) * (1-data[[#This Row],[discount]])</f>
        <v>87300</v>
      </c>
      <c r="O1263">
        <f>data[[#This Row],[sales]]-data[[#This Row],[cost]]</f>
        <v>23300</v>
      </c>
      <c r="P1263" t="str">
        <f>TEXT(data[[#This Row],[order_date]],"mmm")</f>
        <v>Nov</v>
      </c>
      <c r="Q1263">
        <f>YEAR(data[[#This Row],[order_date]])</f>
        <v>2025</v>
      </c>
      <c r="R1263">
        <f>MONTH(data[[#This Row],[order_date]])</f>
        <v>11</v>
      </c>
      <c r="S1263">
        <f>DAY(data[[#This Row],[order_date]])</f>
        <v>13</v>
      </c>
      <c r="T1263">
        <f>data[[#This Row],[profit]]/data[[#This Row],[sales]]</f>
        <v>0.26689576174112256</v>
      </c>
    </row>
    <row r="1264" spans="1:20" x14ac:dyDescent="0.35">
      <c r="A1264" t="s">
        <v>1482</v>
      </c>
      <c r="B1264" s="1">
        <v>45990</v>
      </c>
      <c r="C1264" t="s">
        <v>14</v>
      </c>
      <c r="D1264" t="s">
        <v>15</v>
      </c>
      <c r="E1264" t="s">
        <v>177</v>
      </c>
      <c r="F1264" t="s">
        <v>23</v>
      </c>
      <c r="G1264" t="s">
        <v>1426</v>
      </c>
      <c r="H1264" t="s">
        <v>1427</v>
      </c>
      <c r="I1264" t="s">
        <v>754</v>
      </c>
      <c r="J1264">
        <v>1</v>
      </c>
      <c r="K1264">
        <v>81000</v>
      </c>
      <c r="L1264">
        <v>0</v>
      </c>
      <c r="M1264">
        <v>52000</v>
      </c>
      <c r="N1264">
        <f>(data[[#This Row],[unit_price]]*data[[#This Row],[quantity]]) * (1-data[[#This Row],[discount]])</f>
        <v>81000</v>
      </c>
      <c r="O1264">
        <f>data[[#This Row],[sales]]-data[[#This Row],[cost]]</f>
        <v>29000</v>
      </c>
      <c r="P1264" t="str">
        <f>TEXT(data[[#This Row],[order_date]],"mmm")</f>
        <v>Nov</v>
      </c>
      <c r="Q1264">
        <f>YEAR(data[[#This Row],[order_date]])</f>
        <v>2025</v>
      </c>
      <c r="R1264">
        <f>MONTH(data[[#This Row],[order_date]])</f>
        <v>11</v>
      </c>
      <c r="S1264">
        <f>DAY(data[[#This Row],[order_date]])</f>
        <v>29</v>
      </c>
      <c r="T1264">
        <f>data[[#This Row],[profit]]/data[[#This Row],[sales]]</f>
        <v>0.35802469135802467</v>
      </c>
    </row>
    <row r="1265" spans="1:20" x14ac:dyDescent="0.35">
      <c r="A1265" t="s">
        <v>1483</v>
      </c>
      <c r="B1265" s="1">
        <v>46007</v>
      </c>
      <c r="C1265" t="s">
        <v>49</v>
      </c>
      <c r="D1265" t="s">
        <v>50</v>
      </c>
      <c r="E1265" t="s">
        <v>119</v>
      </c>
      <c r="F1265" t="s">
        <v>23</v>
      </c>
      <c r="G1265" t="s">
        <v>1426</v>
      </c>
      <c r="H1265" t="s">
        <v>1427</v>
      </c>
      <c r="I1265" t="s">
        <v>754</v>
      </c>
      <c r="J1265">
        <v>5</v>
      </c>
      <c r="K1265">
        <v>62000</v>
      </c>
      <c r="L1265">
        <v>0</v>
      </c>
      <c r="M1265">
        <v>40000</v>
      </c>
      <c r="N1265">
        <f>(data[[#This Row],[unit_price]]*data[[#This Row],[quantity]]) * (1-data[[#This Row],[discount]])</f>
        <v>310000</v>
      </c>
      <c r="O1265">
        <f>data[[#This Row],[sales]]-data[[#This Row],[cost]]</f>
        <v>270000</v>
      </c>
      <c r="P1265" t="str">
        <f>TEXT(data[[#This Row],[order_date]],"mmm")</f>
        <v>Dec</v>
      </c>
      <c r="Q1265">
        <f>YEAR(data[[#This Row],[order_date]])</f>
        <v>2025</v>
      </c>
      <c r="R1265">
        <f>MONTH(data[[#This Row],[order_date]])</f>
        <v>12</v>
      </c>
      <c r="S1265">
        <f>DAY(data[[#This Row],[order_date]])</f>
        <v>16</v>
      </c>
      <c r="T1265">
        <f>data[[#This Row],[profit]]/data[[#This Row],[sales]]</f>
        <v>0.87096774193548387</v>
      </c>
    </row>
    <row r="1266" spans="1:20" x14ac:dyDescent="0.35">
      <c r="A1266" t="s">
        <v>1484</v>
      </c>
      <c r="B1266" s="1">
        <v>46031</v>
      </c>
      <c r="C1266" t="s">
        <v>49</v>
      </c>
      <c r="D1266" t="s">
        <v>50</v>
      </c>
      <c r="E1266" t="s">
        <v>102</v>
      </c>
      <c r="F1266" t="s">
        <v>58</v>
      </c>
      <c r="G1266" t="s">
        <v>1426</v>
      </c>
      <c r="H1266" t="s">
        <v>1427</v>
      </c>
      <c r="I1266" t="s">
        <v>754</v>
      </c>
      <c r="J1266">
        <v>1</v>
      </c>
      <c r="K1266">
        <v>164000</v>
      </c>
      <c r="L1266">
        <v>0</v>
      </c>
      <c r="M1266">
        <v>104000</v>
      </c>
      <c r="N1266">
        <f>(data[[#This Row],[unit_price]]*data[[#This Row],[quantity]]) * (1-data[[#This Row],[discount]])</f>
        <v>164000</v>
      </c>
      <c r="O1266">
        <f>data[[#This Row],[sales]]-data[[#This Row],[cost]]</f>
        <v>60000</v>
      </c>
      <c r="P1266" t="str">
        <f>TEXT(data[[#This Row],[order_date]],"mmm")</f>
        <v>Jan</v>
      </c>
      <c r="Q1266">
        <f>YEAR(data[[#This Row],[order_date]])</f>
        <v>2026</v>
      </c>
      <c r="R1266">
        <f>MONTH(data[[#This Row],[order_date]])</f>
        <v>1</v>
      </c>
      <c r="S1266">
        <f>DAY(data[[#This Row],[order_date]])</f>
        <v>9</v>
      </c>
      <c r="T1266">
        <f>data[[#This Row],[profit]]/data[[#This Row],[sales]]</f>
        <v>0.36585365853658536</v>
      </c>
    </row>
    <row r="1267" spans="1:20" x14ac:dyDescent="0.35">
      <c r="A1267" t="s">
        <v>1485</v>
      </c>
      <c r="B1267" s="1">
        <v>46041</v>
      </c>
      <c r="C1267" t="s">
        <v>49</v>
      </c>
      <c r="D1267" t="s">
        <v>50</v>
      </c>
      <c r="E1267" t="s">
        <v>230</v>
      </c>
      <c r="F1267" t="s">
        <v>23</v>
      </c>
      <c r="G1267" t="s">
        <v>1426</v>
      </c>
      <c r="H1267" t="s">
        <v>1427</v>
      </c>
      <c r="I1267" t="s">
        <v>754</v>
      </c>
      <c r="J1267">
        <v>2</v>
      </c>
      <c r="K1267">
        <v>105000</v>
      </c>
      <c r="L1267">
        <v>0</v>
      </c>
      <c r="M1267">
        <v>67000</v>
      </c>
      <c r="N1267">
        <f>(data[[#This Row],[unit_price]]*data[[#This Row],[quantity]]) * (1-data[[#This Row],[discount]])</f>
        <v>210000</v>
      </c>
      <c r="O1267">
        <f>data[[#This Row],[sales]]-data[[#This Row],[cost]]</f>
        <v>143000</v>
      </c>
      <c r="P1267" t="str">
        <f>TEXT(data[[#This Row],[order_date]],"mmm")</f>
        <v>Jan</v>
      </c>
      <c r="Q1267">
        <f>YEAR(data[[#This Row],[order_date]])</f>
        <v>2026</v>
      </c>
      <c r="R1267">
        <f>MONTH(data[[#This Row],[order_date]])</f>
        <v>1</v>
      </c>
      <c r="S1267">
        <f>DAY(data[[#This Row],[order_date]])</f>
        <v>19</v>
      </c>
      <c r="T1267">
        <f>data[[#This Row],[profit]]/data[[#This Row],[sales]]</f>
        <v>0.68095238095238098</v>
      </c>
    </row>
    <row r="1268" spans="1:20" x14ac:dyDescent="0.35">
      <c r="A1268" t="s">
        <v>1486</v>
      </c>
      <c r="B1268" s="1">
        <v>46042</v>
      </c>
      <c r="C1268" t="s">
        <v>14</v>
      </c>
      <c r="D1268" t="s">
        <v>15</v>
      </c>
      <c r="E1268" t="s">
        <v>218</v>
      </c>
      <c r="F1268" t="s">
        <v>23</v>
      </c>
      <c r="G1268" t="s">
        <v>1426</v>
      </c>
      <c r="H1268" t="s">
        <v>1427</v>
      </c>
      <c r="I1268" t="s">
        <v>754</v>
      </c>
      <c r="J1268">
        <v>1</v>
      </c>
      <c r="K1268">
        <v>142000</v>
      </c>
      <c r="L1268">
        <v>0</v>
      </c>
      <c r="M1268">
        <v>94000</v>
      </c>
      <c r="N1268">
        <f>(data[[#This Row],[unit_price]]*data[[#This Row],[quantity]]) * (1-data[[#This Row],[discount]])</f>
        <v>142000</v>
      </c>
      <c r="O1268">
        <f>data[[#This Row],[sales]]-data[[#This Row],[cost]]</f>
        <v>48000</v>
      </c>
      <c r="P1268" t="str">
        <f>TEXT(data[[#This Row],[order_date]],"mmm")</f>
        <v>Jan</v>
      </c>
      <c r="Q1268">
        <f>YEAR(data[[#This Row],[order_date]])</f>
        <v>2026</v>
      </c>
      <c r="R1268">
        <f>MONTH(data[[#This Row],[order_date]])</f>
        <v>1</v>
      </c>
      <c r="S1268">
        <f>DAY(data[[#This Row],[order_date]])</f>
        <v>20</v>
      </c>
      <c r="T1268">
        <f>data[[#This Row],[profit]]/data[[#This Row],[sales]]</f>
        <v>0.3380281690140845</v>
      </c>
    </row>
    <row r="1269" spans="1:20" x14ac:dyDescent="0.35">
      <c r="A1269" t="s">
        <v>1487</v>
      </c>
      <c r="B1269" s="1">
        <v>46048</v>
      </c>
      <c r="C1269" t="s">
        <v>49</v>
      </c>
      <c r="D1269" t="s">
        <v>50</v>
      </c>
      <c r="E1269" t="s">
        <v>260</v>
      </c>
      <c r="F1269" t="s">
        <v>23</v>
      </c>
      <c r="G1269" t="s">
        <v>1426</v>
      </c>
      <c r="H1269" t="s">
        <v>1427</v>
      </c>
      <c r="I1269" t="s">
        <v>754</v>
      </c>
      <c r="J1269">
        <v>5</v>
      </c>
      <c r="K1269">
        <v>92000</v>
      </c>
      <c r="L1269">
        <v>0</v>
      </c>
      <c r="M1269">
        <v>59000</v>
      </c>
      <c r="N1269">
        <f>(data[[#This Row],[unit_price]]*data[[#This Row],[quantity]]) * (1-data[[#This Row],[discount]])</f>
        <v>460000</v>
      </c>
      <c r="O1269">
        <f>data[[#This Row],[sales]]-data[[#This Row],[cost]]</f>
        <v>401000</v>
      </c>
      <c r="P1269" t="str">
        <f>TEXT(data[[#This Row],[order_date]],"mmm")</f>
        <v>Jan</v>
      </c>
      <c r="Q1269">
        <f>YEAR(data[[#This Row],[order_date]])</f>
        <v>2026</v>
      </c>
      <c r="R1269">
        <f>MONTH(data[[#This Row],[order_date]])</f>
        <v>1</v>
      </c>
      <c r="S1269">
        <f>DAY(data[[#This Row],[order_date]])</f>
        <v>26</v>
      </c>
      <c r="T1269">
        <f>data[[#This Row],[profit]]/data[[#This Row],[sales]]</f>
        <v>0.87173913043478257</v>
      </c>
    </row>
    <row r="1270" spans="1:20" x14ac:dyDescent="0.35">
      <c r="A1270" t="s">
        <v>1488</v>
      </c>
      <c r="B1270" s="1">
        <v>46068</v>
      </c>
      <c r="C1270" t="s">
        <v>41</v>
      </c>
      <c r="D1270" t="s">
        <v>42</v>
      </c>
      <c r="E1270" t="s">
        <v>340</v>
      </c>
      <c r="F1270" t="s">
        <v>23</v>
      </c>
      <c r="G1270" t="s">
        <v>1426</v>
      </c>
      <c r="H1270" t="s">
        <v>1427</v>
      </c>
      <c r="I1270" t="s">
        <v>754</v>
      </c>
      <c r="J1270">
        <v>2</v>
      </c>
      <c r="K1270">
        <v>71000</v>
      </c>
      <c r="L1270">
        <v>0</v>
      </c>
      <c r="M1270">
        <v>46000</v>
      </c>
      <c r="N1270">
        <f>(data[[#This Row],[unit_price]]*data[[#This Row],[quantity]]) * (1-data[[#This Row],[discount]])</f>
        <v>142000</v>
      </c>
      <c r="O1270">
        <f>data[[#This Row],[sales]]-data[[#This Row],[cost]]</f>
        <v>96000</v>
      </c>
      <c r="P1270" t="str">
        <f>TEXT(data[[#This Row],[order_date]],"mmm")</f>
        <v>Feb</v>
      </c>
      <c r="Q1270">
        <f>YEAR(data[[#This Row],[order_date]])</f>
        <v>2026</v>
      </c>
      <c r="R1270">
        <f>MONTH(data[[#This Row],[order_date]])</f>
        <v>2</v>
      </c>
      <c r="S1270">
        <f>DAY(data[[#This Row],[order_date]])</f>
        <v>15</v>
      </c>
      <c r="T1270">
        <f>data[[#This Row],[profit]]/data[[#This Row],[sales]]</f>
        <v>0.676056338028169</v>
      </c>
    </row>
    <row r="1271" spans="1:20" x14ac:dyDescent="0.35">
      <c r="A1271" t="s">
        <v>1489</v>
      </c>
      <c r="B1271" s="1">
        <v>46079</v>
      </c>
      <c r="C1271" t="s">
        <v>14</v>
      </c>
      <c r="D1271" t="s">
        <v>15</v>
      </c>
      <c r="E1271" t="s">
        <v>85</v>
      </c>
      <c r="F1271" t="s">
        <v>23</v>
      </c>
      <c r="G1271" t="s">
        <v>1426</v>
      </c>
      <c r="H1271" t="s">
        <v>1427</v>
      </c>
      <c r="I1271" t="s">
        <v>754</v>
      </c>
      <c r="J1271">
        <v>1</v>
      </c>
      <c r="K1271">
        <v>132000</v>
      </c>
      <c r="L1271">
        <v>0</v>
      </c>
      <c r="M1271">
        <v>88000</v>
      </c>
      <c r="N1271">
        <f>(data[[#This Row],[unit_price]]*data[[#This Row],[quantity]]) * (1-data[[#This Row],[discount]])</f>
        <v>132000</v>
      </c>
      <c r="O1271">
        <f>data[[#This Row],[sales]]-data[[#This Row],[cost]]</f>
        <v>44000</v>
      </c>
      <c r="P1271" t="str">
        <f>TEXT(data[[#This Row],[order_date]],"mmm")</f>
        <v>Feb</v>
      </c>
      <c r="Q1271">
        <f>YEAR(data[[#This Row],[order_date]])</f>
        <v>2026</v>
      </c>
      <c r="R1271">
        <f>MONTH(data[[#This Row],[order_date]])</f>
        <v>2</v>
      </c>
      <c r="S1271">
        <f>DAY(data[[#This Row],[order_date]])</f>
        <v>26</v>
      </c>
      <c r="T1271">
        <f>data[[#This Row],[profit]]/data[[#This Row],[sales]]</f>
        <v>0.33333333333333331</v>
      </c>
    </row>
    <row r="1272" spans="1:20" x14ac:dyDescent="0.35">
      <c r="A1272" t="s">
        <v>1490</v>
      </c>
      <c r="B1272" s="1">
        <v>46096</v>
      </c>
      <c r="C1272" t="s">
        <v>49</v>
      </c>
      <c r="D1272" t="s">
        <v>50</v>
      </c>
      <c r="E1272" t="s">
        <v>113</v>
      </c>
      <c r="F1272" t="s">
        <v>23</v>
      </c>
      <c r="G1272" t="s">
        <v>1426</v>
      </c>
      <c r="H1272" t="s">
        <v>1427</v>
      </c>
      <c r="I1272" t="s">
        <v>754</v>
      </c>
      <c r="J1272">
        <v>1</v>
      </c>
      <c r="K1272">
        <v>105000</v>
      </c>
      <c r="L1272">
        <v>0</v>
      </c>
      <c r="M1272">
        <v>68000</v>
      </c>
      <c r="N1272">
        <f>(data[[#This Row],[unit_price]]*data[[#This Row],[quantity]]) * (1-data[[#This Row],[discount]])</f>
        <v>105000</v>
      </c>
      <c r="O1272">
        <f>data[[#This Row],[sales]]-data[[#This Row],[cost]]</f>
        <v>37000</v>
      </c>
      <c r="P1272" t="str">
        <f>TEXT(data[[#This Row],[order_date]],"mmm")</f>
        <v>Mar</v>
      </c>
      <c r="Q1272">
        <f>YEAR(data[[#This Row],[order_date]])</f>
        <v>2026</v>
      </c>
      <c r="R1272">
        <f>MONTH(data[[#This Row],[order_date]])</f>
        <v>3</v>
      </c>
      <c r="S1272">
        <f>DAY(data[[#This Row],[order_date]])</f>
        <v>15</v>
      </c>
      <c r="T1272">
        <f>data[[#This Row],[profit]]/data[[#This Row],[sales]]</f>
        <v>0.35238095238095241</v>
      </c>
    </row>
    <row r="1273" spans="1:20" x14ac:dyDescent="0.35">
      <c r="A1273" t="s">
        <v>1491</v>
      </c>
      <c r="B1273" s="1">
        <v>46118</v>
      </c>
      <c r="C1273" t="s">
        <v>41</v>
      </c>
      <c r="D1273" t="s">
        <v>42</v>
      </c>
      <c r="E1273" t="s">
        <v>741</v>
      </c>
      <c r="F1273" t="s">
        <v>23</v>
      </c>
      <c r="G1273" t="s">
        <v>1426</v>
      </c>
      <c r="H1273" t="s">
        <v>1427</v>
      </c>
      <c r="I1273" t="s">
        <v>754</v>
      </c>
      <c r="J1273">
        <v>1</v>
      </c>
      <c r="K1273">
        <v>152000</v>
      </c>
      <c r="L1273">
        <v>0</v>
      </c>
      <c r="M1273">
        <v>100000</v>
      </c>
      <c r="N1273">
        <f>(data[[#This Row],[unit_price]]*data[[#This Row],[quantity]]) * (1-data[[#This Row],[discount]])</f>
        <v>152000</v>
      </c>
      <c r="O1273">
        <f>data[[#This Row],[sales]]-data[[#This Row],[cost]]</f>
        <v>52000</v>
      </c>
      <c r="P1273" t="str">
        <f>TEXT(data[[#This Row],[order_date]],"mmm")</f>
        <v>Apr</v>
      </c>
      <c r="Q1273">
        <f>YEAR(data[[#This Row],[order_date]])</f>
        <v>2026</v>
      </c>
      <c r="R1273">
        <f>MONTH(data[[#This Row],[order_date]])</f>
        <v>4</v>
      </c>
      <c r="S1273">
        <f>DAY(data[[#This Row],[order_date]])</f>
        <v>6</v>
      </c>
      <c r="T1273">
        <f>data[[#This Row],[profit]]/data[[#This Row],[sales]]</f>
        <v>0.34210526315789475</v>
      </c>
    </row>
    <row r="1274" spans="1:20" x14ac:dyDescent="0.35">
      <c r="A1274" t="s">
        <v>1492</v>
      </c>
      <c r="B1274" s="1">
        <v>46131</v>
      </c>
      <c r="C1274" t="s">
        <v>41</v>
      </c>
      <c r="D1274" t="s">
        <v>42</v>
      </c>
      <c r="E1274" t="s">
        <v>126</v>
      </c>
      <c r="F1274" t="s">
        <v>17</v>
      </c>
      <c r="G1274" t="s">
        <v>1426</v>
      </c>
      <c r="H1274" t="s">
        <v>1427</v>
      </c>
      <c r="I1274" t="s">
        <v>754</v>
      </c>
      <c r="J1274">
        <v>5</v>
      </c>
      <c r="K1274">
        <v>100000</v>
      </c>
      <c r="L1274">
        <v>0</v>
      </c>
      <c r="M1274">
        <v>63000</v>
      </c>
      <c r="N1274">
        <f>(data[[#This Row],[unit_price]]*data[[#This Row],[quantity]]) * (1-data[[#This Row],[discount]])</f>
        <v>500000</v>
      </c>
      <c r="O1274">
        <f>data[[#This Row],[sales]]-data[[#This Row],[cost]]</f>
        <v>437000</v>
      </c>
      <c r="P1274" t="str">
        <f>TEXT(data[[#This Row],[order_date]],"mmm")</f>
        <v>Apr</v>
      </c>
      <c r="Q1274">
        <f>YEAR(data[[#This Row],[order_date]])</f>
        <v>2026</v>
      </c>
      <c r="R1274">
        <f>MONTH(data[[#This Row],[order_date]])</f>
        <v>4</v>
      </c>
      <c r="S1274">
        <f>DAY(data[[#This Row],[order_date]])</f>
        <v>19</v>
      </c>
      <c r="T1274">
        <f>data[[#This Row],[profit]]/data[[#This Row],[sales]]</f>
        <v>0.874</v>
      </c>
    </row>
    <row r="1275" spans="1:20" x14ac:dyDescent="0.35">
      <c r="A1275" t="s">
        <v>1493</v>
      </c>
      <c r="B1275" s="1">
        <v>46145</v>
      </c>
      <c r="C1275" t="s">
        <v>41</v>
      </c>
      <c r="D1275" t="s">
        <v>42</v>
      </c>
      <c r="E1275" t="s">
        <v>309</v>
      </c>
      <c r="F1275" t="s">
        <v>23</v>
      </c>
      <c r="G1275" t="s">
        <v>1426</v>
      </c>
      <c r="H1275" t="s">
        <v>1427</v>
      </c>
      <c r="I1275" t="s">
        <v>754</v>
      </c>
      <c r="J1275">
        <v>1</v>
      </c>
      <c r="K1275">
        <v>100000</v>
      </c>
      <c r="L1275">
        <v>0</v>
      </c>
      <c r="M1275">
        <v>66000</v>
      </c>
      <c r="N1275">
        <f>(data[[#This Row],[unit_price]]*data[[#This Row],[quantity]]) * (1-data[[#This Row],[discount]])</f>
        <v>100000</v>
      </c>
      <c r="O1275">
        <f>data[[#This Row],[sales]]-data[[#This Row],[cost]]</f>
        <v>34000</v>
      </c>
      <c r="P1275" t="str">
        <f>TEXT(data[[#This Row],[order_date]],"mmm")</f>
        <v>May</v>
      </c>
      <c r="Q1275">
        <f>YEAR(data[[#This Row],[order_date]])</f>
        <v>2026</v>
      </c>
      <c r="R1275">
        <f>MONTH(data[[#This Row],[order_date]])</f>
        <v>5</v>
      </c>
      <c r="S1275">
        <f>DAY(data[[#This Row],[order_date]])</f>
        <v>3</v>
      </c>
      <c r="T1275">
        <f>data[[#This Row],[profit]]/data[[#This Row],[sales]]</f>
        <v>0.34</v>
      </c>
    </row>
    <row r="1276" spans="1:20" x14ac:dyDescent="0.35">
      <c r="A1276" t="s">
        <v>1494</v>
      </c>
      <c r="B1276" s="1">
        <v>46153</v>
      </c>
      <c r="C1276" t="s">
        <v>14</v>
      </c>
      <c r="D1276" t="s">
        <v>15</v>
      </c>
      <c r="E1276" t="s">
        <v>168</v>
      </c>
      <c r="F1276" t="s">
        <v>23</v>
      </c>
      <c r="G1276" t="s">
        <v>1426</v>
      </c>
      <c r="H1276" t="s">
        <v>1427</v>
      </c>
      <c r="I1276" t="s">
        <v>754</v>
      </c>
      <c r="J1276">
        <v>1</v>
      </c>
      <c r="K1276">
        <v>97000</v>
      </c>
      <c r="L1276">
        <v>0</v>
      </c>
      <c r="M1276">
        <v>62000</v>
      </c>
      <c r="N1276">
        <f>(data[[#This Row],[unit_price]]*data[[#This Row],[quantity]]) * (1-data[[#This Row],[discount]])</f>
        <v>97000</v>
      </c>
      <c r="O1276">
        <f>data[[#This Row],[sales]]-data[[#This Row],[cost]]</f>
        <v>35000</v>
      </c>
      <c r="P1276" t="str">
        <f>TEXT(data[[#This Row],[order_date]],"mmm")</f>
        <v>May</v>
      </c>
      <c r="Q1276">
        <f>YEAR(data[[#This Row],[order_date]])</f>
        <v>2026</v>
      </c>
      <c r="R1276">
        <f>MONTH(data[[#This Row],[order_date]])</f>
        <v>5</v>
      </c>
      <c r="S1276">
        <f>DAY(data[[#This Row],[order_date]])</f>
        <v>11</v>
      </c>
      <c r="T1276">
        <f>data[[#This Row],[profit]]/data[[#This Row],[sales]]</f>
        <v>0.36082474226804123</v>
      </c>
    </row>
    <row r="1277" spans="1:20" x14ac:dyDescent="0.35">
      <c r="A1277" t="s">
        <v>1495</v>
      </c>
      <c r="B1277" s="1">
        <v>46167</v>
      </c>
      <c r="C1277" t="s">
        <v>36</v>
      </c>
      <c r="D1277" t="s">
        <v>37</v>
      </c>
      <c r="E1277" t="s">
        <v>146</v>
      </c>
      <c r="F1277" t="s">
        <v>17</v>
      </c>
      <c r="G1277" t="s">
        <v>1426</v>
      </c>
      <c r="H1277" t="s">
        <v>1427</v>
      </c>
      <c r="I1277" t="s">
        <v>754</v>
      </c>
      <c r="J1277">
        <v>1</v>
      </c>
      <c r="K1277">
        <v>127000</v>
      </c>
      <c r="L1277">
        <v>0</v>
      </c>
      <c r="M1277">
        <v>84000</v>
      </c>
      <c r="N1277">
        <f>(data[[#This Row],[unit_price]]*data[[#This Row],[quantity]]) * (1-data[[#This Row],[discount]])</f>
        <v>127000</v>
      </c>
      <c r="O1277">
        <f>data[[#This Row],[sales]]-data[[#This Row],[cost]]</f>
        <v>43000</v>
      </c>
      <c r="P1277" t="str">
        <f>TEXT(data[[#This Row],[order_date]],"mmm")</f>
        <v>May</v>
      </c>
      <c r="Q1277">
        <f>YEAR(data[[#This Row],[order_date]])</f>
        <v>2026</v>
      </c>
      <c r="R1277">
        <f>MONTH(data[[#This Row],[order_date]])</f>
        <v>5</v>
      </c>
      <c r="S1277">
        <f>DAY(data[[#This Row],[order_date]])</f>
        <v>25</v>
      </c>
      <c r="T1277">
        <f>data[[#This Row],[profit]]/data[[#This Row],[sales]]</f>
        <v>0.33858267716535434</v>
      </c>
    </row>
    <row r="1278" spans="1:20" x14ac:dyDescent="0.35">
      <c r="A1278" t="s">
        <v>1496</v>
      </c>
      <c r="B1278" s="1">
        <v>46172</v>
      </c>
      <c r="C1278" t="s">
        <v>14</v>
      </c>
      <c r="D1278" t="s">
        <v>15</v>
      </c>
      <c r="E1278" t="s">
        <v>524</v>
      </c>
      <c r="F1278" t="s">
        <v>17</v>
      </c>
      <c r="G1278" t="s">
        <v>1426</v>
      </c>
      <c r="H1278" t="s">
        <v>1427</v>
      </c>
      <c r="I1278" t="s">
        <v>754</v>
      </c>
      <c r="J1278">
        <v>1</v>
      </c>
      <c r="K1278">
        <v>137000</v>
      </c>
      <c r="L1278">
        <v>0</v>
      </c>
      <c r="M1278">
        <v>91000</v>
      </c>
      <c r="N1278">
        <f>(data[[#This Row],[unit_price]]*data[[#This Row],[quantity]]) * (1-data[[#This Row],[discount]])</f>
        <v>137000</v>
      </c>
      <c r="O1278">
        <f>data[[#This Row],[sales]]-data[[#This Row],[cost]]</f>
        <v>46000</v>
      </c>
      <c r="P1278" t="str">
        <f>TEXT(data[[#This Row],[order_date]],"mmm")</f>
        <v>May</v>
      </c>
      <c r="Q1278">
        <f>YEAR(data[[#This Row],[order_date]])</f>
        <v>2026</v>
      </c>
      <c r="R1278">
        <f>MONTH(data[[#This Row],[order_date]])</f>
        <v>5</v>
      </c>
      <c r="S1278">
        <f>DAY(data[[#This Row],[order_date]])</f>
        <v>30</v>
      </c>
      <c r="T1278">
        <f>data[[#This Row],[profit]]/data[[#This Row],[sales]]</f>
        <v>0.33576642335766421</v>
      </c>
    </row>
    <row r="1279" spans="1:20" x14ac:dyDescent="0.35">
      <c r="A1279" t="s">
        <v>1497</v>
      </c>
      <c r="B1279" s="1">
        <v>46175</v>
      </c>
      <c r="C1279" t="s">
        <v>41</v>
      </c>
      <c r="D1279" t="s">
        <v>42</v>
      </c>
      <c r="E1279" t="s">
        <v>141</v>
      </c>
      <c r="F1279" t="s">
        <v>17</v>
      </c>
      <c r="G1279" t="s">
        <v>1426</v>
      </c>
      <c r="H1279" t="s">
        <v>1427</v>
      </c>
      <c r="I1279" t="s">
        <v>754</v>
      </c>
      <c r="J1279">
        <v>1</v>
      </c>
      <c r="K1279">
        <v>69000</v>
      </c>
      <c r="L1279">
        <v>0</v>
      </c>
      <c r="M1279">
        <v>44000</v>
      </c>
      <c r="N1279">
        <f>(data[[#This Row],[unit_price]]*data[[#This Row],[quantity]]) * (1-data[[#This Row],[discount]])</f>
        <v>69000</v>
      </c>
      <c r="O1279">
        <f>data[[#This Row],[sales]]-data[[#This Row],[cost]]</f>
        <v>25000</v>
      </c>
      <c r="P1279" t="str">
        <f>TEXT(data[[#This Row],[order_date]],"mmm")</f>
        <v>Jun</v>
      </c>
      <c r="Q1279">
        <f>YEAR(data[[#This Row],[order_date]])</f>
        <v>2026</v>
      </c>
      <c r="R1279">
        <f>MONTH(data[[#This Row],[order_date]])</f>
        <v>6</v>
      </c>
      <c r="S1279">
        <f>DAY(data[[#This Row],[order_date]])</f>
        <v>2</v>
      </c>
      <c r="T1279">
        <f>data[[#This Row],[profit]]/data[[#This Row],[sales]]</f>
        <v>0.36231884057971014</v>
      </c>
    </row>
    <row r="1280" spans="1:20" x14ac:dyDescent="0.35">
      <c r="A1280" t="s">
        <v>1498</v>
      </c>
      <c r="B1280" s="1">
        <v>46184</v>
      </c>
      <c r="C1280" t="s">
        <v>14</v>
      </c>
      <c r="D1280" t="s">
        <v>15</v>
      </c>
      <c r="E1280" t="s">
        <v>359</v>
      </c>
      <c r="F1280" t="s">
        <v>23</v>
      </c>
      <c r="G1280" t="s">
        <v>1426</v>
      </c>
      <c r="H1280" t="s">
        <v>1427</v>
      </c>
      <c r="I1280" t="s">
        <v>754</v>
      </c>
      <c r="J1280">
        <v>1</v>
      </c>
      <c r="K1280">
        <v>102788.73239436619</v>
      </c>
      <c r="L1280">
        <v>0</v>
      </c>
      <c r="M1280">
        <v>0</v>
      </c>
      <c r="N1280">
        <f>(data[[#This Row],[unit_price]]*data[[#This Row],[quantity]]) * (1-data[[#This Row],[discount]])</f>
        <v>102788.73239436619</v>
      </c>
      <c r="O1280">
        <f>data[[#This Row],[sales]]-data[[#This Row],[cost]]</f>
        <v>102788.73239436619</v>
      </c>
      <c r="P1280" t="str">
        <f>TEXT(data[[#This Row],[order_date]],"mmm")</f>
        <v>Jun</v>
      </c>
      <c r="Q1280">
        <f>YEAR(data[[#This Row],[order_date]])</f>
        <v>2026</v>
      </c>
      <c r="R1280">
        <f>MONTH(data[[#This Row],[order_date]])</f>
        <v>6</v>
      </c>
      <c r="S1280">
        <f>DAY(data[[#This Row],[order_date]])</f>
        <v>11</v>
      </c>
      <c r="T1280">
        <f>data[[#This Row],[profit]]/data[[#This Row],[sales]]</f>
        <v>1</v>
      </c>
    </row>
    <row r="1281" spans="1:20" x14ac:dyDescent="0.35">
      <c r="A1281" t="s">
        <v>1499</v>
      </c>
      <c r="B1281" s="1">
        <v>46187</v>
      </c>
      <c r="C1281" t="s">
        <v>36</v>
      </c>
      <c r="D1281" t="s">
        <v>37</v>
      </c>
      <c r="E1281" t="s">
        <v>126</v>
      </c>
      <c r="F1281" t="s">
        <v>17</v>
      </c>
      <c r="G1281" t="s">
        <v>1426</v>
      </c>
      <c r="H1281" t="s">
        <v>1427</v>
      </c>
      <c r="I1281" t="s">
        <v>754</v>
      </c>
      <c r="J1281">
        <v>1</v>
      </c>
      <c r="K1281">
        <v>74000</v>
      </c>
      <c r="L1281">
        <v>0</v>
      </c>
      <c r="M1281">
        <v>48000</v>
      </c>
      <c r="N1281">
        <f>(data[[#This Row],[unit_price]]*data[[#This Row],[quantity]]) * (1-data[[#This Row],[discount]])</f>
        <v>74000</v>
      </c>
      <c r="O1281">
        <f>data[[#This Row],[sales]]-data[[#This Row],[cost]]</f>
        <v>26000</v>
      </c>
      <c r="P1281" t="str">
        <f>TEXT(data[[#This Row],[order_date]],"mmm")</f>
        <v>Jun</v>
      </c>
      <c r="Q1281">
        <f>YEAR(data[[#This Row],[order_date]])</f>
        <v>2026</v>
      </c>
      <c r="R1281">
        <f>MONTH(data[[#This Row],[order_date]])</f>
        <v>6</v>
      </c>
      <c r="S1281">
        <f>DAY(data[[#This Row],[order_date]])</f>
        <v>14</v>
      </c>
      <c r="T1281">
        <f>data[[#This Row],[profit]]/data[[#This Row],[sales]]</f>
        <v>0.35135135135135137</v>
      </c>
    </row>
    <row r="1282" spans="1:20" x14ac:dyDescent="0.35">
      <c r="A1282" t="s">
        <v>1500</v>
      </c>
      <c r="B1282" s="1">
        <v>46201</v>
      </c>
      <c r="C1282" t="s">
        <v>14</v>
      </c>
      <c r="D1282" t="s">
        <v>15</v>
      </c>
      <c r="E1282" t="s">
        <v>174</v>
      </c>
      <c r="F1282" t="s">
        <v>23</v>
      </c>
      <c r="G1282" t="s">
        <v>1426</v>
      </c>
      <c r="H1282" t="s">
        <v>1427</v>
      </c>
      <c r="I1282" t="s">
        <v>754</v>
      </c>
      <c r="J1282">
        <v>1</v>
      </c>
      <c r="K1282">
        <v>154000</v>
      </c>
      <c r="L1282">
        <v>0</v>
      </c>
      <c r="M1282">
        <v>97000</v>
      </c>
      <c r="N1282">
        <f>(data[[#This Row],[unit_price]]*data[[#This Row],[quantity]]) * (1-data[[#This Row],[discount]])</f>
        <v>154000</v>
      </c>
      <c r="O1282">
        <f>data[[#This Row],[sales]]-data[[#This Row],[cost]]</f>
        <v>57000</v>
      </c>
      <c r="P1282" t="str">
        <f>TEXT(data[[#This Row],[order_date]],"mmm")</f>
        <v>Jun</v>
      </c>
      <c r="Q1282">
        <f>YEAR(data[[#This Row],[order_date]])</f>
        <v>2026</v>
      </c>
      <c r="R1282">
        <f>MONTH(data[[#This Row],[order_date]])</f>
        <v>6</v>
      </c>
      <c r="S1282">
        <f>DAY(data[[#This Row],[order_date]])</f>
        <v>28</v>
      </c>
      <c r="T1282">
        <f>data[[#This Row],[profit]]/data[[#This Row],[sales]]</f>
        <v>0.37012987012987014</v>
      </c>
    </row>
    <row r="1283" spans="1:20" x14ac:dyDescent="0.35">
      <c r="A1283" t="s">
        <v>1501</v>
      </c>
      <c r="B1283" s="1">
        <v>44953</v>
      </c>
      <c r="C1283" t="s">
        <v>41</v>
      </c>
      <c r="D1283" t="s">
        <v>42</v>
      </c>
      <c r="E1283" t="s">
        <v>265</v>
      </c>
      <c r="F1283" t="s">
        <v>23</v>
      </c>
      <c r="G1283" t="s">
        <v>1502</v>
      </c>
      <c r="H1283" t="s">
        <v>1503</v>
      </c>
      <c r="I1283" t="s">
        <v>465</v>
      </c>
      <c r="J1283">
        <v>1</v>
      </c>
      <c r="K1283">
        <v>1159000</v>
      </c>
      <c r="L1283">
        <v>0.05</v>
      </c>
      <c r="M1283">
        <v>882000</v>
      </c>
      <c r="N1283">
        <f>(data[[#This Row],[unit_price]]*data[[#This Row],[quantity]]) * (1-data[[#This Row],[discount]])</f>
        <v>1101050</v>
      </c>
      <c r="O1283">
        <f>data[[#This Row],[sales]]-data[[#This Row],[cost]]</f>
        <v>219050</v>
      </c>
      <c r="P1283" t="str">
        <f>TEXT(data[[#This Row],[order_date]],"mmm")</f>
        <v>Jan</v>
      </c>
      <c r="Q1283">
        <f>YEAR(data[[#This Row],[order_date]])</f>
        <v>2023</v>
      </c>
      <c r="R1283">
        <f>MONTH(data[[#This Row],[order_date]])</f>
        <v>1</v>
      </c>
      <c r="S1283">
        <f>DAY(data[[#This Row],[order_date]])</f>
        <v>27</v>
      </c>
      <c r="T1283">
        <f>data[[#This Row],[profit]]/data[[#This Row],[sales]]</f>
        <v>0.19894646019708459</v>
      </c>
    </row>
    <row r="1284" spans="1:20" x14ac:dyDescent="0.35">
      <c r="A1284" t="s">
        <v>1504</v>
      </c>
      <c r="B1284" s="1">
        <v>44961</v>
      </c>
      <c r="C1284" t="s">
        <v>25</v>
      </c>
      <c r="D1284" t="s">
        <v>26</v>
      </c>
      <c r="E1284" t="s">
        <v>186</v>
      </c>
      <c r="F1284" t="s">
        <v>23</v>
      </c>
      <c r="G1284" t="s">
        <v>1502</v>
      </c>
      <c r="H1284" t="s">
        <v>1503</v>
      </c>
      <c r="I1284" t="s">
        <v>465</v>
      </c>
      <c r="J1284">
        <v>1</v>
      </c>
      <c r="K1284">
        <v>1098000</v>
      </c>
      <c r="L1284">
        <v>0.05</v>
      </c>
      <c r="M1284">
        <v>867000</v>
      </c>
      <c r="N1284">
        <f>(data[[#This Row],[unit_price]]*data[[#This Row],[quantity]]) * (1-data[[#This Row],[discount]])</f>
        <v>1043100</v>
      </c>
      <c r="O1284">
        <f>data[[#This Row],[sales]]-data[[#This Row],[cost]]</f>
        <v>176100</v>
      </c>
      <c r="P1284" t="str">
        <f>TEXT(data[[#This Row],[order_date]],"mmm")</f>
        <v>Feb</v>
      </c>
      <c r="Q1284">
        <f>YEAR(data[[#This Row],[order_date]])</f>
        <v>2023</v>
      </c>
      <c r="R1284">
        <f>MONTH(data[[#This Row],[order_date]])</f>
        <v>2</v>
      </c>
      <c r="S1284">
        <f>DAY(data[[#This Row],[order_date]])</f>
        <v>4</v>
      </c>
      <c r="T1284">
        <f>data[[#This Row],[profit]]/data[[#This Row],[sales]]</f>
        <v>0.16882369859073915</v>
      </c>
    </row>
    <row r="1285" spans="1:20" x14ac:dyDescent="0.35">
      <c r="A1285" t="s">
        <v>1505</v>
      </c>
      <c r="B1285" s="1">
        <v>44986</v>
      </c>
      <c r="C1285" t="s">
        <v>41</v>
      </c>
      <c r="D1285" t="s">
        <v>42</v>
      </c>
      <c r="E1285" t="s">
        <v>134</v>
      </c>
      <c r="F1285" t="s">
        <v>28</v>
      </c>
      <c r="G1285" t="s">
        <v>1502</v>
      </c>
      <c r="H1285" t="s">
        <v>1503</v>
      </c>
      <c r="I1285" t="s">
        <v>465</v>
      </c>
      <c r="J1285">
        <v>1</v>
      </c>
      <c r="K1285">
        <v>516000</v>
      </c>
      <c r="L1285">
        <v>0</v>
      </c>
      <c r="M1285">
        <v>397000</v>
      </c>
      <c r="N1285">
        <f>(data[[#This Row],[unit_price]]*data[[#This Row],[quantity]]) * (1-data[[#This Row],[discount]])</f>
        <v>516000</v>
      </c>
      <c r="O1285">
        <f>data[[#This Row],[sales]]-data[[#This Row],[cost]]</f>
        <v>119000</v>
      </c>
      <c r="P1285" t="str">
        <f>TEXT(data[[#This Row],[order_date]],"mmm")</f>
        <v>Mar</v>
      </c>
      <c r="Q1285">
        <f>YEAR(data[[#This Row],[order_date]])</f>
        <v>2023</v>
      </c>
      <c r="R1285">
        <f>MONTH(data[[#This Row],[order_date]])</f>
        <v>3</v>
      </c>
      <c r="S1285">
        <f>DAY(data[[#This Row],[order_date]])</f>
        <v>1</v>
      </c>
      <c r="T1285">
        <f>data[[#This Row],[profit]]/data[[#This Row],[sales]]</f>
        <v>0.23062015503875968</v>
      </c>
    </row>
    <row r="1286" spans="1:20" x14ac:dyDescent="0.35">
      <c r="A1286" t="s">
        <v>1506</v>
      </c>
      <c r="B1286" s="1">
        <v>44993</v>
      </c>
      <c r="C1286" t="s">
        <v>25</v>
      </c>
      <c r="D1286" t="s">
        <v>26</v>
      </c>
      <c r="E1286" t="s">
        <v>270</v>
      </c>
      <c r="F1286" t="s">
        <v>23</v>
      </c>
      <c r="G1286" t="s">
        <v>1502</v>
      </c>
      <c r="H1286" t="s">
        <v>1503</v>
      </c>
      <c r="I1286" t="s">
        <v>465</v>
      </c>
      <c r="J1286">
        <v>3</v>
      </c>
      <c r="K1286">
        <v>808000</v>
      </c>
      <c r="L1286">
        <v>0.05</v>
      </c>
      <c r="M1286">
        <v>612000</v>
      </c>
      <c r="N1286">
        <f>(data[[#This Row],[unit_price]]*data[[#This Row],[quantity]]) * (1-data[[#This Row],[discount]])</f>
        <v>2302800</v>
      </c>
      <c r="O1286">
        <f>data[[#This Row],[sales]]-data[[#This Row],[cost]]</f>
        <v>1690800</v>
      </c>
      <c r="P1286" t="str">
        <f>TEXT(data[[#This Row],[order_date]],"mmm")</f>
        <v>Mar</v>
      </c>
      <c r="Q1286">
        <f>YEAR(data[[#This Row],[order_date]])</f>
        <v>2023</v>
      </c>
      <c r="R1286">
        <f>MONTH(data[[#This Row],[order_date]])</f>
        <v>3</v>
      </c>
      <c r="S1286">
        <f>DAY(data[[#This Row],[order_date]])</f>
        <v>8</v>
      </c>
      <c r="T1286">
        <f>data[[#This Row],[profit]]/data[[#This Row],[sales]]</f>
        <v>0.73423658155289218</v>
      </c>
    </row>
    <row r="1287" spans="1:20" x14ac:dyDescent="0.35">
      <c r="A1287" t="s">
        <v>1507</v>
      </c>
      <c r="B1287" s="1">
        <v>44997</v>
      </c>
      <c r="C1287" t="s">
        <v>14</v>
      </c>
      <c r="D1287" t="s">
        <v>15</v>
      </c>
      <c r="E1287" t="s">
        <v>150</v>
      </c>
      <c r="F1287" t="s">
        <v>28</v>
      </c>
      <c r="G1287" t="s">
        <v>1502</v>
      </c>
      <c r="H1287" t="s">
        <v>1503</v>
      </c>
      <c r="I1287" t="s">
        <v>465</v>
      </c>
      <c r="J1287">
        <v>3</v>
      </c>
      <c r="K1287">
        <v>978000</v>
      </c>
      <c r="L1287">
        <v>0.05</v>
      </c>
      <c r="M1287">
        <v>739000</v>
      </c>
      <c r="N1287">
        <f>(data[[#This Row],[unit_price]]*data[[#This Row],[quantity]]) * (1-data[[#This Row],[discount]])</f>
        <v>2787300</v>
      </c>
      <c r="O1287">
        <f>data[[#This Row],[sales]]-data[[#This Row],[cost]]</f>
        <v>2048300</v>
      </c>
      <c r="P1287" t="str">
        <f>TEXT(data[[#This Row],[order_date]],"mmm")</f>
        <v>Mar</v>
      </c>
      <c r="Q1287">
        <f>YEAR(data[[#This Row],[order_date]])</f>
        <v>2023</v>
      </c>
      <c r="R1287">
        <f>MONTH(data[[#This Row],[order_date]])</f>
        <v>3</v>
      </c>
      <c r="S1287">
        <f>DAY(data[[#This Row],[order_date]])</f>
        <v>12</v>
      </c>
      <c r="T1287">
        <f>data[[#This Row],[profit]]/data[[#This Row],[sales]]</f>
        <v>0.7348688695153015</v>
      </c>
    </row>
    <row r="1288" spans="1:20" x14ac:dyDescent="0.35">
      <c r="A1288" t="s">
        <v>1508</v>
      </c>
      <c r="B1288" s="1">
        <v>45002</v>
      </c>
      <c r="C1288" t="s">
        <v>25</v>
      </c>
      <c r="D1288" t="s">
        <v>26</v>
      </c>
      <c r="E1288" t="s">
        <v>553</v>
      </c>
      <c r="F1288" t="s">
        <v>17</v>
      </c>
      <c r="G1288" t="s">
        <v>1502</v>
      </c>
      <c r="H1288" t="s">
        <v>1503</v>
      </c>
      <c r="I1288" t="s">
        <v>465</v>
      </c>
      <c r="J1288">
        <v>1</v>
      </c>
      <c r="K1288">
        <v>543000</v>
      </c>
      <c r="L1288">
        <v>0</v>
      </c>
      <c r="M1288">
        <v>426000</v>
      </c>
      <c r="N1288">
        <f>(data[[#This Row],[unit_price]]*data[[#This Row],[quantity]]) * (1-data[[#This Row],[discount]])</f>
        <v>543000</v>
      </c>
      <c r="O1288">
        <f>data[[#This Row],[sales]]-data[[#This Row],[cost]]</f>
        <v>117000</v>
      </c>
      <c r="P1288" t="str">
        <f>TEXT(data[[#This Row],[order_date]],"mmm")</f>
        <v>Mar</v>
      </c>
      <c r="Q1288">
        <f>YEAR(data[[#This Row],[order_date]])</f>
        <v>2023</v>
      </c>
      <c r="R1288">
        <f>MONTH(data[[#This Row],[order_date]])</f>
        <v>3</v>
      </c>
      <c r="S1288">
        <f>DAY(data[[#This Row],[order_date]])</f>
        <v>17</v>
      </c>
      <c r="T1288">
        <f>data[[#This Row],[profit]]/data[[#This Row],[sales]]</f>
        <v>0.21546961325966851</v>
      </c>
    </row>
    <row r="1289" spans="1:20" x14ac:dyDescent="0.35">
      <c r="A1289" t="s">
        <v>1509</v>
      </c>
      <c r="B1289" s="1">
        <v>45022</v>
      </c>
      <c r="C1289" t="s">
        <v>14</v>
      </c>
      <c r="D1289" t="s">
        <v>15</v>
      </c>
      <c r="E1289" t="s">
        <v>741</v>
      </c>
      <c r="F1289" t="s">
        <v>23</v>
      </c>
      <c r="G1289" t="s">
        <v>1502</v>
      </c>
      <c r="H1289" t="s">
        <v>1503</v>
      </c>
      <c r="I1289" t="s">
        <v>465</v>
      </c>
      <c r="J1289">
        <v>2</v>
      </c>
      <c r="K1289">
        <v>1054000</v>
      </c>
      <c r="L1289">
        <v>0</v>
      </c>
      <c r="M1289">
        <v>799000</v>
      </c>
      <c r="N1289">
        <f>(data[[#This Row],[unit_price]]*data[[#This Row],[quantity]]) * (1-data[[#This Row],[discount]])</f>
        <v>2108000</v>
      </c>
      <c r="O1289">
        <f>data[[#This Row],[sales]]-data[[#This Row],[cost]]</f>
        <v>1309000</v>
      </c>
      <c r="P1289" t="str">
        <f>TEXT(data[[#This Row],[order_date]],"mmm")</f>
        <v>Apr</v>
      </c>
      <c r="Q1289">
        <f>YEAR(data[[#This Row],[order_date]])</f>
        <v>2023</v>
      </c>
      <c r="R1289">
        <f>MONTH(data[[#This Row],[order_date]])</f>
        <v>4</v>
      </c>
      <c r="S1289">
        <f>DAY(data[[#This Row],[order_date]])</f>
        <v>6</v>
      </c>
      <c r="T1289">
        <f>data[[#This Row],[profit]]/data[[#This Row],[sales]]</f>
        <v>0.62096774193548387</v>
      </c>
    </row>
    <row r="1290" spans="1:20" x14ac:dyDescent="0.35">
      <c r="A1290" t="s">
        <v>1510</v>
      </c>
      <c r="B1290" s="1">
        <v>45023</v>
      </c>
      <c r="C1290" t="s">
        <v>41</v>
      </c>
      <c r="D1290" t="s">
        <v>42</v>
      </c>
      <c r="E1290" t="s">
        <v>30</v>
      </c>
      <c r="F1290" t="s">
        <v>23</v>
      </c>
      <c r="G1290" t="s">
        <v>1502</v>
      </c>
      <c r="H1290" t="s">
        <v>1503</v>
      </c>
      <c r="I1290" t="s">
        <v>465</v>
      </c>
      <c r="J1290">
        <v>1</v>
      </c>
      <c r="K1290">
        <v>1035000</v>
      </c>
      <c r="L1290">
        <v>0</v>
      </c>
      <c r="M1290">
        <v>810000</v>
      </c>
      <c r="N1290">
        <f>(data[[#This Row],[unit_price]]*data[[#This Row],[quantity]]) * (1-data[[#This Row],[discount]])</f>
        <v>1035000</v>
      </c>
      <c r="O1290">
        <f>data[[#This Row],[sales]]-data[[#This Row],[cost]]</f>
        <v>225000</v>
      </c>
      <c r="P1290" t="str">
        <f>TEXT(data[[#This Row],[order_date]],"mmm")</f>
        <v>Apr</v>
      </c>
      <c r="Q1290">
        <f>YEAR(data[[#This Row],[order_date]])</f>
        <v>2023</v>
      </c>
      <c r="R1290">
        <f>MONTH(data[[#This Row],[order_date]])</f>
        <v>4</v>
      </c>
      <c r="S1290">
        <f>DAY(data[[#This Row],[order_date]])</f>
        <v>7</v>
      </c>
      <c r="T1290">
        <f>data[[#This Row],[profit]]/data[[#This Row],[sales]]</f>
        <v>0.21739130434782608</v>
      </c>
    </row>
    <row r="1291" spans="1:20" x14ac:dyDescent="0.35">
      <c r="A1291" t="s">
        <v>1511</v>
      </c>
      <c r="B1291" s="1">
        <v>45048</v>
      </c>
      <c r="C1291" t="s">
        <v>14</v>
      </c>
      <c r="D1291" t="s">
        <v>15</v>
      </c>
      <c r="E1291" t="s">
        <v>456</v>
      </c>
      <c r="F1291" t="s">
        <v>23</v>
      </c>
      <c r="G1291" t="s">
        <v>1502</v>
      </c>
      <c r="H1291" t="s">
        <v>1503</v>
      </c>
      <c r="I1291" t="s">
        <v>465</v>
      </c>
      <c r="J1291">
        <v>1</v>
      </c>
      <c r="K1291">
        <v>855000</v>
      </c>
      <c r="L1291">
        <v>0</v>
      </c>
      <c r="M1291">
        <v>652000</v>
      </c>
      <c r="N1291">
        <f>(data[[#This Row],[unit_price]]*data[[#This Row],[quantity]]) * (1-data[[#This Row],[discount]])</f>
        <v>855000</v>
      </c>
      <c r="O1291">
        <f>data[[#This Row],[sales]]-data[[#This Row],[cost]]</f>
        <v>203000</v>
      </c>
      <c r="P1291" t="str">
        <f>TEXT(data[[#This Row],[order_date]],"mmm")</f>
        <v>May</v>
      </c>
      <c r="Q1291">
        <f>YEAR(data[[#This Row],[order_date]])</f>
        <v>2023</v>
      </c>
      <c r="R1291">
        <f>MONTH(data[[#This Row],[order_date]])</f>
        <v>5</v>
      </c>
      <c r="S1291">
        <f>DAY(data[[#This Row],[order_date]])</f>
        <v>2</v>
      </c>
      <c r="T1291">
        <f>data[[#This Row],[profit]]/data[[#This Row],[sales]]</f>
        <v>0.23742690058479532</v>
      </c>
    </row>
    <row r="1292" spans="1:20" x14ac:dyDescent="0.35">
      <c r="A1292" t="s">
        <v>1512</v>
      </c>
      <c r="B1292" s="1">
        <v>45109</v>
      </c>
      <c r="C1292" t="s">
        <v>41</v>
      </c>
      <c r="D1292" t="s">
        <v>42</v>
      </c>
      <c r="E1292" t="s">
        <v>265</v>
      </c>
      <c r="F1292" t="s">
        <v>23</v>
      </c>
      <c r="G1292" t="s">
        <v>1502</v>
      </c>
      <c r="H1292" t="s">
        <v>1503</v>
      </c>
      <c r="I1292" t="s">
        <v>465</v>
      </c>
      <c r="J1292">
        <v>1</v>
      </c>
      <c r="K1292">
        <v>983081.96721311472</v>
      </c>
      <c r="L1292">
        <v>0</v>
      </c>
      <c r="M1292">
        <v>0</v>
      </c>
      <c r="N1292">
        <f>(data[[#This Row],[unit_price]]*data[[#This Row],[quantity]]) * (1-data[[#This Row],[discount]])</f>
        <v>983081.96721311472</v>
      </c>
      <c r="O1292">
        <f>data[[#This Row],[sales]]-data[[#This Row],[cost]]</f>
        <v>983081.96721311472</v>
      </c>
      <c r="P1292" t="str">
        <f>TEXT(data[[#This Row],[order_date]],"mmm")</f>
        <v>Jul</v>
      </c>
      <c r="Q1292">
        <f>YEAR(data[[#This Row],[order_date]])</f>
        <v>2023</v>
      </c>
      <c r="R1292">
        <f>MONTH(data[[#This Row],[order_date]])</f>
        <v>7</v>
      </c>
      <c r="S1292">
        <f>DAY(data[[#This Row],[order_date]])</f>
        <v>2</v>
      </c>
      <c r="T1292">
        <f>data[[#This Row],[profit]]/data[[#This Row],[sales]]</f>
        <v>1</v>
      </c>
    </row>
    <row r="1293" spans="1:20" x14ac:dyDescent="0.35">
      <c r="A1293" t="s">
        <v>1513</v>
      </c>
      <c r="B1293" s="1">
        <v>45128</v>
      </c>
      <c r="C1293" t="s">
        <v>36</v>
      </c>
      <c r="D1293" t="s">
        <v>37</v>
      </c>
      <c r="E1293" t="s">
        <v>366</v>
      </c>
      <c r="F1293" t="s">
        <v>58</v>
      </c>
      <c r="G1293" t="s">
        <v>1502</v>
      </c>
      <c r="H1293" t="s">
        <v>1503</v>
      </c>
      <c r="I1293" t="s">
        <v>465</v>
      </c>
      <c r="J1293">
        <v>1</v>
      </c>
      <c r="K1293">
        <v>1049000</v>
      </c>
      <c r="L1293">
        <v>0</v>
      </c>
      <c r="M1293">
        <v>811000</v>
      </c>
      <c r="N1293">
        <f>(data[[#This Row],[unit_price]]*data[[#This Row],[quantity]]) * (1-data[[#This Row],[discount]])</f>
        <v>1049000</v>
      </c>
      <c r="O1293">
        <f>data[[#This Row],[sales]]-data[[#This Row],[cost]]</f>
        <v>238000</v>
      </c>
      <c r="P1293" t="str">
        <f>TEXT(data[[#This Row],[order_date]],"mmm")</f>
        <v>Jul</v>
      </c>
      <c r="Q1293">
        <f>YEAR(data[[#This Row],[order_date]])</f>
        <v>2023</v>
      </c>
      <c r="R1293">
        <f>MONTH(data[[#This Row],[order_date]])</f>
        <v>7</v>
      </c>
      <c r="S1293">
        <f>DAY(data[[#This Row],[order_date]])</f>
        <v>21</v>
      </c>
      <c r="T1293">
        <f>data[[#This Row],[profit]]/data[[#This Row],[sales]]</f>
        <v>0.22688274547187798</v>
      </c>
    </row>
    <row r="1294" spans="1:20" x14ac:dyDescent="0.35">
      <c r="A1294" t="s">
        <v>1514</v>
      </c>
      <c r="B1294" s="1">
        <v>45143</v>
      </c>
      <c r="C1294" t="s">
        <v>49</v>
      </c>
      <c r="D1294" t="s">
        <v>50</v>
      </c>
      <c r="E1294" t="s">
        <v>91</v>
      </c>
      <c r="F1294" t="s">
        <v>23</v>
      </c>
      <c r="G1294" t="s">
        <v>1502</v>
      </c>
      <c r="H1294" t="s">
        <v>1503</v>
      </c>
      <c r="I1294" t="s">
        <v>465</v>
      </c>
      <c r="J1294">
        <v>1</v>
      </c>
      <c r="K1294">
        <v>711000</v>
      </c>
      <c r="L1294">
        <v>0</v>
      </c>
      <c r="M1294">
        <v>545000</v>
      </c>
      <c r="N1294">
        <f>(data[[#This Row],[unit_price]]*data[[#This Row],[quantity]]) * (1-data[[#This Row],[discount]])</f>
        <v>711000</v>
      </c>
      <c r="O1294">
        <f>data[[#This Row],[sales]]-data[[#This Row],[cost]]</f>
        <v>166000</v>
      </c>
      <c r="P1294" t="str">
        <f>TEXT(data[[#This Row],[order_date]],"mmm")</f>
        <v>Aug</v>
      </c>
      <c r="Q1294">
        <f>YEAR(data[[#This Row],[order_date]])</f>
        <v>2023</v>
      </c>
      <c r="R1294">
        <f>MONTH(data[[#This Row],[order_date]])</f>
        <v>8</v>
      </c>
      <c r="S1294">
        <f>DAY(data[[#This Row],[order_date]])</f>
        <v>5</v>
      </c>
      <c r="T1294">
        <f>data[[#This Row],[profit]]/data[[#This Row],[sales]]</f>
        <v>0.23347398030942335</v>
      </c>
    </row>
    <row r="1295" spans="1:20" x14ac:dyDescent="0.35">
      <c r="A1295" t="s">
        <v>1515</v>
      </c>
      <c r="B1295" s="1">
        <v>45188</v>
      </c>
      <c r="C1295" t="s">
        <v>41</v>
      </c>
      <c r="D1295" t="s">
        <v>42</v>
      </c>
      <c r="E1295" t="s">
        <v>667</v>
      </c>
      <c r="F1295" t="s">
        <v>23</v>
      </c>
      <c r="G1295" t="s">
        <v>1502</v>
      </c>
      <c r="H1295" t="s">
        <v>1503</v>
      </c>
      <c r="I1295" t="s">
        <v>465</v>
      </c>
      <c r="J1295">
        <v>1</v>
      </c>
      <c r="K1295">
        <v>1150000</v>
      </c>
      <c r="L1295">
        <v>0</v>
      </c>
      <c r="M1295">
        <v>868000</v>
      </c>
      <c r="N1295">
        <f>(data[[#This Row],[unit_price]]*data[[#This Row],[quantity]]) * (1-data[[#This Row],[discount]])</f>
        <v>1150000</v>
      </c>
      <c r="O1295">
        <f>data[[#This Row],[sales]]-data[[#This Row],[cost]]</f>
        <v>282000</v>
      </c>
      <c r="P1295" t="str">
        <f>TEXT(data[[#This Row],[order_date]],"mmm")</f>
        <v>Sep</v>
      </c>
      <c r="Q1295">
        <f>YEAR(data[[#This Row],[order_date]])</f>
        <v>2023</v>
      </c>
      <c r="R1295">
        <f>MONTH(data[[#This Row],[order_date]])</f>
        <v>9</v>
      </c>
      <c r="S1295">
        <f>DAY(data[[#This Row],[order_date]])</f>
        <v>19</v>
      </c>
      <c r="T1295">
        <f>data[[#This Row],[profit]]/data[[#This Row],[sales]]</f>
        <v>0.24521739130434783</v>
      </c>
    </row>
    <row r="1296" spans="1:20" x14ac:dyDescent="0.35">
      <c r="A1296" t="s">
        <v>1516</v>
      </c>
      <c r="B1296" s="1">
        <v>45195</v>
      </c>
      <c r="C1296" t="s">
        <v>14</v>
      </c>
      <c r="D1296" t="s">
        <v>15</v>
      </c>
      <c r="E1296" t="s">
        <v>53</v>
      </c>
      <c r="F1296" t="s">
        <v>17</v>
      </c>
      <c r="G1296" t="s">
        <v>1502</v>
      </c>
      <c r="H1296" t="s">
        <v>1503</v>
      </c>
      <c r="I1296" t="s">
        <v>465</v>
      </c>
      <c r="J1296">
        <v>1</v>
      </c>
      <c r="K1296">
        <v>985000</v>
      </c>
      <c r="L1296">
        <v>0</v>
      </c>
      <c r="M1296">
        <v>770000</v>
      </c>
      <c r="N1296">
        <f>(data[[#This Row],[unit_price]]*data[[#This Row],[quantity]]) * (1-data[[#This Row],[discount]])</f>
        <v>985000</v>
      </c>
      <c r="O1296">
        <f>data[[#This Row],[sales]]-data[[#This Row],[cost]]</f>
        <v>215000</v>
      </c>
      <c r="P1296" t="str">
        <f>TEXT(data[[#This Row],[order_date]],"mmm")</f>
        <v>Sep</v>
      </c>
      <c r="Q1296">
        <f>YEAR(data[[#This Row],[order_date]])</f>
        <v>2023</v>
      </c>
      <c r="R1296">
        <f>MONTH(data[[#This Row],[order_date]])</f>
        <v>9</v>
      </c>
      <c r="S1296">
        <f>DAY(data[[#This Row],[order_date]])</f>
        <v>26</v>
      </c>
      <c r="T1296">
        <f>data[[#This Row],[profit]]/data[[#This Row],[sales]]</f>
        <v>0.21827411167512689</v>
      </c>
    </row>
    <row r="1297" spans="1:20" x14ac:dyDescent="0.35">
      <c r="A1297" t="s">
        <v>1517</v>
      </c>
      <c r="B1297" s="1">
        <v>45197</v>
      </c>
      <c r="C1297" t="s">
        <v>14</v>
      </c>
      <c r="D1297" t="s">
        <v>15</v>
      </c>
      <c r="E1297" t="s">
        <v>53</v>
      </c>
      <c r="F1297" t="s">
        <v>17</v>
      </c>
      <c r="G1297" t="s">
        <v>1502</v>
      </c>
      <c r="H1297" t="s">
        <v>1503</v>
      </c>
      <c r="I1297" t="s">
        <v>465</v>
      </c>
      <c r="J1297">
        <v>3</v>
      </c>
      <c r="K1297">
        <v>1185000</v>
      </c>
      <c r="L1297">
        <v>0</v>
      </c>
      <c r="M1297">
        <v>936000</v>
      </c>
      <c r="N1297">
        <f>(data[[#This Row],[unit_price]]*data[[#This Row],[quantity]]) * (1-data[[#This Row],[discount]])</f>
        <v>3555000</v>
      </c>
      <c r="O1297">
        <f>data[[#This Row],[sales]]-data[[#This Row],[cost]]</f>
        <v>2619000</v>
      </c>
      <c r="P1297" t="str">
        <f>TEXT(data[[#This Row],[order_date]],"mmm")</f>
        <v>Sep</v>
      </c>
      <c r="Q1297">
        <f>YEAR(data[[#This Row],[order_date]])</f>
        <v>2023</v>
      </c>
      <c r="R1297">
        <f>MONTH(data[[#This Row],[order_date]])</f>
        <v>9</v>
      </c>
      <c r="S1297">
        <f>DAY(data[[#This Row],[order_date]])</f>
        <v>28</v>
      </c>
      <c r="T1297">
        <f>data[[#This Row],[profit]]/data[[#This Row],[sales]]</f>
        <v>0.73670886075949371</v>
      </c>
    </row>
    <row r="1298" spans="1:20" x14ac:dyDescent="0.35">
      <c r="A1298" t="s">
        <v>1518</v>
      </c>
      <c r="B1298" s="1">
        <v>45229</v>
      </c>
      <c r="C1298" t="s">
        <v>14</v>
      </c>
      <c r="D1298" t="s">
        <v>15</v>
      </c>
      <c r="E1298" t="s">
        <v>55</v>
      </c>
      <c r="F1298" t="s">
        <v>17</v>
      </c>
      <c r="G1298" t="s">
        <v>1502</v>
      </c>
      <c r="H1298" t="s">
        <v>1503</v>
      </c>
      <c r="I1298" t="s">
        <v>465</v>
      </c>
      <c r="J1298">
        <v>2</v>
      </c>
      <c r="K1298">
        <v>818000</v>
      </c>
      <c r="L1298">
        <v>0</v>
      </c>
      <c r="M1298">
        <v>624000</v>
      </c>
      <c r="N1298">
        <f>(data[[#This Row],[unit_price]]*data[[#This Row],[quantity]]) * (1-data[[#This Row],[discount]])</f>
        <v>1636000</v>
      </c>
      <c r="O1298">
        <f>data[[#This Row],[sales]]-data[[#This Row],[cost]]</f>
        <v>1012000</v>
      </c>
      <c r="P1298" t="str">
        <f>TEXT(data[[#This Row],[order_date]],"mmm")</f>
        <v>Oct</v>
      </c>
      <c r="Q1298">
        <f>YEAR(data[[#This Row],[order_date]])</f>
        <v>2023</v>
      </c>
      <c r="R1298">
        <f>MONTH(data[[#This Row],[order_date]])</f>
        <v>10</v>
      </c>
      <c r="S1298">
        <f>DAY(data[[#This Row],[order_date]])</f>
        <v>30</v>
      </c>
      <c r="T1298">
        <f>data[[#This Row],[profit]]/data[[#This Row],[sales]]</f>
        <v>0.61858190709046457</v>
      </c>
    </row>
    <row r="1299" spans="1:20" x14ac:dyDescent="0.35">
      <c r="A1299" t="s">
        <v>1519</v>
      </c>
      <c r="B1299" s="1">
        <v>45250</v>
      </c>
      <c r="C1299" t="s">
        <v>14</v>
      </c>
      <c r="D1299" t="s">
        <v>15</v>
      </c>
      <c r="E1299" t="s">
        <v>218</v>
      </c>
      <c r="F1299" t="s">
        <v>23</v>
      </c>
      <c r="G1299" t="s">
        <v>1502</v>
      </c>
      <c r="H1299" t="s">
        <v>1503</v>
      </c>
      <c r="I1299" t="s">
        <v>465</v>
      </c>
      <c r="J1299">
        <v>3</v>
      </c>
      <c r="K1299">
        <v>903000</v>
      </c>
      <c r="L1299">
        <v>0</v>
      </c>
      <c r="M1299">
        <v>708000</v>
      </c>
      <c r="N1299">
        <f>(data[[#This Row],[unit_price]]*data[[#This Row],[quantity]]) * (1-data[[#This Row],[discount]])</f>
        <v>2709000</v>
      </c>
      <c r="O1299">
        <f>data[[#This Row],[sales]]-data[[#This Row],[cost]]</f>
        <v>2001000</v>
      </c>
      <c r="P1299" t="str">
        <f>TEXT(data[[#This Row],[order_date]],"mmm")</f>
        <v>Nov</v>
      </c>
      <c r="Q1299">
        <f>YEAR(data[[#This Row],[order_date]])</f>
        <v>2023</v>
      </c>
      <c r="R1299">
        <f>MONTH(data[[#This Row],[order_date]])</f>
        <v>11</v>
      </c>
      <c r="S1299">
        <f>DAY(data[[#This Row],[order_date]])</f>
        <v>20</v>
      </c>
      <c r="T1299">
        <f>data[[#This Row],[profit]]/data[[#This Row],[sales]]</f>
        <v>0.73864894795127356</v>
      </c>
    </row>
    <row r="1300" spans="1:20" x14ac:dyDescent="0.35">
      <c r="A1300" t="s">
        <v>1520</v>
      </c>
      <c r="B1300" s="1">
        <v>45336</v>
      </c>
      <c r="C1300" t="s">
        <v>14</v>
      </c>
      <c r="D1300" t="s">
        <v>15</v>
      </c>
      <c r="E1300" t="s">
        <v>262</v>
      </c>
      <c r="F1300" t="s">
        <v>23</v>
      </c>
      <c r="G1300" t="s">
        <v>1502</v>
      </c>
      <c r="H1300" t="s">
        <v>1503</v>
      </c>
      <c r="I1300" t="s">
        <v>465</v>
      </c>
      <c r="J1300">
        <v>1</v>
      </c>
      <c r="K1300">
        <v>1208000</v>
      </c>
      <c r="L1300">
        <v>0</v>
      </c>
      <c r="M1300">
        <v>938000</v>
      </c>
      <c r="N1300">
        <f>(data[[#This Row],[unit_price]]*data[[#This Row],[quantity]]) * (1-data[[#This Row],[discount]])</f>
        <v>1208000</v>
      </c>
      <c r="O1300">
        <f>data[[#This Row],[sales]]-data[[#This Row],[cost]]</f>
        <v>270000</v>
      </c>
      <c r="P1300" t="str">
        <f>TEXT(data[[#This Row],[order_date]],"mmm")</f>
        <v>Feb</v>
      </c>
      <c r="Q1300">
        <f>YEAR(data[[#This Row],[order_date]])</f>
        <v>2024</v>
      </c>
      <c r="R1300">
        <f>MONTH(data[[#This Row],[order_date]])</f>
        <v>2</v>
      </c>
      <c r="S1300">
        <f>DAY(data[[#This Row],[order_date]])</f>
        <v>14</v>
      </c>
      <c r="T1300">
        <f>data[[#This Row],[profit]]/data[[#This Row],[sales]]</f>
        <v>0.22350993377483444</v>
      </c>
    </row>
    <row r="1301" spans="1:20" x14ac:dyDescent="0.35">
      <c r="A1301" t="s">
        <v>1521</v>
      </c>
      <c r="B1301" s="1">
        <v>45338</v>
      </c>
      <c r="C1301" t="s">
        <v>41</v>
      </c>
      <c r="D1301" t="s">
        <v>42</v>
      </c>
      <c r="E1301" t="s">
        <v>274</v>
      </c>
      <c r="F1301" t="s">
        <v>58</v>
      </c>
      <c r="G1301" t="s">
        <v>1502</v>
      </c>
      <c r="H1301" t="s">
        <v>1503</v>
      </c>
      <c r="I1301" t="s">
        <v>465</v>
      </c>
      <c r="J1301">
        <v>2</v>
      </c>
      <c r="K1301">
        <v>640000</v>
      </c>
      <c r="L1301">
        <v>0</v>
      </c>
      <c r="M1301">
        <v>483000</v>
      </c>
      <c r="N1301">
        <f>(data[[#This Row],[unit_price]]*data[[#This Row],[quantity]]) * (1-data[[#This Row],[discount]])</f>
        <v>1280000</v>
      </c>
      <c r="O1301">
        <f>data[[#This Row],[sales]]-data[[#This Row],[cost]]</f>
        <v>797000</v>
      </c>
      <c r="P1301" t="str">
        <f>TEXT(data[[#This Row],[order_date]],"mmm")</f>
        <v>Feb</v>
      </c>
      <c r="Q1301">
        <f>YEAR(data[[#This Row],[order_date]])</f>
        <v>2024</v>
      </c>
      <c r="R1301">
        <f>MONTH(data[[#This Row],[order_date]])</f>
        <v>2</v>
      </c>
      <c r="S1301">
        <f>DAY(data[[#This Row],[order_date]])</f>
        <v>16</v>
      </c>
      <c r="T1301">
        <f>data[[#This Row],[profit]]/data[[#This Row],[sales]]</f>
        <v>0.62265625000000002</v>
      </c>
    </row>
    <row r="1302" spans="1:20" x14ac:dyDescent="0.35">
      <c r="A1302" t="s">
        <v>1522</v>
      </c>
      <c r="B1302" s="1">
        <v>45349</v>
      </c>
      <c r="C1302" t="s">
        <v>49</v>
      </c>
      <c r="D1302" t="s">
        <v>50</v>
      </c>
      <c r="E1302" t="s">
        <v>121</v>
      </c>
      <c r="F1302" t="s">
        <v>23</v>
      </c>
      <c r="G1302" t="s">
        <v>1502</v>
      </c>
      <c r="H1302" t="s">
        <v>1503</v>
      </c>
      <c r="I1302" t="s">
        <v>465</v>
      </c>
      <c r="J1302">
        <v>1</v>
      </c>
      <c r="K1302">
        <v>717000</v>
      </c>
      <c r="L1302">
        <v>0.15</v>
      </c>
      <c r="M1302">
        <v>556000</v>
      </c>
      <c r="N1302">
        <f>(data[[#This Row],[unit_price]]*data[[#This Row],[quantity]]) * (1-data[[#This Row],[discount]])</f>
        <v>609450</v>
      </c>
      <c r="O1302">
        <f>data[[#This Row],[sales]]-data[[#This Row],[cost]]</f>
        <v>53450</v>
      </c>
      <c r="P1302" t="str">
        <f>TEXT(data[[#This Row],[order_date]],"mmm")</f>
        <v>Feb</v>
      </c>
      <c r="Q1302">
        <f>YEAR(data[[#This Row],[order_date]])</f>
        <v>2024</v>
      </c>
      <c r="R1302">
        <f>MONTH(data[[#This Row],[order_date]])</f>
        <v>2</v>
      </c>
      <c r="S1302">
        <f>DAY(data[[#This Row],[order_date]])</f>
        <v>27</v>
      </c>
      <c r="T1302">
        <f>data[[#This Row],[profit]]/data[[#This Row],[sales]]</f>
        <v>8.7702026417261464E-2</v>
      </c>
    </row>
    <row r="1303" spans="1:20" x14ac:dyDescent="0.35">
      <c r="A1303" t="s">
        <v>1523</v>
      </c>
      <c r="B1303" s="1">
        <v>45374</v>
      </c>
      <c r="C1303" t="s">
        <v>14</v>
      </c>
      <c r="D1303" t="s">
        <v>15</v>
      </c>
      <c r="E1303" t="s">
        <v>798</v>
      </c>
      <c r="F1303" t="s">
        <v>28</v>
      </c>
      <c r="G1303" t="s">
        <v>1502</v>
      </c>
      <c r="H1303" t="s">
        <v>1503</v>
      </c>
      <c r="I1303" t="s">
        <v>465</v>
      </c>
      <c r="J1303">
        <v>3</v>
      </c>
      <c r="K1303">
        <v>1115000</v>
      </c>
      <c r="L1303">
        <v>0</v>
      </c>
      <c r="M1303">
        <v>853000</v>
      </c>
      <c r="N1303">
        <f>(data[[#This Row],[unit_price]]*data[[#This Row],[quantity]]) * (1-data[[#This Row],[discount]])</f>
        <v>3345000</v>
      </c>
      <c r="O1303">
        <f>data[[#This Row],[sales]]-data[[#This Row],[cost]]</f>
        <v>2492000</v>
      </c>
      <c r="P1303" t="str">
        <f>TEXT(data[[#This Row],[order_date]],"mmm")</f>
        <v>Mar</v>
      </c>
      <c r="Q1303">
        <f>YEAR(data[[#This Row],[order_date]])</f>
        <v>2024</v>
      </c>
      <c r="R1303">
        <f>MONTH(data[[#This Row],[order_date]])</f>
        <v>3</v>
      </c>
      <c r="S1303">
        <f>DAY(data[[#This Row],[order_date]])</f>
        <v>23</v>
      </c>
      <c r="T1303">
        <f>data[[#This Row],[profit]]/data[[#This Row],[sales]]</f>
        <v>0.74499252615844547</v>
      </c>
    </row>
    <row r="1304" spans="1:20" x14ac:dyDescent="0.35">
      <c r="A1304" t="s">
        <v>1524</v>
      </c>
      <c r="B1304" s="1">
        <v>45385</v>
      </c>
      <c r="C1304" t="s">
        <v>49</v>
      </c>
      <c r="D1304" t="s">
        <v>50</v>
      </c>
      <c r="E1304" t="s">
        <v>115</v>
      </c>
      <c r="F1304" t="s">
        <v>23</v>
      </c>
      <c r="G1304" t="s">
        <v>1502</v>
      </c>
      <c r="H1304" t="s">
        <v>1503</v>
      </c>
      <c r="I1304" t="s">
        <v>465</v>
      </c>
      <c r="J1304">
        <v>1</v>
      </c>
      <c r="K1304">
        <v>1192000</v>
      </c>
      <c r="L1304">
        <v>0</v>
      </c>
      <c r="M1304">
        <v>920000</v>
      </c>
      <c r="N1304">
        <f>(data[[#This Row],[unit_price]]*data[[#This Row],[quantity]]) * (1-data[[#This Row],[discount]])</f>
        <v>1192000</v>
      </c>
      <c r="O1304">
        <f>data[[#This Row],[sales]]-data[[#This Row],[cost]]</f>
        <v>272000</v>
      </c>
      <c r="P1304" t="str">
        <f>TEXT(data[[#This Row],[order_date]],"mmm")</f>
        <v>Apr</v>
      </c>
      <c r="Q1304">
        <f>YEAR(data[[#This Row],[order_date]])</f>
        <v>2024</v>
      </c>
      <c r="R1304">
        <f>MONTH(data[[#This Row],[order_date]])</f>
        <v>4</v>
      </c>
      <c r="S1304">
        <f>DAY(data[[#This Row],[order_date]])</f>
        <v>3</v>
      </c>
      <c r="T1304">
        <f>data[[#This Row],[profit]]/data[[#This Row],[sales]]</f>
        <v>0.22818791946308725</v>
      </c>
    </row>
    <row r="1305" spans="1:20" x14ac:dyDescent="0.35">
      <c r="A1305" t="s">
        <v>1525</v>
      </c>
      <c r="B1305" s="1">
        <v>45402</v>
      </c>
      <c r="C1305" t="s">
        <v>14</v>
      </c>
      <c r="D1305" t="s">
        <v>15</v>
      </c>
      <c r="E1305" t="s">
        <v>22</v>
      </c>
      <c r="F1305" t="s">
        <v>23</v>
      </c>
      <c r="G1305" t="s">
        <v>1502</v>
      </c>
      <c r="H1305" t="s">
        <v>1503</v>
      </c>
      <c r="I1305" t="s">
        <v>465</v>
      </c>
      <c r="J1305">
        <v>1</v>
      </c>
      <c r="K1305">
        <v>793000</v>
      </c>
      <c r="L1305">
        <v>0</v>
      </c>
      <c r="M1305">
        <v>605000</v>
      </c>
      <c r="N1305">
        <f>(data[[#This Row],[unit_price]]*data[[#This Row],[quantity]]) * (1-data[[#This Row],[discount]])</f>
        <v>793000</v>
      </c>
      <c r="O1305">
        <f>data[[#This Row],[sales]]-data[[#This Row],[cost]]</f>
        <v>188000</v>
      </c>
      <c r="P1305" t="str">
        <f>TEXT(data[[#This Row],[order_date]],"mmm")</f>
        <v>Apr</v>
      </c>
      <c r="Q1305">
        <f>YEAR(data[[#This Row],[order_date]])</f>
        <v>2024</v>
      </c>
      <c r="R1305">
        <f>MONTH(data[[#This Row],[order_date]])</f>
        <v>4</v>
      </c>
      <c r="S1305">
        <f>DAY(data[[#This Row],[order_date]])</f>
        <v>20</v>
      </c>
      <c r="T1305">
        <f>data[[#This Row],[profit]]/data[[#This Row],[sales]]</f>
        <v>0.23707440100882723</v>
      </c>
    </row>
    <row r="1306" spans="1:20" x14ac:dyDescent="0.35">
      <c r="A1306" t="s">
        <v>1526</v>
      </c>
      <c r="B1306" s="1">
        <v>45415</v>
      </c>
      <c r="C1306" t="s">
        <v>14</v>
      </c>
      <c r="D1306" t="s">
        <v>15</v>
      </c>
      <c r="E1306" t="s">
        <v>559</v>
      </c>
      <c r="F1306" t="s">
        <v>23</v>
      </c>
      <c r="G1306" t="s">
        <v>1502</v>
      </c>
      <c r="H1306" t="s">
        <v>1503</v>
      </c>
      <c r="I1306" t="s">
        <v>465</v>
      </c>
      <c r="J1306">
        <v>3</v>
      </c>
      <c r="K1306">
        <v>1061000</v>
      </c>
      <c r="L1306">
        <v>0</v>
      </c>
      <c r="M1306">
        <v>820000</v>
      </c>
      <c r="N1306">
        <f>(data[[#This Row],[unit_price]]*data[[#This Row],[quantity]]) * (1-data[[#This Row],[discount]])</f>
        <v>3183000</v>
      </c>
      <c r="O1306">
        <f>data[[#This Row],[sales]]-data[[#This Row],[cost]]</f>
        <v>2363000</v>
      </c>
      <c r="P1306" t="str">
        <f>TEXT(data[[#This Row],[order_date]],"mmm")</f>
        <v>May</v>
      </c>
      <c r="Q1306">
        <f>YEAR(data[[#This Row],[order_date]])</f>
        <v>2024</v>
      </c>
      <c r="R1306">
        <f>MONTH(data[[#This Row],[order_date]])</f>
        <v>5</v>
      </c>
      <c r="S1306">
        <f>DAY(data[[#This Row],[order_date]])</f>
        <v>3</v>
      </c>
      <c r="T1306">
        <f>data[[#This Row],[profit]]/data[[#This Row],[sales]]</f>
        <v>0.74238140119384233</v>
      </c>
    </row>
    <row r="1307" spans="1:20" x14ac:dyDescent="0.35">
      <c r="A1307" t="s">
        <v>1527</v>
      </c>
      <c r="B1307" s="1">
        <v>45426</v>
      </c>
      <c r="C1307" t="s">
        <v>14</v>
      </c>
      <c r="D1307" t="s">
        <v>15</v>
      </c>
      <c r="E1307" t="s">
        <v>162</v>
      </c>
      <c r="F1307" t="s">
        <v>28</v>
      </c>
      <c r="G1307" t="s">
        <v>1502</v>
      </c>
      <c r="H1307" t="s">
        <v>1503</v>
      </c>
      <c r="I1307" t="s">
        <v>465</v>
      </c>
      <c r="J1307">
        <v>1</v>
      </c>
      <c r="K1307">
        <v>1036000</v>
      </c>
      <c r="L1307">
        <v>0</v>
      </c>
      <c r="M1307">
        <v>800000</v>
      </c>
      <c r="N1307">
        <f>(data[[#This Row],[unit_price]]*data[[#This Row],[quantity]]) * (1-data[[#This Row],[discount]])</f>
        <v>1036000</v>
      </c>
      <c r="O1307">
        <f>data[[#This Row],[sales]]-data[[#This Row],[cost]]</f>
        <v>236000</v>
      </c>
      <c r="P1307" t="str">
        <f>TEXT(data[[#This Row],[order_date]],"mmm")</f>
        <v>May</v>
      </c>
      <c r="Q1307">
        <f>YEAR(data[[#This Row],[order_date]])</f>
        <v>2024</v>
      </c>
      <c r="R1307">
        <f>MONTH(data[[#This Row],[order_date]])</f>
        <v>5</v>
      </c>
      <c r="S1307">
        <f>DAY(data[[#This Row],[order_date]])</f>
        <v>14</v>
      </c>
      <c r="T1307">
        <f>data[[#This Row],[profit]]/data[[#This Row],[sales]]</f>
        <v>0.22779922779922779</v>
      </c>
    </row>
    <row r="1308" spans="1:20" x14ac:dyDescent="0.35">
      <c r="A1308" t="s">
        <v>1528</v>
      </c>
      <c r="B1308" s="1">
        <v>45448</v>
      </c>
      <c r="C1308" t="s">
        <v>49</v>
      </c>
      <c r="D1308" t="s">
        <v>50</v>
      </c>
      <c r="E1308" t="s">
        <v>210</v>
      </c>
      <c r="F1308" t="s">
        <v>23</v>
      </c>
      <c r="G1308" t="s">
        <v>1502</v>
      </c>
      <c r="H1308" t="s">
        <v>1503</v>
      </c>
      <c r="I1308" t="s">
        <v>465</v>
      </c>
      <c r="J1308">
        <v>1</v>
      </c>
      <c r="K1308">
        <v>846000</v>
      </c>
      <c r="L1308">
        <v>0</v>
      </c>
      <c r="M1308">
        <v>646000</v>
      </c>
      <c r="N1308">
        <f>(data[[#This Row],[unit_price]]*data[[#This Row],[quantity]]) * (1-data[[#This Row],[discount]])</f>
        <v>846000</v>
      </c>
      <c r="O1308">
        <f>data[[#This Row],[sales]]-data[[#This Row],[cost]]</f>
        <v>200000</v>
      </c>
      <c r="P1308" t="str">
        <f>TEXT(data[[#This Row],[order_date]],"mmm")</f>
        <v>Jun</v>
      </c>
      <c r="Q1308">
        <f>YEAR(data[[#This Row],[order_date]])</f>
        <v>2024</v>
      </c>
      <c r="R1308">
        <f>MONTH(data[[#This Row],[order_date]])</f>
        <v>6</v>
      </c>
      <c r="S1308">
        <f>DAY(data[[#This Row],[order_date]])</f>
        <v>5</v>
      </c>
      <c r="T1308">
        <f>data[[#This Row],[profit]]/data[[#This Row],[sales]]</f>
        <v>0.2364066193853428</v>
      </c>
    </row>
    <row r="1309" spans="1:20" x14ac:dyDescent="0.35">
      <c r="A1309" t="s">
        <v>1529</v>
      </c>
      <c r="B1309" s="1">
        <v>45456</v>
      </c>
      <c r="C1309" t="s">
        <v>14</v>
      </c>
      <c r="D1309" t="s">
        <v>15</v>
      </c>
      <c r="E1309" t="s">
        <v>582</v>
      </c>
      <c r="F1309" t="s">
        <v>17</v>
      </c>
      <c r="G1309" t="s">
        <v>1502</v>
      </c>
      <c r="H1309" t="s">
        <v>1503</v>
      </c>
      <c r="I1309" t="s">
        <v>465</v>
      </c>
      <c r="J1309">
        <v>1</v>
      </c>
      <c r="K1309">
        <v>738000</v>
      </c>
      <c r="L1309">
        <v>0.05</v>
      </c>
      <c r="M1309">
        <v>566000</v>
      </c>
      <c r="N1309">
        <f>(data[[#This Row],[unit_price]]*data[[#This Row],[quantity]]) * (1-data[[#This Row],[discount]])</f>
        <v>701100</v>
      </c>
      <c r="O1309">
        <f>data[[#This Row],[sales]]-data[[#This Row],[cost]]</f>
        <v>135100</v>
      </c>
      <c r="P1309" t="str">
        <f>TEXT(data[[#This Row],[order_date]],"mmm")</f>
        <v>Jun</v>
      </c>
      <c r="Q1309">
        <f>YEAR(data[[#This Row],[order_date]])</f>
        <v>2024</v>
      </c>
      <c r="R1309">
        <f>MONTH(data[[#This Row],[order_date]])</f>
        <v>6</v>
      </c>
      <c r="S1309">
        <f>DAY(data[[#This Row],[order_date]])</f>
        <v>13</v>
      </c>
      <c r="T1309">
        <f>data[[#This Row],[profit]]/data[[#This Row],[sales]]</f>
        <v>0.19269719012979603</v>
      </c>
    </row>
    <row r="1310" spans="1:20" x14ac:dyDescent="0.35">
      <c r="A1310" t="s">
        <v>1530</v>
      </c>
      <c r="B1310" s="1">
        <v>45460</v>
      </c>
      <c r="C1310" t="s">
        <v>41</v>
      </c>
      <c r="D1310" t="s">
        <v>42</v>
      </c>
      <c r="E1310" t="s">
        <v>234</v>
      </c>
      <c r="F1310" t="s">
        <v>23</v>
      </c>
      <c r="G1310" t="s">
        <v>1502</v>
      </c>
      <c r="H1310" t="s">
        <v>1503</v>
      </c>
      <c r="I1310" t="s">
        <v>465</v>
      </c>
      <c r="J1310">
        <v>1</v>
      </c>
      <c r="K1310">
        <v>1179000</v>
      </c>
      <c r="L1310">
        <v>0</v>
      </c>
      <c r="M1310">
        <v>891000</v>
      </c>
      <c r="N1310">
        <f>(data[[#This Row],[unit_price]]*data[[#This Row],[quantity]]) * (1-data[[#This Row],[discount]])</f>
        <v>1179000</v>
      </c>
      <c r="O1310">
        <f>data[[#This Row],[sales]]-data[[#This Row],[cost]]</f>
        <v>288000</v>
      </c>
      <c r="P1310" t="str">
        <f>TEXT(data[[#This Row],[order_date]],"mmm")</f>
        <v>Jun</v>
      </c>
      <c r="Q1310">
        <f>YEAR(data[[#This Row],[order_date]])</f>
        <v>2024</v>
      </c>
      <c r="R1310">
        <f>MONTH(data[[#This Row],[order_date]])</f>
        <v>6</v>
      </c>
      <c r="S1310">
        <f>DAY(data[[#This Row],[order_date]])</f>
        <v>17</v>
      </c>
      <c r="T1310">
        <f>data[[#This Row],[profit]]/data[[#This Row],[sales]]</f>
        <v>0.24427480916030533</v>
      </c>
    </row>
    <row r="1311" spans="1:20" x14ac:dyDescent="0.35">
      <c r="A1311" t="s">
        <v>1531</v>
      </c>
      <c r="B1311" s="1">
        <v>45473</v>
      </c>
      <c r="C1311" t="s">
        <v>14</v>
      </c>
      <c r="D1311" t="s">
        <v>15</v>
      </c>
      <c r="E1311" t="s">
        <v>327</v>
      </c>
      <c r="F1311" t="s">
        <v>23</v>
      </c>
      <c r="G1311" t="s">
        <v>1502</v>
      </c>
      <c r="H1311" t="s">
        <v>1503</v>
      </c>
      <c r="I1311" t="s">
        <v>465</v>
      </c>
      <c r="J1311">
        <v>2</v>
      </c>
      <c r="K1311">
        <v>1070000</v>
      </c>
      <c r="L1311">
        <v>0</v>
      </c>
      <c r="M1311">
        <v>844000</v>
      </c>
      <c r="N1311">
        <f>(data[[#This Row],[unit_price]]*data[[#This Row],[quantity]]) * (1-data[[#This Row],[discount]])</f>
        <v>2140000</v>
      </c>
      <c r="O1311">
        <f>data[[#This Row],[sales]]-data[[#This Row],[cost]]</f>
        <v>1296000</v>
      </c>
      <c r="P1311" t="str">
        <f>TEXT(data[[#This Row],[order_date]],"mmm")</f>
        <v>Jun</v>
      </c>
      <c r="Q1311">
        <f>YEAR(data[[#This Row],[order_date]])</f>
        <v>2024</v>
      </c>
      <c r="R1311">
        <f>MONTH(data[[#This Row],[order_date]])</f>
        <v>6</v>
      </c>
      <c r="S1311">
        <f>DAY(data[[#This Row],[order_date]])</f>
        <v>30</v>
      </c>
      <c r="T1311">
        <f>data[[#This Row],[profit]]/data[[#This Row],[sales]]</f>
        <v>0.60560747663551406</v>
      </c>
    </row>
    <row r="1312" spans="1:20" x14ac:dyDescent="0.35">
      <c r="A1312" t="s">
        <v>1532</v>
      </c>
      <c r="B1312" s="1">
        <v>45489</v>
      </c>
      <c r="C1312" t="s">
        <v>14</v>
      </c>
      <c r="D1312" t="s">
        <v>15</v>
      </c>
      <c r="E1312" t="s">
        <v>197</v>
      </c>
      <c r="F1312" t="s">
        <v>28</v>
      </c>
      <c r="G1312" t="s">
        <v>1502</v>
      </c>
      <c r="H1312" t="s">
        <v>1503</v>
      </c>
      <c r="I1312" t="s">
        <v>465</v>
      </c>
      <c r="J1312">
        <v>2</v>
      </c>
      <c r="K1312">
        <v>973000</v>
      </c>
      <c r="L1312">
        <v>0.15</v>
      </c>
      <c r="M1312">
        <v>740000</v>
      </c>
      <c r="N1312">
        <f>(data[[#This Row],[unit_price]]*data[[#This Row],[quantity]]) * (1-data[[#This Row],[discount]])</f>
        <v>1654100</v>
      </c>
      <c r="O1312">
        <f>data[[#This Row],[sales]]-data[[#This Row],[cost]]</f>
        <v>914100</v>
      </c>
      <c r="P1312" t="str">
        <f>TEXT(data[[#This Row],[order_date]],"mmm")</f>
        <v>Jul</v>
      </c>
      <c r="Q1312">
        <f>YEAR(data[[#This Row],[order_date]])</f>
        <v>2024</v>
      </c>
      <c r="R1312">
        <f>MONTH(data[[#This Row],[order_date]])</f>
        <v>7</v>
      </c>
      <c r="S1312">
        <f>DAY(data[[#This Row],[order_date]])</f>
        <v>16</v>
      </c>
      <c r="T1312">
        <f>data[[#This Row],[profit]]/data[[#This Row],[sales]]</f>
        <v>0.55262680611813075</v>
      </c>
    </row>
    <row r="1313" spans="1:20" x14ac:dyDescent="0.35">
      <c r="A1313" t="s">
        <v>1533</v>
      </c>
      <c r="B1313" s="1">
        <v>45494</v>
      </c>
      <c r="C1313" t="s">
        <v>14</v>
      </c>
      <c r="D1313" t="s">
        <v>15</v>
      </c>
      <c r="E1313" t="s">
        <v>234</v>
      </c>
      <c r="F1313" t="s">
        <v>23</v>
      </c>
      <c r="G1313" t="s">
        <v>1502</v>
      </c>
      <c r="H1313" t="s">
        <v>1503</v>
      </c>
      <c r="I1313" t="s">
        <v>465</v>
      </c>
      <c r="J1313">
        <v>1</v>
      </c>
      <c r="K1313">
        <v>916000</v>
      </c>
      <c r="L1313">
        <v>0</v>
      </c>
      <c r="M1313">
        <v>688000</v>
      </c>
      <c r="N1313">
        <f>(data[[#This Row],[unit_price]]*data[[#This Row],[quantity]]) * (1-data[[#This Row],[discount]])</f>
        <v>916000</v>
      </c>
      <c r="O1313">
        <f>data[[#This Row],[sales]]-data[[#This Row],[cost]]</f>
        <v>228000</v>
      </c>
      <c r="P1313" t="str">
        <f>TEXT(data[[#This Row],[order_date]],"mmm")</f>
        <v>Jul</v>
      </c>
      <c r="Q1313">
        <f>YEAR(data[[#This Row],[order_date]])</f>
        <v>2024</v>
      </c>
      <c r="R1313">
        <f>MONTH(data[[#This Row],[order_date]])</f>
        <v>7</v>
      </c>
      <c r="S1313">
        <f>DAY(data[[#This Row],[order_date]])</f>
        <v>21</v>
      </c>
      <c r="T1313">
        <f>data[[#This Row],[profit]]/data[[#This Row],[sales]]</f>
        <v>0.24890829694323144</v>
      </c>
    </row>
    <row r="1314" spans="1:20" x14ac:dyDescent="0.35">
      <c r="A1314" t="s">
        <v>1534</v>
      </c>
      <c r="B1314" s="1">
        <v>45510</v>
      </c>
      <c r="C1314" t="s">
        <v>49</v>
      </c>
      <c r="D1314" t="s">
        <v>50</v>
      </c>
      <c r="E1314" t="s">
        <v>91</v>
      </c>
      <c r="F1314" t="s">
        <v>23</v>
      </c>
      <c r="G1314" t="s">
        <v>1502</v>
      </c>
      <c r="H1314" t="s">
        <v>1503</v>
      </c>
      <c r="I1314" t="s">
        <v>465</v>
      </c>
      <c r="J1314">
        <v>5</v>
      </c>
      <c r="K1314">
        <v>1214000</v>
      </c>
      <c r="L1314">
        <v>0</v>
      </c>
      <c r="M1314">
        <v>938000</v>
      </c>
      <c r="N1314">
        <f>(data[[#This Row],[unit_price]]*data[[#This Row],[quantity]]) * (1-data[[#This Row],[discount]])</f>
        <v>6070000</v>
      </c>
      <c r="O1314">
        <f>data[[#This Row],[sales]]-data[[#This Row],[cost]]</f>
        <v>5132000</v>
      </c>
      <c r="P1314" t="str">
        <f>TEXT(data[[#This Row],[order_date]],"mmm")</f>
        <v>Aug</v>
      </c>
      <c r="Q1314">
        <f>YEAR(data[[#This Row],[order_date]])</f>
        <v>2024</v>
      </c>
      <c r="R1314">
        <f>MONTH(data[[#This Row],[order_date]])</f>
        <v>8</v>
      </c>
      <c r="S1314">
        <f>DAY(data[[#This Row],[order_date]])</f>
        <v>6</v>
      </c>
      <c r="T1314">
        <f>data[[#This Row],[profit]]/data[[#This Row],[sales]]</f>
        <v>0.84546952224052718</v>
      </c>
    </row>
    <row r="1315" spans="1:20" x14ac:dyDescent="0.35">
      <c r="A1315" t="s">
        <v>1535</v>
      </c>
      <c r="B1315" s="1">
        <v>45529</v>
      </c>
      <c r="C1315" t="s">
        <v>25</v>
      </c>
      <c r="D1315" t="s">
        <v>26</v>
      </c>
      <c r="E1315" t="s">
        <v>255</v>
      </c>
      <c r="F1315" t="s">
        <v>17</v>
      </c>
      <c r="G1315" t="s">
        <v>1502</v>
      </c>
      <c r="H1315" t="s">
        <v>1503</v>
      </c>
      <c r="I1315" t="s">
        <v>465</v>
      </c>
      <c r="J1315">
        <v>3</v>
      </c>
      <c r="K1315">
        <v>1198000</v>
      </c>
      <c r="L1315">
        <v>0</v>
      </c>
      <c r="M1315">
        <v>922000</v>
      </c>
      <c r="N1315">
        <f>(data[[#This Row],[unit_price]]*data[[#This Row],[quantity]]) * (1-data[[#This Row],[discount]])</f>
        <v>3594000</v>
      </c>
      <c r="O1315">
        <f>data[[#This Row],[sales]]-data[[#This Row],[cost]]</f>
        <v>2672000</v>
      </c>
      <c r="P1315" t="str">
        <f>TEXT(data[[#This Row],[order_date]],"mmm")</f>
        <v>Aug</v>
      </c>
      <c r="Q1315">
        <f>YEAR(data[[#This Row],[order_date]])</f>
        <v>2024</v>
      </c>
      <c r="R1315">
        <f>MONTH(data[[#This Row],[order_date]])</f>
        <v>8</v>
      </c>
      <c r="S1315">
        <f>DAY(data[[#This Row],[order_date]])</f>
        <v>25</v>
      </c>
      <c r="T1315">
        <f>data[[#This Row],[profit]]/data[[#This Row],[sales]]</f>
        <v>0.74346132442960489</v>
      </c>
    </row>
    <row r="1316" spans="1:20" x14ac:dyDescent="0.35">
      <c r="A1316" t="s">
        <v>1536</v>
      </c>
      <c r="B1316" s="1">
        <v>45593</v>
      </c>
      <c r="C1316" t="s">
        <v>49</v>
      </c>
      <c r="D1316" t="s">
        <v>50</v>
      </c>
      <c r="E1316" t="s">
        <v>295</v>
      </c>
      <c r="F1316" t="s">
        <v>23</v>
      </c>
      <c r="G1316" t="s">
        <v>1502</v>
      </c>
      <c r="H1316" t="s">
        <v>1503</v>
      </c>
      <c r="I1316" t="s">
        <v>465</v>
      </c>
      <c r="J1316">
        <v>1</v>
      </c>
      <c r="K1316">
        <v>649000</v>
      </c>
      <c r="L1316">
        <v>0</v>
      </c>
      <c r="M1316">
        <v>492000</v>
      </c>
      <c r="N1316">
        <f>(data[[#This Row],[unit_price]]*data[[#This Row],[quantity]]) * (1-data[[#This Row],[discount]])</f>
        <v>649000</v>
      </c>
      <c r="O1316">
        <f>data[[#This Row],[sales]]-data[[#This Row],[cost]]</f>
        <v>157000</v>
      </c>
      <c r="P1316" t="str">
        <f>TEXT(data[[#This Row],[order_date]],"mmm")</f>
        <v>Oct</v>
      </c>
      <c r="Q1316">
        <f>YEAR(data[[#This Row],[order_date]])</f>
        <v>2024</v>
      </c>
      <c r="R1316">
        <f>MONTH(data[[#This Row],[order_date]])</f>
        <v>10</v>
      </c>
      <c r="S1316">
        <f>DAY(data[[#This Row],[order_date]])</f>
        <v>28</v>
      </c>
      <c r="T1316">
        <f>data[[#This Row],[profit]]/data[[#This Row],[sales]]</f>
        <v>0.24191063174114022</v>
      </c>
    </row>
    <row r="1317" spans="1:20" x14ac:dyDescent="0.35">
      <c r="A1317" t="s">
        <v>1537</v>
      </c>
      <c r="B1317" s="1">
        <v>45616</v>
      </c>
      <c r="C1317" t="s">
        <v>49</v>
      </c>
      <c r="D1317" t="s">
        <v>50</v>
      </c>
      <c r="E1317" t="s">
        <v>329</v>
      </c>
      <c r="F1317" t="s">
        <v>28</v>
      </c>
      <c r="G1317" t="s">
        <v>1502</v>
      </c>
      <c r="H1317" t="s">
        <v>1503</v>
      </c>
      <c r="I1317" t="s">
        <v>465</v>
      </c>
      <c r="J1317">
        <v>5</v>
      </c>
      <c r="K1317">
        <v>1015000</v>
      </c>
      <c r="L1317">
        <v>0</v>
      </c>
      <c r="M1317">
        <v>792000</v>
      </c>
      <c r="N1317">
        <f>(data[[#This Row],[unit_price]]*data[[#This Row],[quantity]]) * (1-data[[#This Row],[discount]])</f>
        <v>5075000</v>
      </c>
      <c r="O1317">
        <f>data[[#This Row],[sales]]-data[[#This Row],[cost]]</f>
        <v>4283000</v>
      </c>
      <c r="P1317" t="str">
        <f>TEXT(data[[#This Row],[order_date]],"mmm")</f>
        <v>Nov</v>
      </c>
      <c r="Q1317">
        <f>YEAR(data[[#This Row],[order_date]])</f>
        <v>2024</v>
      </c>
      <c r="R1317">
        <f>MONTH(data[[#This Row],[order_date]])</f>
        <v>11</v>
      </c>
      <c r="S1317">
        <f>DAY(data[[#This Row],[order_date]])</f>
        <v>20</v>
      </c>
      <c r="T1317">
        <f>data[[#This Row],[profit]]/data[[#This Row],[sales]]</f>
        <v>0.8439408866995074</v>
      </c>
    </row>
    <row r="1318" spans="1:20" x14ac:dyDescent="0.35">
      <c r="A1318" t="s">
        <v>1538</v>
      </c>
      <c r="B1318" s="1">
        <v>45616</v>
      </c>
      <c r="C1318" t="s">
        <v>25</v>
      </c>
      <c r="D1318" t="s">
        <v>26</v>
      </c>
      <c r="E1318" t="s">
        <v>337</v>
      </c>
      <c r="F1318" t="s">
        <v>23</v>
      </c>
      <c r="G1318" t="s">
        <v>1502</v>
      </c>
      <c r="H1318" t="s">
        <v>1503</v>
      </c>
      <c r="I1318" t="s">
        <v>465</v>
      </c>
      <c r="J1318">
        <v>2</v>
      </c>
      <c r="K1318">
        <v>1009000</v>
      </c>
      <c r="L1318">
        <v>0</v>
      </c>
      <c r="M1318">
        <v>764000</v>
      </c>
      <c r="N1318">
        <f>(data[[#This Row],[unit_price]]*data[[#This Row],[quantity]]) * (1-data[[#This Row],[discount]])</f>
        <v>2018000</v>
      </c>
      <c r="O1318">
        <f>data[[#This Row],[sales]]-data[[#This Row],[cost]]</f>
        <v>1254000</v>
      </c>
      <c r="P1318" t="str">
        <f>TEXT(data[[#This Row],[order_date]],"mmm")</f>
        <v>Nov</v>
      </c>
      <c r="Q1318">
        <f>YEAR(data[[#This Row],[order_date]])</f>
        <v>2024</v>
      </c>
      <c r="R1318">
        <f>MONTH(data[[#This Row],[order_date]])</f>
        <v>11</v>
      </c>
      <c r="S1318">
        <f>DAY(data[[#This Row],[order_date]])</f>
        <v>20</v>
      </c>
      <c r="T1318">
        <f>data[[#This Row],[profit]]/data[[#This Row],[sales]]</f>
        <v>0.62140733399405357</v>
      </c>
    </row>
    <row r="1319" spans="1:20" x14ac:dyDescent="0.35">
      <c r="A1319" t="s">
        <v>1539</v>
      </c>
      <c r="B1319" s="1">
        <v>45626</v>
      </c>
      <c r="C1319" t="s">
        <v>49</v>
      </c>
      <c r="D1319" t="s">
        <v>50</v>
      </c>
      <c r="E1319" t="s">
        <v>104</v>
      </c>
      <c r="F1319" t="s">
        <v>28</v>
      </c>
      <c r="G1319" t="s">
        <v>1502</v>
      </c>
      <c r="H1319" t="s">
        <v>1503</v>
      </c>
      <c r="I1319" t="s">
        <v>465</v>
      </c>
      <c r="J1319">
        <v>2</v>
      </c>
      <c r="K1319">
        <v>830000</v>
      </c>
      <c r="L1319">
        <v>0</v>
      </c>
      <c r="M1319">
        <v>632000</v>
      </c>
      <c r="N1319">
        <f>(data[[#This Row],[unit_price]]*data[[#This Row],[quantity]]) * (1-data[[#This Row],[discount]])</f>
        <v>1660000</v>
      </c>
      <c r="O1319">
        <f>data[[#This Row],[sales]]-data[[#This Row],[cost]]</f>
        <v>1028000</v>
      </c>
      <c r="P1319" t="str">
        <f>TEXT(data[[#This Row],[order_date]],"mmm")</f>
        <v>Nov</v>
      </c>
      <c r="Q1319">
        <f>YEAR(data[[#This Row],[order_date]])</f>
        <v>2024</v>
      </c>
      <c r="R1319">
        <f>MONTH(data[[#This Row],[order_date]])</f>
        <v>11</v>
      </c>
      <c r="S1319">
        <f>DAY(data[[#This Row],[order_date]])</f>
        <v>30</v>
      </c>
      <c r="T1319">
        <f>data[[#This Row],[profit]]/data[[#This Row],[sales]]</f>
        <v>0.61927710843373496</v>
      </c>
    </row>
    <row r="1320" spans="1:20" x14ac:dyDescent="0.35">
      <c r="A1320" t="s">
        <v>1540</v>
      </c>
      <c r="B1320" s="1">
        <v>45644</v>
      </c>
      <c r="C1320" t="s">
        <v>36</v>
      </c>
      <c r="D1320" t="s">
        <v>37</v>
      </c>
      <c r="E1320" t="s">
        <v>91</v>
      </c>
      <c r="F1320" t="s">
        <v>23</v>
      </c>
      <c r="G1320" t="s">
        <v>1502</v>
      </c>
      <c r="H1320" t="s">
        <v>1503</v>
      </c>
      <c r="I1320" t="s">
        <v>465</v>
      </c>
      <c r="J1320">
        <v>1</v>
      </c>
      <c r="K1320">
        <v>1012000</v>
      </c>
      <c r="L1320">
        <v>0</v>
      </c>
      <c r="M1320">
        <v>779000</v>
      </c>
      <c r="N1320">
        <f>(data[[#This Row],[unit_price]]*data[[#This Row],[quantity]]) * (1-data[[#This Row],[discount]])</f>
        <v>1012000</v>
      </c>
      <c r="O1320">
        <f>data[[#This Row],[sales]]-data[[#This Row],[cost]]</f>
        <v>233000</v>
      </c>
      <c r="P1320" t="str">
        <f>TEXT(data[[#This Row],[order_date]],"mmm")</f>
        <v>Dec</v>
      </c>
      <c r="Q1320">
        <f>YEAR(data[[#This Row],[order_date]])</f>
        <v>2024</v>
      </c>
      <c r="R1320">
        <f>MONTH(data[[#This Row],[order_date]])</f>
        <v>12</v>
      </c>
      <c r="S1320">
        <f>DAY(data[[#This Row],[order_date]])</f>
        <v>18</v>
      </c>
      <c r="T1320">
        <f>data[[#This Row],[profit]]/data[[#This Row],[sales]]</f>
        <v>0.23023715415019763</v>
      </c>
    </row>
    <row r="1321" spans="1:20" x14ac:dyDescent="0.35">
      <c r="A1321" t="s">
        <v>1541</v>
      </c>
      <c r="B1321" s="1">
        <v>45655</v>
      </c>
      <c r="C1321" t="s">
        <v>14</v>
      </c>
      <c r="D1321" t="s">
        <v>15</v>
      </c>
      <c r="E1321" t="s">
        <v>498</v>
      </c>
      <c r="F1321" t="s">
        <v>23</v>
      </c>
      <c r="G1321" t="s">
        <v>1502</v>
      </c>
      <c r="H1321" t="s">
        <v>1503</v>
      </c>
      <c r="I1321" t="s">
        <v>465</v>
      </c>
      <c r="J1321">
        <v>1</v>
      </c>
      <c r="K1321">
        <v>788000</v>
      </c>
      <c r="L1321">
        <v>0</v>
      </c>
      <c r="M1321">
        <v>618000</v>
      </c>
      <c r="N1321">
        <f>(data[[#This Row],[unit_price]]*data[[#This Row],[quantity]]) * (1-data[[#This Row],[discount]])</f>
        <v>788000</v>
      </c>
      <c r="O1321">
        <f>data[[#This Row],[sales]]-data[[#This Row],[cost]]</f>
        <v>170000</v>
      </c>
      <c r="P1321" t="str">
        <f>TEXT(data[[#This Row],[order_date]],"mmm")</f>
        <v>Dec</v>
      </c>
      <c r="Q1321">
        <f>YEAR(data[[#This Row],[order_date]])</f>
        <v>2024</v>
      </c>
      <c r="R1321">
        <f>MONTH(data[[#This Row],[order_date]])</f>
        <v>12</v>
      </c>
      <c r="S1321">
        <f>DAY(data[[#This Row],[order_date]])</f>
        <v>29</v>
      </c>
      <c r="T1321">
        <f>data[[#This Row],[profit]]/data[[#This Row],[sales]]</f>
        <v>0.21573604060913706</v>
      </c>
    </row>
    <row r="1322" spans="1:20" x14ac:dyDescent="0.35">
      <c r="A1322" t="s">
        <v>1542</v>
      </c>
      <c r="B1322" s="1">
        <v>45671</v>
      </c>
      <c r="C1322" t="s">
        <v>41</v>
      </c>
      <c r="D1322" t="s">
        <v>42</v>
      </c>
      <c r="E1322" t="s">
        <v>337</v>
      </c>
      <c r="F1322" t="s">
        <v>23</v>
      </c>
      <c r="G1322" t="s">
        <v>1502</v>
      </c>
      <c r="H1322" t="s">
        <v>1503</v>
      </c>
      <c r="I1322" t="s">
        <v>465</v>
      </c>
      <c r="J1322">
        <v>3</v>
      </c>
      <c r="K1322">
        <v>1026000</v>
      </c>
      <c r="L1322">
        <v>0</v>
      </c>
      <c r="M1322">
        <v>797000</v>
      </c>
      <c r="N1322">
        <f>(data[[#This Row],[unit_price]]*data[[#This Row],[quantity]]) * (1-data[[#This Row],[discount]])</f>
        <v>3078000</v>
      </c>
      <c r="O1322">
        <f>data[[#This Row],[sales]]-data[[#This Row],[cost]]</f>
        <v>2281000</v>
      </c>
      <c r="P1322" t="str">
        <f>TEXT(data[[#This Row],[order_date]],"mmm")</f>
        <v>Jan</v>
      </c>
      <c r="Q1322">
        <f>YEAR(data[[#This Row],[order_date]])</f>
        <v>2025</v>
      </c>
      <c r="R1322">
        <f>MONTH(data[[#This Row],[order_date]])</f>
        <v>1</v>
      </c>
      <c r="S1322">
        <f>DAY(data[[#This Row],[order_date]])</f>
        <v>14</v>
      </c>
      <c r="T1322">
        <f>data[[#This Row],[profit]]/data[[#This Row],[sales]]</f>
        <v>0.74106562703053935</v>
      </c>
    </row>
    <row r="1323" spans="1:20" x14ac:dyDescent="0.35">
      <c r="A1323" t="s">
        <v>1543</v>
      </c>
      <c r="B1323" s="1">
        <v>45680</v>
      </c>
      <c r="C1323" t="s">
        <v>14</v>
      </c>
      <c r="D1323" t="s">
        <v>15</v>
      </c>
      <c r="E1323" t="s">
        <v>411</v>
      </c>
      <c r="F1323" t="s">
        <v>28</v>
      </c>
      <c r="G1323" t="s">
        <v>1502</v>
      </c>
      <c r="H1323" t="s">
        <v>1503</v>
      </c>
      <c r="I1323" t="s">
        <v>465</v>
      </c>
      <c r="J1323">
        <v>3</v>
      </c>
      <c r="K1323">
        <v>770000</v>
      </c>
      <c r="L1323">
        <v>0</v>
      </c>
      <c r="M1323">
        <v>594000</v>
      </c>
      <c r="N1323">
        <f>(data[[#This Row],[unit_price]]*data[[#This Row],[quantity]]) * (1-data[[#This Row],[discount]])</f>
        <v>2310000</v>
      </c>
      <c r="O1323">
        <f>data[[#This Row],[sales]]-data[[#This Row],[cost]]</f>
        <v>1716000</v>
      </c>
      <c r="P1323" t="str">
        <f>TEXT(data[[#This Row],[order_date]],"mmm")</f>
        <v>Jan</v>
      </c>
      <c r="Q1323">
        <f>YEAR(data[[#This Row],[order_date]])</f>
        <v>2025</v>
      </c>
      <c r="R1323">
        <f>MONTH(data[[#This Row],[order_date]])</f>
        <v>1</v>
      </c>
      <c r="S1323">
        <f>DAY(data[[#This Row],[order_date]])</f>
        <v>23</v>
      </c>
      <c r="T1323">
        <f>data[[#This Row],[profit]]/data[[#This Row],[sales]]</f>
        <v>0.74285714285714288</v>
      </c>
    </row>
    <row r="1324" spans="1:20" x14ac:dyDescent="0.35">
      <c r="A1324" t="s">
        <v>1544</v>
      </c>
      <c r="B1324" s="1">
        <v>45711</v>
      </c>
      <c r="C1324" t="s">
        <v>41</v>
      </c>
      <c r="D1324" t="s">
        <v>42</v>
      </c>
      <c r="E1324" t="s">
        <v>65</v>
      </c>
      <c r="F1324" t="s">
        <v>17</v>
      </c>
      <c r="G1324" t="s">
        <v>1502</v>
      </c>
      <c r="H1324" t="s">
        <v>1503</v>
      </c>
      <c r="I1324" t="s">
        <v>465</v>
      </c>
      <c r="J1324">
        <v>1</v>
      </c>
      <c r="K1324">
        <v>1282000</v>
      </c>
      <c r="L1324">
        <v>0.15</v>
      </c>
      <c r="M1324">
        <v>963000</v>
      </c>
      <c r="N1324">
        <f>(data[[#This Row],[unit_price]]*data[[#This Row],[quantity]]) * (1-data[[#This Row],[discount]])</f>
        <v>1089700</v>
      </c>
      <c r="O1324">
        <f>data[[#This Row],[sales]]-data[[#This Row],[cost]]</f>
        <v>126700</v>
      </c>
      <c r="P1324" t="str">
        <f>TEXT(data[[#This Row],[order_date]],"mmm")</f>
        <v>Feb</v>
      </c>
      <c r="Q1324">
        <f>YEAR(data[[#This Row],[order_date]])</f>
        <v>2025</v>
      </c>
      <c r="R1324">
        <f>MONTH(data[[#This Row],[order_date]])</f>
        <v>2</v>
      </c>
      <c r="S1324">
        <f>DAY(data[[#This Row],[order_date]])</f>
        <v>23</v>
      </c>
      <c r="T1324">
        <f>data[[#This Row],[profit]]/data[[#This Row],[sales]]</f>
        <v>0.11627053317426815</v>
      </c>
    </row>
    <row r="1325" spans="1:20" x14ac:dyDescent="0.35">
      <c r="A1325" t="s">
        <v>1545</v>
      </c>
      <c r="B1325" s="1">
        <v>45720</v>
      </c>
      <c r="C1325" t="s">
        <v>49</v>
      </c>
      <c r="D1325" t="s">
        <v>50</v>
      </c>
      <c r="E1325" t="s">
        <v>99</v>
      </c>
      <c r="F1325" t="s">
        <v>23</v>
      </c>
      <c r="G1325" t="s">
        <v>1502</v>
      </c>
      <c r="H1325" t="s">
        <v>1503</v>
      </c>
      <c r="I1325" t="s">
        <v>465</v>
      </c>
      <c r="J1325">
        <v>1</v>
      </c>
      <c r="K1325">
        <v>1214000</v>
      </c>
      <c r="L1325">
        <v>0</v>
      </c>
      <c r="M1325">
        <v>916000</v>
      </c>
      <c r="N1325">
        <f>(data[[#This Row],[unit_price]]*data[[#This Row],[quantity]]) * (1-data[[#This Row],[discount]])</f>
        <v>1214000</v>
      </c>
      <c r="O1325">
        <f>data[[#This Row],[sales]]-data[[#This Row],[cost]]</f>
        <v>298000</v>
      </c>
      <c r="P1325" t="str">
        <f>TEXT(data[[#This Row],[order_date]],"mmm")</f>
        <v>Mar</v>
      </c>
      <c r="Q1325">
        <f>YEAR(data[[#This Row],[order_date]])</f>
        <v>2025</v>
      </c>
      <c r="R1325">
        <f>MONTH(data[[#This Row],[order_date]])</f>
        <v>3</v>
      </c>
      <c r="S1325">
        <f>DAY(data[[#This Row],[order_date]])</f>
        <v>4</v>
      </c>
      <c r="T1325">
        <f>data[[#This Row],[profit]]/data[[#This Row],[sales]]</f>
        <v>0.24546952224052718</v>
      </c>
    </row>
    <row r="1326" spans="1:20" x14ac:dyDescent="0.35">
      <c r="A1326" t="s">
        <v>1546</v>
      </c>
      <c r="B1326" s="1">
        <v>45728</v>
      </c>
      <c r="C1326" t="s">
        <v>41</v>
      </c>
      <c r="D1326" t="s">
        <v>42</v>
      </c>
      <c r="E1326" t="s">
        <v>262</v>
      </c>
      <c r="F1326" t="s">
        <v>23</v>
      </c>
      <c r="G1326" t="s">
        <v>1502</v>
      </c>
      <c r="H1326" t="s">
        <v>1503</v>
      </c>
      <c r="I1326" t="s">
        <v>465</v>
      </c>
      <c r="J1326">
        <v>1</v>
      </c>
      <c r="K1326">
        <v>1208000</v>
      </c>
      <c r="L1326">
        <v>0</v>
      </c>
      <c r="M1326">
        <v>921000</v>
      </c>
      <c r="N1326">
        <f>(data[[#This Row],[unit_price]]*data[[#This Row],[quantity]]) * (1-data[[#This Row],[discount]])</f>
        <v>1208000</v>
      </c>
      <c r="O1326">
        <f>data[[#This Row],[sales]]-data[[#This Row],[cost]]</f>
        <v>287000</v>
      </c>
      <c r="P1326" t="str">
        <f>TEXT(data[[#This Row],[order_date]],"mmm")</f>
        <v>Mar</v>
      </c>
      <c r="Q1326">
        <f>YEAR(data[[#This Row],[order_date]])</f>
        <v>2025</v>
      </c>
      <c r="R1326">
        <f>MONTH(data[[#This Row],[order_date]])</f>
        <v>3</v>
      </c>
      <c r="S1326">
        <f>DAY(data[[#This Row],[order_date]])</f>
        <v>12</v>
      </c>
      <c r="T1326">
        <f>data[[#This Row],[profit]]/data[[#This Row],[sales]]</f>
        <v>0.23758278145695363</v>
      </c>
    </row>
    <row r="1327" spans="1:20" x14ac:dyDescent="0.35">
      <c r="A1327" t="s">
        <v>1547</v>
      </c>
      <c r="B1327" s="1">
        <v>45858</v>
      </c>
      <c r="C1327" t="s">
        <v>14</v>
      </c>
      <c r="D1327" t="s">
        <v>15</v>
      </c>
      <c r="E1327" t="s">
        <v>265</v>
      </c>
      <c r="F1327" t="s">
        <v>23</v>
      </c>
      <c r="G1327" t="s">
        <v>1502</v>
      </c>
      <c r="H1327" t="s">
        <v>1503</v>
      </c>
      <c r="I1327" t="s">
        <v>465</v>
      </c>
      <c r="J1327">
        <v>5</v>
      </c>
      <c r="K1327">
        <v>1242000</v>
      </c>
      <c r="L1327">
        <v>0</v>
      </c>
      <c r="M1327">
        <v>943000</v>
      </c>
      <c r="N1327">
        <f>(data[[#This Row],[unit_price]]*data[[#This Row],[quantity]]) * (1-data[[#This Row],[discount]])</f>
        <v>6210000</v>
      </c>
      <c r="O1327">
        <f>data[[#This Row],[sales]]-data[[#This Row],[cost]]</f>
        <v>5267000</v>
      </c>
      <c r="P1327" t="str">
        <f>TEXT(data[[#This Row],[order_date]],"mmm")</f>
        <v>Jul</v>
      </c>
      <c r="Q1327">
        <f>YEAR(data[[#This Row],[order_date]])</f>
        <v>2025</v>
      </c>
      <c r="R1327">
        <f>MONTH(data[[#This Row],[order_date]])</f>
        <v>7</v>
      </c>
      <c r="S1327">
        <f>DAY(data[[#This Row],[order_date]])</f>
        <v>20</v>
      </c>
      <c r="T1327">
        <f>data[[#This Row],[profit]]/data[[#This Row],[sales]]</f>
        <v>0.8481481481481481</v>
      </c>
    </row>
    <row r="1328" spans="1:20" x14ac:dyDescent="0.35">
      <c r="A1328" t="s">
        <v>1548</v>
      </c>
      <c r="B1328" s="1">
        <v>45934</v>
      </c>
      <c r="C1328" t="s">
        <v>49</v>
      </c>
      <c r="D1328" t="s">
        <v>50</v>
      </c>
      <c r="E1328" t="s">
        <v>247</v>
      </c>
      <c r="F1328" t="s">
        <v>17</v>
      </c>
      <c r="G1328" t="s">
        <v>1502</v>
      </c>
      <c r="H1328" t="s">
        <v>1503</v>
      </c>
      <c r="I1328" t="s">
        <v>465</v>
      </c>
      <c r="J1328">
        <v>1</v>
      </c>
      <c r="K1328">
        <v>570000</v>
      </c>
      <c r="L1328">
        <v>0</v>
      </c>
      <c r="M1328">
        <v>448000</v>
      </c>
      <c r="N1328">
        <f>(data[[#This Row],[unit_price]]*data[[#This Row],[quantity]]) * (1-data[[#This Row],[discount]])</f>
        <v>570000</v>
      </c>
      <c r="O1328">
        <f>data[[#This Row],[sales]]-data[[#This Row],[cost]]</f>
        <v>122000</v>
      </c>
      <c r="P1328" t="str">
        <f>TEXT(data[[#This Row],[order_date]],"mmm")</f>
        <v>Oct</v>
      </c>
      <c r="Q1328">
        <f>YEAR(data[[#This Row],[order_date]])</f>
        <v>2025</v>
      </c>
      <c r="R1328">
        <f>MONTH(data[[#This Row],[order_date]])</f>
        <v>10</v>
      </c>
      <c r="S1328">
        <f>DAY(data[[#This Row],[order_date]])</f>
        <v>4</v>
      </c>
      <c r="T1328">
        <f>data[[#This Row],[profit]]/data[[#This Row],[sales]]</f>
        <v>0.21403508771929824</v>
      </c>
    </row>
    <row r="1329" spans="1:20" x14ac:dyDescent="0.35">
      <c r="A1329" t="s">
        <v>1549</v>
      </c>
      <c r="B1329" s="1">
        <v>45981</v>
      </c>
      <c r="C1329" t="s">
        <v>49</v>
      </c>
      <c r="D1329" t="s">
        <v>50</v>
      </c>
      <c r="E1329" t="s">
        <v>110</v>
      </c>
      <c r="F1329" t="s">
        <v>23</v>
      </c>
      <c r="G1329" t="s">
        <v>1502</v>
      </c>
      <c r="H1329" t="s">
        <v>1503</v>
      </c>
      <c r="I1329" t="s">
        <v>465</v>
      </c>
      <c r="J1329">
        <v>1</v>
      </c>
      <c r="K1329">
        <v>835000</v>
      </c>
      <c r="L1329">
        <v>0</v>
      </c>
      <c r="M1329">
        <v>659000</v>
      </c>
      <c r="N1329">
        <f>(data[[#This Row],[unit_price]]*data[[#This Row],[quantity]]) * (1-data[[#This Row],[discount]])</f>
        <v>835000</v>
      </c>
      <c r="O1329">
        <f>data[[#This Row],[sales]]-data[[#This Row],[cost]]</f>
        <v>176000</v>
      </c>
      <c r="P1329" t="str">
        <f>TEXT(data[[#This Row],[order_date]],"mmm")</f>
        <v>Nov</v>
      </c>
      <c r="Q1329">
        <f>YEAR(data[[#This Row],[order_date]])</f>
        <v>2025</v>
      </c>
      <c r="R1329">
        <f>MONTH(data[[#This Row],[order_date]])</f>
        <v>11</v>
      </c>
      <c r="S1329">
        <f>DAY(data[[#This Row],[order_date]])</f>
        <v>20</v>
      </c>
      <c r="T1329">
        <f>data[[#This Row],[profit]]/data[[#This Row],[sales]]</f>
        <v>0.21077844311377245</v>
      </c>
    </row>
    <row r="1330" spans="1:20" x14ac:dyDescent="0.35">
      <c r="A1330" t="s">
        <v>1550</v>
      </c>
      <c r="B1330" s="1">
        <v>45986</v>
      </c>
      <c r="C1330" t="s">
        <v>14</v>
      </c>
      <c r="D1330" t="s">
        <v>15</v>
      </c>
      <c r="E1330" t="s">
        <v>411</v>
      </c>
      <c r="F1330" t="s">
        <v>28</v>
      </c>
      <c r="G1330" t="s">
        <v>1502</v>
      </c>
      <c r="H1330" t="s">
        <v>1503</v>
      </c>
      <c r="I1330" t="s">
        <v>465</v>
      </c>
      <c r="J1330">
        <v>5</v>
      </c>
      <c r="K1330">
        <v>1219000</v>
      </c>
      <c r="L1330">
        <v>0</v>
      </c>
      <c r="M1330">
        <v>918000</v>
      </c>
      <c r="N1330">
        <f>(data[[#This Row],[unit_price]]*data[[#This Row],[quantity]]) * (1-data[[#This Row],[discount]])</f>
        <v>6095000</v>
      </c>
      <c r="O1330">
        <f>data[[#This Row],[sales]]-data[[#This Row],[cost]]</f>
        <v>5177000</v>
      </c>
      <c r="P1330" t="str">
        <f>TEXT(data[[#This Row],[order_date]],"mmm")</f>
        <v>Nov</v>
      </c>
      <c r="Q1330">
        <f>YEAR(data[[#This Row],[order_date]])</f>
        <v>2025</v>
      </c>
      <c r="R1330">
        <f>MONTH(data[[#This Row],[order_date]])</f>
        <v>11</v>
      </c>
      <c r="S1330">
        <f>DAY(data[[#This Row],[order_date]])</f>
        <v>25</v>
      </c>
      <c r="T1330">
        <f>data[[#This Row],[profit]]/data[[#This Row],[sales]]</f>
        <v>0.84938474159146837</v>
      </c>
    </row>
    <row r="1331" spans="1:20" x14ac:dyDescent="0.35">
      <c r="A1331" t="s">
        <v>1551</v>
      </c>
      <c r="B1331" s="1">
        <v>46000</v>
      </c>
      <c r="C1331" t="s">
        <v>14</v>
      </c>
      <c r="D1331" t="s">
        <v>15</v>
      </c>
      <c r="E1331" t="s">
        <v>47</v>
      </c>
      <c r="F1331" t="s">
        <v>23</v>
      </c>
      <c r="G1331" t="s">
        <v>1502</v>
      </c>
      <c r="H1331" t="s">
        <v>1503</v>
      </c>
      <c r="I1331" t="s">
        <v>465</v>
      </c>
      <c r="J1331">
        <v>2</v>
      </c>
      <c r="K1331">
        <v>959000</v>
      </c>
      <c r="L1331">
        <v>0</v>
      </c>
      <c r="M1331">
        <v>732000</v>
      </c>
      <c r="N1331">
        <f>(data[[#This Row],[unit_price]]*data[[#This Row],[quantity]]) * (1-data[[#This Row],[discount]])</f>
        <v>1918000</v>
      </c>
      <c r="O1331">
        <f>data[[#This Row],[sales]]-data[[#This Row],[cost]]</f>
        <v>1186000</v>
      </c>
      <c r="P1331" t="str">
        <f>TEXT(data[[#This Row],[order_date]],"mmm")</f>
        <v>Dec</v>
      </c>
      <c r="Q1331">
        <f>YEAR(data[[#This Row],[order_date]])</f>
        <v>2025</v>
      </c>
      <c r="R1331">
        <f>MONTH(data[[#This Row],[order_date]])</f>
        <v>12</v>
      </c>
      <c r="S1331">
        <f>DAY(data[[#This Row],[order_date]])</f>
        <v>9</v>
      </c>
      <c r="T1331">
        <f>data[[#This Row],[profit]]/data[[#This Row],[sales]]</f>
        <v>0.61835245046923881</v>
      </c>
    </row>
    <row r="1332" spans="1:20" x14ac:dyDescent="0.35">
      <c r="A1332" t="s">
        <v>1552</v>
      </c>
      <c r="B1332" s="1">
        <v>46001</v>
      </c>
      <c r="C1332" t="s">
        <v>14</v>
      </c>
      <c r="D1332" t="s">
        <v>15</v>
      </c>
      <c r="E1332" t="s">
        <v>177</v>
      </c>
      <c r="F1332" t="s">
        <v>23</v>
      </c>
      <c r="G1332" t="s">
        <v>1502</v>
      </c>
      <c r="H1332" t="s">
        <v>1503</v>
      </c>
      <c r="I1332" t="s">
        <v>465</v>
      </c>
      <c r="J1332">
        <v>1</v>
      </c>
      <c r="K1332">
        <v>1069000</v>
      </c>
      <c r="L1332">
        <v>0</v>
      </c>
      <c r="M1332">
        <v>805000</v>
      </c>
      <c r="N1332">
        <f>(data[[#This Row],[unit_price]]*data[[#This Row],[quantity]]) * (1-data[[#This Row],[discount]])</f>
        <v>1069000</v>
      </c>
      <c r="O1332">
        <f>data[[#This Row],[sales]]-data[[#This Row],[cost]]</f>
        <v>264000</v>
      </c>
      <c r="P1332" t="str">
        <f>TEXT(data[[#This Row],[order_date]],"mmm")</f>
        <v>Dec</v>
      </c>
      <c r="Q1332">
        <f>YEAR(data[[#This Row],[order_date]])</f>
        <v>2025</v>
      </c>
      <c r="R1332">
        <f>MONTH(data[[#This Row],[order_date]])</f>
        <v>12</v>
      </c>
      <c r="S1332">
        <f>DAY(data[[#This Row],[order_date]])</f>
        <v>10</v>
      </c>
      <c r="T1332">
        <f>data[[#This Row],[profit]]/data[[#This Row],[sales]]</f>
        <v>0.2469597754911132</v>
      </c>
    </row>
    <row r="1333" spans="1:20" x14ac:dyDescent="0.35">
      <c r="A1333" t="s">
        <v>1553</v>
      </c>
      <c r="B1333" s="1">
        <v>46011</v>
      </c>
      <c r="C1333" t="s">
        <v>49</v>
      </c>
      <c r="D1333" t="s">
        <v>50</v>
      </c>
      <c r="E1333" t="s">
        <v>113</v>
      </c>
      <c r="F1333" t="s">
        <v>23</v>
      </c>
      <c r="G1333" t="s">
        <v>1502</v>
      </c>
      <c r="H1333" t="s">
        <v>1503</v>
      </c>
      <c r="I1333" t="s">
        <v>465</v>
      </c>
      <c r="J1333">
        <v>1</v>
      </c>
      <c r="K1333">
        <v>813000</v>
      </c>
      <c r="L1333">
        <v>0</v>
      </c>
      <c r="M1333">
        <v>611000</v>
      </c>
      <c r="N1333">
        <f>(data[[#This Row],[unit_price]]*data[[#This Row],[quantity]]) * (1-data[[#This Row],[discount]])</f>
        <v>813000</v>
      </c>
      <c r="O1333">
        <f>data[[#This Row],[sales]]-data[[#This Row],[cost]]</f>
        <v>202000</v>
      </c>
      <c r="P1333" t="str">
        <f>TEXT(data[[#This Row],[order_date]],"mmm")</f>
        <v>Dec</v>
      </c>
      <c r="Q1333">
        <f>YEAR(data[[#This Row],[order_date]])</f>
        <v>2025</v>
      </c>
      <c r="R1333">
        <f>MONTH(data[[#This Row],[order_date]])</f>
        <v>12</v>
      </c>
      <c r="S1333">
        <f>DAY(data[[#This Row],[order_date]])</f>
        <v>20</v>
      </c>
      <c r="T1333">
        <f>data[[#This Row],[profit]]/data[[#This Row],[sales]]</f>
        <v>0.24846248462484624</v>
      </c>
    </row>
    <row r="1334" spans="1:20" x14ac:dyDescent="0.35">
      <c r="A1334" t="s">
        <v>1554</v>
      </c>
      <c r="B1334" s="1">
        <v>46022</v>
      </c>
      <c r="C1334" t="s">
        <v>14</v>
      </c>
      <c r="D1334" t="s">
        <v>15</v>
      </c>
      <c r="E1334" t="s">
        <v>71</v>
      </c>
      <c r="F1334" t="s">
        <v>23</v>
      </c>
      <c r="G1334" t="s">
        <v>1502</v>
      </c>
      <c r="H1334" t="s">
        <v>1503</v>
      </c>
      <c r="I1334" t="s">
        <v>465</v>
      </c>
      <c r="J1334">
        <v>1</v>
      </c>
      <c r="K1334">
        <v>1040000</v>
      </c>
      <c r="L1334">
        <v>0</v>
      </c>
      <c r="M1334">
        <v>791000</v>
      </c>
      <c r="N1334">
        <f>(data[[#This Row],[unit_price]]*data[[#This Row],[quantity]]) * (1-data[[#This Row],[discount]])</f>
        <v>1040000</v>
      </c>
      <c r="O1334">
        <f>data[[#This Row],[sales]]-data[[#This Row],[cost]]</f>
        <v>249000</v>
      </c>
      <c r="P1334" t="str">
        <f>TEXT(data[[#This Row],[order_date]],"mmm")</f>
        <v>Dec</v>
      </c>
      <c r="Q1334">
        <f>YEAR(data[[#This Row],[order_date]])</f>
        <v>2025</v>
      </c>
      <c r="R1334">
        <f>MONTH(data[[#This Row],[order_date]])</f>
        <v>12</v>
      </c>
      <c r="S1334">
        <f>DAY(data[[#This Row],[order_date]])</f>
        <v>31</v>
      </c>
      <c r="T1334">
        <f>data[[#This Row],[profit]]/data[[#This Row],[sales]]</f>
        <v>0.23942307692307693</v>
      </c>
    </row>
    <row r="1335" spans="1:20" x14ac:dyDescent="0.35">
      <c r="A1335" t="s">
        <v>1555</v>
      </c>
      <c r="B1335" s="1">
        <v>46077</v>
      </c>
      <c r="C1335" t="s">
        <v>36</v>
      </c>
      <c r="D1335" t="s">
        <v>37</v>
      </c>
      <c r="E1335" t="s">
        <v>113</v>
      </c>
      <c r="F1335" t="s">
        <v>23</v>
      </c>
      <c r="G1335" t="s">
        <v>1502</v>
      </c>
      <c r="H1335" t="s">
        <v>1503</v>
      </c>
      <c r="I1335" t="s">
        <v>465</v>
      </c>
      <c r="J1335">
        <v>3</v>
      </c>
      <c r="K1335">
        <v>1269000</v>
      </c>
      <c r="L1335">
        <v>0</v>
      </c>
      <c r="M1335">
        <v>995000</v>
      </c>
      <c r="N1335">
        <f>(data[[#This Row],[unit_price]]*data[[#This Row],[quantity]]) * (1-data[[#This Row],[discount]])</f>
        <v>3807000</v>
      </c>
      <c r="O1335">
        <f>data[[#This Row],[sales]]-data[[#This Row],[cost]]</f>
        <v>2812000</v>
      </c>
      <c r="P1335" t="str">
        <f>TEXT(data[[#This Row],[order_date]],"mmm")</f>
        <v>Feb</v>
      </c>
      <c r="Q1335">
        <f>YEAR(data[[#This Row],[order_date]])</f>
        <v>2026</v>
      </c>
      <c r="R1335">
        <f>MONTH(data[[#This Row],[order_date]])</f>
        <v>2</v>
      </c>
      <c r="S1335">
        <f>DAY(data[[#This Row],[order_date]])</f>
        <v>24</v>
      </c>
      <c r="T1335">
        <f>data[[#This Row],[profit]]/data[[#This Row],[sales]]</f>
        <v>0.73863934856842661</v>
      </c>
    </row>
    <row r="1336" spans="1:20" x14ac:dyDescent="0.35">
      <c r="A1336" t="s">
        <v>1556</v>
      </c>
      <c r="B1336" s="1">
        <v>46095</v>
      </c>
      <c r="C1336" t="s">
        <v>49</v>
      </c>
      <c r="D1336" t="s">
        <v>50</v>
      </c>
      <c r="E1336" t="s">
        <v>85</v>
      </c>
      <c r="F1336" t="s">
        <v>23</v>
      </c>
      <c r="G1336" t="s">
        <v>1502</v>
      </c>
      <c r="H1336" t="s">
        <v>1503</v>
      </c>
      <c r="I1336" t="s">
        <v>465</v>
      </c>
      <c r="J1336">
        <v>1</v>
      </c>
      <c r="K1336">
        <v>1099000</v>
      </c>
      <c r="L1336">
        <v>0.1</v>
      </c>
      <c r="M1336">
        <v>835000</v>
      </c>
      <c r="N1336">
        <f>(data[[#This Row],[unit_price]]*data[[#This Row],[quantity]]) * (1-data[[#This Row],[discount]])</f>
        <v>989100</v>
      </c>
      <c r="O1336">
        <f>data[[#This Row],[sales]]-data[[#This Row],[cost]]</f>
        <v>154100</v>
      </c>
      <c r="P1336" t="str">
        <f>TEXT(data[[#This Row],[order_date]],"mmm")</f>
        <v>Mar</v>
      </c>
      <c r="Q1336">
        <f>YEAR(data[[#This Row],[order_date]])</f>
        <v>2026</v>
      </c>
      <c r="R1336">
        <f>MONTH(data[[#This Row],[order_date]])</f>
        <v>3</v>
      </c>
      <c r="S1336">
        <f>DAY(data[[#This Row],[order_date]])</f>
        <v>14</v>
      </c>
      <c r="T1336">
        <f>data[[#This Row],[profit]]/data[[#This Row],[sales]]</f>
        <v>0.15579820038418765</v>
      </c>
    </row>
    <row r="1337" spans="1:20" x14ac:dyDescent="0.35">
      <c r="A1337" t="s">
        <v>1557</v>
      </c>
      <c r="B1337" s="1">
        <v>46096</v>
      </c>
      <c r="C1337" t="s">
        <v>36</v>
      </c>
      <c r="D1337" t="s">
        <v>37</v>
      </c>
      <c r="E1337" t="s">
        <v>274</v>
      </c>
      <c r="F1337" t="s">
        <v>58</v>
      </c>
      <c r="G1337" t="s">
        <v>1502</v>
      </c>
      <c r="H1337" t="s">
        <v>1503</v>
      </c>
      <c r="I1337" t="s">
        <v>465</v>
      </c>
      <c r="J1337">
        <v>1</v>
      </c>
      <c r="K1337">
        <v>1153000</v>
      </c>
      <c r="L1337">
        <v>0</v>
      </c>
      <c r="M1337">
        <v>879000</v>
      </c>
      <c r="N1337">
        <f>(data[[#This Row],[unit_price]]*data[[#This Row],[quantity]]) * (1-data[[#This Row],[discount]])</f>
        <v>1153000</v>
      </c>
      <c r="O1337">
        <f>data[[#This Row],[sales]]-data[[#This Row],[cost]]</f>
        <v>274000</v>
      </c>
      <c r="P1337" t="str">
        <f>TEXT(data[[#This Row],[order_date]],"mmm")</f>
        <v>Mar</v>
      </c>
      <c r="Q1337">
        <f>YEAR(data[[#This Row],[order_date]])</f>
        <v>2026</v>
      </c>
      <c r="R1337">
        <f>MONTH(data[[#This Row],[order_date]])</f>
        <v>3</v>
      </c>
      <c r="S1337">
        <f>DAY(data[[#This Row],[order_date]])</f>
        <v>15</v>
      </c>
      <c r="T1337">
        <f>data[[#This Row],[profit]]/data[[#This Row],[sales]]</f>
        <v>0.23764093668690373</v>
      </c>
    </row>
    <row r="1338" spans="1:20" x14ac:dyDescent="0.35">
      <c r="A1338" t="s">
        <v>1558</v>
      </c>
      <c r="B1338" s="1">
        <v>46100</v>
      </c>
      <c r="C1338" t="s">
        <v>14</v>
      </c>
      <c r="D1338" t="s">
        <v>15</v>
      </c>
      <c r="E1338" t="s">
        <v>244</v>
      </c>
      <c r="F1338" t="s">
        <v>17</v>
      </c>
      <c r="G1338" t="s">
        <v>1502</v>
      </c>
      <c r="H1338" t="s">
        <v>1503</v>
      </c>
      <c r="I1338" t="s">
        <v>465</v>
      </c>
      <c r="J1338">
        <v>1</v>
      </c>
      <c r="K1338">
        <v>1353000</v>
      </c>
      <c r="L1338">
        <v>0</v>
      </c>
      <c r="M1338">
        <v>1042000</v>
      </c>
      <c r="N1338">
        <f>(data[[#This Row],[unit_price]]*data[[#This Row],[quantity]]) * (1-data[[#This Row],[discount]])</f>
        <v>1353000</v>
      </c>
      <c r="O1338">
        <f>data[[#This Row],[sales]]-data[[#This Row],[cost]]</f>
        <v>311000</v>
      </c>
      <c r="P1338" t="str">
        <f>TEXT(data[[#This Row],[order_date]],"mmm")</f>
        <v>Mar</v>
      </c>
      <c r="Q1338">
        <f>YEAR(data[[#This Row],[order_date]])</f>
        <v>2026</v>
      </c>
      <c r="R1338">
        <f>MONTH(data[[#This Row],[order_date]])</f>
        <v>3</v>
      </c>
      <c r="S1338">
        <f>DAY(data[[#This Row],[order_date]])</f>
        <v>19</v>
      </c>
      <c r="T1338">
        <f>data[[#This Row],[profit]]/data[[#This Row],[sales]]</f>
        <v>0.22985957132298596</v>
      </c>
    </row>
    <row r="1339" spans="1:20" x14ac:dyDescent="0.35">
      <c r="A1339" t="s">
        <v>1559</v>
      </c>
      <c r="B1339" s="1">
        <v>46102</v>
      </c>
      <c r="C1339" t="s">
        <v>41</v>
      </c>
      <c r="D1339" t="s">
        <v>42</v>
      </c>
      <c r="E1339" t="s">
        <v>97</v>
      </c>
      <c r="F1339" t="s">
        <v>23</v>
      </c>
      <c r="G1339" t="s">
        <v>1502</v>
      </c>
      <c r="H1339" t="s">
        <v>1503</v>
      </c>
      <c r="I1339" t="s">
        <v>465</v>
      </c>
      <c r="J1339">
        <v>1</v>
      </c>
      <c r="K1339">
        <v>930000</v>
      </c>
      <c r="L1339">
        <v>0</v>
      </c>
      <c r="M1339">
        <v>723000</v>
      </c>
      <c r="N1339">
        <f>(data[[#This Row],[unit_price]]*data[[#This Row],[quantity]]) * (1-data[[#This Row],[discount]])</f>
        <v>930000</v>
      </c>
      <c r="O1339">
        <f>data[[#This Row],[sales]]-data[[#This Row],[cost]]</f>
        <v>207000</v>
      </c>
      <c r="P1339" t="str">
        <f>TEXT(data[[#This Row],[order_date]],"mmm")</f>
        <v>Mar</v>
      </c>
      <c r="Q1339">
        <f>YEAR(data[[#This Row],[order_date]])</f>
        <v>2026</v>
      </c>
      <c r="R1339">
        <f>MONTH(data[[#This Row],[order_date]])</f>
        <v>3</v>
      </c>
      <c r="S1339">
        <f>DAY(data[[#This Row],[order_date]])</f>
        <v>21</v>
      </c>
      <c r="T1339">
        <f>data[[#This Row],[profit]]/data[[#This Row],[sales]]</f>
        <v>0.22258064516129034</v>
      </c>
    </row>
    <row r="1340" spans="1:20" x14ac:dyDescent="0.35">
      <c r="A1340" t="s">
        <v>1560</v>
      </c>
      <c r="B1340" s="1">
        <v>46122</v>
      </c>
      <c r="C1340" t="s">
        <v>36</v>
      </c>
      <c r="D1340" t="s">
        <v>37</v>
      </c>
      <c r="E1340" t="s">
        <v>598</v>
      </c>
      <c r="F1340" t="s">
        <v>23</v>
      </c>
      <c r="G1340" t="s">
        <v>1502</v>
      </c>
      <c r="H1340" t="s">
        <v>1503</v>
      </c>
      <c r="I1340" t="s">
        <v>465</v>
      </c>
      <c r="J1340">
        <v>1</v>
      </c>
      <c r="K1340">
        <v>804000</v>
      </c>
      <c r="L1340">
        <v>0.1</v>
      </c>
      <c r="M1340">
        <v>631000</v>
      </c>
      <c r="N1340">
        <f>(data[[#This Row],[unit_price]]*data[[#This Row],[quantity]]) * (1-data[[#This Row],[discount]])</f>
        <v>723600</v>
      </c>
      <c r="O1340">
        <f>data[[#This Row],[sales]]-data[[#This Row],[cost]]</f>
        <v>92600</v>
      </c>
      <c r="P1340" t="str">
        <f>TEXT(data[[#This Row],[order_date]],"mmm")</f>
        <v>Apr</v>
      </c>
      <c r="Q1340">
        <f>YEAR(data[[#This Row],[order_date]])</f>
        <v>2026</v>
      </c>
      <c r="R1340">
        <f>MONTH(data[[#This Row],[order_date]])</f>
        <v>4</v>
      </c>
      <c r="S1340">
        <f>DAY(data[[#This Row],[order_date]])</f>
        <v>10</v>
      </c>
      <c r="T1340">
        <f>data[[#This Row],[profit]]/data[[#This Row],[sales]]</f>
        <v>0.12797125483692648</v>
      </c>
    </row>
    <row r="1341" spans="1:20" x14ac:dyDescent="0.35">
      <c r="A1341" t="s">
        <v>1561</v>
      </c>
      <c r="B1341" s="1">
        <v>46136</v>
      </c>
      <c r="C1341" t="s">
        <v>14</v>
      </c>
      <c r="D1341" t="s">
        <v>15</v>
      </c>
      <c r="E1341" t="s">
        <v>260</v>
      </c>
      <c r="F1341" t="s">
        <v>23</v>
      </c>
      <c r="G1341" t="s">
        <v>1502</v>
      </c>
      <c r="H1341" t="s">
        <v>1503</v>
      </c>
      <c r="I1341" t="s">
        <v>465</v>
      </c>
      <c r="J1341">
        <v>3</v>
      </c>
      <c r="K1341">
        <v>1269000</v>
      </c>
      <c r="L1341">
        <v>0</v>
      </c>
      <c r="M1341">
        <v>977000</v>
      </c>
      <c r="N1341">
        <f>(data[[#This Row],[unit_price]]*data[[#This Row],[quantity]]) * (1-data[[#This Row],[discount]])</f>
        <v>3807000</v>
      </c>
      <c r="O1341">
        <f>data[[#This Row],[sales]]-data[[#This Row],[cost]]</f>
        <v>2830000</v>
      </c>
      <c r="P1341" t="str">
        <f>TEXT(data[[#This Row],[order_date]],"mmm")</f>
        <v>Apr</v>
      </c>
      <c r="Q1341">
        <f>YEAR(data[[#This Row],[order_date]])</f>
        <v>2026</v>
      </c>
      <c r="R1341">
        <f>MONTH(data[[#This Row],[order_date]])</f>
        <v>4</v>
      </c>
      <c r="S1341">
        <f>DAY(data[[#This Row],[order_date]])</f>
        <v>24</v>
      </c>
      <c r="T1341">
        <f>data[[#This Row],[profit]]/data[[#This Row],[sales]]</f>
        <v>0.74336748095613348</v>
      </c>
    </row>
    <row r="1342" spans="1:20" x14ac:dyDescent="0.35">
      <c r="A1342" t="s">
        <v>1562</v>
      </c>
      <c r="B1342" s="1">
        <v>46162</v>
      </c>
      <c r="C1342" t="s">
        <v>41</v>
      </c>
      <c r="D1342" t="s">
        <v>42</v>
      </c>
      <c r="E1342" t="s">
        <v>155</v>
      </c>
      <c r="F1342" t="s">
        <v>58</v>
      </c>
      <c r="G1342" t="s">
        <v>1502</v>
      </c>
      <c r="H1342" t="s">
        <v>1503</v>
      </c>
      <c r="I1342" t="s">
        <v>465</v>
      </c>
      <c r="J1342">
        <v>1</v>
      </c>
      <c r="K1342">
        <v>943000</v>
      </c>
      <c r="L1342">
        <v>0</v>
      </c>
      <c r="M1342">
        <v>728000</v>
      </c>
      <c r="N1342">
        <f>(data[[#This Row],[unit_price]]*data[[#This Row],[quantity]]) * (1-data[[#This Row],[discount]])</f>
        <v>943000</v>
      </c>
      <c r="O1342">
        <f>data[[#This Row],[sales]]-data[[#This Row],[cost]]</f>
        <v>215000</v>
      </c>
      <c r="P1342" t="str">
        <f>TEXT(data[[#This Row],[order_date]],"mmm")</f>
        <v>May</v>
      </c>
      <c r="Q1342">
        <f>YEAR(data[[#This Row],[order_date]])</f>
        <v>2026</v>
      </c>
      <c r="R1342">
        <f>MONTH(data[[#This Row],[order_date]])</f>
        <v>5</v>
      </c>
      <c r="S1342">
        <f>DAY(data[[#This Row],[order_date]])</f>
        <v>20</v>
      </c>
      <c r="T1342">
        <f>data[[#This Row],[profit]]/data[[#This Row],[sales]]</f>
        <v>0.22799575821845175</v>
      </c>
    </row>
    <row r="1343" spans="1:20" x14ac:dyDescent="0.35">
      <c r="A1343" t="s">
        <v>1563</v>
      </c>
      <c r="B1343" s="1">
        <v>46164</v>
      </c>
      <c r="C1343" t="s">
        <v>14</v>
      </c>
      <c r="D1343" t="s">
        <v>15</v>
      </c>
      <c r="E1343" t="s">
        <v>236</v>
      </c>
      <c r="F1343" t="s">
        <v>28</v>
      </c>
      <c r="G1343" t="s">
        <v>1502</v>
      </c>
      <c r="H1343" t="s">
        <v>1503</v>
      </c>
      <c r="I1343" t="s">
        <v>465</v>
      </c>
      <c r="J1343">
        <v>1</v>
      </c>
      <c r="K1343">
        <v>809000</v>
      </c>
      <c r="L1343">
        <v>0</v>
      </c>
      <c r="M1343">
        <v>628000</v>
      </c>
      <c r="N1343">
        <f>(data[[#This Row],[unit_price]]*data[[#This Row],[quantity]]) * (1-data[[#This Row],[discount]])</f>
        <v>809000</v>
      </c>
      <c r="O1343">
        <f>data[[#This Row],[sales]]-data[[#This Row],[cost]]</f>
        <v>181000</v>
      </c>
      <c r="P1343" t="str">
        <f>TEXT(data[[#This Row],[order_date]],"mmm")</f>
        <v>May</v>
      </c>
      <c r="Q1343">
        <f>YEAR(data[[#This Row],[order_date]])</f>
        <v>2026</v>
      </c>
      <c r="R1343">
        <f>MONTH(data[[#This Row],[order_date]])</f>
        <v>5</v>
      </c>
      <c r="S1343">
        <f>DAY(data[[#This Row],[order_date]])</f>
        <v>22</v>
      </c>
      <c r="T1343">
        <f>data[[#This Row],[profit]]/data[[#This Row],[sales]]</f>
        <v>0.22373300370828184</v>
      </c>
    </row>
    <row r="1344" spans="1:20" x14ac:dyDescent="0.35">
      <c r="A1344" t="s">
        <v>1564</v>
      </c>
      <c r="B1344" s="1">
        <v>46182</v>
      </c>
      <c r="C1344" t="s">
        <v>25</v>
      </c>
      <c r="D1344" t="s">
        <v>26</v>
      </c>
      <c r="E1344" t="s">
        <v>16</v>
      </c>
      <c r="F1344" t="s">
        <v>17</v>
      </c>
      <c r="G1344" t="s">
        <v>1502</v>
      </c>
      <c r="H1344" t="s">
        <v>1503</v>
      </c>
      <c r="I1344" t="s">
        <v>465</v>
      </c>
      <c r="J1344">
        <v>3</v>
      </c>
      <c r="K1344">
        <v>1046000</v>
      </c>
      <c r="L1344">
        <v>0.05</v>
      </c>
      <c r="M1344">
        <v>817000</v>
      </c>
      <c r="N1344">
        <f>(data[[#This Row],[unit_price]]*data[[#This Row],[quantity]]) * (1-data[[#This Row],[discount]])</f>
        <v>2981100</v>
      </c>
      <c r="O1344">
        <f>data[[#This Row],[sales]]-data[[#This Row],[cost]]</f>
        <v>2164100</v>
      </c>
      <c r="P1344" t="str">
        <f>TEXT(data[[#This Row],[order_date]],"mmm")</f>
        <v>Jun</v>
      </c>
      <c r="Q1344">
        <f>YEAR(data[[#This Row],[order_date]])</f>
        <v>2026</v>
      </c>
      <c r="R1344">
        <f>MONTH(data[[#This Row],[order_date]])</f>
        <v>6</v>
      </c>
      <c r="S1344">
        <f>DAY(data[[#This Row],[order_date]])</f>
        <v>9</v>
      </c>
      <c r="T1344">
        <f>data[[#This Row],[profit]]/data[[#This Row],[sales]]</f>
        <v>0.72594008922880815</v>
      </c>
    </row>
    <row r="1345" spans="1:20" x14ac:dyDescent="0.35">
      <c r="A1345" t="s">
        <v>1565</v>
      </c>
      <c r="B1345" s="1">
        <v>44954</v>
      </c>
      <c r="C1345" t="s">
        <v>41</v>
      </c>
      <c r="D1345" t="s">
        <v>42</v>
      </c>
      <c r="E1345" t="s">
        <v>301</v>
      </c>
      <c r="F1345" t="s">
        <v>28</v>
      </c>
      <c r="G1345" t="s">
        <v>1566</v>
      </c>
      <c r="H1345" t="s">
        <v>1567</v>
      </c>
      <c r="I1345" t="s">
        <v>160</v>
      </c>
      <c r="J1345">
        <v>1</v>
      </c>
      <c r="K1345">
        <v>3724000</v>
      </c>
      <c r="L1345">
        <v>0.1</v>
      </c>
      <c r="M1345">
        <v>2748000</v>
      </c>
      <c r="N1345">
        <f>(data[[#This Row],[unit_price]]*data[[#This Row],[quantity]]) * (1-data[[#This Row],[discount]])</f>
        <v>3351600</v>
      </c>
      <c r="O1345">
        <f>data[[#This Row],[sales]]-data[[#This Row],[cost]]</f>
        <v>603600</v>
      </c>
      <c r="P1345" t="str">
        <f>TEXT(data[[#This Row],[order_date]],"mmm")</f>
        <v>Jan</v>
      </c>
      <c r="Q1345">
        <f>YEAR(data[[#This Row],[order_date]])</f>
        <v>2023</v>
      </c>
      <c r="R1345">
        <f>MONTH(data[[#This Row],[order_date]])</f>
        <v>1</v>
      </c>
      <c r="S1345">
        <f>DAY(data[[#This Row],[order_date]])</f>
        <v>28</v>
      </c>
      <c r="T1345">
        <f>data[[#This Row],[profit]]/data[[#This Row],[sales]]</f>
        <v>0.18009308986752595</v>
      </c>
    </row>
    <row r="1346" spans="1:20" x14ac:dyDescent="0.35">
      <c r="A1346" t="s">
        <v>1568</v>
      </c>
      <c r="B1346" s="1">
        <v>44966</v>
      </c>
      <c r="C1346" t="s">
        <v>14</v>
      </c>
      <c r="D1346" t="s">
        <v>15</v>
      </c>
      <c r="E1346" t="s">
        <v>352</v>
      </c>
      <c r="F1346" t="s">
        <v>23</v>
      </c>
      <c r="G1346" t="s">
        <v>1566</v>
      </c>
      <c r="H1346" t="s">
        <v>1567</v>
      </c>
      <c r="I1346" t="s">
        <v>160</v>
      </c>
      <c r="J1346">
        <v>1</v>
      </c>
      <c r="K1346">
        <v>3492303.0303030303</v>
      </c>
      <c r="L1346">
        <v>0</v>
      </c>
      <c r="M1346">
        <v>0</v>
      </c>
      <c r="N1346">
        <f>(data[[#This Row],[unit_price]]*data[[#This Row],[quantity]]) * (1-data[[#This Row],[discount]])</f>
        <v>3492303.0303030303</v>
      </c>
      <c r="O1346">
        <f>data[[#This Row],[sales]]-data[[#This Row],[cost]]</f>
        <v>3492303.0303030303</v>
      </c>
      <c r="P1346" t="str">
        <f>TEXT(data[[#This Row],[order_date]],"mmm")</f>
        <v>Feb</v>
      </c>
      <c r="Q1346">
        <f>YEAR(data[[#This Row],[order_date]])</f>
        <v>2023</v>
      </c>
      <c r="R1346">
        <f>MONTH(data[[#This Row],[order_date]])</f>
        <v>2</v>
      </c>
      <c r="S1346">
        <f>DAY(data[[#This Row],[order_date]])</f>
        <v>9</v>
      </c>
      <c r="T1346">
        <f>data[[#This Row],[profit]]/data[[#This Row],[sales]]</f>
        <v>1</v>
      </c>
    </row>
    <row r="1347" spans="1:20" x14ac:dyDescent="0.35">
      <c r="A1347" t="s">
        <v>1569</v>
      </c>
      <c r="B1347" s="1">
        <v>44970</v>
      </c>
      <c r="C1347" t="s">
        <v>14</v>
      </c>
      <c r="D1347" t="s">
        <v>15</v>
      </c>
      <c r="E1347" t="s">
        <v>301</v>
      </c>
      <c r="F1347" t="s">
        <v>28</v>
      </c>
      <c r="G1347" t="s">
        <v>1566</v>
      </c>
      <c r="H1347" t="s">
        <v>1567</v>
      </c>
      <c r="I1347" t="s">
        <v>160</v>
      </c>
      <c r="J1347">
        <v>1</v>
      </c>
      <c r="K1347">
        <v>2086000</v>
      </c>
      <c r="L1347">
        <v>0</v>
      </c>
      <c r="M1347">
        <v>1571000</v>
      </c>
      <c r="N1347">
        <f>(data[[#This Row],[unit_price]]*data[[#This Row],[quantity]]) * (1-data[[#This Row],[discount]])</f>
        <v>2086000</v>
      </c>
      <c r="O1347">
        <f>data[[#This Row],[sales]]-data[[#This Row],[cost]]</f>
        <v>515000</v>
      </c>
      <c r="P1347" t="str">
        <f>TEXT(data[[#This Row],[order_date]],"mmm")</f>
        <v>Feb</v>
      </c>
      <c r="Q1347">
        <f>YEAR(data[[#This Row],[order_date]])</f>
        <v>2023</v>
      </c>
      <c r="R1347">
        <f>MONTH(data[[#This Row],[order_date]])</f>
        <v>2</v>
      </c>
      <c r="S1347">
        <f>DAY(data[[#This Row],[order_date]])</f>
        <v>13</v>
      </c>
      <c r="T1347">
        <f>data[[#This Row],[profit]]/data[[#This Row],[sales]]</f>
        <v>0.24688398849472676</v>
      </c>
    </row>
    <row r="1348" spans="1:20" x14ac:dyDescent="0.35">
      <c r="A1348" t="s">
        <v>1570</v>
      </c>
      <c r="B1348" s="1">
        <v>44985</v>
      </c>
      <c r="C1348" t="s">
        <v>49</v>
      </c>
      <c r="D1348" t="s">
        <v>50</v>
      </c>
      <c r="E1348" t="s">
        <v>126</v>
      </c>
      <c r="F1348" t="s">
        <v>17</v>
      </c>
      <c r="G1348" t="s">
        <v>1566</v>
      </c>
      <c r="H1348" t="s">
        <v>1567</v>
      </c>
      <c r="I1348" t="s">
        <v>160</v>
      </c>
      <c r="J1348">
        <v>1</v>
      </c>
      <c r="K1348">
        <v>4042000</v>
      </c>
      <c r="L1348">
        <v>0.1</v>
      </c>
      <c r="M1348">
        <v>2990000</v>
      </c>
      <c r="N1348">
        <f>(data[[#This Row],[unit_price]]*data[[#This Row],[quantity]]) * (1-data[[#This Row],[discount]])</f>
        <v>3637800</v>
      </c>
      <c r="O1348">
        <f>data[[#This Row],[sales]]-data[[#This Row],[cost]]</f>
        <v>647800</v>
      </c>
      <c r="P1348" t="str">
        <f>TEXT(data[[#This Row],[order_date]],"mmm")</f>
        <v>Feb</v>
      </c>
      <c r="Q1348">
        <f>YEAR(data[[#This Row],[order_date]])</f>
        <v>2023</v>
      </c>
      <c r="R1348">
        <f>MONTH(data[[#This Row],[order_date]])</f>
        <v>2</v>
      </c>
      <c r="S1348">
        <f>DAY(data[[#This Row],[order_date]])</f>
        <v>28</v>
      </c>
      <c r="T1348">
        <f>data[[#This Row],[profit]]/data[[#This Row],[sales]]</f>
        <v>0.1780746605090989</v>
      </c>
    </row>
    <row r="1349" spans="1:20" x14ac:dyDescent="0.35">
      <c r="A1349" t="s">
        <v>1571</v>
      </c>
      <c r="B1349" s="1">
        <v>44990</v>
      </c>
      <c r="C1349" t="s">
        <v>14</v>
      </c>
      <c r="D1349" t="s">
        <v>15</v>
      </c>
      <c r="E1349" t="s">
        <v>191</v>
      </c>
      <c r="F1349" t="s">
        <v>23</v>
      </c>
      <c r="G1349" t="s">
        <v>1566</v>
      </c>
      <c r="H1349" t="s">
        <v>1567</v>
      </c>
      <c r="I1349" t="s">
        <v>160</v>
      </c>
      <c r="J1349">
        <v>5</v>
      </c>
      <c r="K1349">
        <v>3078000</v>
      </c>
      <c r="L1349">
        <v>0</v>
      </c>
      <c r="M1349">
        <v>2264000</v>
      </c>
      <c r="N1349">
        <f>(data[[#This Row],[unit_price]]*data[[#This Row],[quantity]]) * (1-data[[#This Row],[discount]])</f>
        <v>15390000</v>
      </c>
      <c r="O1349">
        <f>data[[#This Row],[sales]]-data[[#This Row],[cost]]</f>
        <v>13126000</v>
      </c>
      <c r="P1349" t="str">
        <f>TEXT(data[[#This Row],[order_date]],"mmm")</f>
        <v>Mar</v>
      </c>
      <c r="Q1349">
        <f>YEAR(data[[#This Row],[order_date]])</f>
        <v>2023</v>
      </c>
      <c r="R1349">
        <f>MONTH(data[[#This Row],[order_date]])</f>
        <v>3</v>
      </c>
      <c r="S1349">
        <f>DAY(data[[#This Row],[order_date]])</f>
        <v>5</v>
      </c>
      <c r="T1349">
        <f>data[[#This Row],[profit]]/data[[#This Row],[sales]]</f>
        <v>0.85289148797920733</v>
      </c>
    </row>
    <row r="1350" spans="1:20" x14ac:dyDescent="0.35">
      <c r="A1350" t="s">
        <v>1572</v>
      </c>
      <c r="B1350" s="1">
        <v>45024</v>
      </c>
      <c r="C1350" t="s">
        <v>41</v>
      </c>
      <c r="D1350" t="s">
        <v>42</v>
      </c>
      <c r="E1350" t="s">
        <v>57</v>
      </c>
      <c r="F1350" t="s">
        <v>58</v>
      </c>
      <c r="G1350" t="s">
        <v>1566</v>
      </c>
      <c r="H1350" t="s">
        <v>1567</v>
      </c>
      <c r="I1350" t="s">
        <v>160</v>
      </c>
      <c r="J1350">
        <v>2</v>
      </c>
      <c r="K1350">
        <v>3492303.0303030303</v>
      </c>
      <c r="L1350">
        <v>0.1</v>
      </c>
      <c r="M1350">
        <v>2405000</v>
      </c>
      <c r="N1350">
        <f>(data[[#This Row],[unit_price]]*data[[#This Row],[quantity]]) * (1-data[[#This Row],[discount]])</f>
        <v>6286145.4545454551</v>
      </c>
      <c r="O1350">
        <f>data[[#This Row],[sales]]-data[[#This Row],[cost]]</f>
        <v>3881145.4545454551</v>
      </c>
      <c r="P1350" t="str">
        <f>TEXT(data[[#This Row],[order_date]],"mmm")</f>
        <v>Apr</v>
      </c>
      <c r="Q1350">
        <f>YEAR(data[[#This Row],[order_date]])</f>
        <v>2023</v>
      </c>
      <c r="R1350">
        <f>MONTH(data[[#This Row],[order_date]])</f>
        <v>4</v>
      </c>
      <c r="S1350">
        <f>DAY(data[[#This Row],[order_date]])</f>
        <v>8</v>
      </c>
      <c r="T1350">
        <f>data[[#This Row],[profit]]/data[[#This Row],[sales]]</f>
        <v>0.61741260723437985</v>
      </c>
    </row>
    <row r="1351" spans="1:20" x14ac:dyDescent="0.35">
      <c r="A1351" t="s">
        <v>1573</v>
      </c>
      <c r="B1351" s="1">
        <v>45041</v>
      </c>
      <c r="C1351" t="s">
        <v>41</v>
      </c>
      <c r="D1351" t="s">
        <v>42</v>
      </c>
      <c r="E1351" t="s">
        <v>108</v>
      </c>
      <c r="F1351" t="s">
        <v>23</v>
      </c>
      <c r="G1351" t="s">
        <v>1566</v>
      </c>
      <c r="H1351" t="s">
        <v>1567</v>
      </c>
      <c r="I1351" t="s">
        <v>160</v>
      </c>
      <c r="J1351">
        <v>1</v>
      </c>
      <c r="K1351">
        <v>2755000</v>
      </c>
      <c r="L1351">
        <v>0.1</v>
      </c>
      <c r="M1351">
        <v>2025000</v>
      </c>
      <c r="N1351">
        <f>(data[[#This Row],[unit_price]]*data[[#This Row],[quantity]]) * (1-data[[#This Row],[discount]])</f>
        <v>2479500</v>
      </c>
      <c r="O1351">
        <f>data[[#This Row],[sales]]-data[[#This Row],[cost]]</f>
        <v>454500</v>
      </c>
      <c r="P1351" t="str">
        <f>TEXT(data[[#This Row],[order_date]],"mmm")</f>
        <v>Apr</v>
      </c>
      <c r="Q1351">
        <f>YEAR(data[[#This Row],[order_date]])</f>
        <v>2023</v>
      </c>
      <c r="R1351">
        <f>MONTH(data[[#This Row],[order_date]])</f>
        <v>4</v>
      </c>
      <c r="S1351">
        <f>DAY(data[[#This Row],[order_date]])</f>
        <v>25</v>
      </c>
      <c r="T1351">
        <f>data[[#This Row],[profit]]/data[[#This Row],[sales]]</f>
        <v>0.18330308529945555</v>
      </c>
    </row>
    <row r="1352" spans="1:20" x14ac:dyDescent="0.35">
      <c r="A1352" t="s">
        <v>1574</v>
      </c>
      <c r="B1352" s="1">
        <v>45086</v>
      </c>
      <c r="C1352" t="s">
        <v>41</v>
      </c>
      <c r="D1352" t="s">
        <v>42</v>
      </c>
      <c r="E1352" t="s">
        <v>244</v>
      </c>
      <c r="F1352" t="s">
        <v>17</v>
      </c>
      <c r="G1352" t="s">
        <v>1566</v>
      </c>
      <c r="H1352" t="s">
        <v>1567</v>
      </c>
      <c r="I1352" t="s">
        <v>160</v>
      </c>
      <c r="J1352">
        <v>3</v>
      </c>
      <c r="K1352">
        <v>3680000</v>
      </c>
      <c r="L1352">
        <v>0</v>
      </c>
      <c r="M1352">
        <v>2774000</v>
      </c>
      <c r="N1352">
        <f>(data[[#This Row],[unit_price]]*data[[#This Row],[quantity]]) * (1-data[[#This Row],[discount]])</f>
        <v>11040000</v>
      </c>
      <c r="O1352">
        <f>data[[#This Row],[sales]]-data[[#This Row],[cost]]</f>
        <v>8266000</v>
      </c>
      <c r="P1352" t="str">
        <f>TEXT(data[[#This Row],[order_date]],"mmm")</f>
        <v>Jun</v>
      </c>
      <c r="Q1352">
        <f>YEAR(data[[#This Row],[order_date]])</f>
        <v>2023</v>
      </c>
      <c r="R1352">
        <f>MONTH(data[[#This Row],[order_date]])</f>
        <v>6</v>
      </c>
      <c r="S1352">
        <f>DAY(data[[#This Row],[order_date]])</f>
        <v>9</v>
      </c>
      <c r="T1352">
        <f>data[[#This Row],[profit]]/data[[#This Row],[sales]]</f>
        <v>0.74873188405797098</v>
      </c>
    </row>
    <row r="1353" spans="1:20" x14ac:dyDescent="0.35">
      <c r="A1353" t="s">
        <v>1575</v>
      </c>
      <c r="B1353" s="1">
        <v>45088</v>
      </c>
      <c r="C1353" t="s">
        <v>25</v>
      </c>
      <c r="D1353" t="s">
        <v>26</v>
      </c>
      <c r="E1353" t="s">
        <v>419</v>
      </c>
      <c r="F1353" t="s">
        <v>17</v>
      </c>
      <c r="G1353" t="s">
        <v>1566</v>
      </c>
      <c r="H1353" t="s">
        <v>1567</v>
      </c>
      <c r="I1353" t="s">
        <v>160</v>
      </c>
      <c r="J1353">
        <v>1</v>
      </c>
      <c r="K1353">
        <v>3633000</v>
      </c>
      <c r="L1353">
        <v>0.1</v>
      </c>
      <c r="M1353">
        <v>2637000</v>
      </c>
      <c r="N1353">
        <f>(data[[#This Row],[unit_price]]*data[[#This Row],[quantity]]) * (1-data[[#This Row],[discount]])</f>
        <v>3269700</v>
      </c>
      <c r="O1353">
        <f>data[[#This Row],[sales]]-data[[#This Row],[cost]]</f>
        <v>632700</v>
      </c>
      <c r="P1353" t="str">
        <f>TEXT(data[[#This Row],[order_date]],"mmm")</f>
        <v>Jun</v>
      </c>
      <c r="Q1353">
        <f>YEAR(data[[#This Row],[order_date]])</f>
        <v>2023</v>
      </c>
      <c r="R1353">
        <f>MONTH(data[[#This Row],[order_date]])</f>
        <v>6</v>
      </c>
      <c r="S1353">
        <f>DAY(data[[#This Row],[order_date]])</f>
        <v>11</v>
      </c>
      <c r="T1353">
        <f>data[[#This Row],[profit]]/data[[#This Row],[sales]]</f>
        <v>0.19350399119185246</v>
      </c>
    </row>
    <row r="1354" spans="1:20" x14ac:dyDescent="0.35">
      <c r="A1354" t="s">
        <v>1576</v>
      </c>
      <c r="B1354" s="1">
        <v>45093</v>
      </c>
      <c r="C1354" t="s">
        <v>49</v>
      </c>
      <c r="D1354" t="s">
        <v>50</v>
      </c>
      <c r="E1354" t="s">
        <v>47</v>
      </c>
      <c r="F1354" t="s">
        <v>23</v>
      </c>
      <c r="G1354" t="s">
        <v>1566</v>
      </c>
      <c r="H1354" t="s">
        <v>1567</v>
      </c>
      <c r="I1354" t="s">
        <v>160</v>
      </c>
      <c r="J1354">
        <v>1</v>
      </c>
      <c r="K1354">
        <v>3117000</v>
      </c>
      <c r="L1354">
        <v>0</v>
      </c>
      <c r="M1354">
        <v>2274000</v>
      </c>
      <c r="N1354">
        <f>(data[[#This Row],[unit_price]]*data[[#This Row],[quantity]]) * (1-data[[#This Row],[discount]])</f>
        <v>3117000</v>
      </c>
      <c r="O1354">
        <f>data[[#This Row],[sales]]-data[[#This Row],[cost]]</f>
        <v>843000</v>
      </c>
      <c r="P1354" t="str">
        <f>TEXT(data[[#This Row],[order_date]],"mmm")</f>
        <v>Jun</v>
      </c>
      <c r="Q1354">
        <f>YEAR(data[[#This Row],[order_date]])</f>
        <v>2023</v>
      </c>
      <c r="R1354">
        <f>MONTH(data[[#This Row],[order_date]])</f>
        <v>6</v>
      </c>
      <c r="S1354">
        <f>DAY(data[[#This Row],[order_date]])</f>
        <v>16</v>
      </c>
      <c r="T1354">
        <f>data[[#This Row],[profit]]/data[[#This Row],[sales]]</f>
        <v>0.27045235803657364</v>
      </c>
    </row>
    <row r="1355" spans="1:20" x14ac:dyDescent="0.35">
      <c r="A1355" t="s">
        <v>1577</v>
      </c>
      <c r="B1355" s="1">
        <v>45094</v>
      </c>
      <c r="C1355" t="s">
        <v>49</v>
      </c>
      <c r="D1355" t="s">
        <v>50</v>
      </c>
      <c r="E1355" t="s">
        <v>634</v>
      </c>
      <c r="F1355" t="s">
        <v>17</v>
      </c>
      <c r="G1355" t="s">
        <v>1566</v>
      </c>
      <c r="H1355" t="s">
        <v>1567</v>
      </c>
      <c r="I1355" t="s">
        <v>160</v>
      </c>
      <c r="J1355">
        <v>1</v>
      </c>
      <c r="K1355">
        <v>4484000</v>
      </c>
      <c r="L1355">
        <v>0</v>
      </c>
      <c r="M1355">
        <v>3265000</v>
      </c>
      <c r="N1355">
        <f>(data[[#This Row],[unit_price]]*data[[#This Row],[quantity]]) * (1-data[[#This Row],[discount]])</f>
        <v>4484000</v>
      </c>
      <c r="O1355">
        <f>data[[#This Row],[sales]]-data[[#This Row],[cost]]</f>
        <v>1219000</v>
      </c>
      <c r="P1355" t="str">
        <f>TEXT(data[[#This Row],[order_date]],"mmm")</f>
        <v>Jun</v>
      </c>
      <c r="Q1355">
        <f>YEAR(data[[#This Row],[order_date]])</f>
        <v>2023</v>
      </c>
      <c r="R1355">
        <f>MONTH(data[[#This Row],[order_date]])</f>
        <v>6</v>
      </c>
      <c r="S1355">
        <f>DAY(data[[#This Row],[order_date]])</f>
        <v>17</v>
      </c>
      <c r="T1355">
        <f>data[[#This Row],[profit]]/data[[#This Row],[sales]]</f>
        <v>0.27185548617305977</v>
      </c>
    </row>
    <row r="1356" spans="1:20" x14ac:dyDescent="0.35">
      <c r="A1356" t="s">
        <v>1578</v>
      </c>
      <c r="B1356" s="1">
        <v>45098</v>
      </c>
      <c r="C1356" t="s">
        <v>41</v>
      </c>
      <c r="D1356" t="s">
        <v>42</v>
      </c>
      <c r="E1356" t="s">
        <v>329</v>
      </c>
      <c r="F1356" t="s">
        <v>28</v>
      </c>
      <c r="G1356" t="s">
        <v>1566</v>
      </c>
      <c r="H1356" t="s">
        <v>1567</v>
      </c>
      <c r="I1356" t="s">
        <v>160</v>
      </c>
      <c r="J1356">
        <v>1</v>
      </c>
      <c r="K1356">
        <v>3580000</v>
      </c>
      <c r="L1356">
        <v>0</v>
      </c>
      <c r="M1356">
        <v>2616000</v>
      </c>
      <c r="N1356">
        <f>(data[[#This Row],[unit_price]]*data[[#This Row],[quantity]]) * (1-data[[#This Row],[discount]])</f>
        <v>3580000</v>
      </c>
      <c r="O1356">
        <f>data[[#This Row],[sales]]-data[[#This Row],[cost]]</f>
        <v>964000</v>
      </c>
      <c r="P1356" t="str">
        <f>TEXT(data[[#This Row],[order_date]],"mmm")</f>
        <v>Jun</v>
      </c>
      <c r="Q1356">
        <f>YEAR(data[[#This Row],[order_date]])</f>
        <v>2023</v>
      </c>
      <c r="R1356">
        <f>MONTH(data[[#This Row],[order_date]])</f>
        <v>6</v>
      </c>
      <c r="S1356">
        <f>DAY(data[[#This Row],[order_date]])</f>
        <v>21</v>
      </c>
      <c r="T1356">
        <f>data[[#This Row],[profit]]/data[[#This Row],[sales]]</f>
        <v>0.26927374301675977</v>
      </c>
    </row>
    <row r="1357" spans="1:20" x14ac:dyDescent="0.35">
      <c r="A1357" t="s">
        <v>1579</v>
      </c>
      <c r="B1357" s="1">
        <v>45100</v>
      </c>
      <c r="C1357" t="s">
        <v>14</v>
      </c>
      <c r="D1357" t="s">
        <v>15</v>
      </c>
      <c r="E1357" t="s">
        <v>182</v>
      </c>
      <c r="F1357" t="s">
        <v>23</v>
      </c>
      <c r="G1357" t="s">
        <v>1566</v>
      </c>
      <c r="H1357" t="s">
        <v>1567</v>
      </c>
      <c r="I1357" t="s">
        <v>160</v>
      </c>
      <c r="J1357">
        <v>2</v>
      </c>
      <c r="K1357">
        <v>2924000</v>
      </c>
      <c r="L1357">
        <v>0</v>
      </c>
      <c r="M1357">
        <v>2159000</v>
      </c>
      <c r="N1357">
        <f>(data[[#This Row],[unit_price]]*data[[#This Row],[quantity]]) * (1-data[[#This Row],[discount]])</f>
        <v>5848000</v>
      </c>
      <c r="O1357">
        <f>data[[#This Row],[sales]]-data[[#This Row],[cost]]</f>
        <v>3689000</v>
      </c>
      <c r="P1357" t="str">
        <f>TEXT(data[[#This Row],[order_date]],"mmm")</f>
        <v>Jun</v>
      </c>
      <c r="Q1357">
        <f>YEAR(data[[#This Row],[order_date]])</f>
        <v>2023</v>
      </c>
      <c r="R1357">
        <f>MONTH(data[[#This Row],[order_date]])</f>
        <v>6</v>
      </c>
      <c r="S1357">
        <f>DAY(data[[#This Row],[order_date]])</f>
        <v>23</v>
      </c>
      <c r="T1357">
        <f>data[[#This Row],[profit]]/data[[#This Row],[sales]]</f>
        <v>0.6308139534883721</v>
      </c>
    </row>
    <row r="1358" spans="1:20" x14ac:dyDescent="0.35">
      <c r="A1358" t="s">
        <v>1580</v>
      </c>
      <c r="B1358" s="1">
        <v>45126</v>
      </c>
      <c r="C1358" t="s">
        <v>36</v>
      </c>
      <c r="D1358" t="s">
        <v>37</v>
      </c>
      <c r="E1358" t="s">
        <v>155</v>
      </c>
      <c r="F1358" t="s">
        <v>58</v>
      </c>
      <c r="G1358" t="s">
        <v>1566</v>
      </c>
      <c r="H1358" t="s">
        <v>1567</v>
      </c>
      <c r="I1358" t="s">
        <v>160</v>
      </c>
      <c r="J1358">
        <v>1</v>
      </c>
      <c r="K1358">
        <v>3221000</v>
      </c>
      <c r="L1358">
        <v>0.05</v>
      </c>
      <c r="M1358">
        <v>2374000</v>
      </c>
      <c r="N1358">
        <f>(data[[#This Row],[unit_price]]*data[[#This Row],[quantity]]) * (1-data[[#This Row],[discount]])</f>
        <v>3059950</v>
      </c>
      <c r="O1358">
        <f>data[[#This Row],[sales]]-data[[#This Row],[cost]]</f>
        <v>685950</v>
      </c>
      <c r="P1358" t="str">
        <f>TEXT(data[[#This Row],[order_date]],"mmm")</f>
        <v>Jul</v>
      </c>
      <c r="Q1358">
        <f>YEAR(data[[#This Row],[order_date]])</f>
        <v>2023</v>
      </c>
      <c r="R1358">
        <f>MONTH(data[[#This Row],[order_date]])</f>
        <v>7</v>
      </c>
      <c r="S1358">
        <f>DAY(data[[#This Row],[order_date]])</f>
        <v>19</v>
      </c>
      <c r="T1358">
        <f>data[[#This Row],[profit]]/data[[#This Row],[sales]]</f>
        <v>0.22417032958054869</v>
      </c>
    </row>
    <row r="1359" spans="1:20" x14ac:dyDescent="0.35">
      <c r="A1359" t="s">
        <v>1581</v>
      </c>
      <c r="B1359" s="1">
        <v>45133</v>
      </c>
      <c r="C1359" t="s">
        <v>41</v>
      </c>
      <c r="D1359" t="s">
        <v>42</v>
      </c>
      <c r="E1359" t="s">
        <v>117</v>
      </c>
      <c r="F1359" t="s">
        <v>23</v>
      </c>
      <c r="G1359" t="s">
        <v>1566</v>
      </c>
      <c r="H1359" t="s">
        <v>1567</v>
      </c>
      <c r="I1359" t="s">
        <v>160</v>
      </c>
      <c r="J1359">
        <v>2</v>
      </c>
      <c r="K1359">
        <v>2275000</v>
      </c>
      <c r="L1359">
        <v>0</v>
      </c>
      <c r="M1359">
        <v>1645000</v>
      </c>
      <c r="N1359">
        <f>(data[[#This Row],[unit_price]]*data[[#This Row],[quantity]]) * (1-data[[#This Row],[discount]])</f>
        <v>4550000</v>
      </c>
      <c r="O1359">
        <f>data[[#This Row],[sales]]-data[[#This Row],[cost]]</f>
        <v>2905000</v>
      </c>
      <c r="P1359" t="str">
        <f>TEXT(data[[#This Row],[order_date]],"mmm")</f>
        <v>Jul</v>
      </c>
      <c r="Q1359">
        <f>YEAR(data[[#This Row],[order_date]])</f>
        <v>2023</v>
      </c>
      <c r="R1359">
        <f>MONTH(data[[#This Row],[order_date]])</f>
        <v>7</v>
      </c>
      <c r="S1359">
        <f>DAY(data[[#This Row],[order_date]])</f>
        <v>26</v>
      </c>
      <c r="T1359">
        <f>data[[#This Row],[profit]]/data[[#This Row],[sales]]</f>
        <v>0.63846153846153841</v>
      </c>
    </row>
    <row r="1360" spans="1:20" x14ac:dyDescent="0.35">
      <c r="A1360" t="s">
        <v>1582</v>
      </c>
      <c r="B1360" s="1">
        <v>45159</v>
      </c>
      <c r="C1360" t="s">
        <v>14</v>
      </c>
      <c r="D1360" t="s">
        <v>15</v>
      </c>
      <c r="E1360" t="s">
        <v>456</v>
      </c>
      <c r="F1360" t="s">
        <v>23</v>
      </c>
      <c r="G1360" t="s">
        <v>1566</v>
      </c>
      <c r="H1360" t="s">
        <v>1567</v>
      </c>
      <c r="I1360" t="s">
        <v>160</v>
      </c>
      <c r="J1360">
        <v>1</v>
      </c>
      <c r="K1360">
        <v>3966000</v>
      </c>
      <c r="L1360">
        <v>0</v>
      </c>
      <c r="M1360">
        <v>2931000</v>
      </c>
      <c r="N1360">
        <f>(data[[#This Row],[unit_price]]*data[[#This Row],[quantity]]) * (1-data[[#This Row],[discount]])</f>
        <v>3966000</v>
      </c>
      <c r="O1360">
        <f>data[[#This Row],[sales]]-data[[#This Row],[cost]]</f>
        <v>1035000</v>
      </c>
      <c r="P1360" t="str">
        <f>TEXT(data[[#This Row],[order_date]],"mmm")</f>
        <v>Aug</v>
      </c>
      <c r="Q1360">
        <f>YEAR(data[[#This Row],[order_date]])</f>
        <v>2023</v>
      </c>
      <c r="R1360">
        <f>MONTH(data[[#This Row],[order_date]])</f>
        <v>8</v>
      </c>
      <c r="S1360">
        <f>DAY(data[[#This Row],[order_date]])</f>
        <v>21</v>
      </c>
      <c r="T1360">
        <f>data[[#This Row],[profit]]/data[[#This Row],[sales]]</f>
        <v>0.26096822995461422</v>
      </c>
    </row>
    <row r="1361" spans="1:20" x14ac:dyDescent="0.35">
      <c r="A1361" t="s">
        <v>1583</v>
      </c>
      <c r="B1361" s="1">
        <v>45163</v>
      </c>
      <c r="C1361" t="s">
        <v>25</v>
      </c>
      <c r="D1361" t="s">
        <v>26</v>
      </c>
      <c r="E1361" t="s">
        <v>203</v>
      </c>
      <c r="F1361" t="s">
        <v>17</v>
      </c>
      <c r="G1361" t="s">
        <v>1566</v>
      </c>
      <c r="H1361" t="s">
        <v>1567</v>
      </c>
      <c r="I1361" t="s">
        <v>160</v>
      </c>
      <c r="J1361">
        <v>2</v>
      </c>
      <c r="K1361">
        <v>4159000</v>
      </c>
      <c r="L1361">
        <v>0</v>
      </c>
      <c r="M1361">
        <v>3148000</v>
      </c>
      <c r="N1361">
        <f>(data[[#This Row],[unit_price]]*data[[#This Row],[quantity]]) * (1-data[[#This Row],[discount]])</f>
        <v>8318000</v>
      </c>
      <c r="O1361">
        <f>data[[#This Row],[sales]]-data[[#This Row],[cost]]</f>
        <v>5170000</v>
      </c>
      <c r="P1361" t="str">
        <f>TEXT(data[[#This Row],[order_date]],"mmm")</f>
        <v>Aug</v>
      </c>
      <c r="Q1361">
        <f>YEAR(data[[#This Row],[order_date]])</f>
        <v>2023</v>
      </c>
      <c r="R1361">
        <f>MONTH(data[[#This Row],[order_date]])</f>
        <v>8</v>
      </c>
      <c r="S1361">
        <f>DAY(data[[#This Row],[order_date]])</f>
        <v>25</v>
      </c>
      <c r="T1361">
        <f>data[[#This Row],[profit]]/data[[#This Row],[sales]]</f>
        <v>0.62154364029814857</v>
      </c>
    </row>
    <row r="1362" spans="1:20" x14ac:dyDescent="0.35">
      <c r="A1362" t="s">
        <v>1584</v>
      </c>
      <c r="B1362" s="1">
        <v>45165</v>
      </c>
      <c r="C1362" t="s">
        <v>14</v>
      </c>
      <c r="D1362" t="s">
        <v>15</v>
      </c>
      <c r="E1362" t="s">
        <v>201</v>
      </c>
      <c r="F1362" t="s">
        <v>58</v>
      </c>
      <c r="G1362" t="s">
        <v>1566</v>
      </c>
      <c r="H1362" t="s">
        <v>1567</v>
      </c>
      <c r="I1362" t="s">
        <v>160</v>
      </c>
      <c r="J1362">
        <v>1</v>
      </c>
      <c r="K1362">
        <v>2743000</v>
      </c>
      <c r="L1362">
        <v>0.05</v>
      </c>
      <c r="M1362">
        <v>2049000</v>
      </c>
      <c r="N1362">
        <f>(data[[#This Row],[unit_price]]*data[[#This Row],[quantity]]) * (1-data[[#This Row],[discount]])</f>
        <v>2605850</v>
      </c>
      <c r="O1362">
        <f>data[[#This Row],[sales]]-data[[#This Row],[cost]]</f>
        <v>556850</v>
      </c>
      <c r="P1362" t="str">
        <f>TEXT(data[[#This Row],[order_date]],"mmm")</f>
        <v>Aug</v>
      </c>
      <c r="Q1362">
        <f>YEAR(data[[#This Row],[order_date]])</f>
        <v>2023</v>
      </c>
      <c r="R1362">
        <f>MONTH(data[[#This Row],[order_date]])</f>
        <v>8</v>
      </c>
      <c r="S1362">
        <f>DAY(data[[#This Row],[order_date]])</f>
        <v>27</v>
      </c>
      <c r="T1362">
        <f>data[[#This Row],[profit]]/data[[#This Row],[sales]]</f>
        <v>0.21369226931711341</v>
      </c>
    </row>
    <row r="1363" spans="1:20" x14ac:dyDescent="0.35">
      <c r="A1363" t="s">
        <v>1585</v>
      </c>
      <c r="B1363" s="1">
        <v>45165</v>
      </c>
      <c r="C1363" t="s">
        <v>14</v>
      </c>
      <c r="D1363" t="s">
        <v>15</v>
      </c>
      <c r="E1363" t="s">
        <v>419</v>
      </c>
      <c r="F1363" t="s">
        <v>17</v>
      </c>
      <c r="G1363" t="s">
        <v>1566</v>
      </c>
      <c r="H1363" t="s">
        <v>1567</v>
      </c>
      <c r="I1363" t="s">
        <v>160</v>
      </c>
      <c r="J1363">
        <v>1</v>
      </c>
      <c r="K1363">
        <v>2474000</v>
      </c>
      <c r="L1363">
        <v>0</v>
      </c>
      <c r="M1363">
        <v>1869000</v>
      </c>
      <c r="N1363">
        <f>(data[[#This Row],[unit_price]]*data[[#This Row],[quantity]]) * (1-data[[#This Row],[discount]])</f>
        <v>2474000</v>
      </c>
      <c r="O1363">
        <f>data[[#This Row],[sales]]-data[[#This Row],[cost]]</f>
        <v>605000</v>
      </c>
      <c r="P1363" t="str">
        <f>TEXT(data[[#This Row],[order_date]],"mmm")</f>
        <v>Aug</v>
      </c>
      <c r="Q1363">
        <f>YEAR(data[[#This Row],[order_date]])</f>
        <v>2023</v>
      </c>
      <c r="R1363">
        <f>MONTH(data[[#This Row],[order_date]])</f>
        <v>8</v>
      </c>
      <c r="S1363">
        <f>DAY(data[[#This Row],[order_date]])</f>
        <v>27</v>
      </c>
      <c r="T1363">
        <f>data[[#This Row],[profit]]/data[[#This Row],[sales]]</f>
        <v>0.24454324979789815</v>
      </c>
    </row>
    <row r="1364" spans="1:20" x14ac:dyDescent="0.35">
      <c r="A1364" t="s">
        <v>1586</v>
      </c>
      <c r="B1364" s="1">
        <v>45200</v>
      </c>
      <c r="C1364" t="s">
        <v>49</v>
      </c>
      <c r="D1364" t="s">
        <v>50</v>
      </c>
      <c r="E1364" t="s">
        <v>53</v>
      </c>
      <c r="F1364" t="s">
        <v>17</v>
      </c>
      <c r="G1364" t="s">
        <v>1566</v>
      </c>
      <c r="H1364" t="s">
        <v>1567</v>
      </c>
      <c r="I1364" t="s">
        <v>160</v>
      </c>
      <c r="J1364">
        <v>1</v>
      </c>
      <c r="K1364">
        <v>3328000</v>
      </c>
      <c r="L1364">
        <v>0</v>
      </c>
      <c r="M1364">
        <v>2511000</v>
      </c>
      <c r="N1364">
        <f>(data[[#This Row],[unit_price]]*data[[#This Row],[quantity]]) * (1-data[[#This Row],[discount]])</f>
        <v>3328000</v>
      </c>
      <c r="O1364">
        <f>data[[#This Row],[sales]]-data[[#This Row],[cost]]</f>
        <v>817000</v>
      </c>
      <c r="P1364" t="str">
        <f>TEXT(data[[#This Row],[order_date]],"mmm")</f>
        <v>Oct</v>
      </c>
      <c r="Q1364">
        <f>YEAR(data[[#This Row],[order_date]])</f>
        <v>2023</v>
      </c>
      <c r="R1364">
        <f>MONTH(data[[#This Row],[order_date]])</f>
        <v>10</v>
      </c>
      <c r="S1364">
        <f>DAY(data[[#This Row],[order_date]])</f>
        <v>1</v>
      </c>
      <c r="T1364">
        <f>data[[#This Row],[profit]]/data[[#This Row],[sales]]</f>
        <v>0.24549278846153846</v>
      </c>
    </row>
    <row r="1365" spans="1:20" x14ac:dyDescent="0.35">
      <c r="A1365" t="s">
        <v>1587</v>
      </c>
      <c r="B1365" s="1">
        <v>45320</v>
      </c>
      <c r="C1365" t="s">
        <v>14</v>
      </c>
      <c r="D1365" t="s">
        <v>15</v>
      </c>
      <c r="E1365" t="s">
        <v>197</v>
      </c>
      <c r="F1365" t="s">
        <v>28</v>
      </c>
      <c r="G1365" t="s">
        <v>1566</v>
      </c>
      <c r="H1365" t="s">
        <v>1567</v>
      </c>
      <c r="I1365" t="s">
        <v>160</v>
      </c>
      <c r="J1365">
        <v>3</v>
      </c>
      <c r="K1365">
        <v>2717000</v>
      </c>
      <c r="L1365">
        <v>0</v>
      </c>
      <c r="M1365">
        <v>2015000</v>
      </c>
      <c r="N1365">
        <f>(data[[#This Row],[unit_price]]*data[[#This Row],[quantity]]) * (1-data[[#This Row],[discount]])</f>
        <v>8151000</v>
      </c>
      <c r="O1365">
        <f>data[[#This Row],[sales]]-data[[#This Row],[cost]]</f>
        <v>6136000</v>
      </c>
      <c r="P1365" t="str">
        <f>TEXT(data[[#This Row],[order_date]],"mmm")</f>
        <v>Jan</v>
      </c>
      <c r="Q1365">
        <f>YEAR(data[[#This Row],[order_date]])</f>
        <v>2024</v>
      </c>
      <c r="R1365">
        <f>MONTH(data[[#This Row],[order_date]])</f>
        <v>1</v>
      </c>
      <c r="S1365">
        <f>DAY(data[[#This Row],[order_date]])</f>
        <v>29</v>
      </c>
      <c r="T1365">
        <f>data[[#This Row],[profit]]/data[[#This Row],[sales]]</f>
        <v>0.75279106858054223</v>
      </c>
    </row>
    <row r="1366" spans="1:20" x14ac:dyDescent="0.35">
      <c r="A1366" t="s">
        <v>1588</v>
      </c>
      <c r="B1366" s="1">
        <v>45323</v>
      </c>
      <c r="C1366" t="s">
        <v>14</v>
      </c>
      <c r="D1366" t="s">
        <v>15</v>
      </c>
      <c r="E1366" t="s">
        <v>22</v>
      </c>
      <c r="F1366" t="s">
        <v>23</v>
      </c>
      <c r="G1366" t="s">
        <v>1566</v>
      </c>
      <c r="H1366" t="s">
        <v>1567</v>
      </c>
      <c r="I1366" t="s">
        <v>160</v>
      </c>
      <c r="J1366">
        <v>1</v>
      </c>
      <c r="K1366">
        <v>4101000</v>
      </c>
      <c r="L1366">
        <v>0</v>
      </c>
      <c r="M1366">
        <v>3093000</v>
      </c>
      <c r="N1366">
        <f>(data[[#This Row],[unit_price]]*data[[#This Row],[quantity]]) * (1-data[[#This Row],[discount]])</f>
        <v>4101000</v>
      </c>
      <c r="O1366">
        <f>data[[#This Row],[sales]]-data[[#This Row],[cost]]</f>
        <v>1008000</v>
      </c>
      <c r="P1366" t="str">
        <f>TEXT(data[[#This Row],[order_date]],"mmm")</f>
        <v>Feb</v>
      </c>
      <c r="Q1366">
        <f>YEAR(data[[#This Row],[order_date]])</f>
        <v>2024</v>
      </c>
      <c r="R1366">
        <f>MONTH(data[[#This Row],[order_date]])</f>
        <v>2</v>
      </c>
      <c r="S1366">
        <f>DAY(data[[#This Row],[order_date]])</f>
        <v>1</v>
      </c>
      <c r="T1366">
        <f>data[[#This Row],[profit]]/data[[#This Row],[sales]]</f>
        <v>0.24579370885149962</v>
      </c>
    </row>
    <row r="1367" spans="1:20" x14ac:dyDescent="0.35">
      <c r="A1367" t="s">
        <v>1589</v>
      </c>
      <c r="B1367" s="1">
        <v>45367</v>
      </c>
      <c r="C1367" t="s">
        <v>36</v>
      </c>
      <c r="D1367" t="s">
        <v>37</v>
      </c>
      <c r="E1367" t="s">
        <v>55</v>
      </c>
      <c r="F1367" t="s">
        <v>17</v>
      </c>
      <c r="G1367" t="s">
        <v>1566</v>
      </c>
      <c r="H1367" t="s">
        <v>1567</v>
      </c>
      <c r="I1367" t="s">
        <v>160</v>
      </c>
      <c r="J1367">
        <v>1</v>
      </c>
      <c r="K1367">
        <v>2680000</v>
      </c>
      <c r="L1367">
        <v>0</v>
      </c>
      <c r="M1367">
        <v>1977000</v>
      </c>
      <c r="N1367">
        <f>(data[[#This Row],[unit_price]]*data[[#This Row],[quantity]]) * (1-data[[#This Row],[discount]])</f>
        <v>2680000</v>
      </c>
      <c r="O1367">
        <f>data[[#This Row],[sales]]-data[[#This Row],[cost]]</f>
        <v>703000</v>
      </c>
      <c r="P1367" t="str">
        <f>TEXT(data[[#This Row],[order_date]],"mmm")</f>
        <v>Mar</v>
      </c>
      <c r="Q1367">
        <f>YEAR(data[[#This Row],[order_date]])</f>
        <v>2024</v>
      </c>
      <c r="R1367">
        <f>MONTH(data[[#This Row],[order_date]])</f>
        <v>3</v>
      </c>
      <c r="S1367">
        <f>DAY(data[[#This Row],[order_date]])</f>
        <v>16</v>
      </c>
      <c r="T1367">
        <f>data[[#This Row],[profit]]/data[[#This Row],[sales]]</f>
        <v>0.26231343283582087</v>
      </c>
    </row>
    <row r="1368" spans="1:20" x14ac:dyDescent="0.35">
      <c r="A1368" t="s">
        <v>1590</v>
      </c>
      <c r="B1368" s="1">
        <v>45368</v>
      </c>
      <c r="C1368" t="s">
        <v>41</v>
      </c>
      <c r="D1368" t="s">
        <v>42</v>
      </c>
      <c r="E1368" t="s">
        <v>301</v>
      </c>
      <c r="F1368" t="s">
        <v>28</v>
      </c>
      <c r="G1368" t="s">
        <v>1566</v>
      </c>
      <c r="H1368" t="s">
        <v>1567</v>
      </c>
      <c r="I1368" t="s">
        <v>160</v>
      </c>
      <c r="J1368">
        <v>1</v>
      </c>
      <c r="K1368">
        <v>2177000</v>
      </c>
      <c r="L1368">
        <v>0.15</v>
      </c>
      <c r="M1368">
        <v>1639000</v>
      </c>
      <c r="N1368">
        <f>(data[[#This Row],[unit_price]]*data[[#This Row],[quantity]]) * (1-data[[#This Row],[discount]])</f>
        <v>1850450</v>
      </c>
      <c r="O1368">
        <f>data[[#This Row],[sales]]-data[[#This Row],[cost]]</f>
        <v>211450</v>
      </c>
      <c r="P1368" t="str">
        <f>TEXT(data[[#This Row],[order_date]],"mmm")</f>
        <v>Mar</v>
      </c>
      <c r="Q1368">
        <f>YEAR(data[[#This Row],[order_date]])</f>
        <v>2024</v>
      </c>
      <c r="R1368">
        <f>MONTH(data[[#This Row],[order_date]])</f>
        <v>3</v>
      </c>
      <c r="S1368">
        <f>DAY(data[[#This Row],[order_date]])</f>
        <v>17</v>
      </c>
      <c r="T1368">
        <f>data[[#This Row],[profit]]/data[[#This Row],[sales]]</f>
        <v>0.11426950201302385</v>
      </c>
    </row>
    <row r="1369" spans="1:20" x14ac:dyDescent="0.35">
      <c r="A1369" t="s">
        <v>1591</v>
      </c>
      <c r="B1369" s="1">
        <v>45397</v>
      </c>
      <c r="C1369" t="s">
        <v>14</v>
      </c>
      <c r="D1369" t="s">
        <v>15</v>
      </c>
      <c r="E1369" t="s">
        <v>255</v>
      </c>
      <c r="F1369" t="s">
        <v>17</v>
      </c>
      <c r="G1369" t="s">
        <v>1566</v>
      </c>
      <c r="H1369" t="s">
        <v>1567</v>
      </c>
      <c r="I1369" t="s">
        <v>160</v>
      </c>
      <c r="J1369">
        <v>2</v>
      </c>
      <c r="K1369">
        <v>4018000</v>
      </c>
      <c r="L1369">
        <v>0</v>
      </c>
      <c r="M1369">
        <v>3003000</v>
      </c>
      <c r="N1369">
        <f>(data[[#This Row],[unit_price]]*data[[#This Row],[quantity]]) * (1-data[[#This Row],[discount]])</f>
        <v>8036000</v>
      </c>
      <c r="O1369">
        <f>data[[#This Row],[sales]]-data[[#This Row],[cost]]</f>
        <v>5033000</v>
      </c>
      <c r="P1369" t="str">
        <f>TEXT(data[[#This Row],[order_date]],"mmm")</f>
        <v>Apr</v>
      </c>
      <c r="Q1369">
        <f>YEAR(data[[#This Row],[order_date]])</f>
        <v>2024</v>
      </c>
      <c r="R1369">
        <f>MONTH(data[[#This Row],[order_date]])</f>
        <v>4</v>
      </c>
      <c r="S1369">
        <f>DAY(data[[#This Row],[order_date]])</f>
        <v>15</v>
      </c>
      <c r="T1369">
        <f>data[[#This Row],[profit]]/data[[#This Row],[sales]]</f>
        <v>0.62630662020905925</v>
      </c>
    </row>
    <row r="1370" spans="1:20" x14ac:dyDescent="0.35">
      <c r="A1370" t="s">
        <v>1592</v>
      </c>
      <c r="B1370" s="1">
        <v>45404</v>
      </c>
      <c r="C1370" t="s">
        <v>14</v>
      </c>
      <c r="D1370" t="s">
        <v>15</v>
      </c>
      <c r="E1370" t="s">
        <v>177</v>
      </c>
      <c r="F1370" t="s">
        <v>23</v>
      </c>
      <c r="G1370" t="s">
        <v>1566</v>
      </c>
      <c r="H1370" t="s">
        <v>1567</v>
      </c>
      <c r="I1370" t="s">
        <v>160</v>
      </c>
      <c r="J1370">
        <v>2</v>
      </c>
      <c r="K1370">
        <v>4286000</v>
      </c>
      <c r="L1370">
        <v>0</v>
      </c>
      <c r="M1370">
        <v>3223000</v>
      </c>
      <c r="N1370">
        <f>(data[[#This Row],[unit_price]]*data[[#This Row],[quantity]]) * (1-data[[#This Row],[discount]])</f>
        <v>8572000</v>
      </c>
      <c r="O1370">
        <f>data[[#This Row],[sales]]-data[[#This Row],[cost]]</f>
        <v>5349000</v>
      </c>
      <c r="P1370" t="str">
        <f>TEXT(data[[#This Row],[order_date]],"mmm")</f>
        <v>Apr</v>
      </c>
      <c r="Q1370">
        <f>YEAR(data[[#This Row],[order_date]])</f>
        <v>2024</v>
      </c>
      <c r="R1370">
        <f>MONTH(data[[#This Row],[order_date]])</f>
        <v>4</v>
      </c>
      <c r="S1370">
        <f>DAY(data[[#This Row],[order_date]])</f>
        <v>22</v>
      </c>
      <c r="T1370">
        <f>data[[#This Row],[profit]]/data[[#This Row],[sales]]</f>
        <v>0.62400839944003728</v>
      </c>
    </row>
    <row r="1371" spans="1:20" x14ac:dyDescent="0.35">
      <c r="A1371" t="s">
        <v>1593</v>
      </c>
      <c r="B1371" s="1">
        <v>45407</v>
      </c>
      <c r="C1371" t="s">
        <v>49</v>
      </c>
      <c r="D1371" t="s">
        <v>50</v>
      </c>
      <c r="E1371" t="s">
        <v>329</v>
      </c>
      <c r="F1371" t="s">
        <v>28</v>
      </c>
      <c r="G1371" t="s">
        <v>1566</v>
      </c>
      <c r="H1371" t="s">
        <v>1567</v>
      </c>
      <c r="I1371" t="s">
        <v>160</v>
      </c>
      <c r="J1371">
        <v>1</v>
      </c>
      <c r="K1371">
        <v>3721000</v>
      </c>
      <c r="L1371">
        <v>0</v>
      </c>
      <c r="M1371">
        <v>2742000</v>
      </c>
      <c r="N1371">
        <f>(data[[#This Row],[unit_price]]*data[[#This Row],[quantity]]) * (1-data[[#This Row],[discount]])</f>
        <v>3721000</v>
      </c>
      <c r="O1371">
        <f>data[[#This Row],[sales]]-data[[#This Row],[cost]]</f>
        <v>979000</v>
      </c>
      <c r="P1371" t="str">
        <f>TEXT(data[[#This Row],[order_date]],"mmm")</f>
        <v>Apr</v>
      </c>
      <c r="Q1371">
        <f>YEAR(data[[#This Row],[order_date]])</f>
        <v>2024</v>
      </c>
      <c r="R1371">
        <f>MONTH(data[[#This Row],[order_date]])</f>
        <v>4</v>
      </c>
      <c r="S1371">
        <f>DAY(data[[#This Row],[order_date]])</f>
        <v>25</v>
      </c>
      <c r="T1371">
        <f>data[[#This Row],[profit]]/data[[#This Row],[sales]]</f>
        <v>0.26310131685030907</v>
      </c>
    </row>
    <row r="1372" spans="1:20" x14ac:dyDescent="0.35">
      <c r="A1372" t="s">
        <v>1594</v>
      </c>
      <c r="B1372" s="1">
        <v>45419</v>
      </c>
      <c r="C1372" t="s">
        <v>49</v>
      </c>
      <c r="D1372" t="s">
        <v>50</v>
      </c>
      <c r="E1372" t="s">
        <v>419</v>
      </c>
      <c r="F1372" t="s">
        <v>17</v>
      </c>
      <c r="G1372" t="s">
        <v>1566</v>
      </c>
      <c r="H1372" t="s">
        <v>1567</v>
      </c>
      <c r="I1372" t="s">
        <v>160</v>
      </c>
      <c r="J1372">
        <v>1</v>
      </c>
      <c r="K1372">
        <v>3699000</v>
      </c>
      <c r="L1372">
        <v>0</v>
      </c>
      <c r="M1372">
        <v>2721000</v>
      </c>
      <c r="N1372">
        <f>(data[[#This Row],[unit_price]]*data[[#This Row],[quantity]]) * (1-data[[#This Row],[discount]])</f>
        <v>3699000</v>
      </c>
      <c r="O1372">
        <f>data[[#This Row],[sales]]-data[[#This Row],[cost]]</f>
        <v>978000</v>
      </c>
      <c r="P1372" t="str">
        <f>TEXT(data[[#This Row],[order_date]],"mmm")</f>
        <v>May</v>
      </c>
      <c r="Q1372">
        <f>YEAR(data[[#This Row],[order_date]])</f>
        <v>2024</v>
      </c>
      <c r="R1372">
        <f>MONTH(data[[#This Row],[order_date]])</f>
        <v>5</v>
      </c>
      <c r="S1372">
        <f>DAY(data[[#This Row],[order_date]])</f>
        <v>7</v>
      </c>
      <c r="T1372">
        <f>data[[#This Row],[profit]]/data[[#This Row],[sales]]</f>
        <v>0.2643957826439578</v>
      </c>
    </row>
    <row r="1373" spans="1:20" x14ac:dyDescent="0.35">
      <c r="A1373" t="s">
        <v>1595</v>
      </c>
      <c r="B1373" s="1">
        <v>45531</v>
      </c>
      <c r="C1373" t="s">
        <v>14</v>
      </c>
      <c r="D1373" t="s">
        <v>15</v>
      </c>
      <c r="E1373" t="s">
        <v>327</v>
      </c>
      <c r="F1373" t="s">
        <v>23</v>
      </c>
      <c r="G1373" t="s">
        <v>1566</v>
      </c>
      <c r="H1373" t="s">
        <v>1567</v>
      </c>
      <c r="I1373" t="s">
        <v>160</v>
      </c>
      <c r="J1373">
        <v>1</v>
      </c>
      <c r="K1373">
        <v>4419000</v>
      </c>
      <c r="L1373">
        <v>0</v>
      </c>
      <c r="M1373">
        <v>3316000</v>
      </c>
      <c r="N1373">
        <f>(data[[#This Row],[unit_price]]*data[[#This Row],[quantity]]) * (1-data[[#This Row],[discount]])</f>
        <v>4419000</v>
      </c>
      <c r="O1373">
        <f>data[[#This Row],[sales]]-data[[#This Row],[cost]]</f>
        <v>1103000</v>
      </c>
      <c r="P1373" t="str">
        <f>TEXT(data[[#This Row],[order_date]],"mmm")</f>
        <v>Aug</v>
      </c>
      <c r="Q1373">
        <f>YEAR(data[[#This Row],[order_date]])</f>
        <v>2024</v>
      </c>
      <c r="R1373">
        <f>MONTH(data[[#This Row],[order_date]])</f>
        <v>8</v>
      </c>
      <c r="S1373">
        <f>DAY(data[[#This Row],[order_date]])</f>
        <v>27</v>
      </c>
      <c r="T1373">
        <f>data[[#This Row],[profit]]/data[[#This Row],[sales]]</f>
        <v>0.24960398280153881</v>
      </c>
    </row>
    <row r="1374" spans="1:20" x14ac:dyDescent="0.35">
      <c r="A1374" t="s">
        <v>1596</v>
      </c>
      <c r="B1374" s="1">
        <v>45544</v>
      </c>
      <c r="C1374" t="s">
        <v>41</v>
      </c>
      <c r="D1374" t="s">
        <v>42</v>
      </c>
      <c r="E1374" t="s">
        <v>65</v>
      </c>
      <c r="F1374" t="s">
        <v>17</v>
      </c>
      <c r="G1374" t="s">
        <v>1566</v>
      </c>
      <c r="H1374" t="s">
        <v>1567</v>
      </c>
      <c r="I1374" t="s">
        <v>160</v>
      </c>
      <c r="J1374">
        <v>1</v>
      </c>
      <c r="K1374">
        <v>3798000</v>
      </c>
      <c r="L1374">
        <v>0</v>
      </c>
      <c r="M1374">
        <v>2831000</v>
      </c>
      <c r="N1374">
        <f>(data[[#This Row],[unit_price]]*data[[#This Row],[quantity]]) * (1-data[[#This Row],[discount]])</f>
        <v>3798000</v>
      </c>
      <c r="O1374">
        <f>data[[#This Row],[sales]]-data[[#This Row],[cost]]</f>
        <v>967000</v>
      </c>
      <c r="P1374" t="str">
        <f>TEXT(data[[#This Row],[order_date]],"mmm")</f>
        <v>Sep</v>
      </c>
      <c r="Q1374">
        <f>YEAR(data[[#This Row],[order_date]])</f>
        <v>2024</v>
      </c>
      <c r="R1374">
        <f>MONTH(data[[#This Row],[order_date]])</f>
        <v>9</v>
      </c>
      <c r="S1374">
        <f>DAY(data[[#This Row],[order_date]])</f>
        <v>9</v>
      </c>
      <c r="T1374">
        <f>data[[#This Row],[profit]]/data[[#This Row],[sales]]</f>
        <v>0.25460768825697738</v>
      </c>
    </row>
    <row r="1375" spans="1:20" x14ac:dyDescent="0.35">
      <c r="A1375" t="s">
        <v>1597</v>
      </c>
      <c r="B1375" s="1">
        <v>45565</v>
      </c>
      <c r="C1375" t="s">
        <v>36</v>
      </c>
      <c r="D1375" t="s">
        <v>37</v>
      </c>
      <c r="E1375" t="s">
        <v>47</v>
      </c>
      <c r="F1375" t="s">
        <v>23</v>
      </c>
      <c r="G1375" t="s">
        <v>1566</v>
      </c>
      <c r="H1375" t="s">
        <v>1567</v>
      </c>
      <c r="I1375" t="s">
        <v>160</v>
      </c>
      <c r="J1375">
        <v>1</v>
      </c>
      <c r="K1375">
        <v>3600000</v>
      </c>
      <c r="L1375">
        <v>0.05</v>
      </c>
      <c r="M1375">
        <v>2699000</v>
      </c>
      <c r="N1375">
        <f>(data[[#This Row],[unit_price]]*data[[#This Row],[quantity]]) * (1-data[[#This Row],[discount]])</f>
        <v>3420000</v>
      </c>
      <c r="O1375">
        <f>data[[#This Row],[sales]]-data[[#This Row],[cost]]</f>
        <v>721000</v>
      </c>
      <c r="P1375" t="str">
        <f>TEXT(data[[#This Row],[order_date]],"mmm")</f>
        <v>Sep</v>
      </c>
      <c r="Q1375">
        <f>YEAR(data[[#This Row],[order_date]])</f>
        <v>2024</v>
      </c>
      <c r="R1375">
        <f>MONTH(data[[#This Row],[order_date]])</f>
        <v>9</v>
      </c>
      <c r="S1375">
        <f>DAY(data[[#This Row],[order_date]])</f>
        <v>30</v>
      </c>
      <c r="T1375">
        <f>data[[#This Row],[profit]]/data[[#This Row],[sales]]</f>
        <v>0.21081871345029241</v>
      </c>
    </row>
    <row r="1376" spans="1:20" x14ac:dyDescent="0.35">
      <c r="A1376" t="s">
        <v>1598</v>
      </c>
      <c r="B1376" s="1">
        <v>45570</v>
      </c>
      <c r="C1376" t="s">
        <v>14</v>
      </c>
      <c r="D1376" t="s">
        <v>15</v>
      </c>
      <c r="E1376" t="s">
        <v>69</v>
      </c>
      <c r="F1376" t="s">
        <v>23</v>
      </c>
      <c r="G1376" t="s">
        <v>1566</v>
      </c>
      <c r="H1376" t="s">
        <v>1567</v>
      </c>
      <c r="I1376" t="s">
        <v>160</v>
      </c>
      <c r="J1376">
        <v>1</v>
      </c>
      <c r="K1376">
        <v>4299000</v>
      </c>
      <c r="L1376">
        <v>0</v>
      </c>
      <c r="M1376">
        <v>3258000</v>
      </c>
      <c r="N1376">
        <f>(data[[#This Row],[unit_price]]*data[[#This Row],[quantity]]) * (1-data[[#This Row],[discount]])</f>
        <v>4299000</v>
      </c>
      <c r="O1376">
        <f>data[[#This Row],[sales]]-data[[#This Row],[cost]]</f>
        <v>1041000</v>
      </c>
      <c r="P1376" t="str">
        <f>TEXT(data[[#This Row],[order_date]],"mmm")</f>
        <v>Oct</v>
      </c>
      <c r="Q1376">
        <f>YEAR(data[[#This Row],[order_date]])</f>
        <v>2024</v>
      </c>
      <c r="R1376">
        <f>MONTH(data[[#This Row],[order_date]])</f>
        <v>10</v>
      </c>
      <c r="S1376">
        <f>DAY(data[[#This Row],[order_date]])</f>
        <v>5</v>
      </c>
      <c r="T1376">
        <f>data[[#This Row],[profit]]/data[[#This Row],[sales]]</f>
        <v>0.24214933705512909</v>
      </c>
    </row>
    <row r="1377" spans="1:20" x14ac:dyDescent="0.35">
      <c r="A1377" t="s">
        <v>1599</v>
      </c>
      <c r="B1377" s="1">
        <v>45611</v>
      </c>
      <c r="C1377" t="s">
        <v>14</v>
      </c>
      <c r="D1377" t="s">
        <v>15</v>
      </c>
      <c r="E1377" t="s">
        <v>141</v>
      </c>
      <c r="F1377" t="s">
        <v>17</v>
      </c>
      <c r="G1377" t="s">
        <v>1566</v>
      </c>
      <c r="H1377" t="s">
        <v>1567</v>
      </c>
      <c r="I1377" t="s">
        <v>160</v>
      </c>
      <c r="J1377">
        <v>1</v>
      </c>
      <c r="K1377">
        <v>2529000</v>
      </c>
      <c r="L1377">
        <v>0</v>
      </c>
      <c r="M1377">
        <v>1900000</v>
      </c>
      <c r="N1377">
        <f>(data[[#This Row],[unit_price]]*data[[#This Row],[quantity]]) * (1-data[[#This Row],[discount]])</f>
        <v>2529000</v>
      </c>
      <c r="O1377">
        <f>data[[#This Row],[sales]]-data[[#This Row],[cost]]</f>
        <v>629000</v>
      </c>
      <c r="P1377" t="str">
        <f>TEXT(data[[#This Row],[order_date]],"mmm")</f>
        <v>Nov</v>
      </c>
      <c r="Q1377">
        <f>YEAR(data[[#This Row],[order_date]])</f>
        <v>2024</v>
      </c>
      <c r="R1377">
        <f>MONTH(data[[#This Row],[order_date]])</f>
        <v>11</v>
      </c>
      <c r="S1377">
        <f>DAY(data[[#This Row],[order_date]])</f>
        <v>15</v>
      </c>
      <c r="T1377">
        <f>data[[#This Row],[profit]]/data[[#This Row],[sales]]</f>
        <v>0.2487149070778964</v>
      </c>
    </row>
    <row r="1378" spans="1:20" x14ac:dyDescent="0.35">
      <c r="A1378" t="s">
        <v>1600</v>
      </c>
      <c r="B1378" s="1">
        <v>45616</v>
      </c>
      <c r="C1378" t="s">
        <v>14</v>
      </c>
      <c r="D1378" t="s">
        <v>15</v>
      </c>
      <c r="E1378" t="s">
        <v>164</v>
      </c>
      <c r="F1378" t="s">
        <v>23</v>
      </c>
      <c r="G1378" t="s">
        <v>1566</v>
      </c>
      <c r="H1378" t="s">
        <v>1567</v>
      </c>
      <c r="I1378" t="s">
        <v>160</v>
      </c>
      <c r="J1378">
        <v>1</v>
      </c>
      <c r="K1378">
        <v>3753000</v>
      </c>
      <c r="L1378">
        <v>0</v>
      </c>
      <c r="M1378">
        <v>2723000</v>
      </c>
      <c r="N1378">
        <f>(data[[#This Row],[unit_price]]*data[[#This Row],[quantity]]) * (1-data[[#This Row],[discount]])</f>
        <v>3753000</v>
      </c>
      <c r="O1378">
        <f>data[[#This Row],[sales]]-data[[#This Row],[cost]]</f>
        <v>1030000</v>
      </c>
      <c r="P1378" t="str">
        <f>TEXT(data[[#This Row],[order_date]],"mmm")</f>
        <v>Nov</v>
      </c>
      <c r="Q1378">
        <f>YEAR(data[[#This Row],[order_date]])</f>
        <v>2024</v>
      </c>
      <c r="R1378">
        <f>MONTH(data[[#This Row],[order_date]])</f>
        <v>11</v>
      </c>
      <c r="S1378">
        <f>DAY(data[[#This Row],[order_date]])</f>
        <v>20</v>
      </c>
      <c r="T1378">
        <f>data[[#This Row],[profit]]/data[[#This Row],[sales]]</f>
        <v>0.2744471089794831</v>
      </c>
    </row>
    <row r="1379" spans="1:20" x14ac:dyDescent="0.35">
      <c r="A1379" t="s">
        <v>1601</v>
      </c>
      <c r="B1379" s="1">
        <v>45639</v>
      </c>
      <c r="C1379" t="s">
        <v>49</v>
      </c>
      <c r="D1379" t="s">
        <v>50</v>
      </c>
      <c r="E1379" t="s">
        <v>174</v>
      </c>
      <c r="F1379" t="s">
        <v>23</v>
      </c>
      <c r="G1379" t="s">
        <v>1566</v>
      </c>
      <c r="H1379" t="s">
        <v>1567</v>
      </c>
      <c r="I1379" t="s">
        <v>160</v>
      </c>
      <c r="J1379">
        <v>1</v>
      </c>
      <c r="K1379">
        <v>4075000</v>
      </c>
      <c r="L1379">
        <v>0.15</v>
      </c>
      <c r="M1379">
        <v>2955000</v>
      </c>
      <c r="N1379">
        <f>(data[[#This Row],[unit_price]]*data[[#This Row],[quantity]]) * (1-data[[#This Row],[discount]])</f>
        <v>3463750</v>
      </c>
      <c r="O1379">
        <f>data[[#This Row],[sales]]-data[[#This Row],[cost]]</f>
        <v>508750</v>
      </c>
      <c r="P1379" t="str">
        <f>TEXT(data[[#This Row],[order_date]],"mmm")</f>
        <v>Dec</v>
      </c>
      <c r="Q1379">
        <f>YEAR(data[[#This Row],[order_date]])</f>
        <v>2024</v>
      </c>
      <c r="R1379">
        <f>MONTH(data[[#This Row],[order_date]])</f>
        <v>12</v>
      </c>
      <c r="S1379">
        <f>DAY(data[[#This Row],[order_date]])</f>
        <v>13</v>
      </c>
      <c r="T1379">
        <f>data[[#This Row],[profit]]/data[[#This Row],[sales]]</f>
        <v>0.14687838325514255</v>
      </c>
    </row>
    <row r="1380" spans="1:20" x14ac:dyDescent="0.35">
      <c r="A1380" t="s">
        <v>1602</v>
      </c>
      <c r="B1380" s="1">
        <v>45692</v>
      </c>
      <c r="C1380" t="s">
        <v>14</v>
      </c>
      <c r="D1380" t="s">
        <v>15</v>
      </c>
      <c r="E1380" t="s">
        <v>247</v>
      </c>
      <c r="F1380" t="s">
        <v>17</v>
      </c>
      <c r="G1380" t="s">
        <v>1566</v>
      </c>
      <c r="H1380" t="s">
        <v>1567</v>
      </c>
      <c r="I1380" t="s">
        <v>160</v>
      </c>
      <c r="J1380">
        <v>1</v>
      </c>
      <c r="K1380">
        <v>3558000</v>
      </c>
      <c r="L1380">
        <v>0</v>
      </c>
      <c r="M1380">
        <v>2621000</v>
      </c>
      <c r="N1380">
        <f>(data[[#This Row],[unit_price]]*data[[#This Row],[quantity]]) * (1-data[[#This Row],[discount]])</f>
        <v>3558000</v>
      </c>
      <c r="O1380">
        <f>data[[#This Row],[sales]]-data[[#This Row],[cost]]</f>
        <v>937000</v>
      </c>
      <c r="P1380" t="str">
        <f>TEXT(data[[#This Row],[order_date]],"mmm")</f>
        <v>Feb</v>
      </c>
      <c r="Q1380">
        <f>YEAR(data[[#This Row],[order_date]])</f>
        <v>2025</v>
      </c>
      <c r="R1380">
        <f>MONTH(data[[#This Row],[order_date]])</f>
        <v>2</v>
      </c>
      <c r="S1380">
        <f>DAY(data[[#This Row],[order_date]])</f>
        <v>4</v>
      </c>
      <c r="T1380">
        <f>data[[#This Row],[profit]]/data[[#This Row],[sales]]</f>
        <v>0.26335019673974142</v>
      </c>
    </row>
    <row r="1381" spans="1:20" x14ac:dyDescent="0.35">
      <c r="A1381" t="s">
        <v>1603</v>
      </c>
      <c r="B1381" s="1">
        <v>45711</v>
      </c>
      <c r="C1381" t="s">
        <v>41</v>
      </c>
      <c r="D1381" t="s">
        <v>42</v>
      </c>
      <c r="E1381" t="s">
        <v>193</v>
      </c>
      <c r="F1381" t="s">
        <v>23</v>
      </c>
      <c r="G1381" t="s">
        <v>1566</v>
      </c>
      <c r="H1381" t="s">
        <v>1567</v>
      </c>
      <c r="I1381" t="s">
        <v>160</v>
      </c>
      <c r="J1381">
        <v>1</v>
      </c>
      <c r="K1381">
        <v>3657000</v>
      </c>
      <c r="L1381">
        <v>0</v>
      </c>
      <c r="M1381">
        <v>2722000</v>
      </c>
      <c r="N1381">
        <f>(data[[#This Row],[unit_price]]*data[[#This Row],[quantity]]) * (1-data[[#This Row],[discount]])</f>
        <v>3657000</v>
      </c>
      <c r="O1381">
        <f>data[[#This Row],[sales]]-data[[#This Row],[cost]]</f>
        <v>935000</v>
      </c>
      <c r="P1381" t="str">
        <f>TEXT(data[[#This Row],[order_date]],"mmm")</f>
        <v>Feb</v>
      </c>
      <c r="Q1381">
        <f>YEAR(data[[#This Row],[order_date]])</f>
        <v>2025</v>
      </c>
      <c r="R1381">
        <f>MONTH(data[[#This Row],[order_date]])</f>
        <v>2</v>
      </c>
      <c r="S1381">
        <f>DAY(data[[#This Row],[order_date]])</f>
        <v>23</v>
      </c>
      <c r="T1381">
        <f>data[[#This Row],[profit]]/data[[#This Row],[sales]]</f>
        <v>0.25567404976756902</v>
      </c>
    </row>
    <row r="1382" spans="1:20" x14ac:dyDescent="0.35">
      <c r="A1382" t="s">
        <v>1604</v>
      </c>
      <c r="B1382" s="1">
        <v>45712</v>
      </c>
      <c r="C1382" t="s">
        <v>36</v>
      </c>
      <c r="D1382" t="s">
        <v>37</v>
      </c>
      <c r="E1382" t="s">
        <v>498</v>
      </c>
      <c r="F1382" t="s">
        <v>23</v>
      </c>
      <c r="G1382" t="s">
        <v>1566</v>
      </c>
      <c r="H1382" t="s">
        <v>1567</v>
      </c>
      <c r="I1382" t="s">
        <v>160</v>
      </c>
      <c r="J1382">
        <v>2</v>
      </c>
      <c r="K1382">
        <v>2695000</v>
      </c>
      <c r="L1382">
        <v>0</v>
      </c>
      <c r="M1382">
        <v>1998000</v>
      </c>
      <c r="N1382">
        <f>(data[[#This Row],[unit_price]]*data[[#This Row],[quantity]]) * (1-data[[#This Row],[discount]])</f>
        <v>5390000</v>
      </c>
      <c r="O1382">
        <f>data[[#This Row],[sales]]-data[[#This Row],[cost]]</f>
        <v>3392000</v>
      </c>
      <c r="P1382" t="str">
        <f>TEXT(data[[#This Row],[order_date]],"mmm")</f>
        <v>Feb</v>
      </c>
      <c r="Q1382">
        <f>YEAR(data[[#This Row],[order_date]])</f>
        <v>2025</v>
      </c>
      <c r="R1382">
        <f>MONTH(data[[#This Row],[order_date]])</f>
        <v>2</v>
      </c>
      <c r="S1382">
        <f>DAY(data[[#This Row],[order_date]])</f>
        <v>24</v>
      </c>
      <c r="T1382">
        <f>data[[#This Row],[profit]]/data[[#This Row],[sales]]</f>
        <v>0.62931354359925784</v>
      </c>
    </row>
    <row r="1383" spans="1:20" x14ac:dyDescent="0.35">
      <c r="A1383" t="s">
        <v>1605</v>
      </c>
      <c r="B1383" s="1">
        <v>45725</v>
      </c>
      <c r="C1383" t="s">
        <v>14</v>
      </c>
      <c r="D1383" t="s">
        <v>15</v>
      </c>
      <c r="E1383" t="s">
        <v>634</v>
      </c>
      <c r="F1383" t="s">
        <v>17</v>
      </c>
      <c r="G1383" t="s">
        <v>1566</v>
      </c>
      <c r="H1383" t="s">
        <v>1567</v>
      </c>
      <c r="I1383" t="s">
        <v>160</v>
      </c>
      <c r="J1383">
        <v>1</v>
      </c>
      <c r="K1383">
        <v>4645000</v>
      </c>
      <c r="L1383">
        <v>0</v>
      </c>
      <c r="M1383">
        <v>3419000</v>
      </c>
      <c r="N1383">
        <f>(data[[#This Row],[unit_price]]*data[[#This Row],[quantity]]) * (1-data[[#This Row],[discount]])</f>
        <v>4645000</v>
      </c>
      <c r="O1383">
        <f>data[[#This Row],[sales]]-data[[#This Row],[cost]]</f>
        <v>1226000</v>
      </c>
      <c r="P1383" t="str">
        <f>TEXT(data[[#This Row],[order_date]],"mmm")</f>
        <v>Mar</v>
      </c>
      <c r="Q1383">
        <f>YEAR(data[[#This Row],[order_date]])</f>
        <v>2025</v>
      </c>
      <c r="R1383">
        <f>MONTH(data[[#This Row],[order_date]])</f>
        <v>3</v>
      </c>
      <c r="S1383">
        <f>DAY(data[[#This Row],[order_date]])</f>
        <v>9</v>
      </c>
      <c r="T1383">
        <f>data[[#This Row],[profit]]/data[[#This Row],[sales]]</f>
        <v>0.26393972012917116</v>
      </c>
    </row>
    <row r="1384" spans="1:20" x14ac:dyDescent="0.35">
      <c r="A1384" t="s">
        <v>1606</v>
      </c>
      <c r="B1384" s="1">
        <v>45768</v>
      </c>
      <c r="C1384" t="s">
        <v>14</v>
      </c>
      <c r="D1384" t="s">
        <v>15</v>
      </c>
      <c r="E1384" t="s">
        <v>247</v>
      </c>
      <c r="F1384" t="s">
        <v>17</v>
      </c>
      <c r="G1384" t="s">
        <v>1566</v>
      </c>
      <c r="H1384" t="s">
        <v>1567</v>
      </c>
      <c r="I1384" t="s">
        <v>160</v>
      </c>
      <c r="J1384">
        <v>1</v>
      </c>
      <c r="K1384">
        <v>3529000</v>
      </c>
      <c r="L1384">
        <v>0</v>
      </c>
      <c r="M1384">
        <v>2633000</v>
      </c>
      <c r="N1384">
        <f>(data[[#This Row],[unit_price]]*data[[#This Row],[quantity]]) * (1-data[[#This Row],[discount]])</f>
        <v>3529000</v>
      </c>
      <c r="O1384">
        <f>data[[#This Row],[sales]]-data[[#This Row],[cost]]</f>
        <v>896000</v>
      </c>
      <c r="P1384" t="str">
        <f>TEXT(data[[#This Row],[order_date]],"mmm")</f>
        <v>Apr</v>
      </c>
      <c r="Q1384">
        <f>YEAR(data[[#This Row],[order_date]])</f>
        <v>2025</v>
      </c>
      <c r="R1384">
        <f>MONTH(data[[#This Row],[order_date]])</f>
        <v>4</v>
      </c>
      <c r="S1384">
        <f>DAY(data[[#This Row],[order_date]])</f>
        <v>21</v>
      </c>
      <c r="T1384">
        <f>data[[#This Row],[profit]]/data[[#This Row],[sales]]</f>
        <v>0.25389628790025504</v>
      </c>
    </row>
    <row r="1385" spans="1:20" x14ac:dyDescent="0.35">
      <c r="A1385" t="s">
        <v>1607</v>
      </c>
      <c r="B1385" s="1">
        <v>45772</v>
      </c>
      <c r="C1385" t="s">
        <v>14</v>
      </c>
      <c r="D1385" t="s">
        <v>15</v>
      </c>
      <c r="E1385" t="s">
        <v>218</v>
      </c>
      <c r="F1385" t="s">
        <v>23</v>
      </c>
      <c r="G1385" t="s">
        <v>1566</v>
      </c>
      <c r="H1385" t="s">
        <v>1567</v>
      </c>
      <c r="I1385" t="s">
        <v>160</v>
      </c>
      <c r="J1385">
        <v>1</v>
      </c>
      <c r="K1385">
        <v>4127000</v>
      </c>
      <c r="L1385">
        <v>0.15</v>
      </c>
      <c r="M1385">
        <v>3019000</v>
      </c>
      <c r="N1385">
        <f>(data[[#This Row],[unit_price]]*data[[#This Row],[quantity]]) * (1-data[[#This Row],[discount]])</f>
        <v>3507950</v>
      </c>
      <c r="O1385">
        <f>data[[#This Row],[sales]]-data[[#This Row],[cost]]</f>
        <v>488950</v>
      </c>
      <c r="P1385" t="str">
        <f>TEXT(data[[#This Row],[order_date]],"mmm")</f>
        <v>Apr</v>
      </c>
      <c r="Q1385">
        <f>YEAR(data[[#This Row],[order_date]])</f>
        <v>2025</v>
      </c>
      <c r="R1385">
        <f>MONTH(data[[#This Row],[order_date]])</f>
        <v>4</v>
      </c>
      <c r="S1385">
        <f>DAY(data[[#This Row],[order_date]])</f>
        <v>25</v>
      </c>
      <c r="T1385">
        <f>data[[#This Row],[profit]]/data[[#This Row],[sales]]</f>
        <v>0.13938340056158155</v>
      </c>
    </row>
    <row r="1386" spans="1:20" x14ac:dyDescent="0.35">
      <c r="A1386" t="s">
        <v>1608</v>
      </c>
      <c r="B1386" s="1">
        <v>45795</v>
      </c>
      <c r="C1386" t="s">
        <v>41</v>
      </c>
      <c r="D1386" t="s">
        <v>42</v>
      </c>
      <c r="E1386" t="s">
        <v>121</v>
      </c>
      <c r="F1386" t="s">
        <v>23</v>
      </c>
      <c r="G1386" t="s">
        <v>1566</v>
      </c>
      <c r="H1386" t="s">
        <v>1567</v>
      </c>
      <c r="I1386" t="s">
        <v>160</v>
      </c>
      <c r="J1386">
        <v>1</v>
      </c>
      <c r="K1386">
        <v>3898000</v>
      </c>
      <c r="L1386">
        <v>0</v>
      </c>
      <c r="M1386">
        <v>2814000</v>
      </c>
      <c r="N1386">
        <f>(data[[#This Row],[unit_price]]*data[[#This Row],[quantity]]) * (1-data[[#This Row],[discount]])</f>
        <v>3898000</v>
      </c>
      <c r="O1386">
        <f>data[[#This Row],[sales]]-data[[#This Row],[cost]]</f>
        <v>1084000</v>
      </c>
      <c r="P1386" t="str">
        <f>TEXT(data[[#This Row],[order_date]],"mmm")</f>
        <v>May</v>
      </c>
      <c r="Q1386">
        <f>YEAR(data[[#This Row],[order_date]])</f>
        <v>2025</v>
      </c>
      <c r="R1386">
        <f>MONTH(data[[#This Row],[order_date]])</f>
        <v>5</v>
      </c>
      <c r="S1386">
        <f>DAY(data[[#This Row],[order_date]])</f>
        <v>18</v>
      </c>
      <c r="T1386">
        <f>data[[#This Row],[profit]]/data[[#This Row],[sales]]</f>
        <v>0.27809132888660854</v>
      </c>
    </row>
    <row r="1387" spans="1:20" x14ac:dyDescent="0.35">
      <c r="A1387" t="s">
        <v>1609</v>
      </c>
      <c r="B1387" s="1">
        <v>45802</v>
      </c>
      <c r="C1387" t="s">
        <v>14</v>
      </c>
      <c r="D1387" t="s">
        <v>15</v>
      </c>
      <c r="E1387" t="s">
        <v>522</v>
      </c>
      <c r="F1387" t="s">
        <v>23</v>
      </c>
      <c r="G1387" t="s">
        <v>1566</v>
      </c>
      <c r="H1387" t="s">
        <v>1567</v>
      </c>
      <c r="I1387" t="s">
        <v>160</v>
      </c>
      <c r="J1387">
        <v>1</v>
      </c>
      <c r="K1387">
        <v>4687000</v>
      </c>
      <c r="L1387">
        <v>0</v>
      </c>
      <c r="M1387">
        <v>3464000</v>
      </c>
      <c r="N1387">
        <f>(data[[#This Row],[unit_price]]*data[[#This Row],[quantity]]) * (1-data[[#This Row],[discount]])</f>
        <v>4687000</v>
      </c>
      <c r="O1387">
        <f>data[[#This Row],[sales]]-data[[#This Row],[cost]]</f>
        <v>1223000</v>
      </c>
      <c r="P1387" t="str">
        <f>TEXT(data[[#This Row],[order_date]],"mmm")</f>
        <v>May</v>
      </c>
      <c r="Q1387">
        <f>YEAR(data[[#This Row],[order_date]])</f>
        <v>2025</v>
      </c>
      <c r="R1387">
        <f>MONTH(data[[#This Row],[order_date]])</f>
        <v>5</v>
      </c>
      <c r="S1387">
        <f>DAY(data[[#This Row],[order_date]])</f>
        <v>25</v>
      </c>
      <c r="T1387">
        <f>data[[#This Row],[profit]]/data[[#This Row],[sales]]</f>
        <v>0.26093449967996585</v>
      </c>
    </row>
    <row r="1388" spans="1:20" x14ac:dyDescent="0.35">
      <c r="A1388" t="s">
        <v>1610</v>
      </c>
      <c r="B1388" s="1">
        <v>45825</v>
      </c>
      <c r="C1388" t="s">
        <v>41</v>
      </c>
      <c r="D1388" t="s">
        <v>42</v>
      </c>
      <c r="E1388" t="s">
        <v>244</v>
      </c>
      <c r="F1388" t="s">
        <v>17</v>
      </c>
      <c r="G1388" t="s">
        <v>1566</v>
      </c>
      <c r="H1388" t="s">
        <v>1567</v>
      </c>
      <c r="I1388" t="s">
        <v>160</v>
      </c>
      <c r="J1388">
        <v>1</v>
      </c>
      <c r="K1388">
        <v>3366000</v>
      </c>
      <c r="L1388">
        <v>0</v>
      </c>
      <c r="M1388">
        <v>2527000</v>
      </c>
      <c r="N1388">
        <f>(data[[#This Row],[unit_price]]*data[[#This Row],[quantity]]) * (1-data[[#This Row],[discount]])</f>
        <v>3366000</v>
      </c>
      <c r="O1388">
        <f>data[[#This Row],[sales]]-data[[#This Row],[cost]]</f>
        <v>839000</v>
      </c>
      <c r="P1388" t="str">
        <f>TEXT(data[[#This Row],[order_date]],"mmm")</f>
        <v>Jun</v>
      </c>
      <c r="Q1388">
        <f>YEAR(data[[#This Row],[order_date]])</f>
        <v>2025</v>
      </c>
      <c r="R1388">
        <f>MONTH(data[[#This Row],[order_date]])</f>
        <v>6</v>
      </c>
      <c r="S1388">
        <f>DAY(data[[#This Row],[order_date]])</f>
        <v>17</v>
      </c>
      <c r="T1388">
        <f>data[[#This Row],[profit]]/data[[#This Row],[sales]]</f>
        <v>0.24925727866904338</v>
      </c>
    </row>
    <row r="1389" spans="1:20" x14ac:dyDescent="0.35">
      <c r="A1389" t="s">
        <v>1611</v>
      </c>
      <c r="B1389" s="1">
        <v>45853</v>
      </c>
      <c r="C1389" t="s">
        <v>14</v>
      </c>
      <c r="D1389" t="s">
        <v>15</v>
      </c>
      <c r="E1389" t="s">
        <v>47</v>
      </c>
      <c r="F1389" t="s">
        <v>23</v>
      </c>
      <c r="G1389" t="s">
        <v>1566</v>
      </c>
      <c r="H1389" t="s">
        <v>1567</v>
      </c>
      <c r="I1389" t="s">
        <v>160</v>
      </c>
      <c r="J1389">
        <v>1</v>
      </c>
      <c r="K1389">
        <v>2394000</v>
      </c>
      <c r="L1389">
        <v>0</v>
      </c>
      <c r="M1389">
        <v>1785000</v>
      </c>
      <c r="N1389">
        <f>(data[[#This Row],[unit_price]]*data[[#This Row],[quantity]]) * (1-data[[#This Row],[discount]])</f>
        <v>2394000</v>
      </c>
      <c r="O1389">
        <f>data[[#This Row],[sales]]-data[[#This Row],[cost]]</f>
        <v>609000</v>
      </c>
      <c r="P1389" t="str">
        <f>TEXT(data[[#This Row],[order_date]],"mmm")</f>
        <v>Jul</v>
      </c>
      <c r="Q1389">
        <f>YEAR(data[[#This Row],[order_date]])</f>
        <v>2025</v>
      </c>
      <c r="R1389">
        <f>MONTH(data[[#This Row],[order_date]])</f>
        <v>7</v>
      </c>
      <c r="S1389">
        <f>DAY(data[[#This Row],[order_date]])</f>
        <v>15</v>
      </c>
      <c r="T1389">
        <f>data[[#This Row],[profit]]/data[[#This Row],[sales]]</f>
        <v>0.25438596491228072</v>
      </c>
    </row>
    <row r="1390" spans="1:20" x14ac:dyDescent="0.35">
      <c r="A1390" t="s">
        <v>1612</v>
      </c>
      <c r="B1390" s="1">
        <v>45879</v>
      </c>
      <c r="C1390" t="s">
        <v>14</v>
      </c>
      <c r="D1390" t="s">
        <v>15</v>
      </c>
      <c r="E1390" t="s">
        <v>239</v>
      </c>
      <c r="F1390" t="s">
        <v>23</v>
      </c>
      <c r="G1390" t="s">
        <v>1566</v>
      </c>
      <c r="H1390" t="s">
        <v>1567</v>
      </c>
      <c r="I1390" t="s">
        <v>160</v>
      </c>
      <c r="J1390">
        <v>1</v>
      </c>
      <c r="K1390">
        <v>2737000</v>
      </c>
      <c r="L1390">
        <v>0</v>
      </c>
      <c r="M1390">
        <v>1982000</v>
      </c>
      <c r="N1390">
        <f>(data[[#This Row],[unit_price]]*data[[#This Row],[quantity]]) * (1-data[[#This Row],[discount]])</f>
        <v>2737000</v>
      </c>
      <c r="O1390">
        <f>data[[#This Row],[sales]]-data[[#This Row],[cost]]</f>
        <v>755000</v>
      </c>
      <c r="P1390" t="str">
        <f>TEXT(data[[#This Row],[order_date]],"mmm")</f>
        <v>Aug</v>
      </c>
      <c r="Q1390">
        <f>YEAR(data[[#This Row],[order_date]])</f>
        <v>2025</v>
      </c>
      <c r="R1390">
        <f>MONTH(data[[#This Row],[order_date]])</f>
        <v>8</v>
      </c>
      <c r="S1390">
        <f>DAY(data[[#This Row],[order_date]])</f>
        <v>10</v>
      </c>
      <c r="T1390">
        <f>data[[#This Row],[profit]]/data[[#This Row],[sales]]</f>
        <v>0.27584947022287176</v>
      </c>
    </row>
    <row r="1391" spans="1:20" x14ac:dyDescent="0.35">
      <c r="A1391" t="s">
        <v>1613</v>
      </c>
      <c r="B1391" s="1">
        <v>45887</v>
      </c>
      <c r="C1391" t="s">
        <v>25</v>
      </c>
      <c r="D1391" t="s">
        <v>26</v>
      </c>
      <c r="E1391" t="s">
        <v>384</v>
      </c>
      <c r="F1391" t="s">
        <v>23</v>
      </c>
      <c r="G1391" t="s">
        <v>1566</v>
      </c>
      <c r="H1391" t="s">
        <v>1567</v>
      </c>
      <c r="I1391" t="s">
        <v>160</v>
      </c>
      <c r="J1391">
        <v>1</v>
      </c>
      <c r="K1391">
        <v>3946000</v>
      </c>
      <c r="L1391">
        <v>0</v>
      </c>
      <c r="M1391">
        <v>2944000</v>
      </c>
      <c r="N1391">
        <f>(data[[#This Row],[unit_price]]*data[[#This Row],[quantity]]) * (1-data[[#This Row],[discount]])</f>
        <v>3946000</v>
      </c>
      <c r="O1391">
        <f>data[[#This Row],[sales]]-data[[#This Row],[cost]]</f>
        <v>1002000</v>
      </c>
      <c r="P1391" t="str">
        <f>TEXT(data[[#This Row],[order_date]],"mmm")</f>
        <v>Aug</v>
      </c>
      <c r="Q1391">
        <f>YEAR(data[[#This Row],[order_date]])</f>
        <v>2025</v>
      </c>
      <c r="R1391">
        <f>MONTH(data[[#This Row],[order_date]])</f>
        <v>8</v>
      </c>
      <c r="S1391">
        <f>DAY(data[[#This Row],[order_date]])</f>
        <v>18</v>
      </c>
      <c r="T1391">
        <f>data[[#This Row],[profit]]/data[[#This Row],[sales]]</f>
        <v>0.25392802838317285</v>
      </c>
    </row>
    <row r="1392" spans="1:20" x14ac:dyDescent="0.35">
      <c r="A1392" t="s">
        <v>1614</v>
      </c>
      <c r="B1392" s="1">
        <v>45915</v>
      </c>
      <c r="C1392" t="s">
        <v>41</v>
      </c>
      <c r="D1392" t="s">
        <v>42</v>
      </c>
      <c r="E1392" t="s">
        <v>121</v>
      </c>
      <c r="F1392" t="s">
        <v>23</v>
      </c>
      <c r="G1392" t="s">
        <v>1566</v>
      </c>
      <c r="H1392" t="s">
        <v>1567</v>
      </c>
      <c r="I1392" t="s">
        <v>160</v>
      </c>
      <c r="J1392">
        <v>1</v>
      </c>
      <c r="K1392">
        <v>3133000</v>
      </c>
      <c r="L1392">
        <v>0</v>
      </c>
      <c r="M1392">
        <v>2322000</v>
      </c>
      <c r="N1392">
        <f>(data[[#This Row],[unit_price]]*data[[#This Row],[quantity]]) * (1-data[[#This Row],[discount]])</f>
        <v>3133000</v>
      </c>
      <c r="O1392">
        <f>data[[#This Row],[sales]]-data[[#This Row],[cost]]</f>
        <v>811000</v>
      </c>
      <c r="P1392" t="str">
        <f>TEXT(data[[#This Row],[order_date]],"mmm")</f>
        <v>Sep</v>
      </c>
      <c r="Q1392">
        <f>YEAR(data[[#This Row],[order_date]])</f>
        <v>2025</v>
      </c>
      <c r="R1392">
        <f>MONTH(data[[#This Row],[order_date]])</f>
        <v>9</v>
      </c>
      <c r="S1392">
        <f>DAY(data[[#This Row],[order_date]])</f>
        <v>15</v>
      </c>
      <c r="T1392">
        <f>data[[#This Row],[profit]]/data[[#This Row],[sales]]</f>
        <v>0.25885732524736677</v>
      </c>
    </row>
    <row r="1393" spans="1:20" x14ac:dyDescent="0.35">
      <c r="A1393" t="s">
        <v>1615</v>
      </c>
      <c r="B1393" s="1">
        <v>45925</v>
      </c>
      <c r="C1393" t="s">
        <v>36</v>
      </c>
      <c r="D1393" t="s">
        <v>37</v>
      </c>
      <c r="E1393" t="s">
        <v>462</v>
      </c>
      <c r="F1393" t="s">
        <v>58</v>
      </c>
      <c r="G1393" t="s">
        <v>1566</v>
      </c>
      <c r="H1393" t="s">
        <v>1567</v>
      </c>
      <c r="I1393" t="s">
        <v>160</v>
      </c>
      <c r="J1393">
        <v>1</v>
      </c>
      <c r="K1393">
        <v>2765000</v>
      </c>
      <c r="L1393">
        <v>0</v>
      </c>
      <c r="M1393">
        <v>2000000</v>
      </c>
      <c r="N1393">
        <f>(data[[#This Row],[unit_price]]*data[[#This Row],[quantity]]) * (1-data[[#This Row],[discount]])</f>
        <v>2765000</v>
      </c>
      <c r="O1393">
        <f>data[[#This Row],[sales]]-data[[#This Row],[cost]]</f>
        <v>765000</v>
      </c>
      <c r="P1393" t="str">
        <f>TEXT(data[[#This Row],[order_date]],"mmm")</f>
        <v>Sep</v>
      </c>
      <c r="Q1393">
        <f>YEAR(data[[#This Row],[order_date]])</f>
        <v>2025</v>
      </c>
      <c r="R1393">
        <f>MONTH(data[[#This Row],[order_date]])</f>
        <v>9</v>
      </c>
      <c r="S1393">
        <f>DAY(data[[#This Row],[order_date]])</f>
        <v>25</v>
      </c>
      <c r="T1393">
        <f>data[[#This Row],[profit]]/data[[#This Row],[sales]]</f>
        <v>0.27667269439421338</v>
      </c>
    </row>
    <row r="1394" spans="1:20" x14ac:dyDescent="0.35">
      <c r="A1394" t="s">
        <v>1616</v>
      </c>
      <c r="B1394" s="1">
        <v>45933</v>
      </c>
      <c r="C1394" t="s">
        <v>41</v>
      </c>
      <c r="D1394" t="s">
        <v>42</v>
      </c>
      <c r="E1394" t="s">
        <v>613</v>
      </c>
      <c r="F1394" t="s">
        <v>28</v>
      </c>
      <c r="G1394" t="s">
        <v>1566</v>
      </c>
      <c r="H1394" t="s">
        <v>1567</v>
      </c>
      <c r="I1394" t="s">
        <v>160</v>
      </c>
      <c r="J1394">
        <v>3</v>
      </c>
      <c r="K1394">
        <v>3488000</v>
      </c>
      <c r="L1394">
        <v>0</v>
      </c>
      <c r="M1394">
        <v>2526000</v>
      </c>
      <c r="N1394">
        <f>(data[[#This Row],[unit_price]]*data[[#This Row],[quantity]]) * (1-data[[#This Row],[discount]])</f>
        <v>10464000</v>
      </c>
      <c r="O1394">
        <f>data[[#This Row],[sales]]-data[[#This Row],[cost]]</f>
        <v>7938000</v>
      </c>
      <c r="P1394" t="str">
        <f>TEXT(data[[#This Row],[order_date]],"mmm")</f>
        <v>Oct</v>
      </c>
      <c r="Q1394">
        <f>YEAR(data[[#This Row],[order_date]])</f>
        <v>2025</v>
      </c>
      <c r="R1394">
        <f>MONTH(data[[#This Row],[order_date]])</f>
        <v>10</v>
      </c>
      <c r="S1394">
        <f>DAY(data[[#This Row],[order_date]])</f>
        <v>3</v>
      </c>
      <c r="T1394">
        <f>data[[#This Row],[profit]]/data[[#This Row],[sales]]</f>
        <v>0.75860091743119262</v>
      </c>
    </row>
    <row r="1395" spans="1:20" x14ac:dyDescent="0.35">
      <c r="A1395" t="s">
        <v>1617</v>
      </c>
      <c r="B1395" s="1">
        <v>45938</v>
      </c>
      <c r="C1395" t="s">
        <v>14</v>
      </c>
      <c r="D1395" t="s">
        <v>15</v>
      </c>
      <c r="E1395" t="s">
        <v>582</v>
      </c>
      <c r="F1395" t="s">
        <v>17</v>
      </c>
      <c r="G1395" t="s">
        <v>1566</v>
      </c>
      <c r="H1395" t="s">
        <v>1567</v>
      </c>
      <c r="I1395" t="s">
        <v>160</v>
      </c>
      <c r="J1395">
        <v>2</v>
      </c>
      <c r="K1395">
        <v>3320000</v>
      </c>
      <c r="L1395">
        <v>0</v>
      </c>
      <c r="M1395">
        <v>2514000</v>
      </c>
      <c r="N1395">
        <f>(data[[#This Row],[unit_price]]*data[[#This Row],[quantity]]) * (1-data[[#This Row],[discount]])</f>
        <v>6640000</v>
      </c>
      <c r="O1395">
        <f>data[[#This Row],[sales]]-data[[#This Row],[cost]]</f>
        <v>4126000</v>
      </c>
      <c r="P1395" t="str">
        <f>TEXT(data[[#This Row],[order_date]],"mmm")</f>
        <v>Oct</v>
      </c>
      <c r="Q1395">
        <f>YEAR(data[[#This Row],[order_date]])</f>
        <v>2025</v>
      </c>
      <c r="R1395">
        <f>MONTH(data[[#This Row],[order_date]])</f>
        <v>10</v>
      </c>
      <c r="S1395">
        <f>DAY(data[[#This Row],[order_date]])</f>
        <v>8</v>
      </c>
      <c r="T1395">
        <f>data[[#This Row],[profit]]/data[[#This Row],[sales]]</f>
        <v>0.6213855421686747</v>
      </c>
    </row>
    <row r="1396" spans="1:20" x14ac:dyDescent="0.35">
      <c r="A1396" t="s">
        <v>1618</v>
      </c>
      <c r="B1396" s="1">
        <v>45939</v>
      </c>
      <c r="C1396" t="s">
        <v>41</v>
      </c>
      <c r="D1396" t="s">
        <v>42</v>
      </c>
      <c r="E1396" t="s">
        <v>45</v>
      </c>
      <c r="F1396" t="s">
        <v>17</v>
      </c>
      <c r="G1396" t="s">
        <v>1566</v>
      </c>
      <c r="H1396" t="s">
        <v>1567</v>
      </c>
      <c r="I1396" t="s">
        <v>160</v>
      </c>
      <c r="J1396">
        <v>1</v>
      </c>
      <c r="K1396">
        <v>3636000</v>
      </c>
      <c r="L1396">
        <v>0</v>
      </c>
      <c r="M1396">
        <v>2630000</v>
      </c>
      <c r="N1396">
        <f>(data[[#This Row],[unit_price]]*data[[#This Row],[quantity]]) * (1-data[[#This Row],[discount]])</f>
        <v>3636000</v>
      </c>
      <c r="O1396">
        <f>data[[#This Row],[sales]]-data[[#This Row],[cost]]</f>
        <v>1006000</v>
      </c>
      <c r="P1396" t="str">
        <f>TEXT(data[[#This Row],[order_date]],"mmm")</f>
        <v>Oct</v>
      </c>
      <c r="Q1396">
        <f>YEAR(data[[#This Row],[order_date]])</f>
        <v>2025</v>
      </c>
      <c r="R1396">
        <f>MONTH(data[[#This Row],[order_date]])</f>
        <v>10</v>
      </c>
      <c r="S1396">
        <f>DAY(data[[#This Row],[order_date]])</f>
        <v>9</v>
      </c>
      <c r="T1396">
        <f>data[[#This Row],[profit]]/data[[#This Row],[sales]]</f>
        <v>0.27667766776677666</v>
      </c>
    </row>
    <row r="1397" spans="1:20" x14ac:dyDescent="0.35">
      <c r="A1397" t="s">
        <v>1619</v>
      </c>
      <c r="B1397" s="1">
        <v>45950</v>
      </c>
      <c r="C1397" t="s">
        <v>41</v>
      </c>
      <c r="D1397" t="s">
        <v>42</v>
      </c>
      <c r="E1397" t="s">
        <v>260</v>
      </c>
      <c r="F1397" t="s">
        <v>23</v>
      </c>
      <c r="G1397" t="s">
        <v>1566</v>
      </c>
      <c r="H1397" t="s">
        <v>1567</v>
      </c>
      <c r="I1397" t="s">
        <v>160</v>
      </c>
      <c r="J1397">
        <v>1</v>
      </c>
      <c r="K1397">
        <v>2396000</v>
      </c>
      <c r="L1397">
        <v>0</v>
      </c>
      <c r="M1397">
        <v>1754000</v>
      </c>
      <c r="N1397">
        <f>(data[[#This Row],[unit_price]]*data[[#This Row],[quantity]]) * (1-data[[#This Row],[discount]])</f>
        <v>2396000</v>
      </c>
      <c r="O1397">
        <f>data[[#This Row],[sales]]-data[[#This Row],[cost]]</f>
        <v>642000</v>
      </c>
      <c r="P1397" t="str">
        <f>TEXT(data[[#This Row],[order_date]],"mmm")</f>
        <v>Oct</v>
      </c>
      <c r="Q1397">
        <f>YEAR(data[[#This Row],[order_date]])</f>
        <v>2025</v>
      </c>
      <c r="R1397">
        <f>MONTH(data[[#This Row],[order_date]])</f>
        <v>10</v>
      </c>
      <c r="S1397">
        <f>DAY(data[[#This Row],[order_date]])</f>
        <v>20</v>
      </c>
      <c r="T1397">
        <f>data[[#This Row],[profit]]/data[[#This Row],[sales]]</f>
        <v>0.26794657762938229</v>
      </c>
    </row>
    <row r="1398" spans="1:20" x14ac:dyDescent="0.35">
      <c r="A1398" t="s">
        <v>1620</v>
      </c>
      <c r="B1398" s="1">
        <v>45953</v>
      </c>
      <c r="C1398" t="s">
        <v>14</v>
      </c>
      <c r="D1398" t="s">
        <v>15</v>
      </c>
      <c r="E1398" t="s">
        <v>201</v>
      </c>
      <c r="F1398" t="s">
        <v>58</v>
      </c>
      <c r="G1398" t="s">
        <v>1566</v>
      </c>
      <c r="H1398" t="s">
        <v>1567</v>
      </c>
      <c r="I1398" t="s">
        <v>160</v>
      </c>
      <c r="J1398">
        <v>2</v>
      </c>
      <c r="K1398">
        <v>2540000</v>
      </c>
      <c r="L1398">
        <v>0.1</v>
      </c>
      <c r="M1398">
        <v>1865000</v>
      </c>
      <c r="N1398">
        <f>(data[[#This Row],[unit_price]]*data[[#This Row],[quantity]]) * (1-data[[#This Row],[discount]])</f>
        <v>4572000</v>
      </c>
      <c r="O1398">
        <f>data[[#This Row],[sales]]-data[[#This Row],[cost]]</f>
        <v>2707000</v>
      </c>
      <c r="P1398" t="str">
        <f>TEXT(data[[#This Row],[order_date]],"mmm")</f>
        <v>Oct</v>
      </c>
      <c r="Q1398">
        <f>YEAR(data[[#This Row],[order_date]])</f>
        <v>2025</v>
      </c>
      <c r="R1398">
        <f>MONTH(data[[#This Row],[order_date]])</f>
        <v>10</v>
      </c>
      <c r="S1398">
        <f>DAY(data[[#This Row],[order_date]])</f>
        <v>23</v>
      </c>
      <c r="T1398">
        <f>data[[#This Row],[profit]]/data[[#This Row],[sales]]</f>
        <v>0.59208223972003504</v>
      </c>
    </row>
    <row r="1399" spans="1:20" x14ac:dyDescent="0.35">
      <c r="A1399" t="s">
        <v>1621</v>
      </c>
      <c r="B1399" s="1">
        <v>45977</v>
      </c>
      <c r="C1399" t="s">
        <v>49</v>
      </c>
      <c r="D1399" t="s">
        <v>50</v>
      </c>
      <c r="E1399" t="s">
        <v>456</v>
      </c>
      <c r="F1399" t="s">
        <v>23</v>
      </c>
      <c r="G1399" t="s">
        <v>1566</v>
      </c>
      <c r="H1399" t="s">
        <v>1567</v>
      </c>
      <c r="I1399" t="s">
        <v>160</v>
      </c>
      <c r="J1399">
        <v>1</v>
      </c>
      <c r="K1399">
        <v>3492303.0303030303</v>
      </c>
      <c r="L1399">
        <v>0</v>
      </c>
      <c r="M1399">
        <v>2405000</v>
      </c>
      <c r="N1399">
        <f>(data[[#This Row],[unit_price]]*data[[#This Row],[quantity]]) * (1-data[[#This Row],[discount]])</f>
        <v>3492303.0303030303</v>
      </c>
      <c r="O1399">
        <f>data[[#This Row],[sales]]-data[[#This Row],[cost]]</f>
        <v>1087303.0303030303</v>
      </c>
      <c r="P1399" t="str">
        <f>TEXT(data[[#This Row],[order_date]],"mmm")</f>
        <v>Nov</v>
      </c>
      <c r="Q1399">
        <f>YEAR(data[[#This Row],[order_date]])</f>
        <v>2025</v>
      </c>
      <c r="R1399">
        <f>MONTH(data[[#This Row],[order_date]])</f>
        <v>11</v>
      </c>
      <c r="S1399">
        <f>DAY(data[[#This Row],[order_date]])</f>
        <v>16</v>
      </c>
      <c r="T1399">
        <f>data[[#This Row],[profit]]/data[[#This Row],[sales]]</f>
        <v>0.31134269302188361</v>
      </c>
    </row>
    <row r="1400" spans="1:20" x14ac:dyDescent="0.35">
      <c r="A1400" t="s">
        <v>1622</v>
      </c>
      <c r="B1400" s="1">
        <v>45994</v>
      </c>
      <c r="C1400" t="s">
        <v>41</v>
      </c>
      <c r="D1400" t="s">
        <v>42</v>
      </c>
      <c r="E1400" t="s">
        <v>172</v>
      </c>
      <c r="F1400" t="s">
        <v>23</v>
      </c>
      <c r="G1400" t="s">
        <v>1566</v>
      </c>
      <c r="H1400" t="s">
        <v>1567</v>
      </c>
      <c r="I1400" t="s">
        <v>160</v>
      </c>
      <c r="J1400">
        <v>1</v>
      </c>
      <c r="K1400">
        <v>4292000</v>
      </c>
      <c r="L1400">
        <v>0</v>
      </c>
      <c r="M1400">
        <v>3171000</v>
      </c>
      <c r="N1400">
        <f>(data[[#This Row],[unit_price]]*data[[#This Row],[quantity]]) * (1-data[[#This Row],[discount]])</f>
        <v>4292000</v>
      </c>
      <c r="O1400">
        <f>data[[#This Row],[sales]]-data[[#This Row],[cost]]</f>
        <v>1121000</v>
      </c>
      <c r="P1400" t="str">
        <f>TEXT(data[[#This Row],[order_date]],"mmm")</f>
        <v>Dec</v>
      </c>
      <c r="Q1400">
        <f>YEAR(data[[#This Row],[order_date]])</f>
        <v>2025</v>
      </c>
      <c r="R1400">
        <f>MONTH(data[[#This Row],[order_date]])</f>
        <v>12</v>
      </c>
      <c r="S1400">
        <f>DAY(data[[#This Row],[order_date]])</f>
        <v>3</v>
      </c>
      <c r="T1400">
        <f>data[[#This Row],[profit]]/data[[#This Row],[sales]]</f>
        <v>0.26118359739049396</v>
      </c>
    </row>
    <row r="1401" spans="1:20" x14ac:dyDescent="0.35">
      <c r="A1401" t="s">
        <v>1623</v>
      </c>
      <c r="B1401" s="1">
        <v>45995</v>
      </c>
      <c r="C1401" t="s">
        <v>14</v>
      </c>
      <c r="D1401" t="s">
        <v>15</v>
      </c>
      <c r="E1401" t="s">
        <v>155</v>
      </c>
      <c r="F1401" t="s">
        <v>58</v>
      </c>
      <c r="G1401" t="s">
        <v>1566</v>
      </c>
      <c r="H1401" t="s">
        <v>1567</v>
      </c>
      <c r="I1401" t="s">
        <v>160</v>
      </c>
      <c r="J1401">
        <v>1</v>
      </c>
      <c r="K1401">
        <v>2744000</v>
      </c>
      <c r="L1401">
        <v>0</v>
      </c>
      <c r="M1401">
        <v>2025000</v>
      </c>
      <c r="N1401">
        <f>(data[[#This Row],[unit_price]]*data[[#This Row],[quantity]]) * (1-data[[#This Row],[discount]])</f>
        <v>2744000</v>
      </c>
      <c r="O1401">
        <f>data[[#This Row],[sales]]-data[[#This Row],[cost]]</f>
        <v>719000</v>
      </c>
      <c r="P1401" t="str">
        <f>TEXT(data[[#This Row],[order_date]],"mmm")</f>
        <v>Dec</v>
      </c>
      <c r="Q1401">
        <f>YEAR(data[[#This Row],[order_date]])</f>
        <v>2025</v>
      </c>
      <c r="R1401">
        <f>MONTH(data[[#This Row],[order_date]])</f>
        <v>12</v>
      </c>
      <c r="S1401">
        <f>DAY(data[[#This Row],[order_date]])</f>
        <v>4</v>
      </c>
      <c r="T1401">
        <f>data[[#This Row],[profit]]/data[[#This Row],[sales]]</f>
        <v>0.26202623906705541</v>
      </c>
    </row>
    <row r="1402" spans="1:20" x14ac:dyDescent="0.35">
      <c r="A1402" t="s">
        <v>1624</v>
      </c>
      <c r="B1402" s="1">
        <v>46017</v>
      </c>
      <c r="C1402" t="s">
        <v>14</v>
      </c>
      <c r="D1402" t="s">
        <v>15</v>
      </c>
      <c r="E1402" t="s">
        <v>359</v>
      </c>
      <c r="F1402" t="s">
        <v>23</v>
      </c>
      <c r="G1402" t="s">
        <v>1566</v>
      </c>
      <c r="H1402" t="s">
        <v>1567</v>
      </c>
      <c r="I1402" t="s">
        <v>160</v>
      </c>
      <c r="J1402">
        <v>1</v>
      </c>
      <c r="K1402">
        <v>4178000</v>
      </c>
      <c r="L1402">
        <v>0</v>
      </c>
      <c r="M1402">
        <v>3152000</v>
      </c>
      <c r="N1402">
        <f>(data[[#This Row],[unit_price]]*data[[#This Row],[quantity]]) * (1-data[[#This Row],[discount]])</f>
        <v>4178000</v>
      </c>
      <c r="O1402">
        <f>data[[#This Row],[sales]]-data[[#This Row],[cost]]</f>
        <v>1026000</v>
      </c>
      <c r="P1402" t="str">
        <f>TEXT(data[[#This Row],[order_date]],"mmm")</f>
        <v>Dec</v>
      </c>
      <c r="Q1402">
        <f>YEAR(data[[#This Row],[order_date]])</f>
        <v>2025</v>
      </c>
      <c r="R1402">
        <f>MONTH(data[[#This Row],[order_date]])</f>
        <v>12</v>
      </c>
      <c r="S1402">
        <f>DAY(data[[#This Row],[order_date]])</f>
        <v>26</v>
      </c>
      <c r="T1402">
        <f>data[[#This Row],[profit]]/data[[#This Row],[sales]]</f>
        <v>0.24557204404021063</v>
      </c>
    </row>
    <row r="1403" spans="1:20" x14ac:dyDescent="0.35">
      <c r="A1403" t="s">
        <v>1625</v>
      </c>
      <c r="B1403" s="1">
        <v>46036</v>
      </c>
      <c r="C1403" t="s">
        <v>14</v>
      </c>
      <c r="D1403" t="s">
        <v>15</v>
      </c>
      <c r="E1403" t="s">
        <v>340</v>
      </c>
      <c r="F1403" t="s">
        <v>23</v>
      </c>
      <c r="G1403" t="s">
        <v>1566</v>
      </c>
      <c r="H1403" t="s">
        <v>1567</v>
      </c>
      <c r="I1403" t="s">
        <v>160</v>
      </c>
      <c r="J1403">
        <v>2</v>
      </c>
      <c r="K1403">
        <v>4319000</v>
      </c>
      <c r="L1403">
        <v>0</v>
      </c>
      <c r="M1403">
        <v>3268000</v>
      </c>
      <c r="N1403">
        <f>(data[[#This Row],[unit_price]]*data[[#This Row],[quantity]]) * (1-data[[#This Row],[discount]])</f>
        <v>8638000</v>
      </c>
      <c r="O1403">
        <f>data[[#This Row],[sales]]-data[[#This Row],[cost]]</f>
        <v>5370000</v>
      </c>
      <c r="P1403" t="str">
        <f>TEXT(data[[#This Row],[order_date]],"mmm")</f>
        <v>Jan</v>
      </c>
      <c r="Q1403">
        <f>YEAR(data[[#This Row],[order_date]])</f>
        <v>2026</v>
      </c>
      <c r="R1403">
        <f>MONTH(data[[#This Row],[order_date]])</f>
        <v>1</v>
      </c>
      <c r="S1403">
        <f>DAY(data[[#This Row],[order_date]])</f>
        <v>14</v>
      </c>
      <c r="T1403">
        <f>data[[#This Row],[profit]]/data[[#This Row],[sales]]</f>
        <v>0.62167168326001387</v>
      </c>
    </row>
    <row r="1404" spans="1:20" x14ac:dyDescent="0.35">
      <c r="A1404" t="s">
        <v>1626</v>
      </c>
      <c r="B1404" s="1">
        <v>46052</v>
      </c>
      <c r="C1404" t="s">
        <v>14</v>
      </c>
      <c r="D1404" t="s">
        <v>15</v>
      </c>
      <c r="E1404" t="s">
        <v>366</v>
      </c>
      <c r="F1404" t="s">
        <v>58</v>
      </c>
      <c r="G1404" t="s">
        <v>1566</v>
      </c>
      <c r="H1404" t="s">
        <v>1567</v>
      </c>
      <c r="I1404" t="s">
        <v>160</v>
      </c>
      <c r="J1404">
        <v>1</v>
      </c>
      <c r="K1404">
        <v>3185000</v>
      </c>
      <c r="L1404">
        <v>0.05</v>
      </c>
      <c r="M1404">
        <v>2342000</v>
      </c>
      <c r="N1404">
        <f>(data[[#This Row],[unit_price]]*data[[#This Row],[quantity]]) * (1-data[[#This Row],[discount]])</f>
        <v>3025750</v>
      </c>
      <c r="O1404">
        <f>data[[#This Row],[sales]]-data[[#This Row],[cost]]</f>
        <v>683750</v>
      </c>
      <c r="P1404" t="str">
        <f>TEXT(data[[#This Row],[order_date]],"mmm")</f>
        <v>Jan</v>
      </c>
      <c r="Q1404">
        <f>YEAR(data[[#This Row],[order_date]])</f>
        <v>2026</v>
      </c>
      <c r="R1404">
        <f>MONTH(data[[#This Row],[order_date]])</f>
        <v>1</v>
      </c>
      <c r="S1404">
        <f>DAY(data[[#This Row],[order_date]])</f>
        <v>30</v>
      </c>
      <c r="T1404">
        <f>data[[#This Row],[profit]]/data[[#This Row],[sales]]</f>
        <v>0.22597703048830869</v>
      </c>
    </row>
    <row r="1405" spans="1:20" x14ac:dyDescent="0.35">
      <c r="A1405" t="s">
        <v>1627</v>
      </c>
      <c r="B1405" s="1">
        <v>46069</v>
      </c>
      <c r="C1405" t="s">
        <v>14</v>
      </c>
      <c r="D1405" t="s">
        <v>15</v>
      </c>
      <c r="E1405" t="s">
        <v>323</v>
      </c>
      <c r="F1405" t="s">
        <v>28</v>
      </c>
      <c r="G1405" t="s">
        <v>1566</v>
      </c>
      <c r="H1405" t="s">
        <v>1567</v>
      </c>
      <c r="I1405" t="s">
        <v>160</v>
      </c>
      <c r="J1405">
        <v>1</v>
      </c>
      <c r="K1405">
        <v>3492303.0303030303</v>
      </c>
      <c r="L1405">
        <v>0</v>
      </c>
      <c r="M1405">
        <v>0</v>
      </c>
      <c r="N1405">
        <f>(data[[#This Row],[unit_price]]*data[[#This Row],[quantity]]) * (1-data[[#This Row],[discount]])</f>
        <v>3492303.0303030303</v>
      </c>
      <c r="O1405">
        <f>data[[#This Row],[sales]]-data[[#This Row],[cost]]</f>
        <v>3492303.0303030303</v>
      </c>
      <c r="P1405" t="str">
        <f>TEXT(data[[#This Row],[order_date]],"mmm")</f>
        <v>Feb</v>
      </c>
      <c r="Q1405">
        <f>YEAR(data[[#This Row],[order_date]])</f>
        <v>2026</v>
      </c>
      <c r="R1405">
        <f>MONTH(data[[#This Row],[order_date]])</f>
        <v>2</v>
      </c>
      <c r="S1405">
        <f>DAY(data[[#This Row],[order_date]])</f>
        <v>16</v>
      </c>
      <c r="T1405">
        <f>data[[#This Row],[profit]]/data[[#This Row],[sales]]</f>
        <v>1</v>
      </c>
    </row>
    <row r="1406" spans="1:20" x14ac:dyDescent="0.35">
      <c r="A1406" t="s">
        <v>1628</v>
      </c>
      <c r="B1406" s="1">
        <v>46093</v>
      </c>
      <c r="C1406" t="s">
        <v>14</v>
      </c>
      <c r="D1406" t="s">
        <v>15</v>
      </c>
      <c r="E1406" t="s">
        <v>366</v>
      </c>
      <c r="F1406" t="s">
        <v>58</v>
      </c>
      <c r="G1406" t="s">
        <v>1566</v>
      </c>
      <c r="H1406" t="s">
        <v>1567</v>
      </c>
      <c r="I1406" t="s">
        <v>160</v>
      </c>
      <c r="J1406">
        <v>2</v>
      </c>
      <c r="K1406">
        <v>3710000</v>
      </c>
      <c r="L1406">
        <v>0</v>
      </c>
      <c r="M1406">
        <v>2784000</v>
      </c>
      <c r="N1406">
        <f>(data[[#This Row],[unit_price]]*data[[#This Row],[quantity]]) * (1-data[[#This Row],[discount]])</f>
        <v>7420000</v>
      </c>
      <c r="O1406">
        <f>data[[#This Row],[sales]]-data[[#This Row],[cost]]</f>
        <v>4636000</v>
      </c>
      <c r="P1406" t="str">
        <f>TEXT(data[[#This Row],[order_date]],"mmm")</f>
        <v>Mar</v>
      </c>
      <c r="Q1406">
        <f>YEAR(data[[#This Row],[order_date]])</f>
        <v>2026</v>
      </c>
      <c r="R1406">
        <f>MONTH(data[[#This Row],[order_date]])</f>
        <v>3</v>
      </c>
      <c r="S1406">
        <f>DAY(data[[#This Row],[order_date]])</f>
        <v>12</v>
      </c>
      <c r="T1406">
        <f>data[[#This Row],[profit]]/data[[#This Row],[sales]]</f>
        <v>0.62479784366576818</v>
      </c>
    </row>
    <row r="1407" spans="1:20" x14ac:dyDescent="0.35">
      <c r="A1407" t="s">
        <v>1629</v>
      </c>
      <c r="B1407" s="1">
        <v>46108</v>
      </c>
      <c r="C1407" t="s">
        <v>14</v>
      </c>
      <c r="D1407" t="s">
        <v>15</v>
      </c>
      <c r="E1407" t="s">
        <v>394</v>
      </c>
      <c r="F1407" t="s">
        <v>23</v>
      </c>
      <c r="G1407" t="s">
        <v>1566</v>
      </c>
      <c r="H1407" t="s">
        <v>1567</v>
      </c>
      <c r="I1407" t="s">
        <v>160</v>
      </c>
      <c r="J1407">
        <v>3</v>
      </c>
      <c r="K1407">
        <v>3265000</v>
      </c>
      <c r="L1407">
        <v>0</v>
      </c>
      <c r="M1407">
        <v>2412000</v>
      </c>
      <c r="N1407">
        <f>(data[[#This Row],[unit_price]]*data[[#This Row],[quantity]]) * (1-data[[#This Row],[discount]])</f>
        <v>9795000</v>
      </c>
      <c r="O1407">
        <f>data[[#This Row],[sales]]-data[[#This Row],[cost]]</f>
        <v>7383000</v>
      </c>
      <c r="P1407" t="str">
        <f>TEXT(data[[#This Row],[order_date]],"mmm")</f>
        <v>Mar</v>
      </c>
      <c r="Q1407">
        <f>YEAR(data[[#This Row],[order_date]])</f>
        <v>2026</v>
      </c>
      <c r="R1407">
        <f>MONTH(data[[#This Row],[order_date]])</f>
        <v>3</v>
      </c>
      <c r="S1407">
        <f>DAY(data[[#This Row],[order_date]])</f>
        <v>27</v>
      </c>
      <c r="T1407">
        <f>data[[#This Row],[profit]]/data[[#This Row],[sales]]</f>
        <v>0.7537519142419602</v>
      </c>
    </row>
    <row r="1408" spans="1:20" x14ac:dyDescent="0.35">
      <c r="A1408" t="s">
        <v>1630</v>
      </c>
      <c r="B1408" s="1">
        <v>46125</v>
      </c>
      <c r="C1408" t="s">
        <v>49</v>
      </c>
      <c r="D1408" t="s">
        <v>50</v>
      </c>
      <c r="E1408" t="s">
        <v>172</v>
      </c>
      <c r="F1408" t="s">
        <v>23</v>
      </c>
      <c r="G1408" t="s">
        <v>1566</v>
      </c>
      <c r="H1408" t="s">
        <v>1567</v>
      </c>
      <c r="I1408" t="s">
        <v>160</v>
      </c>
      <c r="J1408">
        <v>1</v>
      </c>
      <c r="K1408">
        <v>2428000</v>
      </c>
      <c r="L1408">
        <v>0</v>
      </c>
      <c r="M1408">
        <v>1768000</v>
      </c>
      <c r="N1408">
        <f>(data[[#This Row],[unit_price]]*data[[#This Row],[quantity]]) * (1-data[[#This Row],[discount]])</f>
        <v>2428000</v>
      </c>
      <c r="O1408">
        <f>data[[#This Row],[sales]]-data[[#This Row],[cost]]</f>
        <v>660000</v>
      </c>
      <c r="P1408" t="str">
        <f>TEXT(data[[#This Row],[order_date]],"mmm")</f>
        <v>Apr</v>
      </c>
      <c r="Q1408">
        <f>YEAR(data[[#This Row],[order_date]])</f>
        <v>2026</v>
      </c>
      <c r="R1408">
        <f>MONTH(data[[#This Row],[order_date]])</f>
        <v>4</v>
      </c>
      <c r="S1408">
        <f>DAY(data[[#This Row],[order_date]])</f>
        <v>13</v>
      </c>
      <c r="T1408">
        <f>data[[#This Row],[profit]]/data[[#This Row],[sales]]</f>
        <v>0.27182866556836904</v>
      </c>
    </row>
    <row r="1409" spans="1:20" x14ac:dyDescent="0.35">
      <c r="A1409" t="s">
        <v>1631</v>
      </c>
      <c r="B1409" s="1">
        <v>46138</v>
      </c>
      <c r="C1409" t="s">
        <v>25</v>
      </c>
      <c r="D1409" t="s">
        <v>26</v>
      </c>
      <c r="E1409" t="s">
        <v>63</v>
      </c>
      <c r="F1409" t="s">
        <v>28</v>
      </c>
      <c r="G1409" t="s">
        <v>1566</v>
      </c>
      <c r="H1409" t="s">
        <v>1567</v>
      </c>
      <c r="I1409" t="s">
        <v>160</v>
      </c>
      <c r="J1409">
        <v>1</v>
      </c>
      <c r="K1409">
        <v>5104000</v>
      </c>
      <c r="L1409">
        <v>0</v>
      </c>
      <c r="M1409">
        <v>3759000</v>
      </c>
      <c r="N1409">
        <f>(data[[#This Row],[unit_price]]*data[[#This Row],[quantity]]) * (1-data[[#This Row],[discount]])</f>
        <v>5104000</v>
      </c>
      <c r="O1409">
        <f>data[[#This Row],[sales]]-data[[#This Row],[cost]]</f>
        <v>1345000</v>
      </c>
      <c r="P1409" t="str">
        <f>TEXT(data[[#This Row],[order_date]],"mmm")</f>
        <v>Apr</v>
      </c>
      <c r="Q1409">
        <f>YEAR(data[[#This Row],[order_date]])</f>
        <v>2026</v>
      </c>
      <c r="R1409">
        <f>MONTH(data[[#This Row],[order_date]])</f>
        <v>4</v>
      </c>
      <c r="S1409">
        <f>DAY(data[[#This Row],[order_date]])</f>
        <v>26</v>
      </c>
      <c r="T1409">
        <f>data[[#This Row],[profit]]/data[[#This Row],[sales]]</f>
        <v>0.26351880877742945</v>
      </c>
    </row>
    <row r="1410" spans="1:20" x14ac:dyDescent="0.35">
      <c r="A1410" t="s">
        <v>1632</v>
      </c>
      <c r="B1410" s="1">
        <v>46139</v>
      </c>
      <c r="C1410" t="s">
        <v>14</v>
      </c>
      <c r="D1410" t="s">
        <v>15</v>
      </c>
      <c r="E1410" t="s">
        <v>335</v>
      </c>
      <c r="F1410" t="s">
        <v>23</v>
      </c>
      <c r="G1410" t="s">
        <v>1566</v>
      </c>
      <c r="H1410" t="s">
        <v>1567</v>
      </c>
      <c r="I1410" t="s">
        <v>160</v>
      </c>
      <c r="J1410">
        <v>1</v>
      </c>
      <c r="K1410">
        <v>2939000</v>
      </c>
      <c r="L1410">
        <v>0</v>
      </c>
      <c r="M1410">
        <v>2146000</v>
      </c>
      <c r="N1410">
        <f>(data[[#This Row],[unit_price]]*data[[#This Row],[quantity]]) * (1-data[[#This Row],[discount]])</f>
        <v>2939000</v>
      </c>
      <c r="O1410">
        <f>data[[#This Row],[sales]]-data[[#This Row],[cost]]</f>
        <v>793000</v>
      </c>
      <c r="P1410" t="str">
        <f>TEXT(data[[#This Row],[order_date]],"mmm")</f>
        <v>Apr</v>
      </c>
      <c r="Q1410">
        <f>YEAR(data[[#This Row],[order_date]])</f>
        <v>2026</v>
      </c>
      <c r="R1410">
        <f>MONTH(data[[#This Row],[order_date]])</f>
        <v>4</v>
      </c>
      <c r="S1410">
        <f>DAY(data[[#This Row],[order_date]])</f>
        <v>27</v>
      </c>
      <c r="T1410">
        <f>data[[#This Row],[profit]]/data[[#This Row],[sales]]</f>
        <v>0.2698196665532494</v>
      </c>
    </row>
    <row r="1411" spans="1:20" x14ac:dyDescent="0.35">
      <c r="A1411" t="s">
        <v>1633</v>
      </c>
      <c r="B1411" s="1">
        <v>46144</v>
      </c>
      <c r="C1411" t="s">
        <v>41</v>
      </c>
      <c r="D1411" t="s">
        <v>42</v>
      </c>
      <c r="E1411" t="s">
        <v>447</v>
      </c>
      <c r="F1411" t="s">
        <v>23</v>
      </c>
      <c r="G1411" t="s">
        <v>1566</v>
      </c>
      <c r="H1411" t="s">
        <v>1567</v>
      </c>
      <c r="I1411" t="s">
        <v>160</v>
      </c>
      <c r="J1411">
        <v>1</v>
      </c>
      <c r="K1411">
        <v>4746000</v>
      </c>
      <c r="L1411">
        <v>0</v>
      </c>
      <c r="M1411">
        <v>3498000</v>
      </c>
      <c r="N1411">
        <f>(data[[#This Row],[unit_price]]*data[[#This Row],[quantity]]) * (1-data[[#This Row],[discount]])</f>
        <v>4746000</v>
      </c>
      <c r="O1411">
        <f>data[[#This Row],[sales]]-data[[#This Row],[cost]]</f>
        <v>1248000</v>
      </c>
      <c r="P1411" t="str">
        <f>TEXT(data[[#This Row],[order_date]],"mmm")</f>
        <v>May</v>
      </c>
      <c r="Q1411">
        <f>YEAR(data[[#This Row],[order_date]])</f>
        <v>2026</v>
      </c>
      <c r="R1411">
        <f>MONTH(data[[#This Row],[order_date]])</f>
        <v>5</v>
      </c>
      <c r="S1411">
        <f>DAY(data[[#This Row],[order_date]])</f>
        <v>2</v>
      </c>
      <c r="T1411">
        <f>data[[#This Row],[profit]]/data[[#This Row],[sales]]</f>
        <v>0.26295828065739568</v>
      </c>
    </row>
    <row r="1412" spans="1:20" x14ac:dyDescent="0.35">
      <c r="A1412" t="s">
        <v>1634</v>
      </c>
      <c r="B1412" s="1">
        <v>46151</v>
      </c>
      <c r="C1412" t="s">
        <v>41</v>
      </c>
      <c r="D1412" t="s">
        <v>42</v>
      </c>
      <c r="E1412" t="s">
        <v>104</v>
      </c>
      <c r="F1412" t="s">
        <v>28</v>
      </c>
      <c r="G1412" t="s">
        <v>1566</v>
      </c>
      <c r="H1412" t="s">
        <v>1567</v>
      </c>
      <c r="I1412" t="s">
        <v>160</v>
      </c>
      <c r="J1412">
        <v>1</v>
      </c>
      <c r="K1412">
        <v>2328000</v>
      </c>
      <c r="L1412">
        <v>0</v>
      </c>
      <c r="M1412">
        <v>1762000</v>
      </c>
      <c r="N1412">
        <f>(data[[#This Row],[unit_price]]*data[[#This Row],[quantity]]) * (1-data[[#This Row],[discount]])</f>
        <v>2328000</v>
      </c>
      <c r="O1412">
        <f>data[[#This Row],[sales]]-data[[#This Row],[cost]]</f>
        <v>566000</v>
      </c>
      <c r="P1412" t="str">
        <f>TEXT(data[[#This Row],[order_date]],"mmm")</f>
        <v>May</v>
      </c>
      <c r="Q1412">
        <f>YEAR(data[[#This Row],[order_date]])</f>
        <v>2026</v>
      </c>
      <c r="R1412">
        <f>MONTH(data[[#This Row],[order_date]])</f>
        <v>5</v>
      </c>
      <c r="S1412">
        <f>DAY(data[[#This Row],[order_date]])</f>
        <v>9</v>
      </c>
      <c r="T1412">
        <f>data[[#This Row],[profit]]/data[[#This Row],[sales]]</f>
        <v>0.24312714776632302</v>
      </c>
    </row>
    <row r="1413" spans="1:20" x14ac:dyDescent="0.35">
      <c r="A1413" t="s">
        <v>1635</v>
      </c>
      <c r="B1413" s="1">
        <v>46159</v>
      </c>
      <c r="C1413" t="s">
        <v>49</v>
      </c>
      <c r="D1413" t="s">
        <v>50</v>
      </c>
      <c r="E1413" t="s">
        <v>394</v>
      </c>
      <c r="F1413" t="s">
        <v>23</v>
      </c>
      <c r="G1413" t="s">
        <v>1566</v>
      </c>
      <c r="H1413" t="s">
        <v>1567</v>
      </c>
      <c r="I1413" t="s">
        <v>160</v>
      </c>
      <c r="J1413">
        <v>1</v>
      </c>
      <c r="K1413">
        <v>4479000</v>
      </c>
      <c r="L1413">
        <v>0</v>
      </c>
      <c r="M1413">
        <v>3225000</v>
      </c>
      <c r="N1413">
        <f>(data[[#This Row],[unit_price]]*data[[#This Row],[quantity]]) * (1-data[[#This Row],[discount]])</f>
        <v>4479000</v>
      </c>
      <c r="O1413">
        <f>data[[#This Row],[sales]]-data[[#This Row],[cost]]</f>
        <v>1254000</v>
      </c>
      <c r="P1413" t="str">
        <f>TEXT(data[[#This Row],[order_date]],"mmm")</f>
        <v>May</v>
      </c>
      <c r="Q1413">
        <f>YEAR(data[[#This Row],[order_date]])</f>
        <v>2026</v>
      </c>
      <c r="R1413">
        <f>MONTH(data[[#This Row],[order_date]])</f>
        <v>5</v>
      </c>
      <c r="S1413">
        <f>DAY(data[[#This Row],[order_date]])</f>
        <v>17</v>
      </c>
      <c r="T1413">
        <f>data[[#This Row],[profit]]/data[[#This Row],[sales]]</f>
        <v>0.27997320830542533</v>
      </c>
    </row>
    <row r="1414" spans="1:20" x14ac:dyDescent="0.35">
      <c r="A1414" t="s">
        <v>1636</v>
      </c>
      <c r="B1414" s="1">
        <v>46191</v>
      </c>
      <c r="C1414" t="s">
        <v>41</v>
      </c>
      <c r="D1414" t="s">
        <v>42</v>
      </c>
      <c r="E1414" t="s">
        <v>177</v>
      </c>
      <c r="F1414" t="s">
        <v>23</v>
      </c>
      <c r="G1414" t="s">
        <v>1566</v>
      </c>
      <c r="H1414" t="s">
        <v>1567</v>
      </c>
      <c r="I1414" t="s">
        <v>160</v>
      </c>
      <c r="J1414">
        <v>5</v>
      </c>
      <c r="K1414">
        <v>5117000</v>
      </c>
      <c r="L1414">
        <v>0</v>
      </c>
      <c r="M1414">
        <v>3834000</v>
      </c>
      <c r="N1414">
        <f>(data[[#This Row],[unit_price]]*data[[#This Row],[quantity]]) * (1-data[[#This Row],[discount]])</f>
        <v>25585000</v>
      </c>
      <c r="O1414">
        <f>data[[#This Row],[sales]]-data[[#This Row],[cost]]</f>
        <v>21751000</v>
      </c>
      <c r="P1414" t="str">
        <f>TEXT(data[[#This Row],[order_date]],"mmm")</f>
        <v>Jun</v>
      </c>
      <c r="Q1414">
        <f>YEAR(data[[#This Row],[order_date]])</f>
        <v>2026</v>
      </c>
      <c r="R1414">
        <f>MONTH(data[[#This Row],[order_date]])</f>
        <v>6</v>
      </c>
      <c r="S1414">
        <f>DAY(data[[#This Row],[order_date]])</f>
        <v>18</v>
      </c>
      <c r="T1414">
        <f>data[[#This Row],[profit]]/data[[#This Row],[sales]]</f>
        <v>0.85014657025600937</v>
      </c>
    </row>
    <row r="1415" spans="1:20" x14ac:dyDescent="0.35">
      <c r="A1415" t="s">
        <v>1637</v>
      </c>
      <c r="B1415" s="1">
        <v>44954</v>
      </c>
      <c r="C1415" t="s">
        <v>49</v>
      </c>
      <c r="D1415" t="s">
        <v>50</v>
      </c>
      <c r="E1415" t="s">
        <v>168</v>
      </c>
      <c r="F1415" t="s">
        <v>23</v>
      </c>
      <c r="G1415" t="s">
        <v>1638</v>
      </c>
      <c r="H1415" t="s">
        <v>1639</v>
      </c>
      <c r="I1415" t="s">
        <v>363</v>
      </c>
      <c r="J1415">
        <v>1</v>
      </c>
      <c r="K1415">
        <v>2663000</v>
      </c>
      <c r="L1415">
        <v>0.1</v>
      </c>
      <c r="M1415">
        <v>2022000</v>
      </c>
      <c r="N1415">
        <f>(data[[#This Row],[unit_price]]*data[[#This Row],[quantity]]) * (1-data[[#This Row],[discount]])</f>
        <v>2396700</v>
      </c>
      <c r="O1415">
        <f>data[[#This Row],[sales]]-data[[#This Row],[cost]]</f>
        <v>374700</v>
      </c>
      <c r="P1415" t="str">
        <f>TEXT(data[[#This Row],[order_date]],"mmm")</f>
        <v>Jan</v>
      </c>
      <c r="Q1415">
        <f>YEAR(data[[#This Row],[order_date]])</f>
        <v>2023</v>
      </c>
      <c r="R1415">
        <f>MONTH(data[[#This Row],[order_date]])</f>
        <v>1</v>
      </c>
      <c r="S1415">
        <f>DAY(data[[#This Row],[order_date]])</f>
        <v>28</v>
      </c>
      <c r="T1415">
        <f>data[[#This Row],[profit]]/data[[#This Row],[sales]]</f>
        <v>0.15633996745525097</v>
      </c>
    </row>
    <row r="1416" spans="1:20" x14ac:dyDescent="0.35">
      <c r="A1416" t="s">
        <v>1640</v>
      </c>
      <c r="B1416" s="1">
        <v>44989</v>
      </c>
      <c r="C1416" t="s">
        <v>41</v>
      </c>
      <c r="D1416" t="s">
        <v>42</v>
      </c>
      <c r="E1416" t="s">
        <v>27</v>
      </c>
      <c r="F1416" t="s">
        <v>28</v>
      </c>
      <c r="G1416" t="s">
        <v>1638</v>
      </c>
      <c r="H1416" t="s">
        <v>1639</v>
      </c>
      <c r="I1416" t="s">
        <v>363</v>
      </c>
      <c r="J1416">
        <v>2</v>
      </c>
      <c r="K1416">
        <v>3530000</v>
      </c>
      <c r="L1416">
        <v>0</v>
      </c>
      <c r="M1416">
        <v>2691000</v>
      </c>
      <c r="N1416">
        <f>(data[[#This Row],[unit_price]]*data[[#This Row],[quantity]]) * (1-data[[#This Row],[discount]])</f>
        <v>7060000</v>
      </c>
      <c r="O1416">
        <f>data[[#This Row],[sales]]-data[[#This Row],[cost]]</f>
        <v>4369000</v>
      </c>
      <c r="P1416" t="str">
        <f>TEXT(data[[#This Row],[order_date]],"mmm")</f>
        <v>Mar</v>
      </c>
      <c r="Q1416">
        <f>YEAR(data[[#This Row],[order_date]])</f>
        <v>2023</v>
      </c>
      <c r="R1416">
        <f>MONTH(data[[#This Row],[order_date]])</f>
        <v>3</v>
      </c>
      <c r="S1416">
        <f>DAY(data[[#This Row],[order_date]])</f>
        <v>4</v>
      </c>
      <c r="T1416">
        <f>data[[#This Row],[profit]]/data[[#This Row],[sales]]</f>
        <v>0.61883852691218133</v>
      </c>
    </row>
    <row r="1417" spans="1:20" x14ac:dyDescent="0.35">
      <c r="A1417" t="s">
        <v>1641</v>
      </c>
      <c r="B1417" s="1">
        <v>45021</v>
      </c>
      <c r="C1417" t="s">
        <v>14</v>
      </c>
      <c r="D1417" t="s">
        <v>15</v>
      </c>
      <c r="E1417" t="s">
        <v>203</v>
      </c>
      <c r="F1417" t="s">
        <v>17</v>
      </c>
      <c r="G1417" t="s">
        <v>1638</v>
      </c>
      <c r="H1417" t="s">
        <v>1639</v>
      </c>
      <c r="I1417" t="s">
        <v>363</v>
      </c>
      <c r="J1417">
        <v>2</v>
      </c>
      <c r="K1417">
        <v>3836000</v>
      </c>
      <c r="L1417">
        <v>0</v>
      </c>
      <c r="M1417">
        <v>2950000</v>
      </c>
      <c r="N1417">
        <f>(data[[#This Row],[unit_price]]*data[[#This Row],[quantity]]) * (1-data[[#This Row],[discount]])</f>
        <v>7672000</v>
      </c>
      <c r="O1417">
        <f>data[[#This Row],[sales]]-data[[#This Row],[cost]]</f>
        <v>4722000</v>
      </c>
      <c r="P1417" t="str">
        <f>TEXT(data[[#This Row],[order_date]],"mmm")</f>
        <v>Apr</v>
      </c>
      <c r="Q1417">
        <f>YEAR(data[[#This Row],[order_date]])</f>
        <v>2023</v>
      </c>
      <c r="R1417">
        <f>MONTH(data[[#This Row],[order_date]])</f>
        <v>4</v>
      </c>
      <c r="S1417">
        <f>DAY(data[[#This Row],[order_date]])</f>
        <v>5</v>
      </c>
      <c r="T1417">
        <f>data[[#This Row],[profit]]/data[[#This Row],[sales]]</f>
        <v>0.61548488008342028</v>
      </c>
    </row>
    <row r="1418" spans="1:20" x14ac:dyDescent="0.35">
      <c r="A1418" t="s">
        <v>1642</v>
      </c>
      <c r="B1418" s="1">
        <v>45042</v>
      </c>
      <c r="C1418" t="s">
        <v>41</v>
      </c>
      <c r="D1418" t="s">
        <v>42</v>
      </c>
      <c r="E1418" t="s">
        <v>174</v>
      </c>
      <c r="F1418" t="s">
        <v>23</v>
      </c>
      <c r="G1418" t="s">
        <v>1638</v>
      </c>
      <c r="H1418" t="s">
        <v>1639</v>
      </c>
      <c r="I1418" t="s">
        <v>363</v>
      </c>
      <c r="J1418">
        <v>1</v>
      </c>
      <c r="K1418">
        <v>2617000</v>
      </c>
      <c r="L1418">
        <v>0</v>
      </c>
      <c r="M1418">
        <v>1997000</v>
      </c>
      <c r="N1418">
        <f>(data[[#This Row],[unit_price]]*data[[#This Row],[quantity]]) * (1-data[[#This Row],[discount]])</f>
        <v>2617000</v>
      </c>
      <c r="O1418">
        <f>data[[#This Row],[sales]]-data[[#This Row],[cost]]</f>
        <v>620000</v>
      </c>
      <c r="P1418" t="str">
        <f>TEXT(data[[#This Row],[order_date]],"mmm")</f>
        <v>Apr</v>
      </c>
      <c r="Q1418">
        <f>YEAR(data[[#This Row],[order_date]])</f>
        <v>2023</v>
      </c>
      <c r="R1418">
        <f>MONTH(data[[#This Row],[order_date]])</f>
        <v>4</v>
      </c>
      <c r="S1418">
        <f>DAY(data[[#This Row],[order_date]])</f>
        <v>26</v>
      </c>
      <c r="T1418">
        <f>data[[#This Row],[profit]]/data[[#This Row],[sales]]</f>
        <v>0.23691249522353841</v>
      </c>
    </row>
    <row r="1419" spans="1:20" x14ac:dyDescent="0.35">
      <c r="A1419" t="s">
        <v>1643</v>
      </c>
      <c r="B1419" s="1">
        <v>45044</v>
      </c>
      <c r="C1419" t="s">
        <v>36</v>
      </c>
      <c r="D1419" t="s">
        <v>37</v>
      </c>
      <c r="E1419" t="s">
        <v>205</v>
      </c>
      <c r="F1419" t="s">
        <v>17</v>
      </c>
      <c r="G1419" t="s">
        <v>1638</v>
      </c>
      <c r="H1419" t="s">
        <v>1639</v>
      </c>
      <c r="I1419" t="s">
        <v>363</v>
      </c>
      <c r="J1419">
        <v>3</v>
      </c>
      <c r="K1419">
        <v>3475000</v>
      </c>
      <c r="L1419">
        <v>0.05</v>
      </c>
      <c r="M1419">
        <v>2630000</v>
      </c>
      <c r="N1419">
        <f>(data[[#This Row],[unit_price]]*data[[#This Row],[quantity]]) * (1-data[[#This Row],[discount]])</f>
        <v>9903750</v>
      </c>
      <c r="O1419">
        <f>data[[#This Row],[sales]]-data[[#This Row],[cost]]</f>
        <v>7273750</v>
      </c>
      <c r="P1419" t="str">
        <f>TEXT(data[[#This Row],[order_date]],"mmm")</f>
        <v>Apr</v>
      </c>
      <c r="Q1419">
        <f>YEAR(data[[#This Row],[order_date]])</f>
        <v>2023</v>
      </c>
      <c r="R1419">
        <f>MONTH(data[[#This Row],[order_date]])</f>
        <v>4</v>
      </c>
      <c r="S1419">
        <f>DAY(data[[#This Row],[order_date]])</f>
        <v>28</v>
      </c>
      <c r="T1419">
        <f>data[[#This Row],[profit]]/data[[#This Row],[sales]]</f>
        <v>0.73444402372838569</v>
      </c>
    </row>
    <row r="1420" spans="1:20" x14ac:dyDescent="0.35">
      <c r="A1420" t="s">
        <v>1644</v>
      </c>
      <c r="B1420" s="1">
        <v>45058</v>
      </c>
      <c r="C1420" t="s">
        <v>25</v>
      </c>
      <c r="D1420" t="s">
        <v>26</v>
      </c>
      <c r="E1420" t="s">
        <v>228</v>
      </c>
      <c r="F1420" t="s">
        <v>17</v>
      </c>
      <c r="G1420" t="s">
        <v>1638</v>
      </c>
      <c r="H1420" t="s">
        <v>1639</v>
      </c>
      <c r="I1420" t="s">
        <v>363</v>
      </c>
      <c r="J1420">
        <v>2</v>
      </c>
      <c r="K1420">
        <v>2908000</v>
      </c>
      <c r="L1420">
        <v>0.1</v>
      </c>
      <c r="M1420">
        <v>2147000</v>
      </c>
      <c r="N1420">
        <f>(data[[#This Row],[unit_price]]*data[[#This Row],[quantity]]) * (1-data[[#This Row],[discount]])</f>
        <v>5234400</v>
      </c>
      <c r="O1420">
        <f>data[[#This Row],[sales]]-data[[#This Row],[cost]]</f>
        <v>3087400</v>
      </c>
      <c r="P1420" t="str">
        <f>TEXT(data[[#This Row],[order_date]],"mmm")</f>
        <v>May</v>
      </c>
      <c r="Q1420">
        <f>YEAR(data[[#This Row],[order_date]])</f>
        <v>2023</v>
      </c>
      <c r="R1420">
        <f>MONTH(data[[#This Row],[order_date]])</f>
        <v>5</v>
      </c>
      <c r="S1420">
        <f>DAY(data[[#This Row],[order_date]])</f>
        <v>12</v>
      </c>
      <c r="T1420">
        <f>data[[#This Row],[profit]]/data[[#This Row],[sales]]</f>
        <v>0.58982882469815068</v>
      </c>
    </row>
    <row r="1421" spans="1:20" x14ac:dyDescent="0.35">
      <c r="A1421" t="s">
        <v>1645</v>
      </c>
      <c r="B1421" s="1">
        <v>45070</v>
      </c>
      <c r="C1421" t="s">
        <v>41</v>
      </c>
      <c r="D1421" t="s">
        <v>42</v>
      </c>
      <c r="E1421" t="s">
        <v>323</v>
      </c>
      <c r="F1421" t="s">
        <v>28</v>
      </c>
      <c r="G1421" t="s">
        <v>1638</v>
      </c>
      <c r="H1421" t="s">
        <v>1639</v>
      </c>
      <c r="I1421" t="s">
        <v>363</v>
      </c>
      <c r="J1421">
        <v>3</v>
      </c>
      <c r="K1421">
        <v>3503000</v>
      </c>
      <c r="L1421">
        <v>0</v>
      </c>
      <c r="M1421">
        <v>2676000</v>
      </c>
      <c r="N1421">
        <f>(data[[#This Row],[unit_price]]*data[[#This Row],[quantity]]) * (1-data[[#This Row],[discount]])</f>
        <v>10509000</v>
      </c>
      <c r="O1421">
        <f>data[[#This Row],[sales]]-data[[#This Row],[cost]]</f>
        <v>7833000</v>
      </c>
      <c r="P1421" t="str">
        <f>TEXT(data[[#This Row],[order_date]],"mmm")</f>
        <v>May</v>
      </c>
      <c r="Q1421">
        <f>YEAR(data[[#This Row],[order_date]])</f>
        <v>2023</v>
      </c>
      <c r="R1421">
        <f>MONTH(data[[#This Row],[order_date]])</f>
        <v>5</v>
      </c>
      <c r="S1421">
        <f>DAY(data[[#This Row],[order_date]])</f>
        <v>24</v>
      </c>
      <c r="T1421">
        <f>data[[#This Row],[profit]]/data[[#This Row],[sales]]</f>
        <v>0.74536111904082214</v>
      </c>
    </row>
    <row r="1422" spans="1:20" x14ac:dyDescent="0.35">
      <c r="A1422" t="s">
        <v>1646</v>
      </c>
      <c r="B1422" s="1">
        <v>45080</v>
      </c>
      <c r="C1422" t="s">
        <v>41</v>
      </c>
      <c r="D1422" t="s">
        <v>42</v>
      </c>
      <c r="E1422" t="s">
        <v>447</v>
      </c>
      <c r="F1422" t="s">
        <v>23</v>
      </c>
      <c r="G1422" t="s">
        <v>1638</v>
      </c>
      <c r="H1422" t="s">
        <v>1639</v>
      </c>
      <c r="I1422" t="s">
        <v>363</v>
      </c>
      <c r="J1422">
        <v>1</v>
      </c>
      <c r="K1422">
        <v>2175000</v>
      </c>
      <c r="L1422">
        <v>0</v>
      </c>
      <c r="M1422">
        <v>1627000</v>
      </c>
      <c r="N1422">
        <f>(data[[#This Row],[unit_price]]*data[[#This Row],[quantity]]) * (1-data[[#This Row],[discount]])</f>
        <v>2175000</v>
      </c>
      <c r="O1422">
        <f>data[[#This Row],[sales]]-data[[#This Row],[cost]]</f>
        <v>548000</v>
      </c>
      <c r="P1422" t="str">
        <f>TEXT(data[[#This Row],[order_date]],"mmm")</f>
        <v>Jun</v>
      </c>
      <c r="Q1422">
        <f>YEAR(data[[#This Row],[order_date]])</f>
        <v>2023</v>
      </c>
      <c r="R1422">
        <f>MONTH(data[[#This Row],[order_date]])</f>
        <v>6</v>
      </c>
      <c r="S1422">
        <f>DAY(data[[#This Row],[order_date]])</f>
        <v>3</v>
      </c>
      <c r="T1422">
        <f>data[[#This Row],[profit]]/data[[#This Row],[sales]]</f>
        <v>0.25195402298850572</v>
      </c>
    </row>
    <row r="1423" spans="1:20" x14ac:dyDescent="0.35">
      <c r="A1423" t="s">
        <v>1647</v>
      </c>
      <c r="B1423" s="1">
        <v>45081</v>
      </c>
      <c r="C1423" t="s">
        <v>14</v>
      </c>
      <c r="D1423" t="s">
        <v>15</v>
      </c>
      <c r="E1423" t="s">
        <v>208</v>
      </c>
      <c r="F1423" t="s">
        <v>23</v>
      </c>
      <c r="G1423" t="s">
        <v>1638</v>
      </c>
      <c r="H1423" t="s">
        <v>1639</v>
      </c>
      <c r="I1423" t="s">
        <v>363</v>
      </c>
      <c r="J1423">
        <v>2</v>
      </c>
      <c r="K1423">
        <v>2414000</v>
      </c>
      <c r="L1423">
        <v>0</v>
      </c>
      <c r="M1423">
        <v>1807000</v>
      </c>
      <c r="N1423">
        <f>(data[[#This Row],[unit_price]]*data[[#This Row],[quantity]]) * (1-data[[#This Row],[discount]])</f>
        <v>4828000</v>
      </c>
      <c r="O1423">
        <f>data[[#This Row],[sales]]-data[[#This Row],[cost]]</f>
        <v>3021000</v>
      </c>
      <c r="P1423" t="str">
        <f>TEXT(data[[#This Row],[order_date]],"mmm")</f>
        <v>Jun</v>
      </c>
      <c r="Q1423">
        <f>YEAR(data[[#This Row],[order_date]])</f>
        <v>2023</v>
      </c>
      <c r="R1423">
        <f>MONTH(data[[#This Row],[order_date]])</f>
        <v>6</v>
      </c>
      <c r="S1423">
        <f>DAY(data[[#This Row],[order_date]])</f>
        <v>4</v>
      </c>
      <c r="T1423">
        <f>data[[#This Row],[profit]]/data[[#This Row],[sales]]</f>
        <v>0.62572493786246897</v>
      </c>
    </row>
    <row r="1424" spans="1:20" x14ac:dyDescent="0.35">
      <c r="A1424" t="s">
        <v>1648</v>
      </c>
      <c r="B1424" s="1">
        <v>45083</v>
      </c>
      <c r="C1424" t="s">
        <v>14</v>
      </c>
      <c r="D1424" t="s">
        <v>15</v>
      </c>
      <c r="E1424" t="s">
        <v>134</v>
      </c>
      <c r="F1424" t="s">
        <v>28</v>
      </c>
      <c r="G1424" t="s">
        <v>1638</v>
      </c>
      <c r="H1424" t="s">
        <v>1639</v>
      </c>
      <c r="I1424" t="s">
        <v>363</v>
      </c>
      <c r="J1424">
        <v>2</v>
      </c>
      <c r="K1424">
        <v>2745000</v>
      </c>
      <c r="L1424">
        <v>0</v>
      </c>
      <c r="M1424">
        <v>2048000</v>
      </c>
      <c r="N1424">
        <f>(data[[#This Row],[unit_price]]*data[[#This Row],[quantity]]) * (1-data[[#This Row],[discount]])</f>
        <v>5490000</v>
      </c>
      <c r="O1424">
        <f>data[[#This Row],[sales]]-data[[#This Row],[cost]]</f>
        <v>3442000</v>
      </c>
      <c r="P1424" t="str">
        <f>TEXT(data[[#This Row],[order_date]],"mmm")</f>
        <v>Jun</v>
      </c>
      <c r="Q1424">
        <f>YEAR(data[[#This Row],[order_date]])</f>
        <v>2023</v>
      </c>
      <c r="R1424">
        <f>MONTH(data[[#This Row],[order_date]])</f>
        <v>6</v>
      </c>
      <c r="S1424">
        <f>DAY(data[[#This Row],[order_date]])</f>
        <v>6</v>
      </c>
      <c r="T1424">
        <f>data[[#This Row],[profit]]/data[[#This Row],[sales]]</f>
        <v>0.62695810564663024</v>
      </c>
    </row>
    <row r="1425" spans="1:20" x14ac:dyDescent="0.35">
      <c r="A1425" t="s">
        <v>1649</v>
      </c>
      <c r="B1425" s="1">
        <v>45085</v>
      </c>
      <c r="C1425" t="s">
        <v>36</v>
      </c>
      <c r="D1425" t="s">
        <v>37</v>
      </c>
      <c r="E1425" t="s">
        <v>146</v>
      </c>
      <c r="F1425" t="s">
        <v>17</v>
      </c>
      <c r="G1425" t="s">
        <v>1638</v>
      </c>
      <c r="H1425" t="s">
        <v>1639</v>
      </c>
      <c r="I1425" t="s">
        <v>363</v>
      </c>
      <c r="J1425">
        <v>3</v>
      </c>
      <c r="K1425">
        <v>3668000</v>
      </c>
      <c r="L1425">
        <v>0.1</v>
      </c>
      <c r="M1425">
        <v>2778000</v>
      </c>
      <c r="N1425">
        <f>(data[[#This Row],[unit_price]]*data[[#This Row],[quantity]]) * (1-data[[#This Row],[discount]])</f>
        <v>9903600</v>
      </c>
      <c r="O1425">
        <f>data[[#This Row],[sales]]-data[[#This Row],[cost]]</f>
        <v>7125600</v>
      </c>
      <c r="P1425" t="str">
        <f>TEXT(data[[#This Row],[order_date]],"mmm")</f>
        <v>Jun</v>
      </c>
      <c r="Q1425">
        <f>YEAR(data[[#This Row],[order_date]])</f>
        <v>2023</v>
      </c>
      <c r="R1425">
        <f>MONTH(data[[#This Row],[order_date]])</f>
        <v>6</v>
      </c>
      <c r="S1425">
        <f>DAY(data[[#This Row],[order_date]])</f>
        <v>8</v>
      </c>
      <c r="T1425">
        <f>data[[#This Row],[profit]]/data[[#This Row],[sales]]</f>
        <v>0.71949594086998669</v>
      </c>
    </row>
    <row r="1426" spans="1:20" x14ac:dyDescent="0.35">
      <c r="A1426" t="s">
        <v>1650</v>
      </c>
      <c r="B1426" s="1">
        <v>45108</v>
      </c>
      <c r="C1426" t="s">
        <v>14</v>
      </c>
      <c r="D1426" t="s">
        <v>15</v>
      </c>
      <c r="E1426" t="s">
        <v>164</v>
      </c>
      <c r="F1426" t="s">
        <v>23</v>
      </c>
      <c r="G1426" t="s">
        <v>1638</v>
      </c>
      <c r="H1426" t="s">
        <v>1639</v>
      </c>
      <c r="I1426" t="s">
        <v>363</v>
      </c>
      <c r="J1426">
        <v>1</v>
      </c>
      <c r="K1426">
        <v>2238000</v>
      </c>
      <c r="L1426">
        <v>0</v>
      </c>
      <c r="M1426">
        <v>1668000</v>
      </c>
      <c r="N1426">
        <f>(data[[#This Row],[unit_price]]*data[[#This Row],[quantity]]) * (1-data[[#This Row],[discount]])</f>
        <v>2238000</v>
      </c>
      <c r="O1426">
        <f>data[[#This Row],[sales]]-data[[#This Row],[cost]]</f>
        <v>570000</v>
      </c>
      <c r="P1426" t="str">
        <f>TEXT(data[[#This Row],[order_date]],"mmm")</f>
        <v>Jul</v>
      </c>
      <c r="Q1426">
        <f>YEAR(data[[#This Row],[order_date]])</f>
        <v>2023</v>
      </c>
      <c r="R1426">
        <f>MONTH(data[[#This Row],[order_date]])</f>
        <v>7</v>
      </c>
      <c r="S1426">
        <f>DAY(data[[#This Row],[order_date]])</f>
        <v>1</v>
      </c>
      <c r="T1426">
        <f>data[[#This Row],[profit]]/data[[#This Row],[sales]]</f>
        <v>0.2546916890080429</v>
      </c>
    </row>
    <row r="1427" spans="1:20" x14ac:dyDescent="0.35">
      <c r="A1427" t="s">
        <v>1651</v>
      </c>
      <c r="B1427" s="1">
        <v>45119</v>
      </c>
      <c r="C1427" t="s">
        <v>49</v>
      </c>
      <c r="D1427" t="s">
        <v>50</v>
      </c>
      <c r="E1427" t="s">
        <v>359</v>
      </c>
      <c r="F1427" t="s">
        <v>23</v>
      </c>
      <c r="G1427" t="s">
        <v>1638</v>
      </c>
      <c r="H1427" t="s">
        <v>1639</v>
      </c>
      <c r="I1427" t="s">
        <v>363</v>
      </c>
      <c r="J1427">
        <v>1</v>
      </c>
      <c r="K1427">
        <v>2476000</v>
      </c>
      <c r="L1427">
        <v>0</v>
      </c>
      <c r="M1427">
        <v>1839000</v>
      </c>
      <c r="N1427">
        <f>(data[[#This Row],[unit_price]]*data[[#This Row],[quantity]]) * (1-data[[#This Row],[discount]])</f>
        <v>2476000</v>
      </c>
      <c r="O1427">
        <f>data[[#This Row],[sales]]-data[[#This Row],[cost]]</f>
        <v>637000</v>
      </c>
      <c r="P1427" t="str">
        <f>TEXT(data[[#This Row],[order_date]],"mmm")</f>
        <v>Jul</v>
      </c>
      <c r="Q1427">
        <f>YEAR(data[[#This Row],[order_date]])</f>
        <v>2023</v>
      </c>
      <c r="R1427">
        <f>MONTH(data[[#This Row],[order_date]])</f>
        <v>7</v>
      </c>
      <c r="S1427">
        <f>DAY(data[[#This Row],[order_date]])</f>
        <v>12</v>
      </c>
      <c r="T1427">
        <f>data[[#This Row],[profit]]/data[[#This Row],[sales]]</f>
        <v>0.25726978998384492</v>
      </c>
    </row>
    <row r="1428" spans="1:20" x14ac:dyDescent="0.35">
      <c r="A1428" t="s">
        <v>1652</v>
      </c>
      <c r="B1428" s="1">
        <v>45123</v>
      </c>
      <c r="C1428" t="s">
        <v>14</v>
      </c>
      <c r="D1428" t="s">
        <v>15</v>
      </c>
      <c r="E1428" t="s">
        <v>115</v>
      </c>
      <c r="F1428" t="s">
        <v>23</v>
      </c>
      <c r="G1428" t="s">
        <v>1638</v>
      </c>
      <c r="H1428" t="s">
        <v>1639</v>
      </c>
      <c r="I1428" t="s">
        <v>363</v>
      </c>
      <c r="J1428">
        <v>2</v>
      </c>
      <c r="K1428">
        <v>3739000</v>
      </c>
      <c r="L1428">
        <v>0</v>
      </c>
      <c r="M1428">
        <v>2861000</v>
      </c>
      <c r="N1428">
        <f>(data[[#This Row],[unit_price]]*data[[#This Row],[quantity]]) * (1-data[[#This Row],[discount]])</f>
        <v>7478000</v>
      </c>
      <c r="O1428">
        <f>data[[#This Row],[sales]]-data[[#This Row],[cost]]</f>
        <v>4617000</v>
      </c>
      <c r="P1428" t="str">
        <f>TEXT(data[[#This Row],[order_date]],"mmm")</f>
        <v>Jul</v>
      </c>
      <c r="Q1428">
        <f>YEAR(data[[#This Row],[order_date]])</f>
        <v>2023</v>
      </c>
      <c r="R1428">
        <f>MONTH(data[[#This Row],[order_date]])</f>
        <v>7</v>
      </c>
      <c r="S1428">
        <f>DAY(data[[#This Row],[order_date]])</f>
        <v>16</v>
      </c>
      <c r="T1428">
        <f>data[[#This Row],[profit]]/data[[#This Row],[sales]]</f>
        <v>0.61741107247927252</v>
      </c>
    </row>
    <row r="1429" spans="1:20" x14ac:dyDescent="0.35">
      <c r="A1429" t="s">
        <v>1653</v>
      </c>
      <c r="B1429" s="1">
        <v>45131</v>
      </c>
      <c r="C1429" t="s">
        <v>25</v>
      </c>
      <c r="D1429" t="s">
        <v>26</v>
      </c>
      <c r="E1429" t="s">
        <v>141</v>
      </c>
      <c r="F1429" t="s">
        <v>17</v>
      </c>
      <c r="G1429" t="s">
        <v>1638</v>
      </c>
      <c r="H1429" t="s">
        <v>1639</v>
      </c>
      <c r="I1429" t="s">
        <v>363</v>
      </c>
      <c r="J1429">
        <v>2</v>
      </c>
      <c r="K1429">
        <v>2842000</v>
      </c>
      <c r="L1429">
        <v>0.1</v>
      </c>
      <c r="M1429">
        <v>2187000</v>
      </c>
      <c r="N1429">
        <f>(data[[#This Row],[unit_price]]*data[[#This Row],[quantity]]) * (1-data[[#This Row],[discount]])</f>
        <v>5115600</v>
      </c>
      <c r="O1429">
        <f>data[[#This Row],[sales]]-data[[#This Row],[cost]]</f>
        <v>2928600</v>
      </c>
      <c r="P1429" t="str">
        <f>TEXT(data[[#This Row],[order_date]],"mmm")</f>
        <v>Jul</v>
      </c>
      <c r="Q1429">
        <f>YEAR(data[[#This Row],[order_date]])</f>
        <v>2023</v>
      </c>
      <c r="R1429">
        <f>MONTH(data[[#This Row],[order_date]])</f>
        <v>7</v>
      </c>
      <c r="S1429">
        <f>DAY(data[[#This Row],[order_date]])</f>
        <v>24</v>
      </c>
      <c r="T1429">
        <f>data[[#This Row],[profit]]/data[[#This Row],[sales]]</f>
        <v>0.57248416608022523</v>
      </c>
    </row>
    <row r="1430" spans="1:20" x14ac:dyDescent="0.35">
      <c r="A1430" t="s">
        <v>1654</v>
      </c>
      <c r="B1430" s="1">
        <v>45178</v>
      </c>
      <c r="C1430" t="s">
        <v>41</v>
      </c>
      <c r="D1430" t="s">
        <v>42</v>
      </c>
      <c r="E1430" t="s">
        <v>582</v>
      </c>
      <c r="F1430" t="s">
        <v>17</v>
      </c>
      <c r="G1430" t="s">
        <v>1638</v>
      </c>
      <c r="H1430" t="s">
        <v>1639</v>
      </c>
      <c r="I1430" t="s">
        <v>363</v>
      </c>
      <c r="J1430">
        <v>1</v>
      </c>
      <c r="K1430">
        <v>4200000</v>
      </c>
      <c r="L1430">
        <v>0</v>
      </c>
      <c r="M1430">
        <v>3162000</v>
      </c>
      <c r="N1430">
        <f>(data[[#This Row],[unit_price]]*data[[#This Row],[quantity]]) * (1-data[[#This Row],[discount]])</f>
        <v>4200000</v>
      </c>
      <c r="O1430">
        <f>data[[#This Row],[sales]]-data[[#This Row],[cost]]</f>
        <v>1038000</v>
      </c>
      <c r="P1430" t="str">
        <f>TEXT(data[[#This Row],[order_date]],"mmm")</f>
        <v>Sep</v>
      </c>
      <c r="Q1430">
        <f>YEAR(data[[#This Row],[order_date]])</f>
        <v>2023</v>
      </c>
      <c r="R1430">
        <f>MONTH(data[[#This Row],[order_date]])</f>
        <v>9</v>
      </c>
      <c r="S1430">
        <f>DAY(data[[#This Row],[order_date]])</f>
        <v>9</v>
      </c>
      <c r="T1430">
        <f>data[[#This Row],[profit]]/data[[#This Row],[sales]]</f>
        <v>0.24714285714285714</v>
      </c>
    </row>
    <row r="1431" spans="1:20" x14ac:dyDescent="0.35">
      <c r="A1431" t="s">
        <v>1655</v>
      </c>
      <c r="B1431" s="1">
        <v>45200</v>
      </c>
      <c r="C1431" t="s">
        <v>41</v>
      </c>
      <c r="D1431" t="s">
        <v>42</v>
      </c>
      <c r="E1431" t="s">
        <v>301</v>
      </c>
      <c r="F1431" t="s">
        <v>28</v>
      </c>
      <c r="G1431" t="s">
        <v>1638</v>
      </c>
      <c r="H1431" t="s">
        <v>1639</v>
      </c>
      <c r="I1431" t="s">
        <v>363</v>
      </c>
      <c r="J1431">
        <v>2</v>
      </c>
      <c r="K1431">
        <v>2708000</v>
      </c>
      <c r="L1431">
        <v>0</v>
      </c>
      <c r="M1431">
        <v>1994000</v>
      </c>
      <c r="N1431">
        <f>(data[[#This Row],[unit_price]]*data[[#This Row],[quantity]]) * (1-data[[#This Row],[discount]])</f>
        <v>5416000</v>
      </c>
      <c r="O1431">
        <f>data[[#This Row],[sales]]-data[[#This Row],[cost]]</f>
        <v>3422000</v>
      </c>
      <c r="P1431" t="str">
        <f>TEXT(data[[#This Row],[order_date]],"mmm")</f>
        <v>Oct</v>
      </c>
      <c r="Q1431">
        <f>YEAR(data[[#This Row],[order_date]])</f>
        <v>2023</v>
      </c>
      <c r="R1431">
        <f>MONTH(data[[#This Row],[order_date]])</f>
        <v>10</v>
      </c>
      <c r="S1431">
        <f>DAY(data[[#This Row],[order_date]])</f>
        <v>1</v>
      </c>
      <c r="T1431">
        <f>data[[#This Row],[profit]]/data[[#This Row],[sales]]</f>
        <v>0.6318316100443131</v>
      </c>
    </row>
    <row r="1432" spans="1:20" x14ac:dyDescent="0.35">
      <c r="A1432" t="s">
        <v>1656</v>
      </c>
      <c r="B1432" s="1">
        <v>45215</v>
      </c>
      <c r="C1432" t="s">
        <v>41</v>
      </c>
      <c r="D1432" t="s">
        <v>42</v>
      </c>
      <c r="E1432" t="s">
        <v>95</v>
      </c>
      <c r="F1432" t="s">
        <v>23</v>
      </c>
      <c r="G1432" t="s">
        <v>1638</v>
      </c>
      <c r="H1432" t="s">
        <v>1639</v>
      </c>
      <c r="I1432" t="s">
        <v>363</v>
      </c>
      <c r="J1432">
        <v>1</v>
      </c>
      <c r="K1432">
        <v>3209000</v>
      </c>
      <c r="L1432">
        <v>0</v>
      </c>
      <c r="M1432">
        <v>2419000</v>
      </c>
      <c r="N1432">
        <f>(data[[#This Row],[unit_price]]*data[[#This Row],[quantity]]) * (1-data[[#This Row],[discount]])</f>
        <v>3209000</v>
      </c>
      <c r="O1432">
        <f>data[[#This Row],[sales]]-data[[#This Row],[cost]]</f>
        <v>790000</v>
      </c>
      <c r="P1432" t="str">
        <f>TEXT(data[[#This Row],[order_date]],"mmm")</f>
        <v>Oct</v>
      </c>
      <c r="Q1432">
        <f>YEAR(data[[#This Row],[order_date]])</f>
        <v>2023</v>
      </c>
      <c r="R1432">
        <f>MONTH(data[[#This Row],[order_date]])</f>
        <v>10</v>
      </c>
      <c r="S1432">
        <f>DAY(data[[#This Row],[order_date]])</f>
        <v>16</v>
      </c>
      <c r="T1432">
        <f>data[[#This Row],[profit]]/data[[#This Row],[sales]]</f>
        <v>0.24618261140542225</v>
      </c>
    </row>
    <row r="1433" spans="1:20" x14ac:dyDescent="0.35">
      <c r="A1433" t="s">
        <v>1657</v>
      </c>
      <c r="B1433" s="1">
        <v>45242</v>
      </c>
      <c r="C1433" t="s">
        <v>49</v>
      </c>
      <c r="D1433" t="s">
        <v>50</v>
      </c>
      <c r="E1433" t="s">
        <v>216</v>
      </c>
      <c r="F1433" t="s">
        <v>17</v>
      </c>
      <c r="G1433" t="s">
        <v>1638</v>
      </c>
      <c r="H1433" t="s">
        <v>1639</v>
      </c>
      <c r="I1433" t="s">
        <v>363</v>
      </c>
      <c r="J1433">
        <v>2</v>
      </c>
      <c r="K1433">
        <v>2632000</v>
      </c>
      <c r="L1433">
        <v>0</v>
      </c>
      <c r="M1433">
        <v>2013000</v>
      </c>
      <c r="N1433">
        <f>(data[[#This Row],[unit_price]]*data[[#This Row],[quantity]]) * (1-data[[#This Row],[discount]])</f>
        <v>5264000</v>
      </c>
      <c r="O1433">
        <f>data[[#This Row],[sales]]-data[[#This Row],[cost]]</f>
        <v>3251000</v>
      </c>
      <c r="P1433" t="str">
        <f>TEXT(data[[#This Row],[order_date]],"mmm")</f>
        <v>Nov</v>
      </c>
      <c r="Q1433">
        <f>YEAR(data[[#This Row],[order_date]])</f>
        <v>2023</v>
      </c>
      <c r="R1433">
        <f>MONTH(data[[#This Row],[order_date]])</f>
        <v>11</v>
      </c>
      <c r="S1433">
        <f>DAY(data[[#This Row],[order_date]])</f>
        <v>12</v>
      </c>
      <c r="T1433">
        <f>data[[#This Row],[profit]]/data[[#This Row],[sales]]</f>
        <v>0.61759118541033431</v>
      </c>
    </row>
    <row r="1434" spans="1:20" x14ac:dyDescent="0.35">
      <c r="A1434" t="s">
        <v>1658</v>
      </c>
      <c r="B1434" s="1">
        <v>45273</v>
      </c>
      <c r="C1434" t="s">
        <v>36</v>
      </c>
      <c r="D1434" t="s">
        <v>37</v>
      </c>
      <c r="E1434" t="s">
        <v>55</v>
      </c>
      <c r="F1434" t="s">
        <v>17</v>
      </c>
      <c r="G1434" t="s">
        <v>1638</v>
      </c>
      <c r="H1434" t="s">
        <v>1639</v>
      </c>
      <c r="I1434" t="s">
        <v>363</v>
      </c>
      <c r="J1434">
        <v>1</v>
      </c>
      <c r="K1434">
        <v>2552000</v>
      </c>
      <c r="L1434">
        <v>0</v>
      </c>
      <c r="M1434">
        <v>1887000</v>
      </c>
      <c r="N1434">
        <f>(data[[#This Row],[unit_price]]*data[[#This Row],[quantity]]) * (1-data[[#This Row],[discount]])</f>
        <v>2552000</v>
      </c>
      <c r="O1434">
        <f>data[[#This Row],[sales]]-data[[#This Row],[cost]]</f>
        <v>665000</v>
      </c>
      <c r="P1434" t="str">
        <f>TEXT(data[[#This Row],[order_date]],"mmm")</f>
        <v>Dec</v>
      </c>
      <c r="Q1434">
        <f>YEAR(data[[#This Row],[order_date]])</f>
        <v>2023</v>
      </c>
      <c r="R1434">
        <f>MONTH(data[[#This Row],[order_date]])</f>
        <v>12</v>
      </c>
      <c r="S1434">
        <f>DAY(data[[#This Row],[order_date]])</f>
        <v>13</v>
      </c>
      <c r="T1434">
        <f>data[[#This Row],[profit]]/data[[#This Row],[sales]]</f>
        <v>0.26057993730407525</v>
      </c>
    </row>
    <row r="1435" spans="1:20" x14ac:dyDescent="0.35">
      <c r="A1435" t="s">
        <v>1659</v>
      </c>
      <c r="B1435" s="1">
        <v>45275</v>
      </c>
      <c r="C1435" t="s">
        <v>49</v>
      </c>
      <c r="D1435" t="s">
        <v>50</v>
      </c>
      <c r="E1435" t="s">
        <v>113</v>
      </c>
      <c r="F1435" t="s">
        <v>23</v>
      </c>
      <c r="G1435" t="s">
        <v>1638</v>
      </c>
      <c r="H1435" t="s">
        <v>1639</v>
      </c>
      <c r="I1435" t="s">
        <v>363</v>
      </c>
      <c r="J1435">
        <v>1</v>
      </c>
      <c r="K1435">
        <v>4217000</v>
      </c>
      <c r="L1435">
        <v>0</v>
      </c>
      <c r="M1435">
        <v>3171000</v>
      </c>
      <c r="N1435">
        <f>(data[[#This Row],[unit_price]]*data[[#This Row],[quantity]]) * (1-data[[#This Row],[discount]])</f>
        <v>4217000</v>
      </c>
      <c r="O1435">
        <f>data[[#This Row],[sales]]-data[[#This Row],[cost]]</f>
        <v>1046000</v>
      </c>
      <c r="P1435" t="str">
        <f>TEXT(data[[#This Row],[order_date]],"mmm")</f>
        <v>Dec</v>
      </c>
      <c r="Q1435">
        <f>YEAR(data[[#This Row],[order_date]])</f>
        <v>2023</v>
      </c>
      <c r="R1435">
        <f>MONTH(data[[#This Row],[order_date]])</f>
        <v>12</v>
      </c>
      <c r="S1435">
        <f>DAY(data[[#This Row],[order_date]])</f>
        <v>15</v>
      </c>
      <c r="T1435">
        <f>data[[#This Row],[profit]]/data[[#This Row],[sales]]</f>
        <v>0.24804363291439413</v>
      </c>
    </row>
    <row r="1436" spans="1:20" x14ac:dyDescent="0.35">
      <c r="A1436" t="s">
        <v>1660</v>
      </c>
      <c r="B1436" s="1">
        <v>45301</v>
      </c>
      <c r="C1436" t="s">
        <v>14</v>
      </c>
      <c r="D1436" t="s">
        <v>15</v>
      </c>
      <c r="E1436" t="s">
        <v>210</v>
      </c>
      <c r="F1436" t="s">
        <v>23</v>
      </c>
      <c r="G1436" t="s">
        <v>1638</v>
      </c>
      <c r="H1436" t="s">
        <v>1639</v>
      </c>
      <c r="I1436" t="s">
        <v>363</v>
      </c>
      <c r="J1436">
        <v>1</v>
      </c>
      <c r="K1436">
        <v>2391000</v>
      </c>
      <c r="L1436">
        <v>0</v>
      </c>
      <c r="M1436">
        <v>1795000</v>
      </c>
      <c r="N1436">
        <f>(data[[#This Row],[unit_price]]*data[[#This Row],[quantity]]) * (1-data[[#This Row],[discount]])</f>
        <v>2391000</v>
      </c>
      <c r="O1436">
        <f>data[[#This Row],[sales]]-data[[#This Row],[cost]]</f>
        <v>596000</v>
      </c>
      <c r="P1436" t="str">
        <f>TEXT(data[[#This Row],[order_date]],"mmm")</f>
        <v>Jan</v>
      </c>
      <c r="Q1436">
        <f>YEAR(data[[#This Row],[order_date]])</f>
        <v>2024</v>
      </c>
      <c r="R1436">
        <f>MONTH(data[[#This Row],[order_date]])</f>
        <v>1</v>
      </c>
      <c r="S1436">
        <f>DAY(data[[#This Row],[order_date]])</f>
        <v>10</v>
      </c>
      <c r="T1436">
        <f>data[[#This Row],[profit]]/data[[#This Row],[sales]]</f>
        <v>0.2492680886658302</v>
      </c>
    </row>
    <row r="1437" spans="1:20" x14ac:dyDescent="0.35">
      <c r="A1437" t="s">
        <v>1661</v>
      </c>
      <c r="B1437" s="1">
        <v>45348</v>
      </c>
      <c r="C1437" t="s">
        <v>14</v>
      </c>
      <c r="D1437" t="s">
        <v>15</v>
      </c>
      <c r="E1437" t="s">
        <v>352</v>
      </c>
      <c r="F1437" t="s">
        <v>23</v>
      </c>
      <c r="G1437" t="s">
        <v>1638</v>
      </c>
      <c r="H1437" t="s">
        <v>1639</v>
      </c>
      <c r="I1437" t="s">
        <v>363</v>
      </c>
      <c r="J1437">
        <v>3</v>
      </c>
      <c r="K1437">
        <v>3683000</v>
      </c>
      <c r="L1437">
        <v>0</v>
      </c>
      <c r="M1437">
        <v>2718000</v>
      </c>
      <c r="N1437">
        <f>(data[[#This Row],[unit_price]]*data[[#This Row],[quantity]]) * (1-data[[#This Row],[discount]])</f>
        <v>11049000</v>
      </c>
      <c r="O1437">
        <f>data[[#This Row],[sales]]-data[[#This Row],[cost]]</f>
        <v>8331000</v>
      </c>
      <c r="P1437" t="str">
        <f>TEXT(data[[#This Row],[order_date]],"mmm")</f>
        <v>Feb</v>
      </c>
      <c r="Q1437">
        <f>YEAR(data[[#This Row],[order_date]])</f>
        <v>2024</v>
      </c>
      <c r="R1437">
        <f>MONTH(data[[#This Row],[order_date]])</f>
        <v>2</v>
      </c>
      <c r="S1437">
        <f>DAY(data[[#This Row],[order_date]])</f>
        <v>26</v>
      </c>
      <c r="T1437">
        <f>data[[#This Row],[profit]]/data[[#This Row],[sales]]</f>
        <v>0.7540048873201195</v>
      </c>
    </row>
    <row r="1438" spans="1:20" x14ac:dyDescent="0.35">
      <c r="A1438" t="s">
        <v>1662</v>
      </c>
      <c r="B1438" s="1">
        <v>45352</v>
      </c>
      <c r="C1438" t="s">
        <v>14</v>
      </c>
      <c r="D1438" t="s">
        <v>15</v>
      </c>
      <c r="E1438" t="s">
        <v>65</v>
      </c>
      <c r="F1438" t="s">
        <v>17</v>
      </c>
      <c r="G1438" t="s">
        <v>1638</v>
      </c>
      <c r="H1438" t="s">
        <v>1639</v>
      </c>
      <c r="I1438" t="s">
        <v>363</v>
      </c>
      <c r="J1438">
        <v>3</v>
      </c>
      <c r="K1438">
        <v>2716000</v>
      </c>
      <c r="L1438">
        <v>0</v>
      </c>
      <c r="M1438">
        <v>2033000</v>
      </c>
      <c r="N1438">
        <f>(data[[#This Row],[unit_price]]*data[[#This Row],[quantity]]) * (1-data[[#This Row],[discount]])</f>
        <v>8148000</v>
      </c>
      <c r="O1438">
        <f>data[[#This Row],[sales]]-data[[#This Row],[cost]]</f>
        <v>6115000</v>
      </c>
      <c r="P1438" t="str">
        <f>TEXT(data[[#This Row],[order_date]],"mmm")</f>
        <v>Mar</v>
      </c>
      <c r="Q1438">
        <f>YEAR(data[[#This Row],[order_date]])</f>
        <v>2024</v>
      </c>
      <c r="R1438">
        <f>MONTH(data[[#This Row],[order_date]])</f>
        <v>3</v>
      </c>
      <c r="S1438">
        <f>DAY(data[[#This Row],[order_date]])</f>
        <v>1</v>
      </c>
      <c r="T1438">
        <f>data[[#This Row],[profit]]/data[[#This Row],[sales]]</f>
        <v>0.75049091801669121</v>
      </c>
    </row>
    <row r="1439" spans="1:20" x14ac:dyDescent="0.35">
      <c r="A1439" t="s">
        <v>1663</v>
      </c>
      <c r="B1439" s="1">
        <v>45396</v>
      </c>
      <c r="C1439" t="s">
        <v>25</v>
      </c>
      <c r="D1439" t="s">
        <v>26</v>
      </c>
      <c r="E1439" t="s">
        <v>27</v>
      </c>
      <c r="F1439" t="s">
        <v>28</v>
      </c>
      <c r="G1439" t="s">
        <v>1638</v>
      </c>
      <c r="H1439" t="s">
        <v>1639</v>
      </c>
      <c r="I1439" t="s">
        <v>363</v>
      </c>
      <c r="J1439">
        <v>1</v>
      </c>
      <c r="K1439">
        <v>3116000</v>
      </c>
      <c r="L1439">
        <v>0</v>
      </c>
      <c r="M1439">
        <v>2322000</v>
      </c>
      <c r="N1439">
        <f>(data[[#This Row],[unit_price]]*data[[#This Row],[quantity]]) * (1-data[[#This Row],[discount]])</f>
        <v>3116000</v>
      </c>
      <c r="O1439">
        <f>data[[#This Row],[sales]]-data[[#This Row],[cost]]</f>
        <v>794000</v>
      </c>
      <c r="P1439" t="str">
        <f>TEXT(data[[#This Row],[order_date]],"mmm")</f>
        <v>Apr</v>
      </c>
      <c r="Q1439">
        <f>YEAR(data[[#This Row],[order_date]])</f>
        <v>2024</v>
      </c>
      <c r="R1439">
        <f>MONTH(data[[#This Row],[order_date]])</f>
        <v>4</v>
      </c>
      <c r="S1439">
        <f>DAY(data[[#This Row],[order_date]])</f>
        <v>14</v>
      </c>
      <c r="T1439">
        <f>data[[#This Row],[profit]]/data[[#This Row],[sales]]</f>
        <v>0.25481386392811295</v>
      </c>
    </row>
    <row r="1440" spans="1:20" x14ac:dyDescent="0.35">
      <c r="A1440" t="s">
        <v>1664</v>
      </c>
      <c r="B1440" s="1">
        <v>45422</v>
      </c>
      <c r="C1440" t="s">
        <v>14</v>
      </c>
      <c r="D1440" t="s">
        <v>15</v>
      </c>
      <c r="E1440" t="s">
        <v>136</v>
      </c>
      <c r="F1440" t="s">
        <v>23</v>
      </c>
      <c r="G1440" t="s">
        <v>1638</v>
      </c>
      <c r="H1440" t="s">
        <v>1639</v>
      </c>
      <c r="I1440" t="s">
        <v>363</v>
      </c>
      <c r="J1440">
        <v>1</v>
      </c>
      <c r="K1440">
        <v>3732000</v>
      </c>
      <c r="L1440">
        <v>0</v>
      </c>
      <c r="M1440">
        <v>2864000</v>
      </c>
      <c r="N1440">
        <f>(data[[#This Row],[unit_price]]*data[[#This Row],[quantity]]) * (1-data[[#This Row],[discount]])</f>
        <v>3732000</v>
      </c>
      <c r="O1440">
        <f>data[[#This Row],[sales]]-data[[#This Row],[cost]]</f>
        <v>868000</v>
      </c>
      <c r="P1440" t="str">
        <f>TEXT(data[[#This Row],[order_date]],"mmm")</f>
        <v>May</v>
      </c>
      <c r="Q1440">
        <f>YEAR(data[[#This Row],[order_date]])</f>
        <v>2024</v>
      </c>
      <c r="R1440">
        <f>MONTH(data[[#This Row],[order_date]])</f>
        <v>5</v>
      </c>
      <c r="S1440">
        <f>DAY(data[[#This Row],[order_date]])</f>
        <v>10</v>
      </c>
      <c r="T1440">
        <f>data[[#This Row],[profit]]/data[[#This Row],[sales]]</f>
        <v>0.23258306538049303</v>
      </c>
    </row>
    <row r="1441" spans="1:20" x14ac:dyDescent="0.35">
      <c r="A1441" t="s">
        <v>1665</v>
      </c>
      <c r="B1441" s="1">
        <v>45451</v>
      </c>
      <c r="C1441" t="s">
        <v>14</v>
      </c>
      <c r="D1441" t="s">
        <v>15</v>
      </c>
      <c r="E1441" t="s">
        <v>152</v>
      </c>
      <c r="F1441" t="s">
        <v>23</v>
      </c>
      <c r="G1441" t="s">
        <v>1638</v>
      </c>
      <c r="H1441" t="s">
        <v>1639</v>
      </c>
      <c r="I1441" t="s">
        <v>363</v>
      </c>
      <c r="J1441">
        <v>1</v>
      </c>
      <c r="K1441">
        <v>3919000</v>
      </c>
      <c r="L1441">
        <v>0</v>
      </c>
      <c r="M1441">
        <v>2902000</v>
      </c>
      <c r="N1441">
        <f>(data[[#This Row],[unit_price]]*data[[#This Row],[quantity]]) * (1-data[[#This Row],[discount]])</f>
        <v>3919000</v>
      </c>
      <c r="O1441">
        <f>data[[#This Row],[sales]]-data[[#This Row],[cost]]</f>
        <v>1017000</v>
      </c>
      <c r="P1441" t="str">
        <f>TEXT(data[[#This Row],[order_date]],"mmm")</f>
        <v>Jun</v>
      </c>
      <c r="Q1441">
        <f>YEAR(data[[#This Row],[order_date]])</f>
        <v>2024</v>
      </c>
      <c r="R1441">
        <f>MONTH(data[[#This Row],[order_date]])</f>
        <v>6</v>
      </c>
      <c r="S1441">
        <f>DAY(data[[#This Row],[order_date]])</f>
        <v>8</v>
      </c>
      <c r="T1441">
        <f>data[[#This Row],[profit]]/data[[#This Row],[sales]]</f>
        <v>0.25950497575912224</v>
      </c>
    </row>
    <row r="1442" spans="1:20" x14ac:dyDescent="0.35">
      <c r="A1442" t="s">
        <v>1666</v>
      </c>
      <c r="B1442" s="1">
        <v>45472</v>
      </c>
      <c r="C1442" t="s">
        <v>14</v>
      </c>
      <c r="D1442" t="s">
        <v>15</v>
      </c>
      <c r="E1442" t="s">
        <v>43</v>
      </c>
      <c r="F1442" t="s">
        <v>17</v>
      </c>
      <c r="G1442" t="s">
        <v>1638</v>
      </c>
      <c r="H1442" t="s">
        <v>1639</v>
      </c>
      <c r="I1442" t="s">
        <v>363</v>
      </c>
      <c r="J1442">
        <v>1</v>
      </c>
      <c r="K1442">
        <v>2275000</v>
      </c>
      <c r="L1442">
        <v>0</v>
      </c>
      <c r="M1442">
        <v>1705000</v>
      </c>
      <c r="N1442">
        <f>(data[[#This Row],[unit_price]]*data[[#This Row],[quantity]]) * (1-data[[#This Row],[discount]])</f>
        <v>2275000</v>
      </c>
      <c r="O1442">
        <f>data[[#This Row],[sales]]-data[[#This Row],[cost]]</f>
        <v>570000</v>
      </c>
      <c r="P1442" t="str">
        <f>TEXT(data[[#This Row],[order_date]],"mmm")</f>
        <v>Jun</v>
      </c>
      <c r="Q1442">
        <f>YEAR(data[[#This Row],[order_date]])</f>
        <v>2024</v>
      </c>
      <c r="R1442">
        <f>MONTH(data[[#This Row],[order_date]])</f>
        <v>6</v>
      </c>
      <c r="S1442">
        <f>DAY(data[[#This Row],[order_date]])</f>
        <v>29</v>
      </c>
      <c r="T1442">
        <f>data[[#This Row],[profit]]/data[[#This Row],[sales]]</f>
        <v>0.25054945054945055</v>
      </c>
    </row>
    <row r="1443" spans="1:20" x14ac:dyDescent="0.35">
      <c r="A1443" t="s">
        <v>1667</v>
      </c>
      <c r="B1443" s="1">
        <v>45487</v>
      </c>
      <c r="C1443" t="s">
        <v>49</v>
      </c>
      <c r="D1443" t="s">
        <v>50</v>
      </c>
      <c r="E1443" t="s">
        <v>340</v>
      </c>
      <c r="F1443" t="s">
        <v>23</v>
      </c>
      <c r="G1443" t="s">
        <v>1638</v>
      </c>
      <c r="H1443" t="s">
        <v>1639</v>
      </c>
      <c r="I1443" t="s">
        <v>363</v>
      </c>
      <c r="J1443">
        <v>1</v>
      </c>
      <c r="K1443">
        <v>4565000</v>
      </c>
      <c r="L1443">
        <v>0</v>
      </c>
      <c r="M1443">
        <v>3497000</v>
      </c>
      <c r="N1443">
        <f>(data[[#This Row],[unit_price]]*data[[#This Row],[quantity]]) * (1-data[[#This Row],[discount]])</f>
        <v>4565000</v>
      </c>
      <c r="O1443">
        <f>data[[#This Row],[sales]]-data[[#This Row],[cost]]</f>
        <v>1068000</v>
      </c>
      <c r="P1443" t="str">
        <f>TEXT(data[[#This Row],[order_date]],"mmm")</f>
        <v>Jul</v>
      </c>
      <c r="Q1443">
        <f>YEAR(data[[#This Row],[order_date]])</f>
        <v>2024</v>
      </c>
      <c r="R1443">
        <f>MONTH(data[[#This Row],[order_date]])</f>
        <v>7</v>
      </c>
      <c r="S1443">
        <f>DAY(data[[#This Row],[order_date]])</f>
        <v>14</v>
      </c>
      <c r="T1443">
        <f>data[[#This Row],[profit]]/data[[#This Row],[sales]]</f>
        <v>0.2339539978094195</v>
      </c>
    </row>
    <row r="1444" spans="1:20" x14ac:dyDescent="0.35">
      <c r="A1444" t="s">
        <v>1668</v>
      </c>
      <c r="B1444" s="1">
        <v>45508</v>
      </c>
      <c r="C1444" t="s">
        <v>49</v>
      </c>
      <c r="D1444" t="s">
        <v>50</v>
      </c>
      <c r="E1444" t="s">
        <v>197</v>
      </c>
      <c r="F1444" t="s">
        <v>28</v>
      </c>
      <c r="G1444" t="s">
        <v>1638</v>
      </c>
      <c r="H1444" t="s">
        <v>1639</v>
      </c>
      <c r="I1444" t="s">
        <v>363</v>
      </c>
      <c r="J1444">
        <v>1</v>
      </c>
      <c r="K1444">
        <v>3768000</v>
      </c>
      <c r="L1444">
        <v>0</v>
      </c>
      <c r="M1444">
        <v>2761000</v>
      </c>
      <c r="N1444">
        <f>(data[[#This Row],[unit_price]]*data[[#This Row],[quantity]]) * (1-data[[#This Row],[discount]])</f>
        <v>3768000</v>
      </c>
      <c r="O1444">
        <f>data[[#This Row],[sales]]-data[[#This Row],[cost]]</f>
        <v>1007000</v>
      </c>
      <c r="P1444" t="str">
        <f>TEXT(data[[#This Row],[order_date]],"mmm")</f>
        <v>Aug</v>
      </c>
      <c r="Q1444">
        <f>YEAR(data[[#This Row],[order_date]])</f>
        <v>2024</v>
      </c>
      <c r="R1444">
        <f>MONTH(data[[#This Row],[order_date]])</f>
        <v>8</v>
      </c>
      <c r="S1444">
        <f>DAY(data[[#This Row],[order_date]])</f>
        <v>4</v>
      </c>
      <c r="T1444">
        <f>data[[#This Row],[profit]]/data[[#This Row],[sales]]</f>
        <v>0.26725053078556266</v>
      </c>
    </row>
    <row r="1445" spans="1:20" x14ac:dyDescent="0.35">
      <c r="A1445" t="s">
        <v>1669</v>
      </c>
      <c r="B1445" s="1">
        <v>45544</v>
      </c>
      <c r="C1445" t="s">
        <v>49</v>
      </c>
      <c r="D1445" t="s">
        <v>50</v>
      </c>
      <c r="E1445" t="s">
        <v>69</v>
      </c>
      <c r="F1445" t="s">
        <v>23</v>
      </c>
      <c r="G1445" t="s">
        <v>1638</v>
      </c>
      <c r="H1445" t="s">
        <v>1639</v>
      </c>
      <c r="I1445" t="s">
        <v>363</v>
      </c>
      <c r="J1445">
        <v>1</v>
      </c>
      <c r="K1445">
        <v>2920000</v>
      </c>
      <c r="L1445">
        <v>0.05</v>
      </c>
      <c r="M1445">
        <v>2135000</v>
      </c>
      <c r="N1445">
        <f>(data[[#This Row],[unit_price]]*data[[#This Row],[quantity]]) * (1-data[[#This Row],[discount]])</f>
        <v>2774000</v>
      </c>
      <c r="O1445">
        <f>data[[#This Row],[sales]]-data[[#This Row],[cost]]</f>
        <v>639000</v>
      </c>
      <c r="P1445" t="str">
        <f>TEXT(data[[#This Row],[order_date]],"mmm")</f>
        <v>Sep</v>
      </c>
      <c r="Q1445">
        <f>YEAR(data[[#This Row],[order_date]])</f>
        <v>2024</v>
      </c>
      <c r="R1445">
        <f>MONTH(data[[#This Row],[order_date]])</f>
        <v>9</v>
      </c>
      <c r="S1445">
        <f>DAY(data[[#This Row],[order_date]])</f>
        <v>9</v>
      </c>
      <c r="T1445">
        <f>data[[#This Row],[profit]]/data[[#This Row],[sales]]</f>
        <v>0.23035328046142753</v>
      </c>
    </row>
    <row r="1446" spans="1:20" x14ac:dyDescent="0.35">
      <c r="A1446" t="s">
        <v>1670</v>
      </c>
      <c r="B1446" s="1">
        <v>45550</v>
      </c>
      <c r="C1446" t="s">
        <v>14</v>
      </c>
      <c r="D1446" t="s">
        <v>15</v>
      </c>
      <c r="E1446" t="s">
        <v>191</v>
      </c>
      <c r="F1446" t="s">
        <v>23</v>
      </c>
      <c r="G1446" t="s">
        <v>1638</v>
      </c>
      <c r="H1446" t="s">
        <v>1639</v>
      </c>
      <c r="I1446" t="s">
        <v>363</v>
      </c>
      <c r="J1446">
        <v>2</v>
      </c>
      <c r="K1446">
        <v>4435000</v>
      </c>
      <c r="L1446">
        <v>0.05</v>
      </c>
      <c r="M1446">
        <v>3297000</v>
      </c>
      <c r="N1446">
        <f>(data[[#This Row],[unit_price]]*data[[#This Row],[quantity]]) * (1-data[[#This Row],[discount]])</f>
        <v>8426500</v>
      </c>
      <c r="O1446">
        <f>data[[#This Row],[sales]]-data[[#This Row],[cost]]</f>
        <v>5129500</v>
      </c>
      <c r="P1446" t="str">
        <f>TEXT(data[[#This Row],[order_date]],"mmm")</f>
        <v>Sep</v>
      </c>
      <c r="Q1446">
        <f>YEAR(data[[#This Row],[order_date]])</f>
        <v>2024</v>
      </c>
      <c r="R1446">
        <f>MONTH(data[[#This Row],[order_date]])</f>
        <v>9</v>
      </c>
      <c r="S1446">
        <f>DAY(data[[#This Row],[order_date]])</f>
        <v>15</v>
      </c>
      <c r="T1446">
        <f>data[[#This Row],[profit]]/data[[#This Row],[sales]]</f>
        <v>0.60873434996736486</v>
      </c>
    </row>
    <row r="1447" spans="1:20" x14ac:dyDescent="0.35">
      <c r="A1447" t="s">
        <v>1671</v>
      </c>
      <c r="B1447" s="1">
        <v>45578</v>
      </c>
      <c r="C1447" t="s">
        <v>49</v>
      </c>
      <c r="D1447" t="s">
        <v>50</v>
      </c>
      <c r="E1447" t="s">
        <v>260</v>
      </c>
      <c r="F1447" t="s">
        <v>23</v>
      </c>
      <c r="G1447" t="s">
        <v>1638</v>
      </c>
      <c r="H1447" t="s">
        <v>1639</v>
      </c>
      <c r="I1447" t="s">
        <v>363</v>
      </c>
      <c r="J1447">
        <v>2</v>
      </c>
      <c r="K1447">
        <v>3118000</v>
      </c>
      <c r="L1447">
        <v>0</v>
      </c>
      <c r="M1447">
        <v>2288000</v>
      </c>
      <c r="N1447">
        <f>(data[[#This Row],[unit_price]]*data[[#This Row],[quantity]]) * (1-data[[#This Row],[discount]])</f>
        <v>6236000</v>
      </c>
      <c r="O1447">
        <f>data[[#This Row],[sales]]-data[[#This Row],[cost]]</f>
        <v>3948000</v>
      </c>
      <c r="P1447" t="str">
        <f>TEXT(data[[#This Row],[order_date]],"mmm")</f>
        <v>Oct</v>
      </c>
      <c r="Q1447">
        <f>YEAR(data[[#This Row],[order_date]])</f>
        <v>2024</v>
      </c>
      <c r="R1447">
        <f>MONTH(data[[#This Row],[order_date]])</f>
        <v>10</v>
      </c>
      <c r="S1447">
        <f>DAY(data[[#This Row],[order_date]])</f>
        <v>13</v>
      </c>
      <c r="T1447">
        <f>data[[#This Row],[profit]]/data[[#This Row],[sales]]</f>
        <v>0.63309813983322638</v>
      </c>
    </row>
    <row r="1448" spans="1:20" x14ac:dyDescent="0.35">
      <c r="A1448" t="s">
        <v>1672</v>
      </c>
      <c r="B1448" s="1">
        <v>45617</v>
      </c>
      <c r="C1448" t="s">
        <v>49</v>
      </c>
      <c r="D1448" t="s">
        <v>50</v>
      </c>
      <c r="E1448" t="s">
        <v>447</v>
      </c>
      <c r="F1448" t="s">
        <v>23</v>
      </c>
      <c r="G1448" t="s">
        <v>1638</v>
      </c>
      <c r="H1448" t="s">
        <v>1639</v>
      </c>
      <c r="I1448" t="s">
        <v>363</v>
      </c>
      <c r="J1448">
        <v>1</v>
      </c>
      <c r="K1448">
        <v>2890000</v>
      </c>
      <c r="L1448">
        <v>0</v>
      </c>
      <c r="M1448">
        <v>2167000</v>
      </c>
      <c r="N1448">
        <f>(data[[#This Row],[unit_price]]*data[[#This Row],[quantity]]) * (1-data[[#This Row],[discount]])</f>
        <v>2890000</v>
      </c>
      <c r="O1448">
        <f>data[[#This Row],[sales]]-data[[#This Row],[cost]]</f>
        <v>723000</v>
      </c>
      <c r="P1448" t="str">
        <f>TEXT(data[[#This Row],[order_date]],"mmm")</f>
        <v>Nov</v>
      </c>
      <c r="Q1448">
        <f>YEAR(data[[#This Row],[order_date]])</f>
        <v>2024</v>
      </c>
      <c r="R1448">
        <f>MONTH(data[[#This Row],[order_date]])</f>
        <v>11</v>
      </c>
      <c r="S1448">
        <f>DAY(data[[#This Row],[order_date]])</f>
        <v>21</v>
      </c>
      <c r="T1448">
        <f>data[[#This Row],[profit]]/data[[#This Row],[sales]]</f>
        <v>0.25017301038062284</v>
      </c>
    </row>
    <row r="1449" spans="1:20" x14ac:dyDescent="0.35">
      <c r="A1449" t="s">
        <v>1673</v>
      </c>
      <c r="B1449" s="1">
        <v>45671</v>
      </c>
      <c r="C1449" t="s">
        <v>41</v>
      </c>
      <c r="D1449" t="s">
        <v>42</v>
      </c>
      <c r="E1449" t="s">
        <v>825</v>
      </c>
      <c r="F1449" t="s">
        <v>23</v>
      </c>
      <c r="G1449" t="s">
        <v>1638</v>
      </c>
      <c r="H1449" t="s">
        <v>1639</v>
      </c>
      <c r="I1449" t="s">
        <v>363</v>
      </c>
      <c r="J1449">
        <v>3</v>
      </c>
      <c r="K1449">
        <v>2839000</v>
      </c>
      <c r="L1449">
        <v>0.15</v>
      </c>
      <c r="M1449">
        <v>2176000</v>
      </c>
      <c r="N1449">
        <f>(data[[#This Row],[unit_price]]*data[[#This Row],[quantity]]) * (1-data[[#This Row],[discount]])</f>
        <v>7239450</v>
      </c>
      <c r="O1449">
        <f>data[[#This Row],[sales]]-data[[#This Row],[cost]]</f>
        <v>5063450</v>
      </c>
      <c r="P1449" t="str">
        <f>TEXT(data[[#This Row],[order_date]],"mmm")</f>
        <v>Jan</v>
      </c>
      <c r="Q1449">
        <f>YEAR(data[[#This Row],[order_date]])</f>
        <v>2025</v>
      </c>
      <c r="R1449">
        <f>MONTH(data[[#This Row],[order_date]])</f>
        <v>1</v>
      </c>
      <c r="S1449">
        <f>DAY(data[[#This Row],[order_date]])</f>
        <v>14</v>
      </c>
      <c r="T1449">
        <f>data[[#This Row],[profit]]/data[[#This Row],[sales]]</f>
        <v>0.69942468005166136</v>
      </c>
    </row>
    <row r="1450" spans="1:20" x14ac:dyDescent="0.35">
      <c r="A1450" t="s">
        <v>1674</v>
      </c>
      <c r="B1450" s="1">
        <v>45705</v>
      </c>
      <c r="C1450" t="s">
        <v>14</v>
      </c>
      <c r="D1450" t="s">
        <v>15</v>
      </c>
      <c r="E1450" t="s">
        <v>260</v>
      </c>
      <c r="F1450" t="s">
        <v>23</v>
      </c>
      <c r="G1450" t="s">
        <v>1638</v>
      </c>
      <c r="H1450" t="s">
        <v>1639</v>
      </c>
      <c r="I1450" t="s">
        <v>363</v>
      </c>
      <c r="J1450">
        <v>1</v>
      </c>
      <c r="K1450">
        <v>4941000</v>
      </c>
      <c r="L1450">
        <v>0</v>
      </c>
      <c r="M1450">
        <v>3785000</v>
      </c>
      <c r="N1450">
        <f>(data[[#This Row],[unit_price]]*data[[#This Row],[quantity]]) * (1-data[[#This Row],[discount]])</f>
        <v>4941000</v>
      </c>
      <c r="O1450">
        <f>data[[#This Row],[sales]]-data[[#This Row],[cost]]</f>
        <v>1156000</v>
      </c>
      <c r="P1450" t="str">
        <f>TEXT(data[[#This Row],[order_date]],"mmm")</f>
        <v>Feb</v>
      </c>
      <c r="Q1450">
        <f>YEAR(data[[#This Row],[order_date]])</f>
        <v>2025</v>
      </c>
      <c r="R1450">
        <f>MONTH(data[[#This Row],[order_date]])</f>
        <v>2</v>
      </c>
      <c r="S1450">
        <f>DAY(data[[#This Row],[order_date]])</f>
        <v>17</v>
      </c>
      <c r="T1450">
        <f>data[[#This Row],[profit]]/data[[#This Row],[sales]]</f>
        <v>0.23396073669297712</v>
      </c>
    </row>
    <row r="1451" spans="1:20" x14ac:dyDescent="0.35">
      <c r="A1451" t="s">
        <v>1675</v>
      </c>
      <c r="B1451" s="1">
        <v>45794</v>
      </c>
      <c r="C1451" t="s">
        <v>14</v>
      </c>
      <c r="D1451" t="s">
        <v>15</v>
      </c>
      <c r="E1451" t="s">
        <v>130</v>
      </c>
      <c r="F1451" t="s">
        <v>28</v>
      </c>
      <c r="G1451" t="s">
        <v>1638</v>
      </c>
      <c r="H1451" t="s">
        <v>1639</v>
      </c>
      <c r="I1451" t="s">
        <v>363</v>
      </c>
      <c r="J1451">
        <v>1</v>
      </c>
      <c r="K1451">
        <v>4848000</v>
      </c>
      <c r="L1451">
        <v>0</v>
      </c>
      <c r="M1451">
        <v>3706000</v>
      </c>
      <c r="N1451">
        <f>(data[[#This Row],[unit_price]]*data[[#This Row],[quantity]]) * (1-data[[#This Row],[discount]])</f>
        <v>4848000</v>
      </c>
      <c r="O1451">
        <f>data[[#This Row],[sales]]-data[[#This Row],[cost]]</f>
        <v>1142000</v>
      </c>
      <c r="P1451" t="str">
        <f>TEXT(data[[#This Row],[order_date]],"mmm")</f>
        <v>May</v>
      </c>
      <c r="Q1451">
        <f>YEAR(data[[#This Row],[order_date]])</f>
        <v>2025</v>
      </c>
      <c r="R1451">
        <f>MONTH(data[[#This Row],[order_date]])</f>
        <v>5</v>
      </c>
      <c r="S1451">
        <f>DAY(data[[#This Row],[order_date]])</f>
        <v>17</v>
      </c>
      <c r="T1451">
        <f>data[[#This Row],[profit]]/data[[#This Row],[sales]]</f>
        <v>0.23556105610561057</v>
      </c>
    </row>
    <row r="1452" spans="1:20" x14ac:dyDescent="0.35">
      <c r="A1452" t="s">
        <v>1676</v>
      </c>
      <c r="B1452" s="1">
        <v>45851</v>
      </c>
      <c r="C1452" t="s">
        <v>14</v>
      </c>
      <c r="D1452" t="s">
        <v>15</v>
      </c>
      <c r="E1452" t="s">
        <v>553</v>
      </c>
      <c r="F1452" t="s">
        <v>17</v>
      </c>
      <c r="G1452" t="s">
        <v>1638</v>
      </c>
      <c r="H1452" t="s">
        <v>1639</v>
      </c>
      <c r="I1452" t="s">
        <v>363</v>
      </c>
      <c r="J1452">
        <v>1</v>
      </c>
      <c r="K1452">
        <v>2432000</v>
      </c>
      <c r="L1452">
        <v>0</v>
      </c>
      <c r="M1452">
        <v>1801000</v>
      </c>
      <c r="N1452">
        <f>(data[[#This Row],[unit_price]]*data[[#This Row],[quantity]]) * (1-data[[#This Row],[discount]])</f>
        <v>2432000</v>
      </c>
      <c r="O1452">
        <f>data[[#This Row],[sales]]-data[[#This Row],[cost]]</f>
        <v>631000</v>
      </c>
      <c r="P1452" t="str">
        <f>TEXT(data[[#This Row],[order_date]],"mmm")</f>
        <v>Jul</v>
      </c>
      <c r="Q1452">
        <f>YEAR(data[[#This Row],[order_date]])</f>
        <v>2025</v>
      </c>
      <c r="R1452">
        <f>MONTH(data[[#This Row],[order_date]])</f>
        <v>7</v>
      </c>
      <c r="S1452">
        <f>DAY(data[[#This Row],[order_date]])</f>
        <v>13</v>
      </c>
      <c r="T1452">
        <f>data[[#This Row],[profit]]/data[[#This Row],[sales]]</f>
        <v>0.25945723684210525</v>
      </c>
    </row>
    <row r="1453" spans="1:20" x14ac:dyDescent="0.35">
      <c r="A1453" t="s">
        <v>1677</v>
      </c>
      <c r="B1453" s="1">
        <v>45853</v>
      </c>
      <c r="C1453" t="s">
        <v>25</v>
      </c>
      <c r="D1453" t="s">
        <v>26</v>
      </c>
      <c r="E1453" t="s">
        <v>667</v>
      </c>
      <c r="F1453" t="s">
        <v>23</v>
      </c>
      <c r="G1453" t="s">
        <v>1638</v>
      </c>
      <c r="H1453" t="s">
        <v>1639</v>
      </c>
      <c r="I1453" t="s">
        <v>363</v>
      </c>
      <c r="J1453">
        <v>2</v>
      </c>
      <c r="K1453">
        <v>3697000</v>
      </c>
      <c r="L1453">
        <v>0</v>
      </c>
      <c r="M1453">
        <v>2781000</v>
      </c>
      <c r="N1453">
        <f>(data[[#This Row],[unit_price]]*data[[#This Row],[quantity]]) * (1-data[[#This Row],[discount]])</f>
        <v>7394000</v>
      </c>
      <c r="O1453">
        <f>data[[#This Row],[sales]]-data[[#This Row],[cost]]</f>
        <v>4613000</v>
      </c>
      <c r="P1453" t="str">
        <f>TEXT(data[[#This Row],[order_date]],"mmm")</f>
        <v>Jul</v>
      </c>
      <c r="Q1453">
        <f>YEAR(data[[#This Row],[order_date]])</f>
        <v>2025</v>
      </c>
      <c r="R1453">
        <f>MONTH(data[[#This Row],[order_date]])</f>
        <v>7</v>
      </c>
      <c r="S1453">
        <f>DAY(data[[#This Row],[order_date]])</f>
        <v>15</v>
      </c>
      <c r="T1453">
        <f>data[[#This Row],[profit]]/data[[#This Row],[sales]]</f>
        <v>0.62388423045712738</v>
      </c>
    </row>
    <row r="1454" spans="1:20" x14ac:dyDescent="0.35">
      <c r="A1454" t="s">
        <v>1678</v>
      </c>
      <c r="B1454" s="1">
        <v>45896</v>
      </c>
      <c r="C1454" t="s">
        <v>41</v>
      </c>
      <c r="D1454" t="s">
        <v>42</v>
      </c>
      <c r="E1454" t="s">
        <v>186</v>
      </c>
      <c r="F1454" t="s">
        <v>23</v>
      </c>
      <c r="G1454" t="s">
        <v>1638</v>
      </c>
      <c r="H1454" t="s">
        <v>1639</v>
      </c>
      <c r="I1454" t="s">
        <v>363</v>
      </c>
      <c r="J1454">
        <v>1</v>
      </c>
      <c r="K1454">
        <v>4408000</v>
      </c>
      <c r="L1454">
        <v>0</v>
      </c>
      <c r="M1454">
        <v>3298000</v>
      </c>
      <c r="N1454">
        <f>(data[[#This Row],[unit_price]]*data[[#This Row],[quantity]]) * (1-data[[#This Row],[discount]])</f>
        <v>4408000</v>
      </c>
      <c r="O1454">
        <f>data[[#This Row],[sales]]-data[[#This Row],[cost]]</f>
        <v>1110000</v>
      </c>
      <c r="P1454" t="str">
        <f>TEXT(data[[#This Row],[order_date]],"mmm")</f>
        <v>Aug</v>
      </c>
      <c r="Q1454">
        <f>YEAR(data[[#This Row],[order_date]])</f>
        <v>2025</v>
      </c>
      <c r="R1454">
        <f>MONTH(data[[#This Row],[order_date]])</f>
        <v>8</v>
      </c>
      <c r="S1454">
        <f>DAY(data[[#This Row],[order_date]])</f>
        <v>27</v>
      </c>
      <c r="T1454">
        <f>data[[#This Row],[profit]]/data[[#This Row],[sales]]</f>
        <v>0.25181488203266789</v>
      </c>
    </row>
    <row r="1455" spans="1:20" x14ac:dyDescent="0.35">
      <c r="A1455" t="s">
        <v>1679</v>
      </c>
      <c r="B1455" s="1">
        <v>45902</v>
      </c>
      <c r="C1455" t="s">
        <v>49</v>
      </c>
      <c r="D1455" t="s">
        <v>50</v>
      </c>
      <c r="E1455" t="s">
        <v>102</v>
      </c>
      <c r="F1455" t="s">
        <v>58</v>
      </c>
      <c r="G1455" t="s">
        <v>1638</v>
      </c>
      <c r="H1455" t="s">
        <v>1639</v>
      </c>
      <c r="I1455" t="s">
        <v>363</v>
      </c>
      <c r="J1455">
        <v>1</v>
      </c>
      <c r="K1455">
        <v>4460000</v>
      </c>
      <c r="L1455">
        <v>0</v>
      </c>
      <c r="M1455">
        <v>3351000</v>
      </c>
      <c r="N1455">
        <f>(data[[#This Row],[unit_price]]*data[[#This Row],[quantity]]) * (1-data[[#This Row],[discount]])</f>
        <v>4460000</v>
      </c>
      <c r="O1455">
        <f>data[[#This Row],[sales]]-data[[#This Row],[cost]]</f>
        <v>1109000</v>
      </c>
      <c r="P1455" t="str">
        <f>TEXT(data[[#This Row],[order_date]],"mmm")</f>
        <v>Sep</v>
      </c>
      <c r="Q1455">
        <f>YEAR(data[[#This Row],[order_date]])</f>
        <v>2025</v>
      </c>
      <c r="R1455">
        <f>MONTH(data[[#This Row],[order_date]])</f>
        <v>9</v>
      </c>
      <c r="S1455">
        <f>DAY(data[[#This Row],[order_date]])</f>
        <v>2</v>
      </c>
      <c r="T1455">
        <f>data[[#This Row],[profit]]/data[[#This Row],[sales]]</f>
        <v>0.24865470852017937</v>
      </c>
    </row>
    <row r="1456" spans="1:20" x14ac:dyDescent="0.35">
      <c r="A1456" t="s">
        <v>1680</v>
      </c>
      <c r="B1456" s="1">
        <v>45906</v>
      </c>
      <c r="C1456" t="s">
        <v>25</v>
      </c>
      <c r="D1456" t="s">
        <v>26</v>
      </c>
      <c r="E1456" t="s">
        <v>102</v>
      </c>
      <c r="F1456" t="s">
        <v>58</v>
      </c>
      <c r="G1456" t="s">
        <v>1638</v>
      </c>
      <c r="H1456" t="s">
        <v>1639</v>
      </c>
      <c r="I1456" t="s">
        <v>363</v>
      </c>
      <c r="J1456">
        <v>3</v>
      </c>
      <c r="K1456">
        <v>3443000</v>
      </c>
      <c r="L1456">
        <v>0</v>
      </c>
      <c r="M1456">
        <v>2617000</v>
      </c>
      <c r="N1456">
        <f>(data[[#This Row],[unit_price]]*data[[#This Row],[quantity]]) * (1-data[[#This Row],[discount]])</f>
        <v>10329000</v>
      </c>
      <c r="O1456">
        <f>data[[#This Row],[sales]]-data[[#This Row],[cost]]</f>
        <v>7712000</v>
      </c>
      <c r="P1456" t="str">
        <f>TEXT(data[[#This Row],[order_date]],"mmm")</f>
        <v>Sep</v>
      </c>
      <c r="Q1456">
        <f>YEAR(data[[#This Row],[order_date]])</f>
        <v>2025</v>
      </c>
      <c r="R1456">
        <f>MONTH(data[[#This Row],[order_date]])</f>
        <v>9</v>
      </c>
      <c r="S1456">
        <f>DAY(data[[#This Row],[order_date]])</f>
        <v>6</v>
      </c>
      <c r="T1456">
        <f>data[[#This Row],[profit]]/data[[#This Row],[sales]]</f>
        <v>0.74663568593281049</v>
      </c>
    </row>
    <row r="1457" spans="1:20" x14ac:dyDescent="0.35">
      <c r="A1457" t="s">
        <v>1681</v>
      </c>
      <c r="B1457" s="1">
        <v>46037</v>
      </c>
      <c r="C1457" t="s">
        <v>41</v>
      </c>
      <c r="D1457" t="s">
        <v>42</v>
      </c>
      <c r="E1457" t="s">
        <v>295</v>
      </c>
      <c r="F1457" t="s">
        <v>23</v>
      </c>
      <c r="G1457" t="s">
        <v>1638</v>
      </c>
      <c r="H1457" t="s">
        <v>1639</v>
      </c>
      <c r="I1457" t="s">
        <v>363</v>
      </c>
      <c r="J1457">
        <v>1</v>
      </c>
      <c r="K1457">
        <v>3316000</v>
      </c>
      <c r="L1457">
        <v>0.05</v>
      </c>
      <c r="M1457">
        <v>0</v>
      </c>
      <c r="N1457">
        <f>(data[[#This Row],[unit_price]]*data[[#This Row],[quantity]]) * (1-data[[#This Row],[discount]])</f>
        <v>3150200</v>
      </c>
      <c r="O1457">
        <f>data[[#This Row],[sales]]-data[[#This Row],[cost]]</f>
        <v>3150200</v>
      </c>
      <c r="P1457" t="str">
        <f>TEXT(data[[#This Row],[order_date]],"mmm")</f>
        <v>Jan</v>
      </c>
      <c r="Q1457">
        <f>YEAR(data[[#This Row],[order_date]])</f>
        <v>2026</v>
      </c>
      <c r="R1457">
        <f>MONTH(data[[#This Row],[order_date]])</f>
        <v>1</v>
      </c>
      <c r="S1457">
        <f>DAY(data[[#This Row],[order_date]])</f>
        <v>15</v>
      </c>
      <c r="T1457">
        <f>data[[#This Row],[profit]]/data[[#This Row],[sales]]</f>
        <v>1</v>
      </c>
    </row>
    <row r="1458" spans="1:20" x14ac:dyDescent="0.35">
      <c r="A1458" t="s">
        <v>1682</v>
      </c>
      <c r="B1458" s="1">
        <v>46101</v>
      </c>
      <c r="C1458" t="s">
        <v>25</v>
      </c>
      <c r="D1458" t="s">
        <v>26</v>
      </c>
      <c r="E1458" t="s">
        <v>337</v>
      </c>
      <c r="F1458" t="s">
        <v>23</v>
      </c>
      <c r="G1458" t="s">
        <v>1638</v>
      </c>
      <c r="H1458" t="s">
        <v>1639</v>
      </c>
      <c r="I1458" t="s">
        <v>363</v>
      </c>
      <c r="J1458">
        <v>1</v>
      </c>
      <c r="K1458">
        <v>2664000</v>
      </c>
      <c r="L1458">
        <v>0</v>
      </c>
      <c r="M1458">
        <v>2014000</v>
      </c>
      <c r="N1458">
        <f>(data[[#This Row],[unit_price]]*data[[#This Row],[quantity]]) * (1-data[[#This Row],[discount]])</f>
        <v>2664000</v>
      </c>
      <c r="O1458">
        <f>data[[#This Row],[sales]]-data[[#This Row],[cost]]</f>
        <v>650000</v>
      </c>
      <c r="P1458" t="str">
        <f>TEXT(data[[#This Row],[order_date]],"mmm")</f>
        <v>Mar</v>
      </c>
      <c r="Q1458">
        <f>YEAR(data[[#This Row],[order_date]])</f>
        <v>2026</v>
      </c>
      <c r="R1458">
        <f>MONTH(data[[#This Row],[order_date]])</f>
        <v>3</v>
      </c>
      <c r="S1458">
        <f>DAY(data[[#This Row],[order_date]])</f>
        <v>20</v>
      </c>
      <c r="T1458">
        <f>data[[#This Row],[profit]]/data[[#This Row],[sales]]</f>
        <v>0.24399399399399399</v>
      </c>
    </row>
    <row r="1459" spans="1:20" x14ac:dyDescent="0.35">
      <c r="A1459" t="s">
        <v>1683</v>
      </c>
      <c r="B1459" s="1">
        <v>46115</v>
      </c>
      <c r="C1459" t="s">
        <v>14</v>
      </c>
      <c r="D1459" t="s">
        <v>15</v>
      </c>
      <c r="E1459" t="s">
        <v>340</v>
      </c>
      <c r="F1459" t="s">
        <v>23</v>
      </c>
      <c r="G1459" t="s">
        <v>1638</v>
      </c>
      <c r="H1459" t="s">
        <v>1639</v>
      </c>
      <c r="I1459" t="s">
        <v>363</v>
      </c>
      <c r="J1459">
        <v>1</v>
      </c>
      <c r="K1459">
        <v>4784000</v>
      </c>
      <c r="L1459">
        <v>0</v>
      </c>
      <c r="M1459">
        <v>3597000</v>
      </c>
      <c r="N1459">
        <f>(data[[#This Row],[unit_price]]*data[[#This Row],[quantity]]) * (1-data[[#This Row],[discount]])</f>
        <v>4784000</v>
      </c>
      <c r="O1459">
        <f>data[[#This Row],[sales]]-data[[#This Row],[cost]]</f>
        <v>1187000</v>
      </c>
      <c r="P1459" t="str">
        <f>TEXT(data[[#This Row],[order_date]],"mmm")</f>
        <v>Apr</v>
      </c>
      <c r="Q1459">
        <f>YEAR(data[[#This Row],[order_date]])</f>
        <v>2026</v>
      </c>
      <c r="R1459">
        <f>MONTH(data[[#This Row],[order_date]])</f>
        <v>4</v>
      </c>
      <c r="S1459">
        <f>DAY(data[[#This Row],[order_date]])</f>
        <v>3</v>
      </c>
      <c r="T1459">
        <f>data[[#This Row],[profit]]/data[[#This Row],[sales]]</f>
        <v>0.24811872909698995</v>
      </c>
    </row>
    <row r="1460" spans="1:20" x14ac:dyDescent="0.35">
      <c r="A1460" t="s">
        <v>1684</v>
      </c>
      <c r="B1460" s="1">
        <v>46152</v>
      </c>
      <c r="C1460" t="s">
        <v>49</v>
      </c>
      <c r="D1460" t="s">
        <v>50</v>
      </c>
      <c r="E1460" t="s">
        <v>191</v>
      </c>
      <c r="F1460" t="s">
        <v>23</v>
      </c>
      <c r="G1460" t="s">
        <v>1638</v>
      </c>
      <c r="H1460" t="s">
        <v>1639</v>
      </c>
      <c r="I1460" t="s">
        <v>363</v>
      </c>
      <c r="J1460">
        <v>3</v>
      </c>
      <c r="K1460">
        <v>3519000</v>
      </c>
      <c r="L1460">
        <v>0</v>
      </c>
      <c r="M1460">
        <v>2669000</v>
      </c>
      <c r="N1460">
        <f>(data[[#This Row],[unit_price]]*data[[#This Row],[quantity]]) * (1-data[[#This Row],[discount]])</f>
        <v>10557000</v>
      </c>
      <c r="O1460">
        <f>data[[#This Row],[sales]]-data[[#This Row],[cost]]</f>
        <v>7888000</v>
      </c>
      <c r="P1460" t="str">
        <f>TEXT(data[[#This Row],[order_date]],"mmm")</f>
        <v>May</v>
      </c>
      <c r="Q1460">
        <f>YEAR(data[[#This Row],[order_date]])</f>
        <v>2026</v>
      </c>
      <c r="R1460">
        <f>MONTH(data[[#This Row],[order_date]])</f>
        <v>5</v>
      </c>
      <c r="S1460">
        <f>DAY(data[[#This Row],[order_date]])</f>
        <v>10</v>
      </c>
      <c r="T1460">
        <f>data[[#This Row],[profit]]/data[[#This Row],[sales]]</f>
        <v>0.74718196457326891</v>
      </c>
    </row>
    <row r="1461" spans="1:20" x14ac:dyDescent="0.35">
      <c r="A1461" t="s">
        <v>1685</v>
      </c>
      <c r="B1461" s="1">
        <v>46170</v>
      </c>
      <c r="C1461" t="s">
        <v>14</v>
      </c>
      <c r="D1461" t="s">
        <v>15</v>
      </c>
      <c r="E1461" t="s">
        <v>239</v>
      </c>
      <c r="F1461" t="s">
        <v>23</v>
      </c>
      <c r="G1461" t="s">
        <v>1638</v>
      </c>
      <c r="H1461" t="s">
        <v>1639</v>
      </c>
      <c r="I1461" t="s">
        <v>363</v>
      </c>
      <c r="J1461">
        <v>1</v>
      </c>
      <c r="K1461">
        <v>3316000</v>
      </c>
      <c r="L1461">
        <v>0.1</v>
      </c>
      <c r="M1461">
        <v>2438000</v>
      </c>
      <c r="N1461">
        <f>(data[[#This Row],[unit_price]]*data[[#This Row],[quantity]]) * (1-data[[#This Row],[discount]])</f>
        <v>2984400</v>
      </c>
      <c r="O1461">
        <f>data[[#This Row],[sales]]-data[[#This Row],[cost]]</f>
        <v>546400</v>
      </c>
      <c r="P1461" t="str">
        <f>TEXT(data[[#This Row],[order_date]],"mmm")</f>
        <v>May</v>
      </c>
      <c r="Q1461">
        <f>YEAR(data[[#This Row],[order_date]])</f>
        <v>2026</v>
      </c>
      <c r="R1461">
        <f>MONTH(data[[#This Row],[order_date]])</f>
        <v>5</v>
      </c>
      <c r="S1461">
        <f>DAY(data[[#This Row],[order_date]])</f>
        <v>28</v>
      </c>
      <c r="T1461">
        <f>data[[#This Row],[profit]]/data[[#This Row],[sales]]</f>
        <v>0.18308537729526872</v>
      </c>
    </row>
    <row r="1462" spans="1:20" x14ac:dyDescent="0.35">
      <c r="A1462" t="s">
        <v>1686</v>
      </c>
      <c r="B1462" s="1">
        <v>46197</v>
      </c>
      <c r="C1462" t="s">
        <v>49</v>
      </c>
      <c r="D1462" t="s">
        <v>50</v>
      </c>
      <c r="E1462" t="s">
        <v>258</v>
      </c>
      <c r="F1462" t="s">
        <v>23</v>
      </c>
      <c r="G1462" t="s">
        <v>1638</v>
      </c>
      <c r="H1462" t="s">
        <v>1639</v>
      </c>
      <c r="I1462" t="s">
        <v>363</v>
      </c>
      <c r="J1462">
        <v>1</v>
      </c>
      <c r="K1462">
        <v>2626000</v>
      </c>
      <c r="L1462">
        <v>0</v>
      </c>
      <c r="M1462">
        <v>1927000</v>
      </c>
      <c r="N1462">
        <f>(data[[#This Row],[unit_price]]*data[[#This Row],[quantity]]) * (1-data[[#This Row],[discount]])</f>
        <v>2626000</v>
      </c>
      <c r="O1462">
        <f>data[[#This Row],[sales]]-data[[#This Row],[cost]]</f>
        <v>699000</v>
      </c>
      <c r="P1462" t="str">
        <f>TEXT(data[[#This Row],[order_date]],"mmm")</f>
        <v>Jun</v>
      </c>
      <c r="Q1462">
        <f>YEAR(data[[#This Row],[order_date]])</f>
        <v>2026</v>
      </c>
      <c r="R1462">
        <f>MONTH(data[[#This Row],[order_date]])</f>
        <v>6</v>
      </c>
      <c r="S1462">
        <f>DAY(data[[#This Row],[order_date]])</f>
        <v>24</v>
      </c>
      <c r="T1462">
        <f>data[[#This Row],[profit]]/data[[#This Row],[sales]]</f>
        <v>0.26618431073876619</v>
      </c>
    </row>
    <row r="1463" spans="1:20" x14ac:dyDescent="0.35">
      <c r="A1463" t="s">
        <v>1687</v>
      </c>
      <c r="B1463" s="1">
        <v>44964</v>
      </c>
      <c r="C1463" t="s">
        <v>25</v>
      </c>
      <c r="D1463" t="s">
        <v>26</v>
      </c>
      <c r="E1463" t="s">
        <v>798</v>
      </c>
      <c r="F1463" t="s">
        <v>28</v>
      </c>
      <c r="G1463" t="s">
        <v>1688</v>
      </c>
      <c r="H1463" t="s">
        <v>1689</v>
      </c>
      <c r="I1463" t="s">
        <v>20</v>
      </c>
      <c r="J1463">
        <v>1</v>
      </c>
      <c r="K1463">
        <v>1178000</v>
      </c>
      <c r="L1463">
        <v>0</v>
      </c>
      <c r="M1463">
        <v>873000</v>
      </c>
      <c r="N1463">
        <f>(data[[#This Row],[unit_price]]*data[[#This Row],[quantity]]) * (1-data[[#This Row],[discount]])</f>
        <v>1178000</v>
      </c>
      <c r="O1463">
        <f>data[[#This Row],[sales]]-data[[#This Row],[cost]]</f>
        <v>305000</v>
      </c>
      <c r="P1463" t="str">
        <f>TEXT(data[[#This Row],[order_date]],"mmm")</f>
        <v>Feb</v>
      </c>
      <c r="Q1463">
        <f>YEAR(data[[#This Row],[order_date]])</f>
        <v>2023</v>
      </c>
      <c r="R1463">
        <f>MONTH(data[[#This Row],[order_date]])</f>
        <v>2</v>
      </c>
      <c r="S1463">
        <f>DAY(data[[#This Row],[order_date]])</f>
        <v>7</v>
      </c>
      <c r="T1463">
        <f>data[[#This Row],[profit]]/data[[#This Row],[sales]]</f>
        <v>0.25891341256366723</v>
      </c>
    </row>
    <row r="1464" spans="1:20" x14ac:dyDescent="0.35">
      <c r="A1464" t="s">
        <v>1690</v>
      </c>
      <c r="B1464" s="1">
        <v>44978</v>
      </c>
      <c r="C1464" t="s">
        <v>14</v>
      </c>
      <c r="D1464" t="s">
        <v>15</v>
      </c>
      <c r="E1464" t="s">
        <v>22</v>
      </c>
      <c r="F1464" t="s">
        <v>23</v>
      </c>
      <c r="G1464" t="s">
        <v>1688</v>
      </c>
      <c r="H1464" t="s">
        <v>1689</v>
      </c>
      <c r="I1464" t="s">
        <v>20</v>
      </c>
      <c r="J1464">
        <v>1</v>
      </c>
      <c r="K1464">
        <v>1469000</v>
      </c>
      <c r="L1464">
        <v>0</v>
      </c>
      <c r="M1464">
        <v>1084000</v>
      </c>
      <c r="N1464">
        <f>(data[[#This Row],[unit_price]]*data[[#This Row],[quantity]]) * (1-data[[#This Row],[discount]])</f>
        <v>1469000</v>
      </c>
      <c r="O1464">
        <f>data[[#This Row],[sales]]-data[[#This Row],[cost]]</f>
        <v>385000</v>
      </c>
      <c r="P1464" t="str">
        <f>TEXT(data[[#This Row],[order_date]],"mmm")</f>
        <v>Feb</v>
      </c>
      <c r="Q1464">
        <f>YEAR(data[[#This Row],[order_date]])</f>
        <v>2023</v>
      </c>
      <c r="R1464">
        <f>MONTH(data[[#This Row],[order_date]])</f>
        <v>2</v>
      </c>
      <c r="S1464">
        <f>DAY(data[[#This Row],[order_date]])</f>
        <v>21</v>
      </c>
      <c r="T1464">
        <f>data[[#This Row],[profit]]/data[[#This Row],[sales]]</f>
        <v>0.26208304969366919</v>
      </c>
    </row>
    <row r="1465" spans="1:20" x14ac:dyDescent="0.35">
      <c r="A1465" t="s">
        <v>1691</v>
      </c>
      <c r="B1465" s="1">
        <v>44996</v>
      </c>
      <c r="C1465" t="s">
        <v>41</v>
      </c>
      <c r="D1465" t="s">
        <v>42</v>
      </c>
      <c r="E1465" t="s">
        <v>152</v>
      </c>
      <c r="F1465" t="s">
        <v>23</v>
      </c>
      <c r="G1465" t="s">
        <v>1688</v>
      </c>
      <c r="H1465" t="s">
        <v>1689</v>
      </c>
      <c r="I1465" t="s">
        <v>20</v>
      </c>
      <c r="J1465">
        <v>2</v>
      </c>
      <c r="K1465">
        <v>1301000</v>
      </c>
      <c r="L1465">
        <v>0</v>
      </c>
      <c r="M1465">
        <v>942000</v>
      </c>
      <c r="N1465">
        <f>(data[[#This Row],[unit_price]]*data[[#This Row],[quantity]]) * (1-data[[#This Row],[discount]])</f>
        <v>2602000</v>
      </c>
      <c r="O1465">
        <f>data[[#This Row],[sales]]-data[[#This Row],[cost]]</f>
        <v>1660000</v>
      </c>
      <c r="P1465" t="str">
        <f>TEXT(data[[#This Row],[order_date]],"mmm")</f>
        <v>Mar</v>
      </c>
      <c r="Q1465">
        <f>YEAR(data[[#This Row],[order_date]])</f>
        <v>2023</v>
      </c>
      <c r="R1465">
        <f>MONTH(data[[#This Row],[order_date]])</f>
        <v>3</v>
      </c>
      <c r="S1465">
        <f>DAY(data[[#This Row],[order_date]])</f>
        <v>11</v>
      </c>
      <c r="T1465">
        <f>data[[#This Row],[profit]]/data[[#This Row],[sales]]</f>
        <v>0.63797079169869331</v>
      </c>
    </row>
    <row r="1466" spans="1:20" x14ac:dyDescent="0.35">
      <c r="A1466" t="s">
        <v>1692</v>
      </c>
      <c r="B1466" s="1">
        <v>45000</v>
      </c>
      <c r="C1466" t="s">
        <v>36</v>
      </c>
      <c r="D1466" t="s">
        <v>37</v>
      </c>
      <c r="E1466" t="s">
        <v>522</v>
      </c>
      <c r="F1466" t="s">
        <v>23</v>
      </c>
      <c r="G1466" t="s">
        <v>1688</v>
      </c>
      <c r="H1466" t="s">
        <v>1689</v>
      </c>
      <c r="I1466" t="s">
        <v>20</v>
      </c>
      <c r="J1466">
        <v>1</v>
      </c>
      <c r="K1466">
        <v>1352000</v>
      </c>
      <c r="L1466">
        <v>0</v>
      </c>
      <c r="M1466">
        <v>1011000</v>
      </c>
      <c r="N1466">
        <f>(data[[#This Row],[unit_price]]*data[[#This Row],[quantity]]) * (1-data[[#This Row],[discount]])</f>
        <v>1352000</v>
      </c>
      <c r="O1466">
        <f>data[[#This Row],[sales]]-data[[#This Row],[cost]]</f>
        <v>341000</v>
      </c>
      <c r="P1466" t="str">
        <f>TEXT(data[[#This Row],[order_date]],"mmm")</f>
        <v>Mar</v>
      </c>
      <c r="Q1466">
        <f>YEAR(data[[#This Row],[order_date]])</f>
        <v>2023</v>
      </c>
      <c r="R1466">
        <f>MONTH(data[[#This Row],[order_date]])</f>
        <v>3</v>
      </c>
      <c r="S1466">
        <f>DAY(data[[#This Row],[order_date]])</f>
        <v>15</v>
      </c>
      <c r="T1466">
        <f>data[[#This Row],[profit]]/data[[#This Row],[sales]]</f>
        <v>0.25221893491124259</v>
      </c>
    </row>
    <row r="1467" spans="1:20" x14ac:dyDescent="0.35">
      <c r="A1467" t="s">
        <v>1693</v>
      </c>
      <c r="B1467" s="1">
        <v>45014</v>
      </c>
      <c r="C1467" t="s">
        <v>14</v>
      </c>
      <c r="D1467" t="s">
        <v>15</v>
      </c>
      <c r="E1467" t="s">
        <v>76</v>
      </c>
      <c r="F1467" t="s">
        <v>23</v>
      </c>
      <c r="G1467" t="s">
        <v>1688</v>
      </c>
      <c r="H1467" t="s">
        <v>1689</v>
      </c>
      <c r="I1467" t="s">
        <v>20</v>
      </c>
      <c r="J1467">
        <v>2</v>
      </c>
      <c r="K1467">
        <v>1230000</v>
      </c>
      <c r="L1467">
        <v>0</v>
      </c>
      <c r="M1467">
        <v>889000</v>
      </c>
      <c r="N1467">
        <f>(data[[#This Row],[unit_price]]*data[[#This Row],[quantity]]) * (1-data[[#This Row],[discount]])</f>
        <v>2460000</v>
      </c>
      <c r="O1467">
        <f>data[[#This Row],[sales]]-data[[#This Row],[cost]]</f>
        <v>1571000</v>
      </c>
      <c r="P1467" t="str">
        <f>TEXT(data[[#This Row],[order_date]],"mmm")</f>
        <v>Mar</v>
      </c>
      <c r="Q1467">
        <f>YEAR(data[[#This Row],[order_date]])</f>
        <v>2023</v>
      </c>
      <c r="R1467">
        <f>MONTH(data[[#This Row],[order_date]])</f>
        <v>3</v>
      </c>
      <c r="S1467">
        <f>DAY(data[[#This Row],[order_date]])</f>
        <v>29</v>
      </c>
      <c r="T1467">
        <f>data[[#This Row],[profit]]/data[[#This Row],[sales]]</f>
        <v>0.63861788617886184</v>
      </c>
    </row>
    <row r="1468" spans="1:20" x14ac:dyDescent="0.35">
      <c r="A1468" t="s">
        <v>1694</v>
      </c>
      <c r="B1468" s="1">
        <v>45019</v>
      </c>
      <c r="C1468" t="s">
        <v>49</v>
      </c>
      <c r="D1468" t="s">
        <v>50</v>
      </c>
      <c r="E1468" t="s">
        <v>489</v>
      </c>
      <c r="F1468" t="s">
        <v>17</v>
      </c>
      <c r="G1468" t="s">
        <v>1688</v>
      </c>
      <c r="H1468" t="s">
        <v>1689</v>
      </c>
      <c r="I1468" t="s">
        <v>20</v>
      </c>
      <c r="J1468">
        <v>1</v>
      </c>
      <c r="K1468">
        <v>1443000</v>
      </c>
      <c r="L1468">
        <v>0</v>
      </c>
      <c r="M1468">
        <v>1062000</v>
      </c>
      <c r="N1468">
        <f>(data[[#This Row],[unit_price]]*data[[#This Row],[quantity]]) * (1-data[[#This Row],[discount]])</f>
        <v>1443000</v>
      </c>
      <c r="O1468">
        <f>data[[#This Row],[sales]]-data[[#This Row],[cost]]</f>
        <v>381000</v>
      </c>
      <c r="P1468" t="str">
        <f>TEXT(data[[#This Row],[order_date]],"mmm")</f>
        <v>Apr</v>
      </c>
      <c r="Q1468">
        <f>YEAR(data[[#This Row],[order_date]])</f>
        <v>2023</v>
      </c>
      <c r="R1468">
        <f>MONTH(data[[#This Row],[order_date]])</f>
        <v>4</v>
      </c>
      <c r="S1468">
        <f>DAY(data[[#This Row],[order_date]])</f>
        <v>3</v>
      </c>
      <c r="T1468">
        <f>data[[#This Row],[profit]]/data[[#This Row],[sales]]</f>
        <v>0.26403326403326405</v>
      </c>
    </row>
    <row r="1469" spans="1:20" x14ac:dyDescent="0.35">
      <c r="A1469" t="s">
        <v>1695</v>
      </c>
      <c r="B1469" s="1">
        <v>45035</v>
      </c>
      <c r="C1469" t="s">
        <v>41</v>
      </c>
      <c r="D1469" t="s">
        <v>42</v>
      </c>
      <c r="E1469" t="s">
        <v>226</v>
      </c>
      <c r="F1469" t="s">
        <v>17</v>
      </c>
      <c r="G1469" t="s">
        <v>1688</v>
      </c>
      <c r="H1469" t="s">
        <v>1689</v>
      </c>
      <c r="I1469" t="s">
        <v>20</v>
      </c>
      <c r="J1469">
        <v>3</v>
      </c>
      <c r="K1469">
        <v>938000</v>
      </c>
      <c r="L1469">
        <v>0</v>
      </c>
      <c r="M1469">
        <v>668000</v>
      </c>
      <c r="N1469">
        <f>(data[[#This Row],[unit_price]]*data[[#This Row],[quantity]]) * (1-data[[#This Row],[discount]])</f>
        <v>2814000</v>
      </c>
      <c r="O1469">
        <f>data[[#This Row],[sales]]-data[[#This Row],[cost]]</f>
        <v>2146000</v>
      </c>
      <c r="P1469" t="str">
        <f>TEXT(data[[#This Row],[order_date]],"mmm")</f>
        <v>Apr</v>
      </c>
      <c r="Q1469">
        <f>YEAR(data[[#This Row],[order_date]])</f>
        <v>2023</v>
      </c>
      <c r="R1469">
        <f>MONTH(data[[#This Row],[order_date]])</f>
        <v>4</v>
      </c>
      <c r="S1469">
        <f>DAY(data[[#This Row],[order_date]])</f>
        <v>19</v>
      </c>
      <c r="T1469">
        <f>data[[#This Row],[profit]]/data[[#This Row],[sales]]</f>
        <v>0.76261549395877759</v>
      </c>
    </row>
    <row r="1470" spans="1:20" x14ac:dyDescent="0.35">
      <c r="A1470" t="s">
        <v>1696</v>
      </c>
      <c r="B1470" s="1">
        <v>45036</v>
      </c>
      <c r="C1470" t="s">
        <v>49</v>
      </c>
      <c r="D1470" t="s">
        <v>50</v>
      </c>
      <c r="E1470" t="s">
        <v>447</v>
      </c>
      <c r="F1470" t="s">
        <v>23</v>
      </c>
      <c r="G1470" t="s">
        <v>1688</v>
      </c>
      <c r="H1470" t="s">
        <v>1689</v>
      </c>
      <c r="I1470" t="s">
        <v>20</v>
      </c>
      <c r="J1470">
        <v>1</v>
      </c>
      <c r="K1470">
        <v>863000</v>
      </c>
      <c r="L1470">
        <v>0.05</v>
      </c>
      <c r="M1470">
        <v>614000</v>
      </c>
      <c r="N1470">
        <f>(data[[#This Row],[unit_price]]*data[[#This Row],[quantity]]) * (1-data[[#This Row],[discount]])</f>
        <v>819850</v>
      </c>
      <c r="O1470">
        <f>data[[#This Row],[sales]]-data[[#This Row],[cost]]</f>
        <v>205850</v>
      </c>
      <c r="P1470" t="str">
        <f>TEXT(data[[#This Row],[order_date]],"mmm")</f>
        <v>Apr</v>
      </c>
      <c r="Q1470">
        <f>YEAR(data[[#This Row],[order_date]])</f>
        <v>2023</v>
      </c>
      <c r="R1470">
        <f>MONTH(data[[#This Row],[order_date]])</f>
        <v>4</v>
      </c>
      <c r="S1470">
        <f>DAY(data[[#This Row],[order_date]])</f>
        <v>20</v>
      </c>
      <c r="T1470">
        <f>data[[#This Row],[profit]]/data[[#This Row],[sales]]</f>
        <v>0.25108251509422458</v>
      </c>
    </row>
    <row r="1471" spans="1:20" x14ac:dyDescent="0.35">
      <c r="A1471" t="s">
        <v>1697</v>
      </c>
      <c r="B1471" s="1">
        <v>45037</v>
      </c>
      <c r="C1471" t="s">
        <v>14</v>
      </c>
      <c r="D1471" t="s">
        <v>15</v>
      </c>
      <c r="E1471" t="s">
        <v>83</v>
      </c>
      <c r="F1471" t="s">
        <v>23</v>
      </c>
      <c r="G1471" t="s">
        <v>1688</v>
      </c>
      <c r="H1471" t="s">
        <v>1689</v>
      </c>
      <c r="I1471" t="s">
        <v>20</v>
      </c>
      <c r="J1471">
        <v>2</v>
      </c>
      <c r="K1471">
        <v>1027000</v>
      </c>
      <c r="L1471">
        <v>0.1</v>
      </c>
      <c r="M1471">
        <v>742000</v>
      </c>
      <c r="N1471">
        <f>(data[[#This Row],[unit_price]]*data[[#This Row],[quantity]]) * (1-data[[#This Row],[discount]])</f>
        <v>1848600</v>
      </c>
      <c r="O1471">
        <f>data[[#This Row],[sales]]-data[[#This Row],[cost]]</f>
        <v>1106600</v>
      </c>
      <c r="P1471" t="str">
        <f>TEXT(data[[#This Row],[order_date]],"mmm")</f>
        <v>Apr</v>
      </c>
      <c r="Q1471">
        <f>YEAR(data[[#This Row],[order_date]])</f>
        <v>2023</v>
      </c>
      <c r="R1471">
        <f>MONTH(data[[#This Row],[order_date]])</f>
        <v>4</v>
      </c>
      <c r="S1471">
        <f>DAY(data[[#This Row],[order_date]])</f>
        <v>21</v>
      </c>
      <c r="T1471">
        <f>data[[#This Row],[profit]]/data[[#This Row],[sales]]</f>
        <v>0.59861516823542138</v>
      </c>
    </row>
    <row r="1472" spans="1:20" x14ac:dyDescent="0.35">
      <c r="A1472" t="s">
        <v>1698</v>
      </c>
      <c r="B1472" s="1">
        <v>45074</v>
      </c>
      <c r="C1472" t="s">
        <v>36</v>
      </c>
      <c r="D1472" t="s">
        <v>37</v>
      </c>
      <c r="E1472" t="s">
        <v>258</v>
      </c>
      <c r="F1472" t="s">
        <v>23</v>
      </c>
      <c r="G1472" t="s">
        <v>1688</v>
      </c>
      <c r="H1472" t="s">
        <v>1689</v>
      </c>
      <c r="I1472" t="s">
        <v>20</v>
      </c>
      <c r="J1472">
        <v>1</v>
      </c>
      <c r="K1472">
        <v>1341000</v>
      </c>
      <c r="L1472">
        <v>0</v>
      </c>
      <c r="M1472">
        <v>975000</v>
      </c>
      <c r="N1472">
        <f>(data[[#This Row],[unit_price]]*data[[#This Row],[quantity]]) * (1-data[[#This Row],[discount]])</f>
        <v>1341000</v>
      </c>
      <c r="O1472">
        <f>data[[#This Row],[sales]]-data[[#This Row],[cost]]</f>
        <v>366000</v>
      </c>
      <c r="P1472" t="str">
        <f>TEXT(data[[#This Row],[order_date]],"mmm")</f>
        <v>May</v>
      </c>
      <c r="Q1472">
        <f>YEAR(data[[#This Row],[order_date]])</f>
        <v>2023</v>
      </c>
      <c r="R1472">
        <f>MONTH(data[[#This Row],[order_date]])</f>
        <v>5</v>
      </c>
      <c r="S1472">
        <f>DAY(data[[#This Row],[order_date]])</f>
        <v>28</v>
      </c>
      <c r="T1472">
        <f>data[[#This Row],[profit]]/data[[#This Row],[sales]]</f>
        <v>0.27293064876957496</v>
      </c>
    </row>
    <row r="1473" spans="1:20" x14ac:dyDescent="0.35">
      <c r="A1473" t="s">
        <v>1699</v>
      </c>
      <c r="B1473" s="1">
        <v>45102</v>
      </c>
      <c r="C1473" t="s">
        <v>36</v>
      </c>
      <c r="D1473" t="s">
        <v>37</v>
      </c>
      <c r="E1473" t="s">
        <v>613</v>
      </c>
      <c r="F1473" t="s">
        <v>28</v>
      </c>
      <c r="G1473" t="s">
        <v>1688</v>
      </c>
      <c r="H1473" t="s">
        <v>1689</v>
      </c>
      <c r="I1473" t="s">
        <v>20</v>
      </c>
      <c r="J1473">
        <v>1</v>
      </c>
      <c r="K1473">
        <v>1190000</v>
      </c>
      <c r="L1473">
        <v>0</v>
      </c>
      <c r="M1473">
        <v>884000</v>
      </c>
      <c r="N1473">
        <f>(data[[#This Row],[unit_price]]*data[[#This Row],[quantity]]) * (1-data[[#This Row],[discount]])</f>
        <v>1190000</v>
      </c>
      <c r="O1473">
        <f>data[[#This Row],[sales]]-data[[#This Row],[cost]]</f>
        <v>306000</v>
      </c>
      <c r="P1473" t="str">
        <f>TEXT(data[[#This Row],[order_date]],"mmm")</f>
        <v>Jun</v>
      </c>
      <c r="Q1473">
        <f>YEAR(data[[#This Row],[order_date]])</f>
        <v>2023</v>
      </c>
      <c r="R1473">
        <f>MONTH(data[[#This Row],[order_date]])</f>
        <v>6</v>
      </c>
      <c r="S1473">
        <f>DAY(data[[#This Row],[order_date]])</f>
        <v>25</v>
      </c>
      <c r="T1473">
        <f>data[[#This Row],[profit]]/data[[#This Row],[sales]]</f>
        <v>0.25714285714285712</v>
      </c>
    </row>
    <row r="1474" spans="1:20" x14ac:dyDescent="0.35">
      <c r="A1474" t="s">
        <v>1700</v>
      </c>
      <c r="B1474" s="1">
        <v>45129</v>
      </c>
      <c r="C1474" t="s">
        <v>36</v>
      </c>
      <c r="D1474" t="s">
        <v>37</v>
      </c>
      <c r="E1474" t="s">
        <v>221</v>
      </c>
      <c r="F1474" t="s">
        <v>17</v>
      </c>
      <c r="G1474" t="s">
        <v>1688</v>
      </c>
      <c r="H1474" t="s">
        <v>1689</v>
      </c>
      <c r="I1474" t="s">
        <v>20</v>
      </c>
      <c r="J1474">
        <v>1</v>
      </c>
      <c r="K1474">
        <v>1245465.5172413792</v>
      </c>
      <c r="L1474">
        <v>0</v>
      </c>
      <c r="M1474">
        <v>840000</v>
      </c>
      <c r="N1474">
        <f>(data[[#This Row],[unit_price]]*data[[#This Row],[quantity]]) * (1-data[[#This Row],[discount]])</f>
        <v>1245465.5172413792</v>
      </c>
      <c r="O1474">
        <f>data[[#This Row],[sales]]-data[[#This Row],[cost]]</f>
        <v>405465.51724137925</v>
      </c>
      <c r="P1474" t="str">
        <f>TEXT(data[[#This Row],[order_date]],"mmm")</f>
        <v>Jul</v>
      </c>
      <c r="Q1474">
        <f>YEAR(data[[#This Row],[order_date]])</f>
        <v>2023</v>
      </c>
      <c r="R1474">
        <f>MONTH(data[[#This Row],[order_date]])</f>
        <v>7</v>
      </c>
      <c r="S1474">
        <f>DAY(data[[#This Row],[order_date]])</f>
        <v>22</v>
      </c>
      <c r="T1474">
        <f>data[[#This Row],[profit]]/data[[#This Row],[sales]]</f>
        <v>0.3255533867685535</v>
      </c>
    </row>
    <row r="1475" spans="1:20" x14ac:dyDescent="0.35">
      <c r="A1475" t="s">
        <v>1701</v>
      </c>
      <c r="B1475" s="1">
        <v>45135</v>
      </c>
      <c r="C1475" t="s">
        <v>14</v>
      </c>
      <c r="D1475" t="s">
        <v>15</v>
      </c>
      <c r="E1475" t="s">
        <v>319</v>
      </c>
      <c r="F1475" t="s">
        <v>23</v>
      </c>
      <c r="G1475" t="s">
        <v>1688</v>
      </c>
      <c r="H1475" t="s">
        <v>1689</v>
      </c>
      <c r="I1475" t="s">
        <v>20</v>
      </c>
      <c r="J1475">
        <v>1</v>
      </c>
      <c r="K1475">
        <v>1146000</v>
      </c>
      <c r="L1475">
        <v>0</v>
      </c>
      <c r="M1475">
        <v>830000</v>
      </c>
      <c r="N1475">
        <f>(data[[#This Row],[unit_price]]*data[[#This Row],[quantity]]) * (1-data[[#This Row],[discount]])</f>
        <v>1146000</v>
      </c>
      <c r="O1475">
        <f>data[[#This Row],[sales]]-data[[#This Row],[cost]]</f>
        <v>316000</v>
      </c>
      <c r="P1475" t="str">
        <f>TEXT(data[[#This Row],[order_date]],"mmm")</f>
        <v>Jul</v>
      </c>
      <c r="Q1475">
        <f>YEAR(data[[#This Row],[order_date]])</f>
        <v>2023</v>
      </c>
      <c r="R1475">
        <f>MONTH(data[[#This Row],[order_date]])</f>
        <v>7</v>
      </c>
      <c r="S1475">
        <f>DAY(data[[#This Row],[order_date]])</f>
        <v>28</v>
      </c>
      <c r="T1475">
        <f>data[[#This Row],[profit]]/data[[#This Row],[sales]]</f>
        <v>0.27574171029668409</v>
      </c>
    </row>
    <row r="1476" spans="1:20" x14ac:dyDescent="0.35">
      <c r="A1476" t="s">
        <v>1702</v>
      </c>
      <c r="B1476" s="1">
        <v>45138</v>
      </c>
      <c r="C1476" t="s">
        <v>14</v>
      </c>
      <c r="D1476" t="s">
        <v>15</v>
      </c>
      <c r="E1476" t="s">
        <v>255</v>
      </c>
      <c r="F1476" t="s">
        <v>17</v>
      </c>
      <c r="G1476" t="s">
        <v>1688</v>
      </c>
      <c r="H1476" t="s">
        <v>1689</v>
      </c>
      <c r="I1476" t="s">
        <v>20</v>
      </c>
      <c r="J1476">
        <v>1</v>
      </c>
      <c r="K1476">
        <v>1220000</v>
      </c>
      <c r="L1476">
        <v>0</v>
      </c>
      <c r="M1476">
        <v>887000</v>
      </c>
      <c r="N1476">
        <f>(data[[#This Row],[unit_price]]*data[[#This Row],[quantity]]) * (1-data[[#This Row],[discount]])</f>
        <v>1220000</v>
      </c>
      <c r="O1476">
        <f>data[[#This Row],[sales]]-data[[#This Row],[cost]]</f>
        <v>333000</v>
      </c>
      <c r="P1476" t="str">
        <f>TEXT(data[[#This Row],[order_date]],"mmm")</f>
        <v>Jul</v>
      </c>
      <c r="Q1476">
        <f>YEAR(data[[#This Row],[order_date]])</f>
        <v>2023</v>
      </c>
      <c r="R1476">
        <f>MONTH(data[[#This Row],[order_date]])</f>
        <v>7</v>
      </c>
      <c r="S1476">
        <f>DAY(data[[#This Row],[order_date]])</f>
        <v>31</v>
      </c>
      <c r="T1476">
        <f>data[[#This Row],[profit]]/data[[#This Row],[sales]]</f>
        <v>0.27295081967213114</v>
      </c>
    </row>
    <row r="1477" spans="1:20" x14ac:dyDescent="0.35">
      <c r="A1477" t="s">
        <v>1703</v>
      </c>
      <c r="B1477" s="1">
        <v>45154</v>
      </c>
      <c r="C1477" t="s">
        <v>41</v>
      </c>
      <c r="D1477" t="s">
        <v>42</v>
      </c>
      <c r="E1477" t="s">
        <v>150</v>
      </c>
      <c r="F1477" t="s">
        <v>28</v>
      </c>
      <c r="G1477" t="s">
        <v>1688</v>
      </c>
      <c r="H1477" t="s">
        <v>1689</v>
      </c>
      <c r="I1477" t="s">
        <v>20</v>
      </c>
      <c r="J1477">
        <v>3</v>
      </c>
      <c r="K1477">
        <v>856000</v>
      </c>
      <c r="L1477">
        <v>0</v>
      </c>
      <c r="M1477">
        <v>624000</v>
      </c>
      <c r="N1477">
        <f>(data[[#This Row],[unit_price]]*data[[#This Row],[quantity]]) * (1-data[[#This Row],[discount]])</f>
        <v>2568000</v>
      </c>
      <c r="O1477">
        <f>data[[#This Row],[sales]]-data[[#This Row],[cost]]</f>
        <v>1944000</v>
      </c>
      <c r="P1477" t="str">
        <f>TEXT(data[[#This Row],[order_date]],"mmm")</f>
        <v>Aug</v>
      </c>
      <c r="Q1477">
        <f>YEAR(data[[#This Row],[order_date]])</f>
        <v>2023</v>
      </c>
      <c r="R1477">
        <f>MONTH(data[[#This Row],[order_date]])</f>
        <v>8</v>
      </c>
      <c r="S1477">
        <f>DAY(data[[#This Row],[order_date]])</f>
        <v>16</v>
      </c>
      <c r="T1477">
        <f>data[[#This Row],[profit]]/data[[#This Row],[sales]]</f>
        <v>0.7570093457943925</v>
      </c>
    </row>
    <row r="1478" spans="1:20" x14ac:dyDescent="0.35">
      <c r="A1478" t="s">
        <v>1704</v>
      </c>
      <c r="B1478" s="1">
        <v>45170</v>
      </c>
      <c r="C1478" t="s">
        <v>41</v>
      </c>
      <c r="D1478" t="s">
        <v>42</v>
      </c>
      <c r="E1478" t="s">
        <v>764</v>
      </c>
      <c r="F1478" t="s">
        <v>17</v>
      </c>
      <c r="G1478" t="s">
        <v>1688</v>
      </c>
      <c r="H1478" t="s">
        <v>1689</v>
      </c>
      <c r="I1478" t="s">
        <v>20</v>
      </c>
      <c r="J1478">
        <v>2</v>
      </c>
      <c r="K1478">
        <v>1312000</v>
      </c>
      <c r="L1478">
        <v>0</v>
      </c>
      <c r="M1478">
        <v>975000</v>
      </c>
      <c r="N1478">
        <f>(data[[#This Row],[unit_price]]*data[[#This Row],[quantity]]) * (1-data[[#This Row],[discount]])</f>
        <v>2624000</v>
      </c>
      <c r="O1478">
        <f>data[[#This Row],[sales]]-data[[#This Row],[cost]]</f>
        <v>1649000</v>
      </c>
      <c r="P1478" t="str">
        <f>TEXT(data[[#This Row],[order_date]],"mmm")</f>
        <v>Sep</v>
      </c>
      <c r="Q1478">
        <f>YEAR(data[[#This Row],[order_date]])</f>
        <v>2023</v>
      </c>
      <c r="R1478">
        <f>MONTH(data[[#This Row],[order_date]])</f>
        <v>9</v>
      </c>
      <c r="S1478">
        <f>DAY(data[[#This Row],[order_date]])</f>
        <v>1</v>
      </c>
      <c r="T1478">
        <f>data[[#This Row],[profit]]/data[[#This Row],[sales]]</f>
        <v>0.62842987804878048</v>
      </c>
    </row>
    <row r="1479" spans="1:20" x14ac:dyDescent="0.35">
      <c r="A1479" t="s">
        <v>1705</v>
      </c>
      <c r="B1479" s="1">
        <v>45177</v>
      </c>
      <c r="C1479" t="s">
        <v>14</v>
      </c>
      <c r="D1479" t="s">
        <v>15</v>
      </c>
      <c r="E1479" t="s">
        <v>287</v>
      </c>
      <c r="F1479" t="s">
        <v>28</v>
      </c>
      <c r="G1479" t="s">
        <v>1688</v>
      </c>
      <c r="H1479" t="s">
        <v>1689</v>
      </c>
      <c r="I1479" t="s">
        <v>20</v>
      </c>
      <c r="J1479">
        <v>1</v>
      </c>
      <c r="K1479">
        <v>1089000</v>
      </c>
      <c r="L1479">
        <v>0</v>
      </c>
      <c r="M1479">
        <v>812000</v>
      </c>
      <c r="N1479">
        <f>(data[[#This Row],[unit_price]]*data[[#This Row],[quantity]]) * (1-data[[#This Row],[discount]])</f>
        <v>1089000</v>
      </c>
      <c r="O1479">
        <f>data[[#This Row],[sales]]-data[[#This Row],[cost]]</f>
        <v>277000</v>
      </c>
      <c r="P1479" t="str">
        <f>TEXT(data[[#This Row],[order_date]],"mmm")</f>
        <v>Sep</v>
      </c>
      <c r="Q1479">
        <f>YEAR(data[[#This Row],[order_date]])</f>
        <v>2023</v>
      </c>
      <c r="R1479">
        <f>MONTH(data[[#This Row],[order_date]])</f>
        <v>9</v>
      </c>
      <c r="S1479">
        <f>DAY(data[[#This Row],[order_date]])</f>
        <v>8</v>
      </c>
      <c r="T1479">
        <f>data[[#This Row],[profit]]/data[[#This Row],[sales]]</f>
        <v>0.25436179981634527</v>
      </c>
    </row>
    <row r="1480" spans="1:20" x14ac:dyDescent="0.35">
      <c r="A1480" t="s">
        <v>1706</v>
      </c>
      <c r="B1480" s="1">
        <v>45249</v>
      </c>
      <c r="C1480" t="s">
        <v>14</v>
      </c>
      <c r="D1480" t="s">
        <v>15</v>
      </c>
      <c r="E1480" t="s">
        <v>27</v>
      </c>
      <c r="F1480" t="s">
        <v>28</v>
      </c>
      <c r="G1480" t="s">
        <v>1688</v>
      </c>
      <c r="H1480" t="s">
        <v>1689</v>
      </c>
      <c r="I1480" t="s">
        <v>20</v>
      </c>
      <c r="J1480">
        <v>1</v>
      </c>
      <c r="K1480">
        <v>1419000</v>
      </c>
      <c r="L1480">
        <v>0</v>
      </c>
      <c r="M1480">
        <v>1015000</v>
      </c>
      <c r="N1480">
        <f>(data[[#This Row],[unit_price]]*data[[#This Row],[quantity]]) * (1-data[[#This Row],[discount]])</f>
        <v>1419000</v>
      </c>
      <c r="O1480">
        <f>data[[#This Row],[sales]]-data[[#This Row],[cost]]</f>
        <v>404000</v>
      </c>
      <c r="P1480" t="str">
        <f>TEXT(data[[#This Row],[order_date]],"mmm")</f>
        <v>Nov</v>
      </c>
      <c r="Q1480">
        <f>YEAR(data[[#This Row],[order_date]])</f>
        <v>2023</v>
      </c>
      <c r="R1480">
        <f>MONTH(data[[#This Row],[order_date]])</f>
        <v>11</v>
      </c>
      <c r="S1480">
        <f>DAY(data[[#This Row],[order_date]])</f>
        <v>19</v>
      </c>
      <c r="T1480">
        <f>data[[#This Row],[profit]]/data[[#This Row],[sales]]</f>
        <v>0.284707540521494</v>
      </c>
    </row>
    <row r="1481" spans="1:20" x14ac:dyDescent="0.35">
      <c r="A1481" t="s">
        <v>1707</v>
      </c>
      <c r="B1481" s="1">
        <v>45282</v>
      </c>
      <c r="C1481" t="s">
        <v>14</v>
      </c>
      <c r="D1481" t="s">
        <v>15</v>
      </c>
      <c r="E1481" t="s">
        <v>155</v>
      </c>
      <c r="F1481" t="s">
        <v>58</v>
      </c>
      <c r="G1481" t="s">
        <v>1688</v>
      </c>
      <c r="H1481" t="s">
        <v>1689</v>
      </c>
      <c r="I1481" t="s">
        <v>20</v>
      </c>
      <c r="J1481">
        <v>3</v>
      </c>
      <c r="K1481">
        <v>1227000</v>
      </c>
      <c r="L1481">
        <v>0.05</v>
      </c>
      <c r="M1481">
        <v>886000</v>
      </c>
      <c r="N1481">
        <f>(data[[#This Row],[unit_price]]*data[[#This Row],[quantity]]) * (1-data[[#This Row],[discount]])</f>
        <v>3496950</v>
      </c>
      <c r="O1481">
        <f>data[[#This Row],[sales]]-data[[#This Row],[cost]]</f>
        <v>2610950</v>
      </c>
      <c r="P1481" t="str">
        <f>TEXT(data[[#This Row],[order_date]],"mmm")</f>
        <v>Dec</v>
      </c>
      <c r="Q1481">
        <f>YEAR(data[[#This Row],[order_date]])</f>
        <v>2023</v>
      </c>
      <c r="R1481">
        <f>MONTH(data[[#This Row],[order_date]])</f>
        <v>12</v>
      </c>
      <c r="S1481">
        <f>DAY(data[[#This Row],[order_date]])</f>
        <v>22</v>
      </c>
      <c r="T1481">
        <f>data[[#This Row],[profit]]/data[[#This Row],[sales]]</f>
        <v>0.74663635453752553</v>
      </c>
    </row>
    <row r="1482" spans="1:20" x14ac:dyDescent="0.35">
      <c r="A1482" t="s">
        <v>1708</v>
      </c>
      <c r="B1482" s="1">
        <v>45294</v>
      </c>
      <c r="C1482" t="s">
        <v>41</v>
      </c>
      <c r="D1482" t="s">
        <v>42</v>
      </c>
      <c r="E1482" t="s">
        <v>553</v>
      </c>
      <c r="F1482" t="s">
        <v>17</v>
      </c>
      <c r="G1482" t="s">
        <v>1688</v>
      </c>
      <c r="H1482" t="s">
        <v>1689</v>
      </c>
      <c r="I1482" t="s">
        <v>20</v>
      </c>
      <c r="J1482">
        <v>1</v>
      </c>
      <c r="K1482">
        <v>1450000</v>
      </c>
      <c r="L1482">
        <v>0</v>
      </c>
      <c r="M1482">
        <v>1047000</v>
      </c>
      <c r="N1482">
        <f>(data[[#This Row],[unit_price]]*data[[#This Row],[quantity]]) * (1-data[[#This Row],[discount]])</f>
        <v>1450000</v>
      </c>
      <c r="O1482">
        <f>data[[#This Row],[sales]]-data[[#This Row],[cost]]</f>
        <v>403000</v>
      </c>
      <c r="P1482" t="str">
        <f>TEXT(data[[#This Row],[order_date]],"mmm")</f>
        <v>Jan</v>
      </c>
      <c r="Q1482">
        <f>YEAR(data[[#This Row],[order_date]])</f>
        <v>2024</v>
      </c>
      <c r="R1482">
        <f>MONTH(data[[#This Row],[order_date]])</f>
        <v>1</v>
      </c>
      <c r="S1482">
        <f>DAY(data[[#This Row],[order_date]])</f>
        <v>3</v>
      </c>
      <c r="T1482">
        <f>data[[#This Row],[profit]]/data[[#This Row],[sales]]</f>
        <v>0.27793103448275863</v>
      </c>
    </row>
    <row r="1483" spans="1:20" x14ac:dyDescent="0.35">
      <c r="A1483" t="s">
        <v>1709</v>
      </c>
      <c r="B1483" s="1">
        <v>45313</v>
      </c>
      <c r="C1483" t="s">
        <v>14</v>
      </c>
      <c r="D1483" t="s">
        <v>15</v>
      </c>
      <c r="E1483" t="s">
        <v>260</v>
      </c>
      <c r="F1483" t="s">
        <v>23</v>
      </c>
      <c r="G1483" t="s">
        <v>1688</v>
      </c>
      <c r="H1483" t="s">
        <v>1689</v>
      </c>
      <c r="I1483" t="s">
        <v>20</v>
      </c>
      <c r="J1483">
        <v>3</v>
      </c>
      <c r="K1483">
        <v>949000</v>
      </c>
      <c r="L1483">
        <v>0.1</v>
      </c>
      <c r="M1483">
        <v>686000</v>
      </c>
      <c r="N1483">
        <f>(data[[#This Row],[unit_price]]*data[[#This Row],[quantity]]) * (1-data[[#This Row],[discount]])</f>
        <v>2562300</v>
      </c>
      <c r="O1483">
        <f>data[[#This Row],[sales]]-data[[#This Row],[cost]]</f>
        <v>1876300</v>
      </c>
      <c r="P1483" t="str">
        <f>TEXT(data[[#This Row],[order_date]],"mmm")</f>
        <v>Jan</v>
      </c>
      <c r="Q1483">
        <f>YEAR(data[[#This Row],[order_date]])</f>
        <v>2024</v>
      </c>
      <c r="R1483">
        <f>MONTH(data[[#This Row],[order_date]])</f>
        <v>1</v>
      </c>
      <c r="S1483">
        <f>DAY(data[[#This Row],[order_date]])</f>
        <v>22</v>
      </c>
      <c r="T1483">
        <f>data[[#This Row],[profit]]/data[[#This Row],[sales]]</f>
        <v>0.73227178706630758</v>
      </c>
    </row>
    <row r="1484" spans="1:20" x14ac:dyDescent="0.35">
      <c r="A1484" t="s">
        <v>1710</v>
      </c>
      <c r="B1484" s="1">
        <v>45340</v>
      </c>
      <c r="C1484" t="s">
        <v>14</v>
      </c>
      <c r="D1484" t="s">
        <v>15</v>
      </c>
      <c r="E1484" t="s">
        <v>230</v>
      </c>
      <c r="F1484" t="s">
        <v>23</v>
      </c>
      <c r="G1484" t="s">
        <v>1688</v>
      </c>
      <c r="H1484" t="s">
        <v>1689</v>
      </c>
      <c r="I1484" t="s">
        <v>20</v>
      </c>
      <c r="J1484">
        <v>2</v>
      </c>
      <c r="K1484">
        <v>1245465.5172413792</v>
      </c>
      <c r="L1484">
        <v>0</v>
      </c>
      <c r="M1484">
        <v>0</v>
      </c>
      <c r="N1484">
        <f>(data[[#This Row],[unit_price]]*data[[#This Row],[quantity]]) * (1-data[[#This Row],[discount]])</f>
        <v>2490931.0344827585</v>
      </c>
      <c r="O1484">
        <f>data[[#This Row],[sales]]-data[[#This Row],[cost]]</f>
        <v>2490931.0344827585</v>
      </c>
      <c r="P1484" t="str">
        <f>TEXT(data[[#This Row],[order_date]],"mmm")</f>
        <v>Feb</v>
      </c>
      <c r="Q1484">
        <f>YEAR(data[[#This Row],[order_date]])</f>
        <v>2024</v>
      </c>
      <c r="R1484">
        <f>MONTH(data[[#This Row],[order_date]])</f>
        <v>2</v>
      </c>
      <c r="S1484">
        <f>DAY(data[[#This Row],[order_date]])</f>
        <v>18</v>
      </c>
      <c r="T1484">
        <f>data[[#This Row],[profit]]/data[[#This Row],[sales]]</f>
        <v>1</v>
      </c>
    </row>
    <row r="1485" spans="1:20" x14ac:dyDescent="0.35">
      <c r="A1485" t="s">
        <v>1711</v>
      </c>
      <c r="B1485" s="1">
        <v>45371</v>
      </c>
      <c r="C1485" t="s">
        <v>25</v>
      </c>
      <c r="D1485" t="s">
        <v>26</v>
      </c>
      <c r="E1485" t="s">
        <v>134</v>
      </c>
      <c r="F1485" t="s">
        <v>28</v>
      </c>
      <c r="G1485" t="s">
        <v>1688</v>
      </c>
      <c r="H1485" t="s">
        <v>1689</v>
      </c>
      <c r="I1485" t="s">
        <v>20</v>
      </c>
      <c r="J1485">
        <v>1</v>
      </c>
      <c r="K1485">
        <v>1248000</v>
      </c>
      <c r="L1485">
        <v>0</v>
      </c>
      <c r="M1485">
        <v>904000</v>
      </c>
      <c r="N1485">
        <f>(data[[#This Row],[unit_price]]*data[[#This Row],[quantity]]) * (1-data[[#This Row],[discount]])</f>
        <v>1248000</v>
      </c>
      <c r="O1485">
        <f>data[[#This Row],[sales]]-data[[#This Row],[cost]]</f>
        <v>344000</v>
      </c>
      <c r="P1485" t="str">
        <f>TEXT(data[[#This Row],[order_date]],"mmm")</f>
        <v>Mar</v>
      </c>
      <c r="Q1485">
        <f>YEAR(data[[#This Row],[order_date]])</f>
        <v>2024</v>
      </c>
      <c r="R1485">
        <f>MONTH(data[[#This Row],[order_date]])</f>
        <v>3</v>
      </c>
      <c r="S1485">
        <f>DAY(data[[#This Row],[order_date]])</f>
        <v>20</v>
      </c>
      <c r="T1485">
        <f>data[[#This Row],[profit]]/data[[#This Row],[sales]]</f>
        <v>0.27564102564102566</v>
      </c>
    </row>
    <row r="1486" spans="1:20" x14ac:dyDescent="0.35">
      <c r="A1486" t="s">
        <v>1712</v>
      </c>
      <c r="B1486" s="1">
        <v>45380</v>
      </c>
      <c r="C1486" t="s">
        <v>25</v>
      </c>
      <c r="D1486" t="s">
        <v>26</v>
      </c>
      <c r="E1486" t="s">
        <v>349</v>
      </c>
      <c r="F1486" t="s">
        <v>23</v>
      </c>
      <c r="G1486" t="s">
        <v>1688</v>
      </c>
      <c r="H1486" t="s">
        <v>1689</v>
      </c>
      <c r="I1486" t="s">
        <v>20</v>
      </c>
      <c r="J1486">
        <v>1</v>
      </c>
      <c r="K1486">
        <v>1245465.5172413792</v>
      </c>
      <c r="L1486">
        <v>0</v>
      </c>
      <c r="M1486">
        <v>840000</v>
      </c>
      <c r="N1486">
        <f>(data[[#This Row],[unit_price]]*data[[#This Row],[quantity]]) * (1-data[[#This Row],[discount]])</f>
        <v>1245465.5172413792</v>
      </c>
      <c r="O1486">
        <f>data[[#This Row],[sales]]-data[[#This Row],[cost]]</f>
        <v>405465.51724137925</v>
      </c>
      <c r="P1486" t="str">
        <f>TEXT(data[[#This Row],[order_date]],"mmm")</f>
        <v>Mar</v>
      </c>
      <c r="Q1486">
        <f>YEAR(data[[#This Row],[order_date]])</f>
        <v>2024</v>
      </c>
      <c r="R1486">
        <f>MONTH(data[[#This Row],[order_date]])</f>
        <v>3</v>
      </c>
      <c r="S1486">
        <f>DAY(data[[#This Row],[order_date]])</f>
        <v>29</v>
      </c>
      <c r="T1486">
        <f>data[[#This Row],[profit]]/data[[#This Row],[sales]]</f>
        <v>0.3255533867685535</v>
      </c>
    </row>
    <row r="1487" spans="1:20" x14ac:dyDescent="0.35">
      <c r="A1487" t="s">
        <v>1713</v>
      </c>
      <c r="B1487" s="1">
        <v>45382</v>
      </c>
      <c r="C1487" t="s">
        <v>36</v>
      </c>
      <c r="D1487" t="s">
        <v>37</v>
      </c>
      <c r="E1487" t="s">
        <v>53</v>
      </c>
      <c r="F1487" t="s">
        <v>17</v>
      </c>
      <c r="G1487" t="s">
        <v>1688</v>
      </c>
      <c r="H1487" t="s">
        <v>1689</v>
      </c>
      <c r="I1487" t="s">
        <v>20</v>
      </c>
      <c r="J1487">
        <v>1</v>
      </c>
      <c r="K1487">
        <v>1171000</v>
      </c>
      <c r="L1487">
        <v>0</v>
      </c>
      <c r="M1487">
        <v>837000</v>
      </c>
      <c r="N1487">
        <f>(data[[#This Row],[unit_price]]*data[[#This Row],[quantity]]) * (1-data[[#This Row],[discount]])</f>
        <v>1171000</v>
      </c>
      <c r="O1487">
        <f>data[[#This Row],[sales]]-data[[#This Row],[cost]]</f>
        <v>334000</v>
      </c>
      <c r="P1487" t="str">
        <f>TEXT(data[[#This Row],[order_date]],"mmm")</f>
        <v>Mar</v>
      </c>
      <c r="Q1487">
        <f>YEAR(data[[#This Row],[order_date]])</f>
        <v>2024</v>
      </c>
      <c r="R1487">
        <f>MONTH(data[[#This Row],[order_date]])</f>
        <v>3</v>
      </c>
      <c r="S1487">
        <f>DAY(data[[#This Row],[order_date]])</f>
        <v>31</v>
      </c>
      <c r="T1487">
        <f>data[[#This Row],[profit]]/data[[#This Row],[sales]]</f>
        <v>0.2852263023057216</v>
      </c>
    </row>
    <row r="1488" spans="1:20" x14ac:dyDescent="0.35">
      <c r="A1488" t="s">
        <v>1714</v>
      </c>
      <c r="B1488" s="1">
        <v>45393</v>
      </c>
      <c r="C1488" t="s">
        <v>25</v>
      </c>
      <c r="D1488" t="s">
        <v>26</v>
      </c>
      <c r="E1488" t="s">
        <v>295</v>
      </c>
      <c r="F1488" t="s">
        <v>23</v>
      </c>
      <c r="G1488" t="s">
        <v>1688</v>
      </c>
      <c r="H1488" t="s">
        <v>1689</v>
      </c>
      <c r="I1488" t="s">
        <v>20</v>
      </c>
      <c r="J1488">
        <v>1</v>
      </c>
      <c r="K1488">
        <v>1239000</v>
      </c>
      <c r="L1488">
        <v>0</v>
      </c>
      <c r="M1488">
        <v>921000</v>
      </c>
      <c r="N1488">
        <f>(data[[#This Row],[unit_price]]*data[[#This Row],[quantity]]) * (1-data[[#This Row],[discount]])</f>
        <v>1239000</v>
      </c>
      <c r="O1488">
        <f>data[[#This Row],[sales]]-data[[#This Row],[cost]]</f>
        <v>318000</v>
      </c>
      <c r="P1488" t="str">
        <f>TEXT(data[[#This Row],[order_date]],"mmm")</f>
        <v>Apr</v>
      </c>
      <c r="Q1488">
        <f>YEAR(data[[#This Row],[order_date]])</f>
        <v>2024</v>
      </c>
      <c r="R1488">
        <f>MONTH(data[[#This Row],[order_date]])</f>
        <v>4</v>
      </c>
      <c r="S1488">
        <f>DAY(data[[#This Row],[order_date]])</f>
        <v>11</v>
      </c>
      <c r="T1488">
        <f>data[[#This Row],[profit]]/data[[#This Row],[sales]]</f>
        <v>0.2566585956416465</v>
      </c>
    </row>
    <row r="1489" spans="1:20" x14ac:dyDescent="0.35">
      <c r="A1489" t="s">
        <v>1715</v>
      </c>
      <c r="B1489" s="1">
        <v>45393</v>
      </c>
      <c r="C1489" t="s">
        <v>41</v>
      </c>
      <c r="D1489" t="s">
        <v>42</v>
      </c>
      <c r="E1489" t="s">
        <v>113</v>
      </c>
      <c r="F1489" t="s">
        <v>23</v>
      </c>
      <c r="G1489" t="s">
        <v>1688</v>
      </c>
      <c r="H1489" t="s">
        <v>1689</v>
      </c>
      <c r="I1489" t="s">
        <v>20</v>
      </c>
      <c r="J1489">
        <v>1</v>
      </c>
      <c r="K1489">
        <v>1544000</v>
      </c>
      <c r="L1489">
        <v>0</v>
      </c>
      <c r="M1489">
        <v>1121000</v>
      </c>
      <c r="N1489">
        <f>(data[[#This Row],[unit_price]]*data[[#This Row],[quantity]]) * (1-data[[#This Row],[discount]])</f>
        <v>1544000</v>
      </c>
      <c r="O1489">
        <f>data[[#This Row],[sales]]-data[[#This Row],[cost]]</f>
        <v>423000</v>
      </c>
      <c r="P1489" t="str">
        <f>TEXT(data[[#This Row],[order_date]],"mmm")</f>
        <v>Apr</v>
      </c>
      <c r="Q1489">
        <f>YEAR(data[[#This Row],[order_date]])</f>
        <v>2024</v>
      </c>
      <c r="R1489">
        <f>MONTH(data[[#This Row],[order_date]])</f>
        <v>4</v>
      </c>
      <c r="S1489">
        <f>DAY(data[[#This Row],[order_date]])</f>
        <v>11</v>
      </c>
      <c r="T1489">
        <f>data[[#This Row],[profit]]/data[[#This Row],[sales]]</f>
        <v>0.27396373056994816</v>
      </c>
    </row>
    <row r="1490" spans="1:20" x14ac:dyDescent="0.35">
      <c r="A1490" t="s">
        <v>1716</v>
      </c>
      <c r="B1490" s="1">
        <v>45412</v>
      </c>
      <c r="C1490" t="s">
        <v>14</v>
      </c>
      <c r="D1490" t="s">
        <v>15</v>
      </c>
      <c r="E1490" t="s">
        <v>85</v>
      </c>
      <c r="F1490" t="s">
        <v>23</v>
      </c>
      <c r="G1490" t="s">
        <v>1688</v>
      </c>
      <c r="H1490" t="s">
        <v>1689</v>
      </c>
      <c r="I1490" t="s">
        <v>20</v>
      </c>
      <c r="J1490">
        <v>5</v>
      </c>
      <c r="K1490">
        <v>877000</v>
      </c>
      <c r="L1490">
        <v>0</v>
      </c>
      <c r="M1490">
        <v>651000</v>
      </c>
      <c r="N1490">
        <f>(data[[#This Row],[unit_price]]*data[[#This Row],[quantity]]) * (1-data[[#This Row],[discount]])</f>
        <v>4385000</v>
      </c>
      <c r="O1490">
        <f>data[[#This Row],[sales]]-data[[#This Row],[cost]]</f>
        <v>3734000</v>
      </c>
      <c r="P1490" t="str">
        <f>TEXT(data[[#This Row],[order_date]],"mmm")</f>
        <v>Apr</v>
      </c>
      <c r="Q1490">
        <f>YEAR(data[[#This Row],[order_date]])</f>
        <v>2024</v>
      </c>
      <c r="R1490">
        <f>MONTH(data[[#This Row],[order_date]])</f>
        <v>4</v>
      </c>
      <c r="S1490">
        <f>DAY(data[[#This Row],[order_date]])</f>
        <v>30</v>
      </c>
      <c r="T1490">
        <f>data[[#This Row],[profit]]/data[[#This Row],[sales]]</f>
        <v>0.85153933865450404</v>
      </c>
    </row>
    <row r="1491" spans="1:20" x14ac:dyDescent="0.35">
      <c r="A1491" t="s">
        <v>1717</v>
      </c>
      <c r="B1491" s="1">
        <v>45435</v>
      </c>
      <c r="C1491" t="s">
        <v>49</v>
      </c>
      <c r="D1491" t="s">
        <v>50</v>
      </c>
      <c r="E1491" t="s">
        <v>553</v>
      </c>
      <c r="F1491" t="s">
        <v>17</v>
      </c>
      <c r="G1491" t="s">
        <v>1688</v>
      </c>
      <c r="H1491" t="s">
        <v>1689</v>
      </c>
      <c r="I1491" t="s">
        <v>20</v>
      </c>
      <c r="J1491">
        <v>1</v>
      </c>
      <c r="K1491">
        <v>1484000</v>
      </c>
      <c r="L1491">
        <v>0</v>
      </c>
      <c r="M1491">
        <v>1087000</v>
      </c>
      <c r="N1491">
        <f>(data[[#This Row],[unit_price]]*data[[#This Row],[quantity]]) * (1-data[[#This Row],[discount]])</f>
        <v>1484000</v>
      </c>
      <c r="O1491">
        <f>data[[#This Row],[sales]]-data[[#This Row],[cost]]</f>
        <v>397000</v>
      </c>
      <c r="P1491" t="str">
        <f>TEXT(data[[#This Row],[order_date]],"mmm")</f>
        <v>May</v>
      </c>
      <c r="Q1491">
        <f>YEAR(data[[#This Row],[order_date]])</f>
        <v>2024</v>
      </c>
      <c r="R1491">
        <f>MONTH(data[[#This Row],[order_date]])</f>
        <v>5</v>
      </c>
      <c r="S1491">
        <f>DAY(data[[#This Row],[order_date]])</f>
        <v>23</v>
      </c>
      <c r="T1491">
        <f>data[[#This Row],[profit]]/data[[#This Row],[sales]]</f>
        <v>0.26752021563342315</v>
      </c>
    </row>
    <row r="1492" spans="1:20" x14ac:dyDescent="0.35">
      <c r="A1492" t="s">
        <v>1718</v>
      </c>
      <c r="B1492" s="1">
        <v>45472</v>
      </c>
      <c r="C1492" t="s">
        <v>14</v>
      </c>
      <c r="D1492" t="s">
        <v>15</v>
      </c>
      <c r="E1492" t="s">
        <v>798</v>
      </c>
      <c r="F1492" t="s">
        <v>28</v>
      </c>
      <c r="G1492" t="s">
        <v>1688</v>
      </c>
      <c r="H1492" t="s">
        <v>1689</v>
      </c>
      <c r="I1492" t="s">
        <v>20</v>
      </c>
      <c r="J1492">
        <v>2</v>
      </c>
      <c r="K1492">
        <v>995000</v>
      </c>
      <c r="L1492">
        <v>0</v>
      </c>
      <c r="M1492">
        <v>735000</v>
      </c>
      <c r="N1492">
        <f>(data[[#This Row],[unit_price]]*data[[#This Row],[quantity]]) * (1-data[[#This Row],[discount]])</f>
        <v>1990000</v>
      </c>
      <c r="O1492">
        <f>data[[#This Row],[sales]]-data[[#This Row],[cost]]</f>
        <v>1255000</v>
      </c>
      <c r="P1492" t="str">
        <f>TEXT(data[[#This Row],[order_date]],"mmm")</f>
        <v>Jun</v>
      </c>
      <c r="Q1492">
        <f>YEAR(data[[#This Row],[order_date]])</f>
        <v>2024</v>
      </c>
      <c r="R1492">
        <f>MONTH(data[[#This Row],[order_date]])</f>
        <v>6</v>
      </c>
      <c r="S1492">
        <f>DAY(data[[#This Row],[order_date]])</f>
        <v>29</v>
      </c>
      <c r="T1492">
        <f>data[[#This Row],[profit]]/data[[#This Row],[sales]]</f>
        <v>0.6306532663316583</v>
      </c>
    </row>
    <row r="1493" spans="1:20" x14ac:dyDescent="0.35">
      <c r="A1493" t="s">
        <v>1719</v>
      </c>
      <c r="B1493" s="1">
        <v>45483</v>
      </c>
      <c r="C1493" t="s">
        <v>14</v>
      </c>
      <c r="D1493" t="s">
        <v>15</v>
      </c>
      <c r="E1493" t="s">
        <v>352</v>
      </c>
      <c r="F1493" t="s">
        <v>23</v>
      </c>
      <c r="G1493" t="s">
        <v>1688</v>
      </c>
      <c r="H1493" t="s">
        <v>1689</v>
      </c>
      <c r="I1493" t="s">
        <v>20</v>
      </c>
      <c r="J1493">
        <v>2</v>
      </c>
      <c r="K1493">
        <v>1121000</v>
      </c>
      <c r="L1493">
        <v>0</v>
      </c>
      <c r="M1493">
        <v>837000</v>
      </c>
      <c r="N1493">
        <f>(data[[#This Row],[unit_price]]*data[[#This Row],[quantity]]) * (1-data[[#This Row],[discount]])</f>
        <v>2242000</v>
      </c>
      <c r="O1493">
        <f>data[[#This Row],[sales]]-data[[#This Row],[cost]]</f>
        <v>1405000</v>
      </c>
      <c r="P1493" t="str">
        <f>TEXT(data[[#This Row],[order_date]],"mmm")</f>
        <v>Jul</v>
      </c>
      <c r="Q1493">
        <f>YEAR(data[[#This Row],[order_date]])</f>
        <v>2024</v>
      </c>
      <c r="R1493">
        <f>MONTH(data[[#This Row],[order_date]])</f>
        <v>7</v>
      </c>
      <c r="S1493">
        <f>DAY(data[[#This Row],[order_date]])</f>
        <v>10</v>
      </c>
      <c r="T1493">
        <f>data[[#This Row],[profit]]/data[[#This Row],[sales]]</f>
        <v>0.6266726137377342</v>
      </c>
    </row>
    <row r="1494" spans="1:20" x14ac:dyDescent="0.35">
      <c r="A1494" t="s">
        <v>1720</v>
      </c>
      <c r="B1494" s="1">
        <v>45493</v>
      </c>
      <c r="C1494" t="s">
        <v>25</v>
      </c>
      <c r="D1494" t="s">
        <v>26</v>
      </c>
      <c r="E1494" t="s">
        <v>203</v>
      </c>
      <c r="F1494" t="s">
        <v>17</v>
      </c>
      <c r="G1494" t="s">
        <v>1688</v>
      </c>
      <c r="H1494" t="s">
        <v>1689</v>
      </c>
      <c r="I1494" t="s">
        <v>20</v>
      </c>
      <c r="J1494">
        <v>1</v>
      </c>
      <c r="K1494">
        <v>1086000</v>
      </c>
      <c r="L1494">
        <v>0</v>
      </c>
      <c r="M1494">
        <v>801000</v>
      </c>
      <c r="N1494">
        <f>(data[[#This Row],[unit_price]]*data[[#This Row],[quantity]]) * (1-data[[#This Row],[discount]])</f>
        <v>1086000</v>
      </c>
      <c r="O1494">
        <f>data[[#This Row],[sales]]-data[[#This Row],[cost]]</f>
        <v>285000</v>
      </c>
      <c r="P1494" t="str">
        <f>TEXT(data[[#This Row],[order_date]],"mmm")</f>
        <v>Jul</v>
      </c>
      <c r="Q1494">
        <f>YEAR(data[[#This Row],[order_date]])</f>
        <v>2024</v>
      </c>
      <c r="R1494">
        <f>MONTH(data[[#This Row],[order_date]])</f>
        <v>7</v>
      </c>
      <c r="S1494">
        <f>DAY(data[[#This Row],[order_date]])</f>
        <v>20</v>
      </c>
      <c r="T1494">
        <f>data[[#This Row],[profit]]/data[[#This Row],[sales]]</f>
        <v>0.26243093922651933</v>
      </c>
    </row>
    <row r="1495" spans="1:20" x14ac:dyDescent="0.35">
      <c r="A1495" t="s">
        <v>1721</v>
      </c>
      <c r="B1495" s="1">
        <v>45507</v>
      </c>
      <c r="C1495" t="s">
        <v>41</v>
      </c>
      <c r="D1495" t="s">
        <v>42</v>
      </c>
      <c r="E1495" t="s">
        <v>85</v>
      </c>
      <c r="F1495" t="s">
        <v>23</v>
      </c>
      <c r="G1495" t="s">
        <v>1688</v>
      </c>
      <c r="H1495" t="s">
        <v>1689</v>
      </c>
      <c r="I1495" t="s">
        <v>20</v>
      </c>
      <c r="J1495">
        <v>1</v>
      </c>
      <c r="K1495">
        <v>1209000</v>
      </c>
      <c r="L1495">
        <v>0.05</v>
      </c>
      <c r="M1495">
        <v>904000</v>
      </c>
      <c r="N1495">
        <f>(data[[#This Row],[unit_price]]*data[[#This Row],[quantity]]) * (1-data[[#This Row],[discount]])</f>
        <v>1148550</v>
      </c>
      <c r="O1495">
        <f>data[[#This Row],[sales]]-data[[#This Row],[cost]]</f>
        <v>244550</v>
      </c>
      <c r="P1495" t="str">
        <f>TEXT(data[[#This Row],[order_date]],"mmm")</f>
        <v>Aug</v>
      </c>
      <c r="Q1495">
        <f>YEAR(data[[#This Row],[order_date]])</f>
        <v>2024</v>
      </c>
      <c r="R1495">
        <f>MONTH(data[[#This Row],[order_date]])</f>
        <v>8</v>
      </c>
      <c r="S1495">
        <f>DAY(data[[#This Row],[order_date]])</f>
        <v>3</v>
      </c>
      <c r="T1495">
        <f>data[[#This Row],[profit]]/data[[#This Row],[sales]]</f>
        <v>0.21292063906664926</v>
      </c>
    </row>
    <row r="1496" spans="1:20" x14ac:dyDescent="0.35">
      <c r="A1496" t="s">
        <v>1722</v>
      </c>
      <c r="B1496" s="1">
        <v>45554</v>
      </c>
      <c r="C1496" t="s">
        <v>36</v>
      </c>
      <c r="D1496" t="s">
        <v>37</v>
      </c>
      <c r="E1496" t="s">
        <v>569</v>
      </c>
      <c r="F1496" t="s">
        <v>23</v>
      </c>
      <c r="G1496" t="s">
        <v>1688</v>
      </c>
      <c r="H1496" t="s">
        <v>1689</v>
      </c>
      <c r="I1496" t="s">
        <v>20</v>
      </c>
      <c r="J1496">
        <v>1</v>
      </c>
      <c r="K1496">
        <v>1312000</v>
      </c>
      <c r="L1496">
        <v>0.05</v>
      </c>
      <c r="M1496">
        <v>974000</v>
      </c>
      <c r="N1496">
        <f>(data[[#This Row],[unit_price]]*data[[#This Row],[quantity]]) * (1-data[[#This Row],[discount]])</f>
        <v>1246400</v>
      </c>
      <c r="O1496">
        <f>data[[#This Row],[sales]]-data[[#This Row],[cost]]</f>
        <v>272400</v>
      </c>
      <c r="P1496" t="str">
        <f>TEXT(data[[#This Row],[order_date]],"mmm")</f>
        <v>Sep</v>
      </c>
      <c r="Q1496">
        <f>YEAR(data[[#This Row],[order_date]])</f>
        <v>2024</v>
      </c>
      <c r="R1496">
        <f>MONTH(data[[#This Row],[order_date]])</f>
        <v>9</v>
      </c>
      <c r="S1496">
        <f>DAY(data[[#This Row],[order_date]])</f>
        <v>19</v>
      </c>
      <c r="T1496">
        <f>data[[#This Row],[profit]]/data[[#This Row],[sales]]</f>
        <v>0.21854942233632862</v>
      </c>
    </row>
    <row r="1497" spans="1:20" x14ac:dyDescent="0.35">
      <c r="A1497" t="s">
        <v>1723</v>
      </c>
      <c r="B1497" s="1">
        <v>45594</v>
      </c>
      <c r="C1497" t="s">
        <v>49</v>
      </c>
      <c r="D1497" t="s">
        <v>50</v>
      </c>
      <c r="E1497" t="s">
        <v>172</v>
      </c>
      <c r="F1497" t="s">
        <v>23</v>
      </c>
      <c r="G1497" t="s">
        <v>1688</v>
      </c>
      <c r="H1497" t="s">
        <v>1689</v>
      </c>
      <c r="I1497" t="s">
        <v>20</v>
      </c>
      <c r="J1497">
        <v>1</v>
      </c>
      <c r="K1497">
        <v>1261000</v>
      </c>
      <c r="L1497">
        <v>0</v>
      </c>
      <c r="M1497">
        <v>931000</v>
      </c>
      <c r="N1497">
        <f>(data[[#This Row],[unit_price]]*data[[#This Row],[quantity]]) * (1-data[[#This Row],[discount]])</f>
        <v>1261000</v>
      </c>
      <c r="O1497">
        <f>data[[#This Row],[sales]]-data[[#This Row],[cost]]</f>
        <v>330000</v>
      </c>
      <c r="P1497" t="str">
        <f>TEXT(data[[#This Row],[order_date]],"mmm")</f>
        <v>Oct</v>
      </c>
      <c r="Q1497">
        <f>YEAR(data[[#This Row],[order_date]])</f>
        <v>2024</v>
      </c>
      <c r="R1497">
        <f>MONTH(data[[#This Row],[order_date]])</f>
        <v>10</v>
      </c>
      <c r="S1497">
        <f>DAY(data[[#This Row],[order_date]])</f>
        <v>29</v>
      </c>
      <c r="T1497">
        <f>data[[#This Row],[profit]]/data[[#This Row],[sales]]</f>
        <v>0.26169706582077717</v>
      </c>
    </row>
    <row r="1498" spans="1:20" x14ac:dyDescent="0.35">
      <c r="A1498" t="s">
        <v>1724</v>
      </c>
      <c r="B1498" s="1">
        <v>45633</v>
      </c>
      <c r="C1498" t="s">
        <v>41</v>
      </c>
      <c r="D1498" t="s">
        <v>42</v>
      </c>
      <c r="E1498" t="s">
        <v>255</v>
      </c>
      <c r="F1498" t="s">
        <v>17</v>
      </c>
      <c r="G1498" t="s">
        <v>1688</v>
      </c>
      <c r="H1498" t="s">
        <v>1689</v>
      </c>
      <c r="I1498" t="s">
        <v>20</v>
      </c>
      <c r="J1498">
        <v>2</v>
      </c>
      <c r="K1498">
        <v>1460000</v>
      </c>
      <c r="L1498">
        <v>0</v>
      </c>
      <c r="M1498">
        <v>1068000</v>
      </c>
      <c r="N1498">
        <f>(data[[#This Row],[unit_price]]*data[[#This Row],[quantity]]) * (1-data[[#This Row],[discount]])</f>
        <v>2920000</v>
      </c>
      <c r="O1498">
        <f>data[[#This Row],[sales]]-data[[#This Row],[cost]]</f>
        <v>1852000</v>
      </c>
      <c r="P1498" t="str">
        <f>TEXT(data[[#This Row],[order_date]],"mmm")</f>
        <v>Dec</v>
      </c>
      <c r="Q1498">
        <f>YEAR(data[[#This Row],[order_date]])</f>
        <v>2024</v>
      </c>
      <c r="R1498">
        <f>MONTH(data[[#This Row],[order_date]])</f>
        <v>12</v>
      </c>
      <c r="S1498">
        <f>DAY(data[[#This Row],[order_date]])</f>
        <v>7</v>
      </c>
      <c r="T1498">
        <f>data[[#This Row],[profit]]/data[[#This Row],[sales]]</f>
        <v>0.63424657534246576</v>
      </c>
    </row>
    <row r="1499" spans="1:20" x14ac:dyDescent="0.35">
      <c r="A1499" t="s">
        <v>1725</v>
      </c>
      <c r="B1499" s="1">
        <v>45641</v>
      </c>
      <c r="C1499" t="s">
        <v>14</v>
      </c>
      <c r="D1499" t="s">
        <v>15</v>
      </c>
      <c r="E1499" t="s">
        <v>166</v>
      </c>
      <c r="F1499" t="s">
        <v>28</v>
      </c>
      <c r="G1499" t="s">
        <v>1688</v>
      </c>
      <c r="H1499" t="s">
        <v>1689</v>
      </c>
      <c r="I1499" t="s">
        <v>20</v>
      </c>
      <c r="J1499">
        <v>1</v>
      </c>
      <c r="K1499">
        <v>1307000</v>
      </c>
      <c r="L1499">
        <v>0.1</v>
      </c>
      <c r="M1499">
        <v>974000</v>
      </c>
      <c r="N1499">
        <f>(data[[#This Row],[unit_price]]*data[[#This Row],[quantity]]) * (1-data[[#This Row],[discount]])</f>
        <v>1176300</v>
      </c>
      <c r="O1499">
        <f>data[[#This Row],[sales]]-data[[#This Row],[cost]]</f>
        <v>202300</v>
      </c>
      <c r="P1499" t="str">
        <f>TEXT(data[[#This Row],[order_date]],"mmm")</f>
        <v>Dec</v>
      </c>
      <c r="Q1499">
        <f>YEAR(data[[#This Row],[order_date]])</f>
        <v>2024</v>
      </c>
      <c r="R1499">
        <f>MONTH(data[[#This Row],[order_date]])</f>
        <v>12</v>
      </c>
      <c r="S1499">
        <f>DAY(data[[#This Row],[order_date]])</f>
        <v>15</v>
      </c>
      <c r="T1499">
        <f>data[[#This Row],[profit]]/data[[#This Row],[sales]]</f>
        <v>0.17197993709087817</v>
      </c>
    </row>
    <row r="1500" spans="1:20" x14ac:dyDescent="0.35">
      <c r="A1500" t="s">
        <v>1726</v>
      </c>
      <c r="B1500" s="1">
        <v>45659</v>
      </c>
      <c r="C1500" t="s">
        <v>14</v>
      </c>
      <c r="D1500" t="s">
        <v>15</v>
      </c>
      <c r="E1500" t="s">
        <v>262</v>
      </c>
      <c r="F1500" t="s">
        <v>23</v>
      </c>
      <c r="G1500" t="s">
        <v>1688</v>
      </c>
      <c r="H1500" t="s">
        <v>1689</v>
      </c>
      <c r="I1500" t="s">
        <v>20</v>
      </c>
      <c r="J1500">
        <v>1</v>
      </c>
      <c r="K1500">
        <v>1095000</v>
      </c>
      <c r="L1500">
        <v>0</v>
      </c>
      <c r="M1500">
        <v>810000</v>
      </c>
      <c r="N1500">
        <f>(data[[#This Row],[unit_price]]*data[[#This Row],[quantity]]) * (1-data[[#This Row],[discount]])</f>
        <v>1095000</v>
      </c>
      <c r="O1500">
        <f>data[[#This Row],[sales]]-data[[#This Row],[cost]]</f>
        <v>285000</v>
      </c>
      <c r="P1500" t="str">
        <f>TEXT(data[[#This Row],[order_date]],"mmm")</f>
        <v>Jan</v>
      </c>
      <c r="Q1500">
        <f>YEAR(data[[#This Row],[order_date]])</f>
        <v>2025</v>
      </c>
      <c r="R1500">
        <f>MONTH(data[[#This Row],[order_date]])</f>
        <v>1</v>
      </c>
      <c r="S1500">
        <f>DAY(data[[#This Row],[order_date]])</f>
        <v>2</v>
      </c>
      <c r="T1500">
        <f>data[[#This Row],[profit]]/data[[#This Row],[sales]]</f>
        <v>0.26027397260273971</v>
      </c>
    </row>
    <row r="1501" spans="1:20" x14ac:dyDescent="0.35">
      <c r="A1501" t="s">
        <v>1727</v>
      </c>
      <c r="B1501" s="1">
        <v>45676</v>
      </c>
      <c r="C1501" t="s">
        <v>41</v>
      </c>
      <c r="D1501" t="s">
        <v>42</v>
      </c>
      <c r="E1501" t="s">
        <v>224</v>
      </c>
      <c r="F1501" t="s">
        <v>23</v>
      </c>
      <c r="G1501" t="s">
        <v>1688</v>
      </c>
      <c r="H1501" t="s">
        <v>1689</v>
      </c>
      <c r="I1501" t="s">
        <v>20</v>
      </c>
      <c r="J1501">
        <v>5</v>
      </c>
      <c r="K1501">
        <v>1162000</v>
      </c>
      <c r="L1501">
        <v>0.1</v>
      </c>
      <c r="M1501">
        <v>843000</v>
      </c>
      <c r="N1501">
        <f>(data[[#This Row],[unit_price]]*data[[#This Row],[quantity]]) * (1-data[[#This Row],[discount]])</f>
        <v>5229000</v>
      </c>
      <c r="O1501">
        <f>data[[#This Row],[sales]]-data[[#This Row],[cost]]</f>
        <v>4386000</v>
      </c>
      <c r="P1501" t="str">
        <f>TEXT(data[[#This Row],[order_date]],"mmm")</f>
        <v>Jan</v>
      </c>
      <c r="Q1501">
        <f>YEAR(data[[#This Row],[order_date]])</f>
        <v>2025</v>
      </c>
      <c r="R1501">
        <f>MONTH(data[[#This Row],[order_date]])</f>
        <v>1</v>
      </c>
      <c r="S1501">
        <f>DAY(data[[#This Row],[order_date]])</f>
        <v>19</v>
      </c>
      <c r="T1501">
        <f>data[[#This Row],[profit]]/data[[#This Row],[sales]]</f>
        <v>0.83878370625358578</v>
      </c>
    </row>
    <row r="1502" spans="1:20" x14ac:dyDescent="0.35">
      <c r="A1502" t="s">
        <v>1728</v>
      </c>
      <c r="B1502" s="1">
        <v>45688</v>
      </c>
      <c r="C1502" t="s">
        <v>41</v>
      </c>
      <c r="D1502" t="s">
        <v>42</v>
      </c>
      <c r="E1502" t="s">
        <v>74</v>
      </c>
      <c r="F1502" t="s">
        <v>23</v>
      </c>
      <c r="G1502" t="s">
        <v>1688</v>
      </c>
      <c r="H1502" t="s">
        <v>1689</v>
      </c>
      <c r="I1502" t="s">
        <v>20</v>
      </c>
      <c r="J1502">
        <v>3</v>
      </c>
      <c r="K1502">
        <v>1536000</v>
      </c>
      <c r="L1502">
        <v>0</v>
      </c>
      <c r="M1502">
        <v>1116000</v>
      </c>
      <c r="N1502">
        <f>(data[[#This Row],[unit_price]]*data[[#This Row],[quantity]]) * (1-data[[#This Row],[discount]])</f>
        <v>4608000</v>
      </c>
      <c r="O1502">
        <f>data[[#This Row],[sales]]-data[[#This Row],[cost]]</f>
        <v>3492000</v>
      </c>
      <c r="P1502" t="str">
        <f>TEXT(data[[#This Row],[order_date]],"mmm")</f>
        <v>Jan</v>
      </c>
      <c r="Q1502">
        <f>YEAR(data[[#This Row],[order_date]])</f>
        <v>2025</v>
      </c>
      <c r="R1502">
        <f>MONTH(data[[#This Row],[order_date]])</f>
        <v>1</v>
      </c>
      <c r="S1502">
        <f>DAY(data[[#This Row],[order_date]])</f>
        <v>31</v>
      </c>
      <c r="T1502">
        <f>data[[#This Row],[profit]]/data[[#This Row],[sales]]</f>
        <v>0.7578125</v>
      </c>
    </row>
    <row r="1503" spans="1:20" x14ac:dyDescent="0.35">
      <c r="A1503" t="s">
        <v>1729</v>
      </c>
      <c r="B1503" s="1">
        <v>45729</v>
      </c>
      <c r="C1503" t="s">
        <v>36</v>
      </c>
      <c r="D1503" t="s">
        <v>37</v>
      </c>
      <c r="E1503" t="s">
        <v>368</v>
      </c>
      <c r="F1503" t="s">
        <v>23</v>
      </c>
      <c r="G1503" t="s">
        <v>1688</v>
      </c>
      <c r="H1503" t="s">
        <v>1689</v>
      </c>
      <c r="I1503" t="s">
        <v>20</v>
      </c>
      <c r="J1503">
        <v>1</v>
      </c>
      <c r="K1503">
        <v>1556000</v>
      </c>
      <c r="L1503">
        <v>0</v>
      </c>
      <c r="M1503">
        <v>1117000</v>
      </c>
      <c r="N1503">
        <f>(data[[#This Row],[unit_price]]*data[[#This Row],[quantity]]) * (1-data[[#This Row],[discount]])</f>
        <v>1556000</v>
      </c>
      <c r="O1503">
        <f>data[[#This Row],[sales]]-data[[#This Row],[cost]]</f>
        <v>439000</v>
      </c>
      <c r="P1503" t="str">
        <f>TEXT(data[[#This Row],[order_date]],"mmm")</f>
        <v>Mar</v>
      </c>
      <c r="Q1503">
        <f>YEAR(data[[#This Row],[order_date]])</f>
        <v>2025</v>
      </c>
      <c r="R1503">
        <f>MONTH(data[[#This Row],[order_date]])</f>
        <v>3</v>
      </c>
      <c r="S1503">
        <f>DAY(data[[#This Row],[order_date]])</f>
        <v>13</v>
      </c>
      <c r="T1503">
        <f>data[[#This Row],[profit]]/data[[#This Row],[sales]]</f>
        <v>0.28213367609254497</v>
      </c>
    </row>
    <row r="1504" spans="1:20" x14ac:dyDescent="0.35">
      <c r="A1504" t="s">
        <v>1730</v>
      </c>
      <c r="B1504" s="1">
        <v>45777</v>
      </c>
      <c r="C1504" t="s">
        <v>25</v>
      </c>
      <c r="D1504" t="s">
        <v>26</v>
      </c>
      <c r="E1504" t="s">
        <v>493</v>
      </c>
      <c r="F1504" t="s">
        <v>23</v>
      </c>
      <c r="G1504" t="s">
        <v>1688</v>
      </c>
      <c r="H1504" t="s">
        <v>1689</v>
      </c>
      <c r="I1504" t="s">
        <v>20</v>
      </c>
      <c r="J1504">
        <v>1</v>
      </c>
      <c r="K1504">
        <v>1390000</v>
      </c>
      <c r="L1504">
        <v>0.05</v>
      </c>
      <c r="M1504">
        <v>1003000</v>
      </c>
      <c r="N1504">
        <f>(data[[#This Row],[unit_price]]*data[[#This Row],[quantity]]) * (1-data[[#This Row],[discount]])</f>
        <v>1320500</v>
      </c>
      <c r="O1504">
        <f>data[[#This Row],[sales]]-data[[#This Row],[cost]]</f>
        <v>317500</v>
      </c>
      <c r="P1504" t="str">
        <f>TEXT(data[[#This Row],[order_date]],"mmm")</f>
        <v>Apr</v>
      </c>
      <c r="Q1504">
        <f>YEAR(data[[#This Row],[order_date]])</f>
        <v>2025</v>
      </c>
      <c r="R1504">
        <f>MONTH(data[[#This Row],[order_date]])</f>
        <v>4</v>
      </c>
      <c r="S1504">
        <f>DAY(data[[#This Row],[order_date]])</f>
        <v>30</v>
      </c>
      <c r="T1504">
        <f>data[[#This Row],[profit]]/data[[#This Row],[sales]]</f>
        <v>0.24043922756531616</v>
      </c>
    </row>
    <row r="1505" spans="1:20" x14ac:dyDescent="0.35">
      <c r="A1505" t="s">
        <v>1731</v>
      </c>
      <c r="B1505" s="1">
        <v>45818</v>
      </c>
      <c r="C1505" t="s">
        <v>14</v>
      </c>
      <c r="D1505" t="s">
        <v>15</v>
      </c>
      <c r="E1505" t="s">
        <v>191</v>
      </c>
      <c r="F1505" t="s">
        <v>23</v>
      </c>
      <c r="G1505" t="s">
        <v>1688</v>
      </c>
      <c r="H1505" t="s">
        <v>1689</v>
      </c>
      <c r="I1505" t="s">
        <v>20</v>
      </c>
      <c r="J1505">
        <v>1</v>
      </c>
      <c r="K1505">
        <v>1242000</v>
      </c>
      <c r="L1505">
        <v>0.1</v>
      </c>
      <c r="M1505">
        <v>913000</v>
      </c>
      <c r="N1505">
        <f>(data[[#This Row],[unit_price]]*data[[#This Row],[quantity]]) * (1-data[[#This Row],[discount]])</f>
        <v>1117800</v>
      </c>
      <c r="O1505">
        <f>data[[#This Row],[sales]]-data[[#This Row],[cost]]</f>
        <v>204800</v>
      </c>
      <c r="P1505" t="str">
        <f>TEXT(data[[#This Row],[order_date]],"mmm")</f>
        <v>Jun</v>
      </c>
      <c r="Q1505">
        <f>YEAR(data[[#This Row],[order_date]])</f>
        <v>2025</v>
      </c>
      <c r="R1505">
        <f>MONTH(data[[#This Row],[order_date]])</f>
        <v>6</v>
      </c>
      <c r="S1505">
        <f>DAY(data[[#This Row],[order_date]])</f>
        <v>10</v>
      </c>
      <c r="T1505">
        <f>data[[#This Row],[profit]]/data[[#This Row],[sales]]</f>
        <v>0.18321703345857934</v>
      </c>
    </row>
    <row r="1506" spans="1:20" x14ac:dyDescent="0.35">
      <c r="A1506" t="s">
        <v>1732</v>
      </c>
      <c r="B1506" s="1">
        <v>45854</v>
      </c>
      <c r="C1506" t="s">
        <v>14</v>
      </c>
      <c r="D1506" t="s">
        <v>15</v>
      </c>
      <c r="E1506" t="s">
        <v>255</v>
      </c>
      <c r="F1506" t="s">
        <v>17</v>
      </c>
      <c r="G1506" t="s">
        <v>1688</v>
      </c>
      <c r="H1506" t="s">
        <v>1689</v>
      </c>
      <c r="I1506" t="s">
        <v>20</v>
      </c>
      <c r="J1506">
        <v>3</v>
      </c>
      <c r="K1506">
        <v>1023000</v>
      </c>
      <c r="L1506">
        <v>0</v>
      </c>
      <c r="M1506">
        <v>756000</v>
      </c>
      <c r="N1506">
        <f>(data[[#This Row],[unit_price]]*data[[#This Row],[quantity]]) * (1-data[[#This Row],[discount]])</f>
        <v>3069000</v>
      </c>
      <c r="O1506">
        <f>data[[#This Row],[sales]]-data[[#This Row],[cost]]</f>
        <v>2313000</v>
      </c>
      <c r="P1506" t="str">
        <f>TEXT(data[[#This Row],[order_date]],"mmm")</f>
        <v>Jul</v>
      </c>
      <c r="Q1506">
        <f>YEAR(data[[#This Row],[order_date]])</f>
        <v>2025</v>
      </c>
      <c r="R1506">
        <f>MONTH(data[[#This Row],[order_date]])</f>
        <v>7</v>
      </c>
      <c r="S1506">
        <f>DAY(data[[#This Row],[order_date]])</f>
        <v>16</v>
      </c>
      <c r="T1506">
        <f>data[[#This Row],[profit]]/data[[#This Row],[sales]]</f>
        <v>0.75366568914956011</v>
      </c>
    </row>
    <row r="1507" spans="1:20" x14ac:dyDescent="0.35">
      <c r="A1507" t="s">
        <v>1733</v>
      </c>
      <c r="B1507" s="1">
        <v>45864</v>
      </c>
      <c r="C1507" t="s">
        <v>49</v>
      </c>
      <c r="D1507" t="s">
        <v>50</v>
      </c>
      <c r="E1507" t="s">
        <v>150</v>
      </c>
      <c r="F1507" t="s">
        <v>28</v>
      </c>
      <c r="G1507" t="s">
        <v>1688</v>
      </c>
      <c r="H1507" t="s">
        <v>1689</v>
      </c>
      <c r="I1507" t="s">
        <v>20</v>
      </c>
      <c r="J1507">
        <v>1</v>
      </c>
      <c r="K1507">
        <v>1451000</v>
      </c>
      <c r="L1507">
        <v>0</v>
      </c>
      <c r="M1507">
        <v>1037000</v>
      </c>
      <c r="N1507">
        <f>(data[[#This Row],[unit_price]]*data[[#This Row],[quantity]]) * (1-data[[#This Row],[discount]])</f>
        <v>1451000</v>
      </c>
      <c r="O1507">
        <f>data[[#This Row],[sales]]-data[[#This Row],[cost]]</f>
        <v>414000</v>
      </c>
      <c r="P1507" t="str">
        <f>TEXT(data[[#This Row],[order_date]],"mmm")</f>
        <v>Jul</v>
      </c>
      <c r="Q1507">
        <f>YEAR(data[[#This Row],[order_date]])</f>
        <v>2025</v>
      </c>
      <c r="R1507">
        <f>MONTH(data[[#This Row],[order_date]])</f>
        <v>7</v>
      </c>
      <c r="S1507">
        <f>DAY(data[[#This Row],[order_date]])</f>
        <v>26</v>
      </c>
      <c r="T1507">
        <f>data[[#This Row],[profit]]/data[[#This Row],[sales]]</f>
        <v>0.28532046864231564</v>
      </c>
    </row>
    <row r="1508" spans="1:20" x14ac:dyDescent="0.35">
      <c r="A1508" t="s">
        <v>1734</v>
      </c>
      <c r="B1508" s="1">
        <v>45870</v>
      </c>
      <c r="C1508" t="s">
        <v>36</v>
      </c>
      <c r="D1508" t="s">
        <v>37</v>
      </c>
      <c r="E1508" t="s">
        <v>524</v>
      </c>
      <c r="F1508" t="s">
        <v>17</v>
      </c>
      <c r="G1508" t="s">
        <v>1688</v>
      </c>
      <c r="H1508" t="s">
        <v>1689</v>
      </c>
      <c r="I1508" t="s">
        <v>20</v>
      </c>
      <c r="J1508">
        <v>1</v>
      </c>
      <c r="K1508">
        <v>1150000</v>
      </c>
      <c r="L1508">
        <v>0</v>
      </c>
      <c r="M1508">
        <v>847000</v>
      </c>
      <c r="N1508">
        <f>(data[[#This Row],[unit_price]]*data[[#This Row],[quantity]]) * (1-data[[#This Row],[discount]])</f>
        <v>1150000</v>
      </c>
      <c r="O1508">
        <f>data[[#This Row],[sales]]-data[[#This Row],[cost]]</f>
        <v>303000</v>
      </c>
      <c r="P1508" t="str">
        <f>TEXT(data[[#This Row],[order_date]],"mmm")</f>
        <v>Aug</v>
      </c>
      <c r="Q1508">
        <f>YEAR(data[[#This Row],[order_date]])</f>
        <v>2025</v>
      </c>
      <c r="R1508">
        <f>MONTH(data[[#This Row],[order_date]])</f>
        <v>8</v>
      </c>
      <c r="S1508">
        <f>DAY(data[[#This Row],[order_date]])</f>
        <v>1</v>
      </c>
      <c r="T1508">
        <f>data[[#This Row],[profit]]/data[[#This Row],[sales]]</f>
        <v>0.26347826086956522</v>
      </c>
    </row>
    <row r="1509" spans="1:20" x14ac:dyDescent="0.35">
      <c r="A1509" t="s">
        <v>1735</v>
      </c>
      <c r="B1509" s="1">
        <v>45959</v>
      </c>
      <c r="C1509" t="s">
        <v>14</v>
      </c>
      <c r="D1509" t="s">
        <v>15</v>
      </c>
      <c r="E1509" t="s">
        <v>69</v>
      </c>
      <c r="F1509" t="s">
        <v>23</v>
      </c>
      <c r="G1509" t="s">
        <v>1688</v>
      </c>
      <c r="H1509" t="s">
        <v>1689</v>
      </c>
      <c r="I1509" t="s">
        <v>20</v>
      </c>
      <c r="J1509">
        <v>1</v>
      </c>
      <c r="K1509">
        <v>1195000</v>
      </c>
      <c r="L1509">
        <v>0</v>
      </c>
      <c r="M1509">
        <v>869000</v>
      </c>
      <c r="N1509">
        <f>(data[[#This Row],[unit_price]]*data[[#This Row],[quantity]]) * (1-data[[#This Row],[discount]])</f>
        <v>1195000</v>
      </c>
      <c r="O1509">
        <f>data[[#This Row],[sales]]-data[[#This Row],[cost]]</f>
        <v>326000</v>
      </c>
      <c r="P1509" t="str">
        <f>TEXT(data[[#This Row],[order_date]],"mmm")</f>
        <v>Oct</v>
      </c>
      <c r="Q1509">
        <f>YEAR(data[[#This Row],[order_date]])</f>
        <v>2025</v>
      </c>
      <c r="R1509">
        <f>MONTH(data[[#This Row],[order_date]])</f>
        <v>10</v>
      </c>
      <c r="S1509">
        <f>DAY(data[[#This Row],[order_date]])</f>
        <v>29</v>
      </c>
      <c r="T1509">
        <f>data[[#This Row],[profit]]/data[[#This Row],[sales]]</f>
        <v>0.27280334728033473</v>
      </c>
    </row>
    <row r="1510" spans="1:20" x14ac:dyDescent="0.35">
      <c r="A1510" t="s">
        <v>1736</v>
      </c>
      <c r="B1510" s="1">
        <v>45969</v>
      </c>
      <c r="C1510" t="s">
        <v>49</v>
      </c>
      <c r="D1510" t="s">
        <v>50</v>
      </c>
      <c r="E1510" t="s">
        <v>168</v>
      </c>
      <c r="F1510" t="s">
        <v>23</v>
      </c>
      <c r="G1510" t="s">
        <v>1688</v>
      </c>
      <c r="H1510" t="s">
        <v>1689</v>
      </c>
      <c r="I1510" t="s">
        <v>20</v>
      </c>
      <c r="J1510">
        <v>1</v>
      </c>
      <c r="K1510">
        <v>1079000</v>
      </c>
      <c r="L1510">
        <v>0</v>
      </c>
      <c r="M1510">
        <v>805000</v>
      </c>
      <c r="N1510">
        <f>(data[[#This Row],[unit_price]]*data[[#This Row],[quantity]]) * (1-data[[#This Row],[discount]])</f>
        <v>1079000</v>
      </c>
      <c r="O1510">
        <f>data[[#This Row],[sales]]-data[[#This Row],[cost]]</f>
        <v>274000</v>
      </c>
      <c r="P1510" t="str">
        <f>TEXT(data[[#This Row],[order_date]],"mmm")</f>
        <v>Nov</v>
      </c>
      <c r="Q1510">
        <f>YEAR(data[[#This Row],[order_date]])</f>
        <v>2025</v>
      </c>
      <c r="R1510">
        <f>MONTH(data[[#This Row],[order_date]])</f>
        <v>11</v>
      </c>
      <c r="S1510">
        <f>DAY(data[[#This Row],[order_date]])</f>
        <v>8</v>
      </c>
      <c r="T1510">
        <f>data[[#This Row],[profit]]/data[[#This Row],[sales]]</f>
        <v>0.25393883225208524</v>
      </c>
    </row>
    <row r="1511" spans="1:20" x14ac:dyDescent="0.35">
      <c r="A1511" t="s">
        <v>1737</v>
      </c>
      <c r="B1511" s="1">
        <v>45969</v>
      </c>
      <c r="C1511" t="s">
        <v>14</v>
      </c>
      <c r="D1511" t="s">
        <v>15</v>
      </c>
      <c r="E1511" t="s">
        <v>236</v>
      </c>
      <c r="F1511" t="s">
        <v>28</v>
      </c>
      <c r="G1511" t="s">
        <v>1688</v>
      </c>
      <c r="H1511" t="s">
        <v>1689</v>
      </c>
      <c r="I1511" t="s">
        <v>20</v>
      </c>
      <c r="J1511">
        <v>1</v>
      </c>
      <c r="K1511">
        <v>1029000</v>
      </c>
      <c r="L1511">
        <v>0</v>
      </c>
      <c r="M1511">
        <v>768000</v>
      </c>
      <c r="N1511">
        <f>(data[[#This Row],[unit_price]]*data[[#This Row],[quantity]]) * (1-data[[#This Row],[discount]])</f>
        <v>1029000</v>
      </c>
      <c r="O1511">
        <f>data[[#This Row],[sales]]-data[[#This Row],[cost]]</f>
        <v>261000</v>
      </c>
      <c r="P1511" t="str">
        <f>TEXT(data[[#This Row],[order_date]],"mmm")</f>
        <v>Nov</v>
      </c>
      <c r="Q1511">
        <f>YEAR(data[[#This Row],[order_date]])</f>
        <v>2025</v>
      </c>
      <c r="R1511">
        <f>MONTH(data[[#This Row],[order_date]])</f>
        <v>11</v>
      </c>
      <c r="S1511">
        <f>DAY(data[[#This Row],[order_date]])</f>
        <v>8</v>
      </c>
      <c r="T1511">
        <f>data[[#This Row],[profit]]/data[[#This Row],[sales]]</f>
        <v>0.25364431486880468</v>
      </c>
    </row>
    <row r="1512" spans="1:20" x14ac:dyDescent="0.35">
      <c r="A1512" t="s">
        <v>1738</v>
      </c>
      <c r="B1512" s="1">
        <v>45969</v>
      </c>
      <c r="C1512" t="s">
        <v>25</v>
      </c>
      <c r="D1512" t="s">
        <v>26</v>
      </c>
      <c r="E1512" t="s">
        <v>51</v>
      </c>
      <c r="F1512" t="s">
        <v>23</v>
      </c>
      <c r="G1512" t="s">
        <v>1688</v>
      </c>
      <c r="H1512" t="s">
        <v>1689</v>
      </c>
      <c r="I1512" t="s">
        <v>20</v>
      </c>
      <c r="J1512">
        <v>5</v>
      </c>
      <c r="K1512">
        <v>1041000</v>
      </c>
      <c r="L1512">
        <v>0.15</v>
      </c>
      <c r="M1512">
        <v>780000</v>
      </c>
      <c r="N1512">
        <f>(data[[#This Row],[unit_price]]*data[[#This Row],[quantity]]) * (1-data[[#This Row],[discount]])</f>
        <v>4424250</v>
      </c>
      <c r="O1512">
        <f>data[[#This Row],[sales]]-data[[#This Row],[cost]]</f>
        <v>3644250</v>
      </c>
      <c r="P1512" t="str">
        <f>TEXT(data[[#This Row],[order_date]],"mmm")</f>
        <v>Nov</v>
      </c>
      <c r="Q1512">
        <f>YEAR(data[[#This Row],[order_date]])</f>
        <v>2025</v>
      </c>
      <c r="R1512">
        <f>MONTH(data[[#This Row],[order_date]])</f>
        <v>11</v>
      </c>
      <c r="S1512">
        <f>DAY(data[[#This Row],[order_date]])</f>
        <v>8</v>
      </c>
      <c r="T1512">
        <f>data[[#This Row],[profit]]/data[[#This Row],[sales]]</f>
        <v>0.82369893202237665</v>
      </c>
    </row>
    <row r="1513" spans="1:20" x14ac:dyDescent="0.35">
      <c r="A1513" t="s">
        <v>1739</v>
      </c>
      <c r="B1513" s="1">
        <v>45988</v>
      </c>
      <c r="C1513" t="s">
        <v>36</v>
      </c>
      <c r="D1513" t="s">
        <v>37</v>
      </c>
      <c r="E1513" t="s">
        <v>462</v>
      </c>
      <c r="F1513" t="s">
        <v>58</v>
      </c>
      <c r="G1513" t="s">
        <v>1688</v>
      </c>
      <c r="H1513" t="s">
        <v>1689</v>
      </c>
      <c r="I1513" t="s">
        <v>20</v>
      </c>
      <c r="J1513">
        <v>1</v>
      </c>
      <c r="K1513">
        <v>1050000</v>
      </c>
      <c r="L1513">
        <v>0.05</v>
      </c>
      <c r="M1513">
        <v>773000</v>
      </c>
      <c r="N1513">
        <f>(data[[#This Row],[unit_price]]*data[[#This Row],[quantity]]) * (1-data[[#This Row],[discount]])</f>
        <v>997500</v>
      </c>
      <c r="O1513">
        <f>data[[#This Row],[sales]]-data[[#This Row],[cost]]</f>
        <v>224500</v>
      </c>
      <c r="P1513" t="str">
        <f>TEXT(data[[#This Row],[order_date]],"mmm")</f>
        <v>Nov</v>
      </c>
      <c r="Q1513">
        <f>YEAR(data[[#This Row],[order_date]])</f>
        <v>2025</v>
      </c>
      <c r="R1513">
        <f>MONTH(data[[#This Row],[order_date]])</f>
        <v>11</v>
      </c>
      <c r="S1513">
        <f>DAY(data[[#This Row],[order_date]])</f>
        <v>27</v>
      </c>
      <c r="T1513">
        <f>data[[#This Row],[profit]]/data[[#This Row],[sales]]</f>
        <v>0.22506265664160402</v>
      </c>
    </row>
    <row r="1514" spans="1:20" x14ac:dyDescent="0.35">
      <c r="A1514" t="s">
        <v>1740</v>
      </c>
      <c r="B1514" s="1">
        <v>45988</v>
      </c>
      <c r="C1514" t="s">
        <v>25</v>
      </c>
      <c r="D1514" t="s">
        <v>26</v>
      </c>
      <c r="E1514" t="s">
        <v>69</v>
      </c>
      <c r="F1514" t="s">
        <v>23</v>
      </c>
      <c r="G1514" t="s">
        <v>1688</v>
      </c>
      <c r="H1514" t="s">
        <v>1689</v>
      </c>
      <c r="I1514" t="s">
        <v>20</v>
      </c>
      <c r="J1514">
        <v>1</v>
      </c>
      <c r="K1514">
        <v>1448000</v>
      </c>
      <c r="L1514">
        <v>0</v>
      </c>
      <c r="M1514">
        <v>1040000</v>
      </c>
      <c r="N1514">
        <f>(data[[#This Row],[unit_price]]*data[[#This Row],[quantity]]) * (1-data[[#This Row],[discount]])</f>
        <v>1448000</v>
      </c>
      <c r="O1514">
        <f>data[[#This Row],[sales]]-data[[#This Row],[cost]]</f>
        <v>408000</v>
      </c>
      <c r="P1514" t="str">
        <f>TEXT(data[[#This Row],[order_date]],"mmm")</f>
        <v>Nov</v>
      </c>
      <c r="Q1514">
        <f>YEAR(data[[#This Row],[order_date]])</f>
        <v>2025</v>
      </c>
      <c r="R1514">
        <f>MONTH(data[[#This Row],[order_date]])</f>
        <v>11</v>
      </c>
      <c r="S1514">
        <f>DAY(data[[#This Row],[order_date]])</f>
        <v>27</v>
      </c>
      <c r="T1514">
        <f>data[[#This Row],[profit]]/data[[#This Row],[sales]]</f>
        <v>0.28176795580110497</v>
      </c>
    </row>
    <row r="1515" spans="1:20" x14ac:dyDescent="0.35">
      <c r="A1515" t="s">
        <v>1741</v>
      </c>
      <c r="B1515" s="1">
        <v>45989</v>
      </c>
      <c r="C1515" t="s">
        <v>49</v>
      </c>
      <c r="D1515" t="s">
        <v>50</v>
      </c>
      <c r="E1515" t="s">
        <v>224</v>
      </c>
      <c r="F1515" t="s">
        <v>23</v>
      </c>
      <c r="G1515" t="s">
        <v>1688</v>
      </c>
      <c r="H1515" t="s">
        <v>1689</v>
      </c>
      <c r="I1515" t="s">
        <v>20</v>
      </c>
      <c r="J1515">
        <v>1</v>
      </c>
      <c r="K1515">
        <v>1186000</v>
      </c>
      <c r="L1515">
        <v>0.15</v>
      </c>
      <c r="M1515">
        <v>846000</v>
      </c>
      <c r="N1515">
        <f>(data[[#This Row],[unit_price]]*data[[#This Row],[quantity]]) * (1-data[[#This Row],[discount]])</f>
        <v>1008100</v>
      </c>
      <c r="O1515">
        <f>data[[#This Row],[sales]]-data[[#This Row],[cost]]</f>
        <v>162100</v>
      </c>
      <c r="P1515" t="str">
        <f>TEXT(data[[#This Row],[order_date]],"mmm")</f>
        <v>Nov</v>
      </c>
      <c r="Q1515">
        <f>YEAR(data[[#This Row],[order_date]])</f>
        <v>2025</v>
      </c>
      <c r="R1515">
        <f>MONTH(data[[#This Row],[order_date]])</f>
        <v>11</v>
      </c>
      <c r="S1515">
        <f>DAY(data[[#This Row],[order_date]])</f>
        <v>28</v>
      </c>
      <c r="T1515">
        <f>data[[#This Row],[profit]]/data[[#This Row],[sales]]</f>
        <v>0.1607975399265946</v>
      </c>
    </row>
    <row r="1516" spans="1:20" x14ac:dyDescent="0.35">
      <c r="A1516" t="s">
        <v>1742</v>
      </c>
      <c r="B1516" s="1">
        <v>46030</v>
      </c>
      <c r="C1516" t="s">
        <v>14</v>
      </c>
      <c r="D1516" t="s">
        <v>15</v>
      </c>
      <c r="E1516" t="s">
        <v>287</v>
      </c>
      <c r="F1516" t="s">
        <v>28</v>
      </c>
      <c r="G1516" t="s">
        <v>1688</v>
      </c>
      <c r="H1516" t="s">
        <v>1689</v>
      </c>
      <c r="I1516" t="s">
        <v>20</v>
      </c>
      <c r="J1516">
        <v>1</v>
      </c>
      <c r="K1516">
        <v>1030000</v>
      </c>
      <c r="L1516">
        <v>0</v>
      </c>
      <c r="M1516">
        <v>738000</v>
      </c>
      <c r="N1516">
        <f>(data[[#This Row],[unit_price]]*data[[#This Row],[quantity]]) * (1-data[[#This Row],[discount]])</f>
        <v>1030000</v>
      </c>
      <c r="O1516">
        <f>data[[#This Row],[sales]]-data[[#This Row],[cost]]</f>
        <v>292000</v>
      </c>
      <c r="P1516" t="str">
        <f>TEXT(data[[#This Row],[order_date]],"mmm")</f>
        <v>Jan</v>
      </c>
      <c r="Q1516">
        <f>YEAR(data[[#This Row],[order_date]])</f>
        <v>2026</v>
      </c>
      <c r="R1516">
        <f>MONTH(data[[#This Row],[order_date]])</f>
        <v>1</v>
      </c>
      <c r="S1516">
        <f>DAY(data[[#This Row],[order_date]])</f>
        <v>8</v>
      </c>
      <c r="T1516">
        <f>data[[#This Row],[profit]]/data[[#This Row],[sales]]</f>
        <v>0.28349514563106798</v>
      </c>
    </row>
    <row r="1517" spans="1:20" x14ac:dyDescent="0.35">
      <c r="A1517" t="s">
        <v>1743</v>
      </c>
      <c r="B1517" s="1">
        <v>46036</v>
      </c>
      <c r="C1517" t="s">
        <v>49</v>
      </c>
      <c r="D1517" t="s">
        <v>50</v>
      </c>
      <c r="E1517" t="s">
        <v>337</v>
      </c>
      <c r="F1517" t="s">
        <v>23</v>
      </c>
      <c r="G1517" t="s">
        <v>1688</v>
      </c>
      <c r="H1517" t="s">
        <v>1689</v>
      </c>
      <c r="I1517" t="s">
        <v>20</v>
      </c>
      <c r="J1517">
        <v>1</v>
      </c>
      <c r="K1517">
        <v>1084000</v>
      </c>
      <c r="L1517">
        <v>0</v>
      </c>
      <c r="M1517">
        <v>801000</v>
      </c>
      <c r="N1517">
        <f>(data[[#This Row],[unit_price]]*data[[#This Row],[quantity]]) * (1-data[[#This Row],[discount]])</f>
        <v>1084000</v>
      </c>
      <c r="O1517">
        <f>data[[#This Row],[sales]]-data[[#This Row],[cost]]</f>
        <v>283000</v>
      </c>
      <c r="P1517" t="str">
        <f>TEXT(data[[#This Row],[order_date]],"mmm")</f>
        <v>Jan</v>
      </c>
      <c r="Q1517">
        <f>YEAR(data[[#This Row],[order_date]])</f>
        <v>2026</v>
      </c>
      <c r="R1517">
        <f>MONTH(data[[#This Row],[order_date]])</f>
        <v>1</v>
      </c>
      <c r="S1517">
        <f>DAY(data[[#This Row],[order_date]])</f>
        <v>14</v>
      </c>
      <c r="T1517">
        <f>data[[#This Row],[profit]]/data[[#This Row],[sales]]</f>
        <v>0.26107011070110703</v>
      </c>
    </row>
    <row r="1518" spans="1:20" x14ac:dyDescent="0.35">
      <c r="A1518" t="s">
        <v>1744</v>
      </c>
      <c r="B1518" s="1">
        <v>46059</v>
      </c>
      <c r="C1518" t="s">
        <v>36</v>
      </c>
      <c r="D1518" t="s">
        <v>37</v>
      </c>
      <c r="E1518" t="s">
        <v>27</v>
      </c>
      <c r="F1518" t="s">
        <v>28</v>
      </c>
      <c r="G1518" t="s">
        <v>1688</v>
      </c>
      <c r="H1518" t="s">
        <v>1689</v>
      </c>
      <c r="I1518" t="s">
        <v>20</v>
      </c>
      <c r="J1518">
        <v>5</v>
      </c>
      <c r="K1518">
        <v>1606000</v>
      </c>
      <c r="L1518">
        <v>0</v>
      </c>
      <c r="M1518">
        <v>1187000</v>
      </c>
      <c r="N1518">
        <f>(data[[#This Row],[unit_price]]*data[[#This Row],[quantity]]) * (1-data[[#This Row],[discount]])</f>
        <v>8030000</v>
      </c>
      <c r="O1518">
        <f>data[[#This Row],[sales]]-data[[#This Row],[cost]]</f>
        <v>6843000</v>
      </c>
      <c r="P1518" t="str">
        <f>TEXT(data[[#This Row],[order_date]],"mmm")</f>
        <v>Feb</v>
      </c>
      <c r="Q1518">
        <f>YEAR(data[[#This Row],[order_date]])</f>
        <v>2026</v>
      </c>
      <c r="R1518">
        <f>MONTH(data[[#This Row],[order_date]])</f>
        <v>2</v>
      </c>
      <c r="S1518">
        <f>DAY(data[[#This Row],[order_date]])</f>
        <v>6</v>
      </c>
      <c r="T1518">
        <f>data[[#This Row],[profit]]/data[[#This Row],[sales]]</f>
        <v>0.85217932752179326</v>
      </c>
    </row>
    <row r="1519" spans="1:20" x14ac:dyDescent="0.35">
      <c r="A1519" t="s">
        <v>1745</v>
      </c>
      <c r="B1519" s="1">
        <v>46082</v>
      </c>
      <c r="C1519" t="s">
        <v>14</v>
      </c>
      <c r="D1519" t="s">
        <v>15</v>
      </c>
      <c r="E1519" t="s">
        <v>186</v>
      </c>
      <c r="F1519" t="s">
        <v>23</v>
      </c>
      <c r="G1519" t="s">
        <v>1688</v>
      </c>
      <c r="H1519" t="s">
        <v>1689</v>
      </c>
      <c r="I1519" t="s">
        <v>20</v>
      </c>
      <c r="J1519">
        <v>1</v>
      </c>
      <c r="K1519">
        <v>1687000</v>
      </c>
      <c r="L1519">
        <v>0.05</v>
      </c>
      <c r="M1519">
        <v>1224000</v>
      </c>
      <c r="N1519">
        <f>(data[[#This Row],[unit_price]]*data[[#This Row],[quantity]]) * (1-data[[#This Row],[discount]])</f>
        <v>1602650</v>
      </c>
      <c r="O1519">
        <f>data[[#This Row],[sales]]-data[[#This Row],[cost]]</f>
        <v>378650</v>
      </c>
      <c r="P1519" t="str">
        <f>TEXT(data[[#This Row],[order_date]],"mmm")</f>
        <v>Mar</v>
      </c>
      <c r="Q1519">
        <f>YEAR(data[[#This Row],[order_date]])</f>
        <v>2026</v>
      </c>
      <c r="R1519">
        <f>MONTH(data[[#This Row],[order_date]])</f>
        <v>3</v>
      </c>
      <c r="S1519">
        <f>DAY(data[[#This Row],[order_date]])</f>
        <v>1</v>
      </c>
      <c r="T1519">
        <f>data[[#This Row],[profit]]/data[[#This Row],[sales]]</f>
        <v>0.23626493619941971</v>
      </c>
    </row>
    <row r="1520" spans="1:20" x14ac:dyDescent="0.35">
      <c r="A1520" t="s">
        <v>1746</v>
      </c>
      <c r="B1520" s="1">
        <v>46084</v>
      </c>
      <c r="C1520" t="s">
        <v>14</v>
      </c>
      <c r="D1520" t="s">
        <v>15</v>
      </c>
      <c r="E1520" t="s">
        <v>270</v>
      </c>
      <c r="F1520" t="s">
        <v>23</v>
      </c>
      <c r="G1520" t="s">
        <v>1688</v>
      </c>
      <c r="H1520" t="s">
        <v>1689</v>
      </c>
      <c r="I1520" t="s">
        <v>20</v>
      </c>
      <c r="J1520">
        <v>1</v>
      </c>
      <c r="K1520">
        <v>1546000</v>
      </c>
      <c r="L1520">
        <v>0.05</v>
      </c>
      <c r="M1520">
        <v>1129000</v>
      </c>
      <c r="N1520">
        <f>(data[[#This Row],[unit_price]]*data[[#This Row],[quantity]]) * (1-data[[#This Row],[discount]])</f>
        <v>1468700</v>
      </c>
      <c r="O1520">
        <f>data[[#This Row],[sales]]-data[[#This Row],[cost]]</f>
        <v>339700</v>
      </c>
      <c r="P1520" t="str">
        <f>TEXT(data[[#This Row],[order_date]],"mmm")</f>
        <v>Mar</v>
      </c>
      <c r="Q1520">
        <f>YEAR(data[[#This Row],[order_date]])</f>
        <v>2026</v>
      </c>
      <c r="R1520">
        <f>MONTH(data[[#This Row],[order_date]])</f>
        <v>3</v>
      </c>
      <c r="S1520">
        <f>DAY(data[[#This Row],[order_date]])</f>
        <v>3</v>
      </c>
      <c r="T1520">
        <f>data[[#This Row],[profit]]/data[[#This Row],[sales]]</f>
        <v>0.23129298018655955</v>
      </c>
    </row>
    <row r="1521" spans="1:20" x14ac:dyDescent="0.35">
      <c r="A1521" t="s">
        <v>1747</v>
      </c>
      <c r="B1521" s="1">
        <v>46105</v>
      </c>
      <c r="C1521" t="s">
        <v>36</v>
      </c>
      <c r="D1521" t="s">
        <v>37</v>
      </c>
      <c r="E1521" t="s">
        <v>307</v>
      </c>
      <c r="F1521" t="s">
        <v>28</v>
      </c>
      <c r="G1521" t="s">
        <v>1688</v>
      </c>
      <c r="H1521" t="s">
        <v>1689</v>
      </c>
      <c r="I1521" t="s">
        <v>20</v>
      </c>
      <c r="J1521">
        <v>1</v>
      </c>
      <c r="K1521">
        <v>1075000</v>
      </c>
      <c r="L1521">
        <v>0.1</v>
      </c>
      <c r="M1521">
        <v>774000</v>
      </c>
      <c r="N1521">
        <f>(data[[#This Row],[unit_price]]*data[[#This Row],[quantity]]) * (1-data[[#This Row],[discount]])</f>
        <v>967500</v>
      </c>
      <c r="O1521">
        <f>data[[#This Row],[sales]]-data[[#This Row],[cost]]</f>
        <v>193500</v>
      </c>
      <c r="P1521" t="str">
        <f>TEXT(data[[#This Row],[order_date]],"mmm")</f>
        <v>Mar</v>
      </c>
      <c r="Q1521">
        <f>YEAR(data[[#This Row],[order_date]])</f>
        <v>2026</v>
      </c>
      <c r="R1521">
        <f>MONTH(data[[#This Row],[order_date]])</f>
        <v>3</v>
      </c>
      <c r="S1521">
        <f>DAY(data[[#This Row],[order_date]])</f>
        <v>24</v>
      </c>
      <c r="T1521">
        <f>data[[#This Row],[profit]]/data[[#This Row],[sales]]</f>
        <v>0.2</v>
      </c>
    </row>
    <row r="1522" spans="1:20" x14ac:dyDescent="0.35">
      <c r="A1522" t="s">
        <v>1748</v>
      </c>
      <c r="B1522" s="1">
        <v>46130</v>
      </c>
      <c r="C1522" t="s">
        <v>49</v>
      </c>
      <c r="D1522" t="s">
        <v>50</v>
      </c>
      <c r="E1522" t="s">
        <v>315</v>
      </c>
      <c r="F1522" t="s">
        <v>23</v>
      </c>
      <c r="G1522" t="s">
        <v>1688</v>
      </c>
      <c r="H1522" t="s">
        <v>1689</v>
      </c>
      <c r="I1522" t="s">
        <v>20</v>
      </c>
      <c r="J1522">
        <v>3</v>
      </c>
      <c r="K1522">
        <v>1576000</v>
      </c>
      <c r="L1522">
        <v>0.05</v>
      </c>
      <c r="M1522">
        <v>1120000</v>
      </c>
      <c r="N1522">
        <f>(data[[#This Row],[unit_price]]*data[[#This Row],[quantity]]) * (1-data[[#This Row],[discount]])</f>
        <v>4491600</v>
      </c>
      <c r="O1522">
        <f>data[[#This Row],[sales]]-data[[#This Row],[cost]]</f>
        <v>3371600</v>
      </c>
      <c r="P1522" t="str">
        <f>TEXT(data[[#This Row],[order_date]],"mmm")</f>
        <v>Apr</v>
      </c>
      <c r="Q1522">
        <f>YEAR(data[[#This Row],[order_date]])</f>
        <v>2026</v>
      </c>
      <c r="R1522">
        <f>MONTH(data[[#This Row],[order_date]])</f>
        <v>4</v>
      </c>
      <c r="S1522">
        <f>DAY(data[[#This Row],[order_date]])</f>
        <v>18</v>
      </c>
      <c r="T1522">
        <f>data[[#This Row],[profit]]/data[[#This Row],[sales]]</f>
        <v>0.75064564965713776</v>
      </c>
    </row>
    <row r="1523" spans="1:20" x14ac:dyDescent="0.35">
      <c r="A1523" t="s">
        <v>1749</v>
      </c>
      <c r="B1523" s="1">
        <v>46171</v>
      </c>
      <c r="C1523" t="s">
        <v>25</v>
      </c>
      <c r="D1523" t="s">
        <v>26</v>
      </c>
      <c r="E1523" t="s">
        <v>274</v>
      </c>
      <c r="F1523" t="s">
        <v>58</v>
      </c>
      <c r="G1523" t="s">
        <v>1688</v>
      </c>
      <c r="H1523" t="s">
        <v>1689</v>
      </c>
      <c r="I1523" t="s">
        <v>20</v>
      </c>
      <c r="J1523">
        <v>1</v>
      </c>
      <c r="K1523">
        <v>1686000</v>
      </c>
      <c r="L1523">
        <v>0.05</v>
      </c>
      <c r="M1523">
        <v>1243000</v>
      </c>
      <c r="N1523">
        <f>(data[[#This Row],[unit_price]]*data[[#This Row],[quantity]]) * (1-data[[#This Row],[discount]])</f>
        <v>1601700</v>
      </c>
      <c r="O1523">
        <f>data[[#This Row],[sales]]-data[[#This Row],[cost]]</f>
        <v>358700</v>
      </c>
      <c r="P1523" t="str">
        <f>TEXT(data[[#This Row],[order_date]],"mmm")</f>
        <v>May</v>
      </c>
      <c r="Q1523">
        <f>YEAR(data[[#This Row],[order_date]])</f>
        <v>2026</v>
      </c>
      <c r="R1523">
        <f>MONTH(data[[#This Row],[order_date]])</f>
        <v>5</v>
      </c>
      <c r="S1523">
        <f>DAY(data[[#This Row],[order_date]])</f>
        <v>29</v>
      </c>
      <c r="T1523">
        <f>data[[#This Row],[profit]]/data[[#This Row],[sales]]</f>
        <v>0.22394955359930074</v>
      </c>
    </row>
    <row r="1524" spans="1:20" x14ac:dyDescent="0.35">
      <c r="A1524" t="s">
        <v>1750</v>
      </c>
      <c r="B1524" s="1">
        <v>44967</v>
      </c>
      <c r="C1524" t="s">
        <v>49</v>
      </c>
      <c r="D1524" t="s">
        <v>50</v>
      </c>
      <c r="E1524" t="s">
        <v>524</v>
      </c>
      <c r="F1524" t="s">
        <v>17</v>
      </c>
      <c r="G1524" t="s">
        <v>1751</v>
      </c>
      <c r="H1524" t="s">
        <v>1752</v>
      </c>
      <c r="I1524" t="s">
        <v>363</v>
      </c>
      <c r="J1524">
        <v>1</v>
      </c>
      <c r="K1524">
        <v>356000</v>
      </c>
      <c r="L1524">
        <v>0</v>
      </c>
      <c r="M1524">
        <v>234000</v>
      </c>
      <c r="N1524">
        <f>(data[[#This Row],[unit_price]]*data[[#This Row],[quantity]]) * (1-data[[#This Row],[discount]])</f>
        <v>356000</v>
      </c>
      <c r="O1524">
        <f>data[[#This Row],[sales]]-data[[#This Row],[cost]]</f>
        <v>122000</v>
      </c>
      <c r="P1524" t="str">
        <f>TEXT(data[[#This Row],[order_date]],"mmm")</f>
        <v>Feb</v>
      </c>
      <c r="Q1524">
        <f>YEAR(data[[#This Row],[order_date]])</f>
        <v>2023</v>
      </c>
      <c r="R1524">
        <f>MONTH(data[[#This Row],[order_date]])</f>
        <v>2</v>
      </c>
      <c r="S1524">
        <f>DAY(data[[#This Row],[order_date]])</f>
        <v>10</v>
      </c>
      <c r="T1524">
        <f>data[[#This Row],[profit]]/data[[#This Row],[sales]]</f>
        <v>0.34269662921348315</v>
      </c>
    </row>
    <row r="1525" spans="1:20" x14ac:dyDescent="0.35">
      <c r="A1525" t="s">
        <v>1753</v>
      </c>
      <c r="B1525" s="1">
        <v>44979</v>
      </c>
      <c r="C1525" t="s">
        <v>14</v>
      </c>
      <c r="D1525" t="s">
        <v>15</v>
      </c>
      <c r="E1525" t="s">
        <v>216</v>
      </c>
      <c r="F1525" t="s">
        <v>17</v>
      </c>
      <c r="G1525" t="s">
        <v>1751</v>
      </c>
      <c r="H1525" t="s">
        <v>1752</v>
      </c>
      <c r="I1525" t="s">
        <v>363</v>
      </c>
      <c r="J1525">
        <v>1</v>
      </c>
      <c r="K1525">
        <v>204000</v>
      </c>
      <c r="L1525">
        <v>0</v>
      </c>
      <c r="M1525">
        <v>138000</v>
      </c>
      <c r="N1525">
        <f>(data[[#This Row],[unit_price]]*data[[#This Row],[quantity]]) * (1-data[[#This Row],[discount]])</f>
        <v>204000</v>
      </c>
      <c r="O1525">
        <f>data[[#This Row],[sales]]-data[[#This Row],[cost]]</f>
        <v>66000</v>
      </c>
      <c r="P1525" t="str">
        <f>TEXT(data[[#This Row],[order_date]],"mmm")</f>
        <v>Feb</v>
      </c>
      <c r="Q1525">
        <f>YEAR(data[[#This Row],[order_date]])</f>
        <v>2023</v>
      </c>
      <c r="R1525">
        <f>MONTH(data[[#This Row],[order_date]])</f>
        <v>2</v>
      </c>
      <c r="S1525">
        <f>DAY(data[[#This Row],[order_date]])</f>
        <v>22</v>
      </c>
      <c r="T1525">
        <f>data[[#This Row],[profit]]/data[[#This Row],[sales]]</f>
        <v>0.3235294117647059</v>
      </c>
    </row>
    <row r="1526" spans="1:20" x14ac:dyDescent="0.35">
      <c r="A1526" t="s">
        <v>1754</v>
      </c>
      <c r="B1526" s="1">
        <v>45004</v>
      </c>
      <c r="C1526" t="s">
        <v>41</v>
      </c>
      <c r="D1526" t="s">
        <v>42</v>
      </c>
      <c r="E1526" t="s">
        <v>97</v>
      </c>
      <c r="F1526" t="s">
        <v>23</v>
      </c>
      <c r="G1526" t="s">
        <v>1751</v>
      </c>
      <c r="H1526" t="s">
        <v>1752</v>
      </c>
      <c r="I1526" t="s">
        <v>363</v>
      </c>
      <c r="J1526">
        <v>5</v>
      </c>
      <c r="K1526">
        <v>162000</v>
      </c>
      <c r="L1526">
        <v>0.05</v>
      </c>
      <c r="M1526">
        <v>108000</v>
      </c>
      <c r="N1526">
        <f>(data[[#This Row],[unit_price]]*data[[#This Row],[quantity]]) * (1-data[[#This Row],[discount]])</f>
        <v>769500</v>
      </c>
      <c r="O1526">
        <f>data[[#This Row],[sales]]-data[[#This Row],[cost]]</f>
        <v>661500</v>
      </c>
      <c r="P1526" t="str">
        <f>TEXT(data[[#This Row],[order_date]],"mmm")</f>
        <v>Mar</v>
      </c>
      <c r="Q1526">
        <f>YEAR(data[[#This Row],[order_date]])</f>
        <v>2023</v>
      </c>
      <c r="R1526">
        <f>MONTH(data[[#This Row],[order_date]])</f>
        <v>3</v>
      </c>
      <c r="S1526">
        <f>DAY(data[[#This Row],[order_date]])</f>
        <v>19</v>
      </c>
      <c r="T1526">
        <f>data[[#This Row],[profit]]/data[[#This Row],[sales]]</f>
        <v>0.85964912280701755</v>
      </c>
    </row>
    <row r="1527" spans="1:20" x14ac:dyDescent="0.35">
      <c r="A1527" t="s">
        <v>1755</v>
      </c>
      <c r="B1527" s="1">
        <v>45020</v>
      </c>
      <c r="C1527" t="s">
        <v>41</v>
      </c>
      <c r="D1527" t="s">
        <v>42</v>
      </c>
      <c r="E1527" t="s">
        <v>517</v>
      </c>
      <c r="F1527" t="s">
        <v>23</v>
      </c>
      <c r="G1527" t="s">
        <v>1751</v>
      </c>
      <c r="H1527" t="s">
        <v>1752</v>
      </c>
      <c r="I1527" t="s">
        <v>363</v>
      </c>
      <c r="J1527">
        <v>1</v>
      </c>
      <c r="K1527">
        <v>273666.66666666669</v>
      </c>
      <c r="L1527">
        <v>0</v>
      </c>
      <c r="M1527">
        <v>0</v>
      </c>
      <c r="N1527">
        <f>(data[[#This Row],[unit_price]]*data[[#This Row],[quantity]]) * (1-data[[#This Row],[discount]])</f>
        <v>273666.66666666669</v>
      </c>
      <c r="O1527">
        <f>data[[#This Row],[sales]]-data[[#This Row],[cost]]</f>
        <v>273666.66666666669</v>
      </c>
      <c r="P1527" t="str">
        <f>TEXT(data[[#This Row],[order_date]],"mmm")</f>
        <v>Apr</v>
      </c>
      <c r="Q1527">
        <f>YEAR(data[[#This Row],[order_date]])</f>
        <v>2023</v>
      </c>
      <c r="R1527">
        <f>MONTH(data[[#This Row],[order_date]])</f>
        <v>4</v>
      </c>
      <c r="S1527">
        <f>DAY(data[[#This Row],[order_date]])</f>
        <v>4</v>
      </c>
      <c r="T1527">
        <f>data[[#This Row],[profit]]/data[[#This Row],[sales]]</f>
        <v>1</v>
      </c>
    </row>
    <row r="1528" spans="1:20" x14ac:dyDescent="0.35">
      <c r="A1528" t="s">
        <v>1756</v>
      </c>
      <c r="B1528" s="1">
        <v>45067</v>
      </c>
      <c r="C1528" t="s">
        <v>49</v>
      </c>
      <c r="D1528" t="s">
        <v>50</v>
      </c>
      <c r="E1528" t="s">
        <v>234</v>
      </c>
      <c r="F1528" t="s">
        <v>23</v>
      </c>
      <c r="G1528" t="s">
        <v>1751</v>
      </c>
      <c r="H1528" t="s">
        <v>1752</v>
      </c>
      <c r="I1528" t="s">
        <v>363</v>
      </c>
      <c r="J1528">
        <v>1</v>
      </c>
      <c r="K1528">
        <v>167000</v>
      </c>
      <c r="L1528">
        <v>0.05</v>
      </c>
      <c r="M1528">
        <v>109000</v>
      </c>
      <c r="N1528">
        <f>(data[[#This Row],[unit_price]]*data[[#This Row],[quantity]]) * (1-data[[#This Row],[discount]])</f>
        <v>158650</v>
      </c>
      <c r="O1528">
        <f>data[[#This Row],[sales]]-data[[#This Row],[cost]]</f>
        <v>49650</v>
      </c>
      <c r="P1528" t="str">
        <f>TEXT(data[[#This Row],[order_date]],"mmm")</f>
        <v>May</v>
      </c>
      <c r="Q1528">
        <f>YEAR(data[[#This Row],[order_date]])</f>
        <v>2023</v>
      </c>
      <c r="R1528">
        <f>MONTH(data[[#This Row],[order_date]])</f>
        <v>5</v>
      </c>
      <c r="S1528">
        <f>DAY(data[[#This Row],[order_date]])</f>
        <v>21</v>
      </c>
      <c r="T1528">
        <f>data[[#This Row],[profit]]/data[[#This Row],[sales]]</f>
        <v>0.31295304128584933</v>
      </c>
    </row>
    <row r="1529" spans="1:20" x14ac:dyDescent="0.35">
      <c r="A1529" t="s">
        <v>1757</v>
      </c>
      <c r="B1529" s="1">
        <v>45071</v>
      </c>
      <c r="C1529" t="s">
        <v>14</v>
      </c>
      <c r="D1529" t="s">
        <v>15</v>
      </c>
      <c r="E1529" t="s">
        <v>1041</v>
      </c>
      <c r="F1529" t="s">
        <v>23</v>
      </c>
      <c r="G1529" t="s">
        <v>1751</v>
      </c>
      <c r="H1529" t="s">
        <v>1752</v>
      </c>
      <c r="I1529" t="s">
        <v>363</v>
      </c>
      <c r="J1529">
        <v>3</v>
      </c>
      <c r="K1529">
        <v>276000</v>
      </c>
      <c r="L1529">
        <v>0.05</v>
      </c>
      <c r="M1529">
        <v>184000</v>
      </c>
      <c r="N1529">
        <f>(data[[#This Row],[unit_price]]*data[[#This Row],[quantity]]) * (1-data[[#This Row],[discount]])</f>
        <v>786600</v>
      </c>
      <c r="O1529">
        <f>data[[#This Row],[sales]]-data[[#This Row],[cost]]</f>
        <v>602600</v>
      </c>
      <c r="P1529" t="str">
        <f>TEXT(data[[#This Row],[order_date]],"mmm")</f>
        <v>May</v>
      </c>
      <c r="Q1529">
        <f>YEAR(data[[#This Row],[order_date]])</f>
        <v>2023</v>
      </c>
      <c r="R1529">
        <f>MONTH(data[[#This Row],[order_date]])</f>
        <v>5</v>
      </c>
      <c r="S1529">
        <f>DAY(data[[#This Row],[order_date]])</f>
        <v>25</v>
      </c>
      <c r="T1529">
        <f>data[[#This Row],[profit]]/data[[#This Row],[sales]]</f>
        <v>0.76608187134502925</v>
      </c>
    </row>
    <row r="1530" spans="1:20" x14ac:dyDescent="0.35">
      <c r="A1530" t="s">
        <v>1758</v>
      </c>
      <c r="B1530" s="1">
        <v>45082</v>
      </c>
      <c r="C1530" t="s">
        <v>14</v>
      </c>
      <c r="D1530" t="s">
        <v>15</v>
      </c>
      <c r="E1530" t="s">
        <v>55</v>
      </c>
      <c r="F1530" t="s">
        <v>17</v>
      </c>
      <c r="G1530" t="s">
        <v>1751</v>
      </c>
      <c r="H1530" t="s">
        <v>1752</v>
      </c>
      <c r="I1530" t="s">
        <v>363</v>
      </c>
      <c r="J1530">
        <v>1</v>
      </c>
      <c r="K1530">
        <v>345000</v>
      </c>
      <c r="L1530">
        <v>0</v>
      </c>
      <c r="M1530">
        <v>227000</v>
      </c>
      <c r="N1530">
        <f>(data[[#This Row],[unit_price]]*data[[#This Row],[quantity]]) * (1-data[[#This Row],[discount]])</f>
        <v>345000</v>
      </c>
      <c r="O1530">
        <f>data[[#This Row],[sales]]-data[[#This Row],[cost]]</f>
        <v>118000</v>
      </c>
      <c r="P1530" t="str">
        <f>TEXT(data[[#This Row],[order_date]],"mmm")</f>
        <v>Jun</v>
      </c>
      <c r="Q1530">
        <f>YEAR(data[[#This Row],[order_date]])</f>
        <v>2023</v>
      </c>
      <c r="R1530">
        <f>MONTH(data[[#This Row],[order_date]])</f>
        <v>6</v>
      </c>
      <c r="S1530">
        <f>DAY(data[[#This Row],[order_date]])</f>
        <v>5</v>
      </c>
      <c r="T1530">
        <f>data[[#This Row],[profit]]/data[[#This Row],[sales]]</f>
        <v>0.34202898550724636</v>
      </c>
    </row>
    <row r="1531" spans="1:20" x14ac:dyDescent="0.35">
      <c r="A1531" t="s">
        <v>1759</v>
      </c>
      <c r="B1531" s="1">
        <v>45088</v>
      </c>
      <c r="C1531" t="s">
        <v>14</v>
      </c>
      <c r="D1531" t="s">
        <v>15</v>
      </c>
      <c r="E1531" t="s">
        <v>83</v>
      </c>
      <c r="F1531" t="s">
        <v>23</v>
      </c>
      <c r="G1531" t="s">
        <v>1751</v>
      </c>
      <c r="H1531" t="s">
        <v>1752</v>
      </c>
      <c r="I1531" t="s">
        <v>363</v>
      </c>
      <c r="J1531">
        <v>1</v>
      </c>
      <c r="K1531">
        <v>205000</v>
      </c>
      <c r="L1531">
        <v>0</v>
      </c>
      <c r="M1531">
        <v>140000</v>
      </c>
      <c r="N1531">
        <f>(data[[#This Row],[unit_price]]*data[[#This Row],[quantity]]) * (1-data[[#This Row],[discount]])</f>
        <v>205000</v>
      </c>
      <c r="O1531">
        <f>data[[#This Row],[sales]]-data[[#This Row],[cost]]</f>
        <v>65000</v>
      </c>
      <c r="P1531" t="str">
        <f>TEXT(data[[#This Row],[order_date]],"mmm")</f>
        <v>Jun</v>
      </c>
      <c r="Q1531">
        <f>YEAR(data[[#This Row],[order_date]])</f>
        <v>2023</v>
      </c>
      <c r="R1531">
        <f>MONTH(data[[#This Row],[order_date]])</f>
        <v>6</v>
      </c>
      <c r="S1531">
        <f>DAY(data[[#This Row],[order_date]])</f>
        <v>11</v>
      </c>
      <c r="T1531">
        <f>data[[#This Row],[profit]]/data[[#This Row],[sales]]</f>
        <v>0.31707317073170732</v>
      </c>
    </row>
    <row r="1532" spans="1:20" x14ac:dyDescent="0.35">
      <c r="A1532" t="s">
        <v>1760</v>
      </c>
      <c r="B1532" s="1">
        <v>45094</v>
      </c>
      <c r="C1532" t="s">
        <v>41</v>
      </c>
      <c r="D1532" t="s">
        <v>42</v>
      </c>
      <c r="E1532" t="s">
        <v>323</v>
      </c>
      <c r="F1532" t="s">
        <v>28</v>
      </c>
      <c r="G1532" t="s">
        <v>1751</v>
      </c>
      <c r="H1532" t="s">
        <v>1752</v>
      </c>
      <c r="I1532" t="s">
        <v>363</v>
      </c>
      <c r="J1532">
        <v>1</v>
      </c>
      <c r="K1532">
        <v>352000</v>
      </c>
      <c r="L1532">
        <v>0</v>
      </c>
      <c r="M1532">
        <v>238000</v>
      </c>
      <c r="N1532">
        <f>(data[[#This Row],[unit_price]]*data[[#This Row],[quantity]]) * (1-data[[#This Row],[discount]])</f>
        <v>352000</v>
      </c>
      <c r="O1532">
        <f>data[[#This Row],[sales]]-data[[#This Row],[cost]]</f>
        <v>114000</v>
      </c>
      <c r="P1532" t="str">
        <f>TEXT(data[[#This Row],[order_date]],"mmm")</f>
        <v>Jun</v>
      </c>
      <c r="Q1532">
        <f>YEAR(data[[#This Row],[order_date]])</f>
        <v>2023</v>
      </c>
      <c r="R1532">
        <f>MONTH(data[[#This Row],[order_date]])</f>
        <v>6</v>
      </c>
      <c r="S1532">
        <f>DAY(data[[#This Row],[order_date]])</f>
        <v>17</v>
      </c>
      <c r="T1532">
        <f>data[[#This Row],[profit]]/data[[#This Row],[sales]]</f>
        <v>0.32386363636363635</v>
      </c>
    </row>
    <row r="1533" spans="1:20" x14ac:dyDescent="0.35">
      <c r="A1533" t="s">
        <v>1761</v>
      </c>
      <c r="B1533" s="1">
        <v>45098</v>
      </c>
      <c r="C1533" t="s">
        <v>49</v>
      </c>
      <c r="D1533" t="s">
        <v>50</v>
      </c>
      <c r="E1533" t="s">
        <v>193</v>
      </c>
      <c r="F1533" t="s">
        <v>23</v>
      </c>
      <c r="G1533" t="s">
        <v>1751</v>
      </c>
      <c r="H1533" t="s">
        <v>1752</v>
      </c>
      <c r="I1533" t="s">
        <v>363</v>
      </c>
      <c r="J1533">
        <v>5</v>
      </c>
      <c r="K1533">
        <v>225000</v>
      </c>
      <c r="L1533">
        <v>0.05</v>
      </c>
      <c r="M1533">
        <v>148000</v>
      </c>
      <c r="N1533">
        <f>(data[[#This Row],[unit_price]]*data[[#This Row],[quantity]]) * (1-data[[#This Row],[discount]])</f>
        <v>1068750</v>
      </c>
      <c r="O1533">
        <f>data[[#This Row],[sales]]-data[[#This Row],[cost]]</f>
        <v>920750</v>
      </c>
      <c r="P1533" t="str">
        <f>TEXT(data[[#This Row],[order_date]],"mmm")</f>
        <v>Jun</v>
      </c>
      <c r="Q1533">
        <f>YEAR(data[[#This Row],[order_date]])</f>
        <v>2023</v>
      </c>
      <c r="R1533">
        <f>MONTH(data[[#This Row],[order_date]])</f>
        <v>6</v>
      </c>
      <c r="S1533">
        <f>DAY(data[[#This Row],[order_date]])</f>
        <v>21</v>
      </c>
      <c r="T1533">
        <f>data[[#This Row],[profit]]/data[[#This Row],[sales]]</f>
        <v>0.86152046783625735</v>
      </c>
    </row>
    <row r="1534" spans="1:20" x14ac:dyDescent="0.35">
      <c r="A1534" t="s">
        <v>1762</v>
      </c>
      <c r="B1534" s="1">
        <v>45098</v>
      </c>
      <c r="C1534" t="s">
        <v>14</v>
      </c>
      <c r="D1534" t="s">
        <v>15</v>
      </c>
      <c r="E1534" t="s">
        <v>323</v>
      </c>
      <c r="F1534" t="s">
        <v>28</v>
      </c>
      <c r="G1534" t="s">
        <v>1751</v>
      </c>
      <c r="H1534" t="s">
        <v>1752</v>
      </c>
      <c r="I1534" t="s">
        <v>363</v>
      </c>
      <c r="J1534">
        <v>1</v>
      </c>
      <c r="K1534">
        <v>331000</v>
      </c>
      <c r="L1534">
        <v>0</v>
      </c>
      <c r="M1534">
        <v>225000</v>
      </c>
      <c r="N1534">
        <f>(data[[#This Row],[unit_price]]*data[[#This Row],[quantity]]) * (1-data[[#This Row],[discount]])</f>
        <v>331000</v>
      </c>
      <c r="O1534">
        <f>data[[#This Row],[sales]]-data[[#This Row],[cost]]</f>
        <v>106000</v>
      </c>
      <c r="P1534" t="str">
        <f>TEXT(data[[#This Row],[order_date]],"mmm")</f>
        <v>Jun</v>
      </c>
      <c r="Q1534">
        <f>YEAR(data[[#This Row],[order_date]])</f>
        <v>2023</v>
      </c>
      <c r="R1534">
        <f>MONTH(data[[#This Row],[order_date]])</f>
        <v>6</v>
      </c>
      <c r="S1534">
        <f>DAY(data[[#This Row],[order_date]])</f>
        <v>21</v>
      </c>
      <c r="T1534">
        <f>data[[#This Row],[profit]]/data[[#This Row],[sales]]</f>
        <v>0.3202416918429003</v>
      </c>
    </row>
    <row r="1535" spans="1:20" x14ac:dyDescent="0.35">
      <c r="A1535" t="s">
        <v>1763</v>
      </c>
      <c r="B1535" s="1">
        <v>45167</v>
      </c>
      <c r="C1535" t="s">
        <v>41</v>
      </c>
      <c r="D1535" t="s">
        <v>42</v>
      </c>
      <c r="E1535" t="s">
        <v>313</v>
      </c>
      <c r="F1535" t="s">
        <v>17</v>
      </c>
      <c r="G1535" t="s">
        <v>1751</v>
      </c>
      <c r="H1535" t="s">
        <v>1752</v>
      </c>
      <c r="I1535" t="s">
        <v>363</v>
      </c>
      <c r="J1535">
        <v>1</v>
      </c>
      <c r="K1535">
        <v>306000</v>
      </c>
      <c r="L1535">
        <v>0</v>
      </c>
      <c r="M1535">
        <v>204000</v>
      </c>
      <c r="N1535">
        <f>(data[[#This Row],[unit_price]]*data[[#This Row],[quantity]]) * (1-data[[#This Row],[discount]])</f>
        <v>306000</v>
      </c>
      <c r="O1535">
        <f>data[[#This Row],[sales]]-data[[#This Row],[cost]]</f>
        <v>102000</v>
      </c>
      <c r="P1535" t="str">
        <f>TEXT(data[[#This Row],[order_date]],"mmm")</f>
        <v>Aug</v>
      </c>
      <c r="Q1535">
        <f>YEAR(data[[#This Row],[order_date]])</f>
        <v>2023</v>
      </c>
      <c r="R1535">
        <f>MONTH(data[[#This Row],[order_date]])</f>
        <v>8</v>
      </c>
      <c r="S1535">
        <f>DAY(data[[#This Row],[order_date]])</f>
        <v>29</v>
      </c>
      <c r="T1535">
        <f>data[[#This Row],[profit]]/data[[#This Row],[sales]]</f>
        <v>0.33333333333333331</v>
      </c>
    </row>
    <row r="1536" spans="1:20" x14ac:dyDescent="0.35">
      <c r="A1536" t="s">
        <v>1764</v>
      </c>
      <c r="B1536" s="1">
        <v>45187</v>
      </c>
      <c r="C1536" t="s">
        <v>14</v>
      </c>
      <c r="D1536" t="s">
        <v>15</v>
      </c>
      <c r="E1536" t="s">
        <v>315</v>
      </c>
      <c r="F1536" t="s">
        <v>23</v>
      </c>
      <c r="G1536" t="s">
        <v>1751</v>
      </c>
      <c r="H1536" t="s">
        <v>1752</v>
      </c>
      <c r="I1536" t="s">
        <v>363</v>
      </c>
      <c r="J1536">
        <v>1</v>
      </c>
      <c r="K1536">
        <v>322000</v>
      </c>
      <c r="L1536">
        <v>0</v>
      </c>
      <c r="M1536">
        <v>218000</v>
      </c>
      <c r="N1536">
        <f>(data[[#This Row],[unit_price]]*data[[#This Row],[quantity]]) * (1-data[[#This Row],[discount]])</f>
        <v>322000</v>
      </c>
      <c r="O1536">
        <f>data[[#This Row],[sales]]-data[[#This Row],[cost]]</f>
        <v>104000</v>
      </c>
      <c r="P1536" t="str">
        <f>TEXT(data[[#This Row],[order_date]],"mmm")</f>
        <v>Sep</v>
      </c>
      <c r="Q1536">
        <f>YEAR(data[[#This Row],[order_date]])</f>
        <v>2023</v>
      </c>
      <c r="R1536">
        <f>MONTH(data[[#This Row],[order_date]])</f>
        <v>9</v>
      </c>
      <c r="S1536">
        <f>DAY(data[[#This Row],[order_date]])</f>
        <v>18</v>
      </c>
      <c r="T1536">
        <f>data[[#This Row],[profit]]/data[[#This Row],[sales]]</f>
        <v>0.32298136645962733</v>
      </c>
    </row>
    <row r="1537" spans="1:20" x14ac:dyDescent="0.35">
      <c r="A1537" t="s">
        <v>1765</v>
      </c>
      <c r="B1537" s="1">
        <v>45192</v>
      </c>
      <c r="C1537" t="s">
        <v>49</v>
      </c>
      <c r="D1537" t="s">
        <v>50</v>
      </c>
      <c r="E1537" t="s">
        <v>274</v>
      </c>
      <c r="F1537" t="s">
        <v>58</v>
      </c>
      <c r="G1537" t="s">
        <v>1751</v>
      </c>
      <c r="H1537" t="s">
        <v>1752</v>
      </c>
      <c r="I1537" t="s">
        <v>363</v>
      </c>
      <c r="J1537">
        <v>3</v>
      </c>
      <c r="K1537">
        <v>205000</v>
      </c>
      <c r="L1537">
        <v>0</v>
      </c>
      <c r="M1537">
        <v>137000</v>
      </c>
      <c r="N1537">
        <f>(data[[#This Row],[unit_price]]*data[[#This Row],[quantity]]) * (1-data[[#This Row],[discount]])</f>
        <v>615000</v>
      </c>
      <c r="O1537">
        <f>data[[#This Row],[sales]]-data[[#This Row],[cost]]</f>
        <v>478000</v>
      </c>
      <c r="P1537" t="str">
        <f>TEXT(data[[#This Row],[order_date]],"mmm")</f>
        <v>Sep</v>
      </c>
      <c r="Q1537">
        <f>YEAR(data[[#This Row],[order_date]])</f>
        <v>2023</v>
      </c>
      <c r="R1537">
        <f>MONTH(data[[#This Row],[order_date]])</f>
        <v>9</v>
      </c>
      <c r="S1537">
        <f>DAY(data[[#This Row],[order_date]])</f>
        <v>23</v>
      </c>
      <c r="T1537">
        <f>data[[#This Row],[profit]]/data[[#This Row],[sales]]</f>
        <v>0.77723577235772356</v>
      </c>
    </row>
    <row r="1538" spans="1:20" x14ac:dyDescent="0.35">
      <c r="A1538" t="s">
        <v>1766</v>
      </c>
      <c r="B1538" s="1">
        <v>45228</v>
      </c>
      <c r="C1538" t="s">
        <v>41</v>
      </c>
      <c r="D1538" t="s">
        <v>42</v>
      </c>
      <c r="E1538" t="s">
        <v>27</v>
      </c>
      <c r="F1538" t="s">
        <v>28</v>
      </c>
      <c r="G1538" t="s">
        <v>1751</v>
      </c>
      <c r="H1538" t="s">
        <v>1752</v>
      </c>
      <c r="I1538" t="s">
        <v>363</v>
      </c>
      <c r="J1538">
        <v>1</v>
      </c>
      <c r="K1538">
        <v>153000</v>
      </c>
      <c r="L1538">
        <v>0</v>
      </c>
      <c r="M1538">
        <v>104000</v>
      </c>
      <c r="N1538">
        <f>(data[[#This Row],[unit_price]]*data[[#This Row],[quantity]]) * (1-data[[#This Row],[discount]])</f>
        <v>153000</v>
      </c>
      <c r="O1538">
        <f>data[[#This Row],[sales]]-data[[#This Row],[cost]]</f>
        <v>49000</v>
      </c>
      <c r="P1538" t="str">
        <f>TEXT(data[[#This Row],[order_date]],"mmm")</f>
        <v>Oct</v>
      </c>
      <c r="Q1538">
        <f>YEAR(data[[#This Row],[order_date]])</f>
        <v>2023</v>
      </c>
      <c r="R1538">
        <f>MONTH(data[[#This Row],[order_date]])</f>
        <v>10</v>
      </c>
      <c r="S1538">
        <f>DAY(data[[#This Row],[order_date]])</f>
        <v>29</v>
      </c>
      <c r="T1538">
        <f>data[[#This Row],[profit]]/data[[#This Row],[sales]]</f>
        <v>0.3202614379084967</v>
      </c>
    </row>
    <row r="1539" spans="1:20" x14ac:dyDescent="0.35">
      <c r="A1539" t="s">
        <v>1767</v>
      </c>
      <c r="B1539" s="1">
        <v>45234</v>
      </c>
      <c r="C1539" t="s">
        <v>14</v>
      </c>
      <c r="D1539" t="s">
        <v>15</v>
      </c>
      <c r="E1539" t="s">
        <v>162</v>
      </c>
      <c r="F1539" t="s">
        <v>28</v>
      </c>
      <c r="G1539" t="s">
        <v>1751</v>
      </c>
      <c r="H1539" t="s">
        <v>1752</v>
      </c>
      <c r="I1539" t="s">
        <v>363</v>
      </c>
      <c r="J1539">
        <v>1</v>
      </c>
      <c r="K1539">
        <v>209000</v>
      </c>
      <c r="L1539">
        <v>0</v>
      </c>
      <c r="M1539">
        <v>137000</v>
      </c>
      <c r="N1539">
        <f>(data[[#This Row],[unit_price]]*data[[#This Row],[quantity]]) * (1-data[[#This Row],[discount]])</f>
        <v>209000</v>
      </c>
      <c r="O1539">
        <f>data[[#This Row],[sales]]-data[[#This Row],[cost]]</f>
        <v>72000</v>
      </c>
      <c r="P1539" t="str">
        <f>TEXT(data[[#This Row],[order_date]],"mmm")</f>
        <v>Nov</v>
      </c>
      <c r="Q1539">
        <f>YEAR(data[[#This Row],[order_date]])</f>
        <v>2023</v>
      </c>
      <c r="R1539">
        <f>MONTH(data[[#This Row],[order_date]])</f>
        <v>11</v>
      </c>
      <c r="S1539">
        <f>DAY(data[[#This Row],[order_date]])</f>
        <v>4</v>
      </c>
      <c r="T1539">
        <f>data[[#This Row],[profit]]/data[[#This Row],[sales]]</f>
        <v>0.34449760765550241</v>
      </c>
    </row>
    <row r="1540" spans="1:20" x14ac:dyDescent="0.35">
      <c r="A1540" t="s">
        <v>1768</v>
      </c>
      <c r="B1540" s="1">
        <v>45234</v>
      </c>
      <c r="C1540" t="s">
        <v>49</v>
      </c>
      <c r="D1540" t="s">
        <v>50</v>
      </c>
      <c r="E1540" t="s">
        <v>117</v>
      </c>
      <c r="F1540" t="s">
        <v>23</v>
      </c>
      <c r="G1540" t="s">
        <v>1751</v>
      </c>
      <c r="H1540" t="s">
        <v>1752</v>
      </c>
      <c r="I1540" t="s">
        <v>363</v>
      </c>
      <c r="J1540">
        <v>1</v>
      </c>
      <c r="K1540">
        <v>232000</v>
      </c>
      <c r="L1540">
        <v>0.05</v>
      </c>
      <c r="M1540">
        <v>158000</v>
      </c>
      <c r="N1540">
        <f>(data[[#This Row],[unit_price]]*data[[#This Row],[quantity]]) * (1-data[[#This Row],[discount]])</f>
        <v>220400</v>
      </c>
      <c r="O1540">
        <f>data[[#This Row],[sales]]-data[[#This Row],[cost]]</f>
        <v>62400</v>
      </c>
      <c r="P1540" t="str">
        <f>TEXT(data[[#This Row],[order_date]],"mmm")</f>
        <v>Nov</v>
      </c>
      <c r="Q1540">
        <f>YEAR(data[[#This Row],[order_date]])</f>
        <v>2023</v>
      </c>
      <c r="R1540">
        <f>MONTH(data[[#This Row],[order_date]])</f>
        <v>11</v>
      </c>
      <c r="S1540">
        <f>DAY(data[[#This Row],[order_date]])</f>
        <v>4</v>
      </c>
      <c r="T1540">
        <f>data[[#This Row],[profit]]/data[[#This Row],[sales]]</f>
        <v>0.28312159709618873</v>
      </c>
    </row>
    <row r="1541" spans="1:20" x14ac:dyDescent="0.35">
      <c r="A1541" t="s">
        <v>1769</v>
      </c>
      <c r="B1541" s="1">
        <v>45272</v>
      </c>
      <c r="C1541" t="s">
        <v>41</v>
      </c>
      <c r="D1541" t="s">
        <v>42</v>
      </c>
      <c r="E1541" t="s">
        <v>193</v>
      </c>
      <c r="F1541" t="s">
        <v>23</v>
      </c>
      <c r="G1541" t="s">
        <v>1751</v>
      </c>
      <c r="H1541" t="s">
        <v>1752</v>
      </c>
      <c r="I1541" t="s">
        <v>363</v>
      </c>
      <c r="J1541">
        <v>3</v>
      </c>
      <c r="K1541">
        <v>243000</v>
      </c>
      <c r="L1541">
        <v>0</v>
      </c>
      <c r="M1541">
        <v>167000</v>
      </c>
      <c r="N1541">
        <f>(data[[#This Row],[unit_price]]*data[[#This Row],[quantity]]) * (1-data[[#This Row],[discount]])</f>
        <v>729000</v>
      </c>
      <c r="O1541">
        <f>data[[#This Row],[sales]]-data[[#This Row],[cost]]</f>
        <v>562000</v>
      </c>
      <c r="P1541" t="str">
        <f>TEXT(data[[#This Row],[order_date]],"mmm")</f>
        <v>Dec</v>
      </c>
      <c r="Q1541">
        <f>YEAR(data[[#This Row],[order_date]])</f>
        <v>2023</v>
      </c>
      <c r="R1541">
        <f>MONTH(data[[#This Row],[order_date]])</f>
        <v>12</v>
      </c>
      <c r="S1541">
        <f>DAY(data[[#This Row],[order_date]])</f>
        <v>12</v>
      </c>
      <c r="T1541">
        <f>data[[#This Row],[profit]]/data[[#This Row],[sales]]</f>
        <v>0.77091906721536352</v>
      </c>
    </row>
    <row r="1542" spans="1:20" x14ac:dyDescent="0.35">
      <c r="A1542" t="s">
        <v>1770</v>
      </c>
      <c r="B1542" s="1">
        <v>45311</v>
      </c>
      <c r="C1542" t="s">
        <v>14</v>
      </c>
      <c r="D1542" t="s">
        <v>15</v>
      </c>
      <c r="E1542" t="s">
        <v>311</v>
      </c>
      <c r="F1542" t="s">
        <v>17</v>
      </c>
      <c r="G1542" t="s">
        <v>1751</v>
      </c>
      <c r="H1542" t="s">
        <v>1752</v>
      </c>
      <c r="I1542" t="s">
        <v>363</v>
      </c>
      <c r="J1542">
        <v>1</v>
      </c>
      <c r="K1542">
        <v>369000</v>
      </c>
      <c r="L1542">
        <v>0</v>
      </c>
      <c r="M1542">
        <v>253000</v>
      </c>
      <c r="N1542">
        <f>(data[[#This Row],[unit_price]]*data[[#This Row],[quantity]]) * (1-data[[#This Row],[discount]])</f>
        <v>369000</v>
      </c>
      <c r="O1542">
        <f>data[[#This Row],[sales]]-data[[#This Row],[cost]]</f>
        <v>116000</v>
      </c>
      <c r="P1542" t="str">
        <f>TEXT(data[[#This Row],[order_date]],"mmm")</f>
        <v>Jan</v>
      </c>
      <c r="Q1542">
        <f>YEAR(data[[#This Row],[order_date]])</f>
        <v>2024</v>
      </c>
      <c r="R1542">
        <f>MONTH(data[[#This Row],[order_date]])</f>
        <v>1</v>
      </c>
      <c r="S1542">
        <f>DAY(data[[#This Row],[order_date]])</f>
        <v>20</v>
      </c>
      <c r="T1542">
        <f>data[[#This Row],[profit]]/data[[#This Row],[sales]]</f>
        <v>0.3143631436314363</v>
      </c>
    </row>
    <row r="1543" spans="1:20" x14ac:dyDescent="0.35">
      <c r="A1543" t="s">
        <v>1771</v>
      </c>
      <c r="B1543" s="1">
        <v>45345</v>
      </c>
      <c r="C1543" t="s">
        <v>49</v>
      </c>
      <c r="D1543" t="s">
        <v>50</v>
      </c>
      <c r="E1543" t="s">
        <v>498</v>
      </c>
      <c r="F1543" t="s">
        <v>23</v>
      </c>
      <c r="G1543" t="s">
        <v>1751</v>
      </c>
      <c r="H1543" t="s">
        <v>1752</v>
      </c>
      <c r="I1543" t="s">
        <v>363</v>
      </c>
      <c r="J1543">
        <v>1</v>
      </c>
      <c r="K1543">
        <v>376000</v>
      </c>
      <c r="L1543">
        <v>0</v>
      </c>
      <c r="M1543">
        <v>258000</v>
      </c>
      <c r="N1543">
        <f>(data[[#This Row],[unit_price]]*data[[#This Row],[quantity]]) * (1-data[[#This Row],[discount]])</f>
        <v>376000</v>
      </c>
      <c r="O1543">
        <f>data[[#This Row],[sales]]-data[[#This Row],[cost]]</f>
        <v>118000</v>
      </c>
      <c r="P1543" t="str">
        <f>TEXT(data[[#This Row],[order_date]],"mmm")</f>
        <v>Feb</v>
      </c>
      <c r="Q1543">
        <f>YEAR(data[[#This Row],[order_date]])</f>
        <v>2024</v>
      </c>
      <c r="R1543">
        <f>MONTH(data[[#This Row],[order_date]])</f>
        <v>2</v>
      </c>
      <c r="S1543">
        <f>DAY(data[[#This Row],[order_date]])</f>
        <v>23</v>
      </c>
      <c r="T1543">
        <f>data[[#This Row],[profit]]/data[[#This Row],[sales]]</f>
        <v>0.31382978723404253</v>
      </c>
    </row>
    <row r="1544" spans="1:20" x14ac:dyDescent="0.35">
      <c r="A1544" t="s">
        <v>1772</v>
      </c>
      <c r="B1544" s="1">
        <v>45362</v>
      </c>
      <c r="C1544" t="s">
        <v>14</v>
      </c>
      <c r="D1544" t="s">
        <v>15</v>
      </c>
      <c r="E1544" t="s">
        <v>242</v>
      </c>
      <c r="F1544" t="s">
        <v>17</v>
      </c>
      <c r="G1544" t="s">
        <v>1751</v>
      </c>
      <c r="H1544" t="s">
        <v>1752</v>
      </c>
      <c r="I1544" t="s">
        <v>363</v>
      </c>
      <c r="J1544">
        <v>2</v>
      </c>
      <c r="K1544">
        <v>205000</v>
      </c>
      <c r="L1544">
        <v>0</v>
      </c>
      <c r="M1544">
        <v>138000</v>
      </c>
      <c r="N1544">
        <f>(data[[#This Row],[unit_price]]*data[[#This Row],[quantity]]) * (1-data[[#This Row],[discount]])</f>
        <v>410000</v>
      </c>
      <c r="O1544">
        <f>data[[#This Row],[sales]]-data[[#This Row],[cost]]</f>
        <v>272000</v>
      </c>
      <c r="P1544" t="str">
        <f>TEXT(data[[#This Row],[order_date]],"mmm")</f>
        <v>Mar</v>
      </c>
      <c r="Q1544">
        <f>YEAR(data[[#This Row],[order_date]])</f>
        <v>2024</v>
      </c>
      <c r="R1544">
        <f>MONTH(data[[#This Row],[order_date]])</f>
        <v>3</v>
      </c>
      <c r="S1544">
        <f>DAY(data[[#This Row],[order_date]])</f>
        <v>11</v>
      </c>
      <c r="T1544">
        <f>data[[#This Row],[profit]]/data[[#This Row],[sales]]</f>
        <v>0.6634146341463415</v>
      </c>
    </row>
    <row r="1545" spans="1:20" x14ac:dyDescent="0.35">
      <c r="A1545" t="s">
        <v>1773</v>
      </c>
      <c r="B1545" s="1">
        <v>45376</v>
      </c>
      <c r="C1545" t="s">
        <v>25</v>
      </c>
      <c r="D1545" t="s">
        <v>26</v>
      </c>
      <c r="E1545" t="s">
        <v>16</v>
      </c>
      <c r="F1545" t="s">
        <v>17</v>
      </c>
      <c r="G1545" t="s">
        <v>1751</v>
      </c>
      <c r="H1545" t="s">
        <v>1752</v>
      </c>
      <c r="I1545" t="s">
        <v>363</v>
      </c>
      <c r="J1545">
        <v>1</v>
      </c>
      <c r="K1545">
        <v>236000</v>
      </c>
      <c r="L1545">
        <v>0</v>
      </c>
      <c r="M1545">
        <v>157000</v>
      </c>
      <c r="N1545">
        <f>(data[[#This Row],[unit_price]]*data[[#This Row],[quantity]]) * (1-data[[#This Row],[discount]])</f>
        <v>236000</v>
      </c>
      <c r="O1545">
        <f>data[[#This Row],[sales]]-data[[#This Row],[cost]]</f>
        <v>79000</v>
      </c>
      <c r="P1545" t="str">
        <f>TEXT(data[[#This Row],[order_date]],"mmm")</f>
        <v>Mar</v>
      </c>
      <c r="Q1545">
        <f>YEAR(data[[#This Row],[order_date]])</f>
        <v>2024</v>
      </c>
      <c r="R1545">
        <f>MONTH(data[[#This Row],[order_date]])</f>
        <v>3</v>
      </c>
      <c r="S1545">
        <f>DAY(data[[#This Row],[order_date]])</f>
        <v>25</v>
      </c>
      <c r="T1545">
        <f>data[[#This Row],[profit]]/data[[#This Row],[sales]]</f>
        <v>0.3347457627118644</v>
      </c>
    </row>
    <row r="1546" spans="1:20" x14ac:dyDescent="0.35">
      <c r="A1546" t="s">
        <v>1774</v>
      </c>
      <c r="B1546" s="1">
        <v>45412</v>
      </c>
      <c r="C1546" t="s">
        <v>14</v>
      </c>
      <c r="D1546" t="s">
        <v>15</v>
      </c>
      <c r="E1546" t="s">
        <v>76</v>
      </c>
      <c r="F1546" t="s">
        <v>23</v>
      </c>
      <c r="G1546" t="s">
        <v>1751</v>
      </c>
      <c r="H1546" t="s">
        <v>1752</v>
      </c>
      <c r="I1546" t="s">
        <v>363</v>
      </c>
      <c r="J1546">
        <v>1</v>
      </c>
      <c r="K1546">
        <v>214000</v>
      </c>
      <c r="L1546">
        <v>0</v>
      </c>
      <c r="M1546">
        <v>143000</v>
      </c>
      <c r="N1546">
        <f>(data[[#This Row],[unit_price]]*data[[#This Row],[quantity]]) * (1-data[[#This Row],[discount]])</f>
        <v>214000</v>
      </c>
      <c r="O1546">
        <f>data[[#This Row],[sales]]-data[[#This Row],[cost]]</f>
        <v>71000</v>
      </c>
      <c r="P1546" t="str">
        <f>TEXT(data[[#This Row],[order_date]],"mmm")</f>
        <v>Apr</v>
      </c>
      <c r="Q1546">
        <f>YEAR(data[[#This Row],[order_date]])</f>
        <v>2024</v>
      </c>
      <c r="R1546">
        <f>MONTH(data[[#This Row],[order_date]])</f>
        <v>4</v>
      </c>
      <c r="S1546">
        <f>DAY(data[[#This Row],[order_date]])</f>
        <v>30</v>
      </c>
      <c r="T1546">
        <f>data[[#This Row],[profit]]/data[[#This Row],[sales]]</f>
        <v>0.33177570093457942</v>
      </c>
    </row>
    <row r="1547" spans="1:20" x14ac:dyDescent="0.35">
      <c r="A1547" t="s">
        <v>1775</v>
      </c>
      <c r="B1547" s="1">
        <v>45435</v>
      </c>
      <c r="C1547" t="s">
        <v>41</v>
      </c>
      <c r="D1547" t="s">
        <v>42</v>
      </c>
      <c r="E1547" t="s">
        <v>216</v>
      </c>
      <c r="F1547" t="s">
        <v>17</v>
      </c>
      <c r="G1547" t="s">
        <v>1751</v>
      </c>
      <c r="H1547" t="s">
        <v>1752</v>
      </c>
      <c r="I1547" t="s">
        <v>363</v>
      </c>
      <c r="J1547">
        <v>2</v>
      </c>
      <c r="K1547">
        <v>178000</v>
      </c>
      <c r="L1547">
        <v>0</v>
      </c>
      <c r="M1547">
        <v>122000</v>
      </c>
      <c r="N1547">
        <f>(data[[#This Row],[unit_price]]*data[[#This Row],[quantity]]) * (1-data[[#This Row],[discount]])</f>
        <v>356000</v>
      </c>
      <c r="O1547">
        <f>data[[#This Row],[sales]]-data[[#This Row],[cost]]</f>
        <v>234000</v>
      </c>
      <c r="P1547" t="str">
        <f>TEXT(data[[#This Row],[order_date]],"mmm")</f>
        <v>May</v>
      </c>
      <c r="Q1547">
        <f>YEAR(data[[#This Row],[order_date]])</f>
        <v>2024</v>
      </c>
      <c r="R1547">
        <f>MONTH(data[[#This Row],[order_date]])</f>
        <v>5</v>
      </c>
      <c r="S1547">
        <f>DAY(data[[#This Row],[order_date]])</f>
        <v>23</v>
      </c>
      <c r="T1547">
        <f>data[[#This Row],[profit]]/data[[#This Row],[sales]]</f>
        <v>0.65730337078651691</v>
      </c>
    </row>
    <row r="1548" spans="1:20" x14ac:dyDescent="0.35">
      <c r="A1548" t="s">
        <v>1776</v>
      </c>
      <c r="B1548" s="1">
        <v>45475</v>
      </c>
      <c r="C1548" t="s">
        <v>49</v>
      </c>
      <c r="D1548" t="s">
        <v>50</v>
      </c>
      <c r="E1548" t="s">
        <v>164</v>
      </c>
      <c r="F1548" t="s">
        <v>23</v>
      </c>
      <c r="G1548" t="s">
        <v>1751</v>
      </c>
      <c r="H1548" t="s">
        <v>1752</v>
      </c>
      <c r="I1548" t="s">
        <v>363</v>
      </c>
      <c r="J1548">
        <v>5</v>
      </c>
      <c r="K1548">
        <v>261000</v>
      </c>
      <c r="L1548">
        <v>0</v>
      </c>
      <c r="M1548">
        <v>179000</v>
      </c>
      <c r="N1548">
        <f>(data[[#This Row],[unit_price]]*data[[#This Row],[quantity]]) * (1-data[[#This Row],[discount]])</f>
        <v>1305000</v>
      </c>
      <c r="O1548">
        <f>data[[#This Row],[sales]]-data[[#This Row],[cost]]</f>
        <v>1126000</v>
      </c>
      <c r="P1548" t="str">
        <f>TEXT(data[[#This Row],[order_date]],"mmm")</f>
        <v>Jul</v>
      </c>
      <c r="Q1548">
        <f>YEAR(data[[#This Row],[order_date]])</f>
        <v>2024</v>
      </c>
      <c r="R1548">
        <f>MONTH(data[[#This Row],[order_date]])</f>
        <v>7</v>
      </c>
      <c r="S1548">
        <f>DAY(data[[#This Row],[order_date]])</f>
        <v>2</v>
      </c>
      <c r="T1548">
        <f>data[[#This Row],[profit]]/data[[#This Row],[sales]]</f>
        <v>0.86283524904214559</v>
      </c>
    </row>
    <row r="1549" spans="1:20" x14ac:dyDescent="0.35">
      <c r="A1549" t="s">
        <v>1777</v>
      </c>
      <c r="B1549" s="1">
        <v>45494</v>
      </c>
      <c r="C1549" t="s">
        <v>25</v>
      </c>
      <c r="D1549" t="s">
        <v>26</v>
      </c>
      <c r="E1549" t="s">
        <v>166</v>
      </c>
      <c r="F1549" t="s">
        <v>28</v>
      </c>
      <c r="G1549" t="s">
        <v>1751</v>
      </c>
      <c r="H1549" t="s">
        <v>1752</v>
      </c>
      <c r="I1549" t="s">
        <v>363</v>
      </c>
      <c r="J1549">
        <v>3</v>
      </c>
      <c r="K1549">
        <v>217000</v>
      </c>
      <c r="L1549">
        <v>0.1</v>
      </c>
      <c r="M1549">
        <v>149000</v>
      </c>
      <c r="N1549">
        <f>(data[[#This Row],[unit_price]]*data[[#This Row],[quantity]]) * (1-data[[#This Row],[discount]])</f>
        <v>585900</v>
      </c>
      <c r="O1549">
        <f>data[[#This Row],[sales]]-data[[#This Row],[cost]]</f>
        <v>436900</v>
      </c>
      <c r="P1549" t="str">
        <f>TEXT(data[[#This Row],[order_date]],"mmm")</f>
        <v>Jul</v>
      </c>
      <c r="Q1549">
        <f>YEAR(data[[#This Row],[order_date]])</f>
        <v>2024</v>
      </c>
      <c r="R1549">
        <f>MONTH(data[[#This Row],[order_date]])</f>
        <v>7</v>
      </c>
      <c r="S1549">
        <f>DAY(data[[#This Row],[order_date]])</f>
        <v>21</v>
      </c>
      <c r="T1549">
        <f>data[[#This Row],[profit]]/data[[#This Row],[sales]]</f>
        <v>0.74569039085168121</v>
      </c>
    </row>
    <row r="1550" spans="1:20" x14ac:dyDescent="0.35">
      <c r="A1550" t="s">
        <v>1778</v>
      </c>
      <c r="B1550" s="1">
        <v>45518</v>
      </c>
      <c r="C1550" t="s">
        <v>49</v>
      </c>
      <c r="D1550" t="s">
        <v>50</v>
      </c>
      <c r="E1550" t="s">
        <v>195</v>
      </c>
      <c r="F1550" t="s">
        <v>23</v>
      </c>
      <c r="G1550" t="s">
        <v>1751</v>
      </c>
      <c r="H1550" t="s">
        <v>1752</v>
      </c>
      <c r="I1550" t="s">
        <v>363</v>
      </c>
      <c r="J1550">
        <v>2</v>
      </c>
      <c r="K1550">
        <v>170000</v>
      </c>
      <c r="L1550">
        <v>0</v>
      </c>
      <c r="M1550">
        <v>112000</v>
      </c>
      <c r="N1550">
        <f>(data[[#This Row],[unit_price]]*data[[#This Row],[quantity]]) * (1-data[[#This Row],[discount]])</f>
        <v>340000</v>
      </c>
      <c r="O1550">
        <f>data[[#This Row],[sales]]-data[[#This Row],[cost]]</f>
        <v>228000</v>
      </c>
      <c r="P1550" t="str">
        <f>TEXT(data[[#This Row],[order_date]],"mmm")</f>
        <v>Aug</v>
      </c>
      <c r="Q1550">
        <f>YEAR(data[[#This Row],[order_date]])</f>
        <v>2024</v>
      </c>
      <c r="R1550">
        <f>MONTH(data[[#This Row],[order_date]])</f>
        <v>8</v>
      </c>
      <c r="S1550">
        <f>DAY(data[[#This Row],[order_date]])</f>
        <v>14</v>
      </c>
      <c r="T1550">
        <f>data[[#This Row],[profit]]/data[[#This Row],[sales]]</f>
        <v>0.6705882352941176</v>
      </c>
    </row>
    <row r="1551" spans="1:20" x14ac:dyDescent="0.35">
      <c r="A1551" t="s">
        <v>1779</v>
      </c>
      <c r="B1551" s="1">
        <v>45541</v>
      </c>
      <c r="C1551" t="s">
        <v>36</v>
      </c>
      <c r="D1551" t="s">
        <v>37</v>
      </c>
      <c r="E1551" t="s">
        <v>166</v>
      </c>
      <c r="F1551" t="s">
        <v>28</v>
      </c>
      <c r="G1551" t="s">
        <v>1751</v>
      </c>
      <c r="H1551" t="s">
        <v>1752</v>
      </c>
      <c r="I1551" t="s">
        <v>363</v>
      </c>
      <c r="J1551">
        <v>2</v>
      </c>
      <c r="K1551">
        <v>197000</v>
      </c>
      <c r="L1551">
        <v>0</v>
      </c>
      <c r="M1551">
        <v>130000</v>
      </c>
      <c r="N1551">
        <f>(data[[#This Row],[unit_price]]*data[[#This Row],[quantity]]) * (1-data[[#This Row],[discount]])</f>
        <v>394000</v>
      </c>
      <c r="O1551">
        <f>data[[#This Row],[sales]]-data[[#This Row],[cost]]</f>
        <v>264000</v>
      </c>
      <c r="P1551" t="str">
        <f>TEXT(data[[#This Row],[order_date]],"mmm")</f>
        <v>Sep</v>
      </c>
      <c r="Q1551">
        <f>YEAR(data[[#This Row],[order_date]])</f>
        <v>2024</v>
      </c>
      <c r="R1551">
        <f>MONTH(data[[#This Row],[order_date]])</f>
        <v>9</v>
      </c>
      <c r="S1551">
        <f>DAY(data[[#This Row],[order_date]])</f>
        <v>6</v>
      </c>
      <c r="T1551">
        <f>data[[#This Row],[profit]]/data[[#This Row],[sales]]</f>
        <v>0.67005076142131981</v>
      </c>
    </row>
    <row r="1552" spans="1:20" x14ac:dyDescent="0.35">
      <c r="A1552" t="s">
        <v>1780</v>
      </c>
      <c r="B1552" s="1">
        <v>45583</v>
      </c>
      <c r="C1552" t="s">
        <v>49</v>
      </c>
      <c r="D1552" t="s">
        <v>50</v>
      </c>
      <c r="E1552" t="s">
        <v>402</v>
      </c>
      <c r="F1552" t="s">
        <v>23</v>
      </c>
      <c r="G1552" t="s">
        <v>1751</v>
      </c>
      <c r="H1552" t="s">
        <v>1752</v>
      </c>
      <c r="I1552" t="s">
        <v>363</v>
      </c>
      <c r="J1552">
        <v>1</v>
      </c>
      <c r="K1552">
        <v>363000</v>
      </c>
      <c r="L1552">
        <v>0.05</v>
      </c>
      <c r="M1552">
        <v>237000</v>
      </c>
      <c r="N1552">
        <f>(data[[#This Row],[unit_price]]*data[[#This Row],[quantity]]) * (1-data[[#This Row],[discount]])</f>
        <v>344850</v>
      </c>
      <c r="O1552">
        <f>data[[#This Row],[sales]]-data[[#This Row],[cost]]</f>
        <v>107850</v>
      </c>
      <c r="P1552" t="str">
        <f>TEXT(data[[#This Row],[order_date]],"mmm")</f>
        <v>Oct</v>
      </c>
      <c r="Q1552">
        <f>YEAR(data[[#This Row],[order_date]])</f>
        <v>2024</v>
      </c>
      <c r="R1552">
        <f>MONTH(data[[#This Row],[order_date]])</f>
        <v>10</v>
      </c>
      <c r="S1552">
        <f>DAY(data[[#This Row],[order_date]])</f>
        <v>18</v>
      </c>
      <c r="T1552">
        <f>data[[#This Row],[profit]]/data[[#This Row],[sales]]</f>
        <v>0.31274467159634622</v>
      </c>
    </row>
    <row r="1553" spans="1:20" x14ac:dyDescent="0.35">
      <c r="A1553" t="s">
        <v>1781</v>
      </c>
      <c r="B1553" s="1">
        <v>45626</v>
      </c>
      <c r="C1553" t="s">
        <v>14</v>
      </c>
      <c r="D1553" t="s">
        <v>15</v>
      </c>
      <c r="E1553" t="s">
        <v>311</v>
      </c>
      <c r="F1553" t="s">
        <v>17</v>
      </c>
      <c r="G1553" t="s">
        <v>1751</v>
      </c>
      <c r="H1553" t="s">
        <v>1752</v>
      </c>
      <c r="I1553" t="s">
        <v>363</v>
      </c>
      <c r="J1553">
        <v>1</v>
      </c>
      <c r="K1553">
        <v>181000</v>
      </c>
      <c r="L1553">
        <v>0</v>
      </c>
      <c r="M1553">
        <v>121000</v>
      </c>
      <c r="N1553">
        <f>(data[[#This Row],[unit_price]]*data[[#This Row],[quantity]]) * (1-data[[#This Row],[discount]])</f>
        <v>181000</v>
      </c>
      <c r="O1553">
        <f>data[[#This Row],[sales]]-data[[#This Row],[cost]]</f>
        <v>60000</v>
      </c>
      <c r="P1553" t="str">
        <f>TEXT(data[[#This Row],[order_date]],"mmm")</f>
        <v>Nov</v>
      </c>
      <c r="Q1553">
        <f>YEAR(data[[#This Row],[order_date]])</f>
        <v>2024</v>
      </c>
      <c r="R1553">
        <f>MONTH(data[[#This Row],[order_date]])</f>
        <v>11</v>
      </c>
      <c r="S1553">
        <f>DAY(data[[#This Row],[order_date]])</f>
        <v>30</v>
      </c>
      <c r="T1553">
        <f>data[[#This Row],[profit]]/data[[#This Row],[sales]]</f>
        <v>0.33149171270718231</v>
      </c>
    </row>
    <row r="1554" spans="1:20" x14ac:dyDescent="0.35">
      <c r="A1554" t="s">
        <v>1782</v>
      </c>
      <c r="B1554" s="1">
        <v>45636</v>
      </c>
      <c r="C1554" t="s">
        <v>14</v>
      </c>
      <c r="D1554" t="s">
        <v>15</v>
      </c>
      <c r="E1554" t="s">
        <v>93</v>
      </c>
      <c r="F1554" t="s">
        <v>23</v>
      </c>
      <c r="G1554" t="s">
        <v>1751</v>
      </c>
      <c r="H1554" t="s">
        <v>1752</v>
      </c>
      <c r="I1554" t="s">
        <v>363</v>
      </c>
      <c r="J1554">
        <v>1</v>
      </c>
      <c r="K1554">
        <v>350000</v>
      </c>
      <c r="L1554">
        <v>0</v>
      </c>
      <c r="M1554">
        <v>231000</v>
      </c>
      <c r="N1554">
        <f>(data[[#This Row],[unit_price]]*data[[#This Row],[quantity]]) * (1-data[[#This Row],[discount]])</f>
        <v>350000</v>
      </c>
      <c r="O1554">
        <f>data[[#This Row],[sales]]-data[[#This Row],[cost]]</f>
        <v>119000</v>
      </c>
      <c r="P1554" t="str">
        <f>TEXT(data[[#This Row],[order_date]],"mmm")</f>
        <v>Dec</v>
      </c>
      <c r="Q1554">
        <f>YEAR(data[[#This Row],[order_date]])</f>
        <v>2024</v>
      </c>
      <c r="R1554">
        <f>MONTH(data[[#This Row],[order_date]])</f>
        <v>12</v>
      </c>
      <c r="S1554">
        <f>DAY(data[[#This Row],[order_date]])</f>
        <v>10</v>
      </c>
      <c r="T1554">
        <f>data[[#This Row],[profit]]/data[[#This Row],[sales]]</f>
        <v>0.34</v>
      </c>
    </row>
    <row r="1555" spans="1:20" x14ac:dyDescent="0.35">
      <c r="A1555" t="s">
        <v>1783</v>
      </c>
      <c r="B1555" s="1">
        <v>45651</v>
      </c>
      <c r="C1555" t="s">
        <v>41</v>
      </c>
      <c r="D1555" t="s">
        <v>42</v>
      </c>
      <c r="E1555" t="s">
        <v>30</v>
      </c>
      <c r="F1555" t="s">
        <v>23</v>
      </c>
      <c r="G1555" t="s">
        <v>1751</v>
      </c>
      <c r="H1555" t="s">
        <v>1752</v>
      </c>
      <c r="I1555" t="s">
        <v>363</v>
      </c>
      <c r="J1555">
        <v>3</v>
      </c>
      <c r="K1555">
        <v>373000</v>
      </c>
      <c r="L1555">
        <v>0</v>
      </c>
      <c r="M1555">
        <v>245000</v>
      </c>
      <c r="N1555">
        <f>(data[[#This Row],[unit_price]]*data[[#This Row],[quantity]]) * (1-data[[#This Row],[discount]])</f>
        <v>1119000</v>
      </c>
      <c r="O1555">
        <f>data[[#This Row],[sales]]-data[[#This Row],[cost]]</f>
        <v>874000</v>
      </c>
      <c r="P1555" t="str">
        <f>TEXT(data[[#This Row],[order_date]],"mmm")</f>
        <v>Dec</v>
      </c>
      <c r="Q1555">
        <f>YEAR(data[[#This Row],[order_date]])</f>
        <v>2024</v>
      </c>
      <c r="R1555">
        <f>MONTH(data[[#This Row],[order_date]])</f>
        <v>12</v>
      </c>
      <c r="S1555">
        <f>DAY(data[[#This Row],[order_date]])</f>
        <v>25</v>
      </c>
      <c r="T1555">
        <f>data[[#This Row],[profit]]/data[[#This Row],[sales]]</f>
        <v>0.78105451295799821</v>
      </c>
    </row>
    <row r="1556" spans="1:20" x14ac:dyDescent="0.35">
      <c r="A1556" t="s">
        <v>1784</v>
      </c>
      <c r="B1556" s="1">
        <v>45651</v>
      </c>
      <c r="C1556" t="s">
        <v>36</v>
      </c>
      <c r="D1556" t="s">
        <v>37</v>
      </c>
      <c r="E1556" t="s">
        <v>174</v>
      </c>
      <c r="F1556" t="s">
        <v>23</v>
      </c>
      <c r="G1556" t="s">
        <v>1751</v>
      </c>
      <c r="H1556" t="s">
        <v>1752</v>
      </c>
      <c r="I1556" t="s">
        <v>363</v>
      </c>
      <c r="J1556">
        <v>1</v>
      </c>
      <c r="K1556">
        <v>212000</v>
      </c>
      <c r="L1556">
        <v>0</v>
      </c>
      <c r="M1556">
        <v>141000</v>
      </c>
      <c r="N1556">
        <f>(data[[#This Row],[unit_price]]*data[[#This Row],[quantity]]) * (1-data[[#This Row],[discount]])</f>
        <v>212000</v>
      </c>
      <c r="O1556">
        <f>data[[#This Row],[sales]]-data[[#This Row],[cost]]</f>
        <v>71000</v>
      </c>
      <c r="P1556" t="str">
        <f>TEXT(data[[#This Row],[order_date]],"mmm")</f>
        <v>Dec</v>
      </c>
      <c r="Q1556">
        <f>YEAR(data[[#This Row],[order_date]])</f>
        <v>2024</v>
      </c>
      <c r="R1556">
        <f>MONTH(data[[#This Row],[order_date]])</f>
        <v>12</v>
      </c>
      <c r="S1556">
        <f>DAY(data[[#This Row],[order_date]])</f>
        <v>25</v>
      </c>
      <c r="T1556">
        <f>data[[#This Row],[profit]]/data[[#This Row],[sales]]</f>
        <v>0.33490566037735847</v>
      </c>
    </row>
    <row r="1557" spans="1:20" x14ac:dyDescent="0.35">
      <c r="A1557" t="s">
        <v>1785</v>
      </c>
      <c r="B1557" s="1">
        <v>45660</v>
      </c>
      <c r="C1557" t="s">
        <v>14</v>
      </c>
      <c r="D1557" t="s">
        <v>15</v>
      </c>
      <c r="E1557" t="s">
        <v>162</v>
      </c>
      <c r="F1557" t="s">
        <v>28</v>
      </c>
      <c r="G1557" t="s">
        <v>1751</v>
      </c>
      <c r="H1557" t="s">
        <v>1752</v>
      </c>
      <c r="I1557" t="s">
        <v>363</v>
      </c>
      <c r="J1557">
        <v>1</v>
      </c>
      <c r="K1557">
        <v>356000</v>
      </c>
      <c r="L1557">
        <v>0</v>
      </c>
      <c r="M1557">
        <v>241000</v>
      </c>
      <c r="N1557">
        <f>(data[[#This Row],[unit_price]]*data[[#This Row],[quantity]]) * (1-data[[#This Row],[discount]])</f>
        <v>356000</v>
      </c>
      <c r="O1557">
        <f>data[[#This Row],[sales]]-data[[#This Row],[cost]]</f>
        <v>115000</v>
      </c>
      <c r="P1557" t="str">
        <f>TEXT(data[[#This Row],[order_date]],"mmm")</f>
        <v>Jan</v>
      </c>
      <c r="Q1557">
        <f>YEAR(data[[#This Row],[order_date]])</f>
        <v>2025</v>
      </c>
      <c r="R1557">
        <f>MONTH(data[[#This Row],[order_date]])</f>
        <v>1</v>
      </c>
      <c r="S1557">
        <f>DAY(data[[#This Row],[order_date]])</f>
        <v>3</v>
      </c>
      <c r="T1557">
        <f>data[[#This Row],[profit]]/data[[#This Row],[sales]]</f>
        <v>0.32303370786516855</v>
      </c>
    </row>
    <row r="1558" spans="1:20" x14ac:dyDescent="0.35">
      <c r="A1558" t="s">
        <v>1786</v>
      </c>
      <c r="B1558" s="1">
        <v>45673</v>
      </c>
      <c r="C1558" t="s">
        <v>36</v>
      </c>
      <c r="D1558" t="s">
        <v>37</v>
      </c>
      <c r="E1558" t="s">
        <v>798</v>
      </c>
      <c r="F1558" t="s">
        <v>28</v>
      </c>
      <c r="G1558" t="s">
        <v>1751</v>
      </c>
      <c r="H1558" t="s">
        <v>1752</v>
      </c>
      <c r="I1558" t="s">
        <v>363</v>
      </c>
      <c r="J1558">
        <v>2</v>
      </c>
      <c r="K1558">
        <v>204000</v>
      </c>
      <c r="L1558">
        <v>0</v>
      </c>
      <c r="M1558">
        <v>139000</v>
      </c>
      <c r="N1558">
        <f>(data[[#This Row],[unit_price]]*data[[#This Row],[quantity]]) * (1-data[[#This Row],[discount]])</f>
        <v>408000</v>
      </c>
      <c r="O1558">
        <f>data[[#This Row],[sales]]-data[[#This Row],[cost]]</f>
        <v>269000</v>
      </c>
      <c r="P1558" t="str">
        <f>TEXT(data[[#This Row],[order_date]],"mmm")</f>
        <v>Jan</v>
      </c>
      <c r="Q1558">
        <f>YEAR(data[[#This Row],[order_date]])</f>
        <v>2025</v>
      </c>
      <c r="R1558">
        <f>MONTH(data[[#This Row],[order_date]])</f>
        <v>1</v>
      </c>
      <c r="S1558">
        <f>DAY(data[[#This Row],[order_date]])</f>
        <v>16</v>
      </c>
      <c r="T1558">
        <f>data[[#This Row],[profit]]/data[[#This Row],[sales]]</f>
        <v>0.65931372549019607</v>
      </c>
    </row>
    <row r="1559" spans="1:20" x14ac:dyDescent="0.35">
      <c r="A1559" t="s">
        <v>1787</v>
      </c>
      <c r="B1559" s="1">
        <v>45761</v>
      </c>
      <c r="C1559" t="s">
        <v>14</v>
      </c>
      <c r="D1559" t="s">
        <v>15</v>
      </c>
      <c r="E1559" t="s">
        <v>236</v>
      </c>
      <c r="F1559" t="s">
        <v>28</v>
      </c>
      <c r="G1559" t="s">
        <v>1751</v>
      </c>
      <c r="H1559" t="s">
        <v>1752</v>
      </c>
      <c r="I1559" t="s">
        <v>363</v>
      </c>
      <c r="J1559">
        <v>1</v>
      </c>
      <c r="K1559">
        <v>346000</v>
      </c>
      <c r="L1559">
        <v>0</v>
      </c>
      <c r="M1559">
        <v>230000</v>
      </c>
      <c r="N1559">
        <f>(data[[#This Row],[unit_price]]*data[[#This Row],[quantity]]) * (1-data[[#This Row],[discount]])</f>
        <v>346000</v>
      </c>
      <c r="O1559">
        <f>data[[#This Row],[sales]]-data[[#This Row],[cost]]</f>
        <v>116000</v>
      </c>
      <c r="P1559" t="str">
        <f>TEXT(data[[#This Row],[order_date]],"mmm")</f>
        <v>Apr</v>
      </c>
      <c r="Q1559">
        <f>YEAR(data[[#This Row],[order_date]])</f>
        <v>2025</v>
      </c>
      <c r="R1559">
        <f>MONTH(data[[#This Row],[order_date]])</f>
        <v>4</v>
      </c>
      <c r="S1559">
        <f>DAY(data[[#This Row],[order_date]])</f>
        <v>14</v>
      </c>
      <c r="T1559">
        <f>data[[#This Row],[profit]]/data[[#This Row],[sales]]</f>
        <v>0.33526011560693642</v>
      </c>
    </row>
    <row r="1560" spans="1:20" x14ac:dyDescent="0.35">
      <c r="A1560" t="s">
        <v>1788</v>
      </c>
      <c r="B1560" s="1">
        <v>45776</v>
      </c>
      <c r="C1560" t="s">
        <v>14</v>
      </c>
      <c r="D1560" t="s">
        <v>15</v>
      </c>
      <c r="E1560" t="s">
        <v>157</v>
      </c>
      <c r="F1560" t="s">
        <v>23</v>
      </c>
      <c r="G1560" t="s">
        <v>1751</v>
      </c>
      <c r="H1560" t="s">
        <v>1752</v>
      </c>
      <c r="I1560" t="s">
        <v>363</v>
      </c>
      <c r="J1560">
        <v>1</v>
      </c>
      <c r="K1560">
        <v>354000</v>
      </c>
      <c r="L1560">
        <v>0</v>
      </c>
      <c r="M1560">
        <v>235000</v>
      </c>
      <c r="N1560">
        <f>(data[[#This Row],[unit_price]]*data[[#This Row],[quantity]]) * (1-data[[#This Row],[discount]])</f>
        <v>354000</v>
      </c>
      <c r="O1560">
        <f>data[[#This Row],[sales]]-data[[#This Row],[cost]]</f>
        <v>119000</v>
      </c>
      <c r="P1560" t="str">
        <f>TEXT(data[[#This Row],[order_date]],"mmm")</f>
        <v>Apr</v>
      </c>
      <c r="Q1560">
        <f>YEAR(data[[#This Row],[order_date]])</f>
        <v>2025</v>
      </c>
      <c r="R1560">
        <f>MONTH(data[[#This Row],[order_date]])</f>
        <v>4</v>
      </c>
      <c r="S1560">
        <f>DAY(data[[#This Row],[order_date]])</f>
        <v>29</v>
      </c>
      <c r="T1560">
        <f>data[[#This Row],[profit]]/data[[#This Row],[sales]]</f>
        <v>0.33615819209039549</v>
      </c>
    </row>
    <row r="1561" spans="1:20" x14ac:dyDescent="0.35">
      <c r="A1561" t="s">
        <v>1789</v>
      </c>
      <c r="B1561" s="1">
        <v>45777</v>
      </c>
      <c r="C1561" t="s">
        <v>14</v>
      </c>
      <c r="D1561" t="s">
        <v>15</v>
      </c>
      <c r="E1561" t="s">
        <v>456</v>
      </c>
      <c r="F1561" t="s">
        <v>23</v>
      </c>
      <c r="G1561" t="s">
        <v>1751</v>
      </c>
      <c r="H1561" t="s">
        <v>1752</v>
      </c>
      <c r="I1561" t="s">
        <v>363</v>
      </c>
      <c r="J1561">
        <v>2</v>
      </c>
      <c r="K1561">
        <v>294000</v>
      </c>
      <c r="L1561">
        <v>0</v>
      </c>
      <c r="M1561">
        <v>198000</v>
      </c>
      <c r="N1561">
        <f>(data[[#This Row],[unit_price]]*data[[#This Row],[quantity]]) * (1-data[[#This Row],[discount]])</f>
        <v>588000</v>
      </c>
      <c r="O1561">
        <f>data[[#This Row],[sales]]-data[[#This Row],[cost]]</f>
        <v>390000</v>
      </c>
      <c r="P1561" t="str">
        <f>TEXT(data[[#This Row],[order_date]],"mmm")</f>
        <v>Apr</v>
      </c>
      <c r="Q1561">
        <f>YEAR(data[[#This Row],[order_date]])</f>
        <v>2025</v>
      </c>
      <c r="R1561">
        <f>MONTH(data[[#This Row],[order_date]])</f>
        <v>4</v>
      </c>
      <c r="S1561">
        <f>DAY(data[[#This Row],[order_date]])</f>
        <v>30</v>
      </c>
      <c r="T1561">
        <f>data[[#This Row],[profit]]/data[[#This Row],[sales]]</f>
        <v>0.66326530612244894</v>
      </c>
    </row>
    <row r="1562" spans="1:20" x14ac:dyDescent="0.35">
      <c r="A1562" t="s">
        <v>1790</v>
      </c>
      <c r="B1562" s="1">
        <v>45805</v>
      </c>
      <c r="C1562" t="s">
        <v>14</v>
      </c>
      <c r="D1562" t="s">
        <v>15</v>
      </c>
      <c r="E1562" t="s">
        <v>218</v>
      </c>
      <c r="F1562" t="s">
        <v>23</v>
      </c>
      <c r="G1562" t="s">
        <v>1751</v>
      </c>
      <c r="H1562" t="s">
        <v>1752</v>
      </c>
      <c r="I1562" t="s">
        <v>363</v>
      </c>
      <c r="J1562">
        <v>2</v>
      </c>
      <c r="K1562">
        <v>229000</v>
      </c>
      <c r="L1562">
        <v>0</v>
      </c>
      <c r="M1562">
        <v>150000</v>
      </c>
      <c r="N1562">
        <f>(data[[#This Row],[unit_price]]*data[[#This Row],[quantity]]) * (1-data[[#This Row],[discount]])</f>
        <v>458000</v>
      </c>
      <c r="O1562">
        <f>data[[#This Row],[sales]]-data[[#This Row],[cost]]</f>
        <v>308000</v>
      </c>
      <c r="P1562" t="str">
        <f>TEXT(data[[#This Row],[order_date]],"mmm")</f>
        <v>May</v>
      </c>
      <c r="Q1562">
        <f>YEAR(data[[#This Row],[order_date]])</f>
        <v>2025</v>
      </c>
      <c r="R1562">
        <f>MONTH(data[[#This Row],[order_date]])</f>
        <v>5</v>
      </c>
      <c r="S1562">
        <f>DAY(data[[#This Row],[order_date]])</f>
        <v>28</v>
      </c>
      <c r="T1562">
        <f>data[[#This Row],[profit]]/data[[#This Row],[sales]]</f>
        <v>0.67248908296943233</v>
      </c>
    </row>
    <row r="1563" spans="1:20" x14ac:dyDescent="0.35">
      <c r="A1563" t="s">
        <v>1791</v>
      </c>
      <c r="B1563" s="1">
        <v>45811</v>
      </c>
      <c r="C1563" t="s">
        <v>41</v>
      </c>
      <c r="D1563" t="s">
        <v>42</v>
      </c>
      <c r="E1563" t="s">
        <v>675</v>
      </c>
      <c r="F1563" t="s">
        <v>17</v>
      </c>
      <c r="G1563" t="s">
        <v>1751</v>
      </c>
      <c r="H1563" t="s">
        <v>1752</v>
      </c>
      <c r="I1563" t="s">
        <v>363</v>
      </c>
      <c r="J1563">
        <v>2</v>
      </c>
      <c r="K1563">
        <v>273666.66666666669</v>
      </c>
      <c r="L1563">
        <v>0</v>
      </c>
      <c r="M1563">
        <v>0</v>
      </c>
      <c r="N1563">
        <f>(data[[#This Row],[unit_price]]*data[[#This Row],[quantity]]) * (1-data[[#This Row],[discount]])</f>
        <v>547333.33333333337</v>
      </c>
      <c r="O1563">
        <f>data[[#This Row],[sales]]-data[[#This Row],[cost]]</f>
        <v>547333.33333333337</v>
      </c>
      <c r="P1563" t="str">
        <f>TEXT(data[[#This Row],[order_date]],"mmm")</f>
        <v>Jun</v>
      </c>
      <c r="Q1563">
        <f>YEAR(data[[#This Row],[order_date]])</f>
        <v>2025</v>
      </c>
      <c r="R1563">
        <f>MONTH(data[[#This Row],[order_date]])</f>
        <v>6</v>
      </c>
      <c r="S1563">
        <f>DAY(data[[#This Row],[order_date]])</f>
        <v>3</v>
      </c>
      <c r="T1563">
        <f>data[[#This Row],[profit]]/data[[#This Row],[sales]]</f>
        <v>1</v>
      </c>
    </row>
    <row r="1564" spans="1:20" x14ac:dyDescent="0.35">
      <c r="A1564" t="s">
        <v>1792</v>
      </c>
      <c r="B1564" s="1">
        <v>45814</v>
      </c>
      <c r="C1564" t="s">
        <v>49</v>
      </c>
      <c r="D1564" t="s">
        <v>50</v>
      </c>
      <c r="E1564" t="s">
        <v>43</v>
      </c>
      <c r="F1564" t="s">
        <v>17</v>
      </c>
      <c r="G1564" t="s">
        <v>1751</v>
      </c>
      <c r="H1564" t="s">
        <v>1752</v>
      </c>
      <c r="I1564" t="s">
        <v>363</v>
      </c>
      <c r="J1564">
        <v>1</v>
      </c>
      <c r="K1564">
        <v>210000</v>
      </c>
      <c r="L1564">
        <v>0</v>
      </c>
      <c r="M1564">
        <v>141000</v>
      </c>
      <c r="N1564">
        <f>(data[[#This Row],[unit_price]]*data[[#This Row],[quantity]]) * (1-data[[#This Row],[discount]])</f>
        <v>210000</v>
      </c>
      <c r="O1564">
        <f>data[[#This Row],[sales]]-data[[#This Row],[cost]]</f>
        <v>69000</v>
      </c>
      <c r="P1564" t="str">
        <f>TEXT(data[[#This Row],[order_date]],"mmm")</f>
        <v>Jun</v>
      </c>
      <c r="Q1564">
        <f>YEAR(data[[#This Row],[order_date]])</f>
        <v>2025</v>
      </c>
      <c r="R1564">
        <f>MONTH(data[[#This Row],[order_date]])</f>
        <v>6</v>
      </c>
      <c r="S1564">
        <f>DAY(data[[#This Row],[order_date]])</f>
        <v>6</v>
      </c>
      <c r="T1564">
        <f>data[[#This Row],[profit]]/data[[#This Row],[sales]]</f>
        <v>0.32857142857142857</v>
      </c>
    </row>
    <row r="1565" spans="1:20" x14ac:dyDescent="0.35">
      <c r="A1565" t="s">
        <v>1793</v>
      </c>
      <c r="B1565" s="1">
        <v>45830</v>
      </c>
      <c r="C1565" t="s">
        <v>14</v>
      </c>
      <c r="D1565" t="s">
        <v>15</v>
      </c>
      <c r="E1565" t="s">
        <v>97</v>
      </c>
      <c r="F1565" t="s">
        <v>23</v>
      </c>
      <c r="G1565" t="s">
        <v>1751</v>
      </c>
      <c r="H1565" t="s">
        <v>1752</v>
      </c>
      <c r="I1565" t="s">
        <v>363</v>
      </c>
      <c r="J1565">
        <v>1</v>
      </c>
      <c r="K1565">
        <v>264000</v>
      </c>
      <c r="L1565">
        <v>0.1</v>
      </c>
      <c r="M1565">
        <v>177000</v>
      </c>
      <c r="N1565">
        <f>(data[[#This Row],[unit_price]]*data[[#This Row],[quantity]]) * (1-data[[#This Row],[discount]])</f>
        <v>237600</v>
      </c>
      <c r="O1565">
        <f>data[[#This Row],[sales]]-data[[#This Row],[cost]]</f>
        <v>60600</v>
      </c>
      <c r="P1565" t="str">
        <f>TEXT(data[[#This Row],[order_date]],"mmm")</f>
        <v>Jun</v>
      </c>
      <c r="Q1565">
        <f>YEAR(data[[#This Row],[order_date]])</f>
        <v>2025</v>
      </c>
      <c r="R1565">
        <f>MONTH(data[[#This Row],[order_date]])</f>
        <v>6</v>
      </c>
      <c r="S1565">
        <f>DAY(data[[#This Row],[order_date]])</f>
        <v>22</v>
      </c>
      <c r="T1565">
        <f>data[[#This Row],[profit]]/data[[#This Row],[sales]]</f>
        <v>0.25505050505050503</v>
      </c>
    </row>
    <row r="1566" spans="1:20" x14ac:dyDescent="0.35">
      <c r="A1566" t="s">
        <v>1794</v>
      </c>
      <c r="B1566" s="1">
        <v>45862</v>
      </c>
      <c r="C1566" t="s">
        <v>49</v>
      </c>
      <c r="D1566" t="s">
        <v>50</v>
      </c>
      <c r="E1566" t="s">
        <v>394</v>
      </c>
      <c r="F1566" t="s">
        <v>23</v>
      </c>
      <c r="G1566" t="s">
        <v>1751</v>
      </c>
      <c r="H1566" t="s">
        <v>1752</v>
      </c>
      <c r="I1566" t="s">
        <v>363</v>
      </c>
      <c r="J1566">
        <v>1</v>
      </c>
      <c r="K1566">
        <v>289000</v>
      </c>
      <c r="L1566">
        <v>0.05</v>
      </c>
      <c r="M1566">
        <v>196000</v>
      </c>
      <c r="N1566">
        <f>(data[[#This Row],[unit_price]]*data[[#This Row],[quantity]]) * (1-data[[#This Row],[discount]])</f>
        <v>274550</v>
      </c>
      <c r="O1566">
        <f>data[[#This Row],[sales]]-data[[#This Row],[cost]]</f>
        <v>78550</v>
      </c>
      <c r="P1566" t="str">
        <f>TEXT(data[[#This Row],[order_date]],"mmm")</f>
        <v>Jul</v>
      </c>
      <c r="Q1566">
        <f>YEAR(data[[#This Row],[order_date]])</f>
        <v>2025</v>
      </c>
      <c r="R1566">
        <f>MONTH(data[[#This Row],[order_date]])</f>
        <v>7</v>
      </c>
      <c r="S1566">
        <f>DAY(data[[#This Row],[order_date]])</f>
        <v>24</v>
      </c>
      <c r="T1566">
        <f>data[[#This Row],[profit]]/data[[#This Row],[sales]]</f>
        <v>0.28610453469313424</v>
      </c>
    </row>
    <row r="1567" spans="1:20" x14ac:dyDescent="0.35">
      <c r="A1567" t="s">
        <v>1795</v>
      </c>
      <c r="B1567" s="1">
        <v>45863</v>
      </c>
      <c r="C1567" t="s">
        <v>14</v>
      </c>
      <c r="D1567" t="s">
        <v>15</v>
      </c>
      <c r="E1567" t="s">
        <v>216</v>
      </c>
      <c r="F1567" t="s">
        <v>17</v>
      </c>
      <c r="G1567" t="s">
        <v>1751</v>
      </c>
      <c r="H1567" t="s">
        <v>1752</v>
      </c>
      <c r="I1567" t="s">
        <v>363</v>
      </c>
      <c r="J1567">
        <v>1</v>
      </c>
      <c r="K1567">
        <v>236000</v>
      </c>
      <c r="L1567">
        <v>0</v>
      </c>
      <c r="M1567">
        <v>159000</v>
      </c>
      <c r="N1567">
        <f>(data[[#This Row],[unit_price]]*data[[#This Row],[quantity]]) * (1-data[[#This Row],[discount]])</f>
        <v>236000</v>
      </c>
      <c r="O1567">
        <f>data[[#This Row],[sales]]-data[[#This Row],[cost]]</f>
        <v>77000</v>
      </c>
      <c r="P1567" t="str">
        <f>TEXT(data[[#This Row],[order_date]],"mmm")</f>
        <v>Jul</v>
      </c>
      <c r="Q1567">
        <f>YEAR(data[[#This Row],[order_date]])</f>
        <v>2025</v>
      </c>
      <c r="R1567">
        <f>MONTH(data[[#This Row],[order_date]])</f>
        <v>7</v>
      </c>
      <c r="S1567">
        <f>DAY(data[[#This Row],[order_date]])</f>
        <v>25</v>
      </c>
      <c r="T1567">
        <f>data[[#This Row],[profit]]/data[[#This Row],[sales]]</f>
        <v>0.32627118644067798</v>
      </c>
    </row>
    <row r="1568" spans="1:20" x14ac:dyDescent="0.35">
      <c r="A1568" t="s">
        <v>1796</v>
      </c>
      <c r="B1568" s="1">
        <v>45883</v>
      </c>
      <c r="C1568" t="s">
        <v>49</v>
      </c>
      <c r="D1568" t="s">
        <v>50</v>
      </c>
      <c r="E1568" t="s">
        <v>462</v>
      </c>
      <c r="F1568" t="s">
        <v>58</v>
      </c>
      <c r="G1568" t="s">
        <v>1751</v>
      </c>
      <c r="H1568" t="s">
        <v>1752</v>
      </c>
      <c r="I1568" t="s">
        <v>363</v>
      </c>
      <c r="J1568">
        <v>1</v>
      </c>
      <c r="K1568">
        <v>369000</v>
      </c>
      <c r="L1568">
        <v>0</v>
      </c>
      <c r="M1568">
        <v>241000</v>
      </c>
      <c r="N1568">
        <f>(data[[#This Row],[unit_price]]*data[[#This Row],[quantity]]) * (1-data[[#This Row],[discount]])</f>
        <v>369000</v>
      </c>
      <c r="O1568">
        <f>data[[#This Row],[sales]]-data[[#This Row],[cost]]</f>
        <v>128000</v>
      </c>
      <c r="P1568" t="str">
        <f>TEXT(data[[#This Row],[order_date]],"mmm")</f>
        <v>Aug</v>
      </c>
      <c r="Q1568">
        <f>YEAR(data[[#This Row],[order_date]])</f>
        <v>2025</v>
      </c>
      <c r="R1568">
        <f>MONTH(data[[#This Row],[order_date]])</f>
        <v>8</v>
      </c>
      <c r="S1568">
        <f>DAY(data[[#This Row],[order_date]])</f>
        <v>14</v>
      </c>
      <c r="T1568">
        <f>data[[#This Row],[profit]]/data[[#This Row],[sales]]</f>
        <v>0.34688346883468835</v>
      </c>
    </row>
    <row r="1569" spans="1:20" x14ac:dyDescent="0.35">
      <c r="A1569" t="s">
        <v>1797</v>
      </c>
      <c r="B1569" s="1">
        <v>45925</v>
      </c>
      <c r="C1569" t="s">
        <v>14</v>
      </c>
      <c r="D1569" t="s">
        <v>15</v>
      </c>
      <c r="E1569" t="s">
        <v>102</v>
      </c>
      <c r="F1569" t="s">
        <v>58</v>
      </c>
      <c r="G1569" t="s">
        <v>1751</v>
      </c>
      <c r="H1569" t="s">
        <v>1752</v>
      </c>
      <c r="I1569" t="s">
        <v>363</v>
      </c>
      <c r="J1569">
        <v>1</v>
      </c>
      <c r="K1569">
        <v>247000</v>
      </c>
      <c r="L1569">
        <v>0</v>
      </c>
      <c r="M1569">
        <v>168000</v>
      </c>
      <c r="N1569">
        <f>(data[[#This Row],[unit_price]]*data[[#This Row],[quantity]]) * (1-data[[#This Row],[discount]])</f>
        <v>247000</v>
      </c>
      <c r="O1569">
        <f>data[[#This Row],[sales]]-data[[#This Row],[cost]]</f>
        <v>79000</v>
      </c>
      <c r="P1569" t="str">
        <f>TEXT(data[[#This Row],[order_date]],"mmm")</f>
        <v>Sep</v>
      </c>
      <c r="Q1569">
        <f>YEAR(data[[#This Row],[order_date]])</f>
        <v>2025</v>
      </c>
      <c r="R1569">
        <f>MONTH(data[[#This Row],[order_date]])</f>
        <v>9</v>
      </c>
      <c r="S1569">
        <f>DAY(data[[#This Row],[order_date]])</f>
        <v>25</v>
      </c>
      <c r="T1569">
        <f>data[[#This Row],[profit]]/data[[#This Row],[sales]]</f>
        <v>0.31983805668016196</v>
      </c>
    </row>
    <row r="1570" spans="1:20" x14ac:dyDescent="0.35">
      <c r="A1570" t="s">
        <v>1798</v>
      </c>
      <c r="B1570" s="1">
        <v>45947</v>
      </c>
      <c r="C1570" t="s">
        <v>49</v>
      </c>
      <c r="D1570" t="s">
        <v>50</v>
      </c>
      <c r="E1570" t="s">
        <v>226</v>
      </c>
      <c r="F1570" t="s">
        <v>17</v>
      </c>
      <c r="G1570" t="s">
        <v>1751</v>
      </c>
      <c r="H1570" t="s">
        <v>1752</v>
      </c>
      <c r="I1570" t="s">
        <v>363</v>
      </c>
      <c r="J1570">
        <v>2</v>
      </c>
      <c r="K1570">
        <v>298000</v>
      </c>
      <c r="L1570">
        <v>0</v>
      </c>
      <c r="M1570">
        <v>205000</v>
      </c>
      <c r="N1570">
        <f>(data[[#This Row],[unit_price]]*data[[#This Row],[quantity]]) * (1-data[[#This Row],[discount]])</f>
        <v>596000</v>
      </c>
      <c r="O1570">
        <f>data[[#This Row],[sales]]-data[[#This Row],[cost]]</f>
        <v>391000</v>
      </c>
      <c r="P1570" t="str">
        <f>TEXT(data[[#This Row],[order_date]],"mmm")</f>
        <v>Oct</v>
      </c>
      <c r="Q1570">
        <f>YEAR(data[[#This Row],[order_date]])</f>
        <v>2025</v>
      </c>
      <c r="R1570">
        <f>MONTH(data[[#This Row],[order_date]])</f>
        <v>10</v>
      </c>
      <c r="S1570">
        <f>DAY(data[[#This Row],[order_date]])</f>
        <v>17</v>
      </c>
      <c r="T1570">
        <f>data[[#This Row],[profit]]/data[[#This Row],[sales]]</f>
        <v>0.65604026845637586</v>
      </c>
    </row>
    <row r="1571" spans="1:20" x14ac:dyDescent="0.35">
      <c r="A1571" t="s">
        <v>1799</v>
      </c>
      <c r="B1571" s="1">
        <v>45973</v>
      </c>
      <c r="C1571" t="s">
        <v>41</v>
      </c>
      <c r="D1571" t="s">
        <v>42</v>
      </c>
      <c r="E1571" t="s">
        <v>81</v>
      </c>
      <c r="F1571" t="s">
        <v>17</v>
      </c>
      <c r="G1571" t="s">
        <v>1751</v>
      </c>
      <c r="H1571" t="s">
        <v>1752</v>
      </c>
      <c r="I1571" t="s">
        <v>363</v>
      </c>
      <c r="J1571">
        <v>1</v>
      </c>
      <c r="K1571">
        <v>295000</v>
      </c>
      <c r="L1571">
        <v>0</v>
      </c>
      <c r="M1571">
        <v>192000</v>
      </c>
      <c r="N1571">
        <f>(data[[#This Row],[unit_price]]*data[[#This Row],[quantity]]) * (1-data[[#This Row],[discount]])</f>
        <v>295000</v>
      </c>
      <c r="O1571">
        <f>data[[#This Row],[sales]]-data[[#This Row],[cost]]</f>
        <v>103000</v>
      </c>
      <c r="P1571" t="str">
        <f>TEXT(data[[#This Row],[order_date]],"mmm")</f>
        <v>Nov</v>
      </c>
      <c r="Q1571">
        <f>YEAR(data[[#This Row],[order_date]])</f>
        <v>2025</v>
      </c>
      <c r="R1571">
        <f>MONTH(data[[#This Row],[order_date]])</f>
        <v>11</v>
      </c>
      <c r="S1571">
        <f>DAY(data[[#This Row],[order_date]])</f>
        <v>12</v>
      </c>
      <c r="T1571">
        <f>data[[#This Row],[profit]]/data[[#This Row],[sales]]</f>
        <v>0.34915254237288135</v>
      </c>
    </row>
    <row r="1572" spans="1:20" x14ac:dyDescent="0.35">
      <c r="A1572" t="s">
        <v>1800</v>
      </c>
      <c r="B1572" s="1">
        <v>45975</v>
      </c>
      <c r="C1572" t="s">
        <v>14</v>
      </c>
      <c r="D1572" t="s">
        <v>15</v>
      </c>
      <c r="E1572" t="s">
        <v>155</v>
      </c>
      <c r="F1572" t="s">
        <v>58</v>
      </c>
      <c r="G1572" t="s">
        <v>1751</v>
      </c>
      <c r="H1572" t="s">
        <v>1752</v>
      </c>
      <c r="I1572" t="s">
        <v>363</v>
      </c>
      <c r="J1572">
        <v>3</v>
      </c>
      <c r="K1572">
        <v>228000</v>
      </c>
      <c r="L1572">
        <v>0</v>
      </c>
      <c r="M1572">
        <v>148000</v>
      </c>
      <c r="N1572">
        <f>(data[[#This Row],[unit_price]]*data[[#This Row],[quantity]]) * (1-data[[#This Row],[discount]])</f>
        <v>684000</v>
      </c>
      <c r="O1572">
        <f>data[[#This Row],[sales]]-data[[#This Row],[cost]]</f>
        <v>536000</v>
      </c>
      <c r="P1572" t="str">
        <f>TEXT(data[[#This Row],[order_date]],"mmm")</f>
        <v>Nov</v>
      </c>
      <c r="Q1572">
        <f>YEAR(data[[#This Row],[order_date]])</f>
        <v>2025</v>
      </c>
      <c r="R1572">
        <f>MONTH(data[[#This Row],[order_date]])</f>
        <v>11</v>
      </c>
      <c r="S1572">
        <f>DAY(data[[#This Row],[order_date]])</f>
        <v>14</v>
      </c>
      <c r="T1572">
        <f>data[[#This Row],[profit]]/data[[#This Row],[sales]]</f>
        <v>0.783625730994152</v>
      </c>
    </row>
    <row r="1573" spans="1:20" x14ac:dyDescent="0.35">
      <c r="A1573" t="s">
        <v>1801</v>
      </c>
      <c r="B1573" s="1">
        <v>45985</v>
      </c>
      <c r="C1573" t="s">
        <v>41</v>
      </c>
      <c r="D1573" t="s">
        <v>42</v>
      </c>
      <c r="E1573" t="s">
        <v>218</v>
      </c>
      <c r="F1573" t="s">
        <v>23</v>
      </c>
      <c r="G1573" t="s">
        <v>1751</v>
      </c>
      <c r="H1573" t="s">
        <v>1752</v>
      </c>
      <c r="I1573" t="s">
        <v>363</v>
      </c>
      <c r="J1573">
        <v>3</v>
      </c>
      <c r="K1573">
        <v>250000</v>
      </c>
      <c r="L1573">
        <v>0</v>
      </c>
      <c r="M1573">
        <v>165000</v>
      </c>
      <c r="N1573">
        <f>(data[[#This Row],[unit_price]]*data[[#This Row],[quantity]]) * (1-data[[#This Row],[discount]])</f>
        <v>750000</v>
      </c>
      <c r="O1573">
        <f>data[[#This Row],[sales]]-data[[#This Row],[cost]]</f>
        <v>585000</v>
      </c>
      <c r="P1573" t="str">
        <f>TEXT(data[[#This Row],[order_date]],"mmm")</f>
        <v>Nov</v>
      </c>
      <c r="Q1573">
        <f>YEAR(data[[#This Row],[order_date]])</f>
        <v>2025</v>
      </c>
      <c r="R1573">
        <f>MONTH(data[[#This Row],[order_date]])</f>
        <v>11</v>
      </c>
      <c r="S1573">
        <f>DAY(data[[#This Row],[order_date]])</f>
        <v>24</v>
      </c>
      <c r="T1573">
        <f>data[[#This Row],[profit]]/data[[#This Row],[sales]]</f>
        <v>0.78</v>
      </c>
    </row>
    <row r="1574" spans="1:20" x14ac:dyDescent="0.35">
      <c r="A1574" t="s">
        <v>1802</v>
      </c>
      <c r="B1574" s="1">
        <v>45989</v>
      </c>
      <c r="C1574" t="s">
        <v>14</v>
      </c>
      <c r="D1574" t="s">
        <v>15</v>
      </c>
      <c r="E1574" t="s">
        <v>55</v>
      </c>
      <c r="F1574" t="s">
        <v>17</v>
      </c>
      <c r="G1574" t="s">
        <v>1751</v>
      </c>
      <c r="H1574" t="s">
        <v>1752</v>
      </c>
      <c r="I1574" t="s">
        <v>363</v>
      </c>
      <c r="J1574">
        <v>1</v>
      </c>
      <c r="K1574">
        <v>405000</v>
      </c>
      <c r="L1574">
        <v>0</v>
      </c>
      <c r="M1574">
        <v>267000</v>
      </c>
      <c r="N1574">
        <f>(data[[#This Row],[unit_price]]*data[[#This Row],[quantity]]) * (1-data[[#This Row],[discount]])</f>
        <v>405000</v>
      </c>
      <c r="O1574">
        <f>data[[#This Row],[sales]]-data[[#This Row],[cost]]</f>
        <v>138000</v>
      </c>
      <c r="P1574" t="str">
        <f>TEXT(data[[#This Row],[order_date]],"mmm")</f>
        <v>Nov</v>
      </c>
      <c r="Q1574">
        <f>YEAR(data[[#This Row],[order_date]])</f>
        <v>2025</v>
      </c>
      <c r="R1574">
        <f>MONTH(data[[#This Row],[order_date]])</f>
        <v>11</v>
      </c>
      <c r="S1574">
        <f>DAY(data[[#This Row],[order_date]])</f>
        <v>28</v>
      </c>
      <c r="T1574">
        <f>data[[#This Row],[profit]]/data[[#This Row],[sales]]</f>
        <v>0.34074074074074073</v>
      </c>
    </row>
    <row r="1575" spans="1:20" x14ac:dyDescent="0.35">
      <c r="A1575" t="s">
        <v>1803</v>
      </c>
      <c r="B1575" s="1">
        <v>46042</v>
      </c>
      <c r="C1575" t="s">
        <v>14</v>
      </c>
      <c r="D1575" t="s">
        <v>15</v>
      </c>
      <c r="E1575" t="s">
        <v>309</v>
      </c>
      <c r="F1575" t="s">
        <v>23</v>
      </c>
      <c r="G1575" t="s">
        <v>1751</v>
      </c>
      <c r="H1575" t="s">
        <v>1752</v>
      </c>
      <c r="I1575" t="s">
        <v>363</v>
      </c>
      <c r="J1575">
        <v>1</v>
      </c>
      <c r="K1575">
        <v>208000</v>
      </c>
      <c r="L1575">
        <v>0</v>
      </c>
      <c r="M1575">
        <v>140000</v>
      </c>
      <c r="N1575">
        <f>(data[[#This Row],[unit_price]]*data[[#This Row],[quantity]]) * (1-data[[#This Row],[discount]])</f>
        <v>208000</v>
      </c>
      <c r="O1575">
        <f>data[[#This Row],[sales]]-data[[#This Row],[cost]]</f>
        <v>68000</v>
      </c>
      <c r="P1575" t="str">
        <f>TEXT(data[[#This Row],[order_date]],"mmm")</f>
        <v>Jan</v>
      </c>
      <c r="Q1575">
        <f>YEAR(data[[#This Row],[order_date]])</f>
        <v>2026</v>
      </c>
      <c r="R1575">
        <f>MONTH(data[[#This Row],[order_date]])</f>
        <v>1</v>
      </c>
      <c r="S1575">
        <f>DAY(data[[#This Row],[order_date]])</f>
        <v>20</v>
      </c>
      <c r="T1575">
        <f>data[[#This Row],[profit]]/data[[#This Row],[sales]]</f>
        <v>0.32692307692307693</v>
      </c>
    </row>
    <row r="1576" spans="1:20" x14ac:dyDescent="0.35">
      <c r="A1576" t="s">
        <v>1804</v>
      </c>
      <c r="B1576" s="1">
        <v>46057</v>
      </c>
      <c r="C1576" t="s">
        <v>49</v>
      </c>
      <c r="D1576" t="s">
        <v>50</v>
      </c>
      <c r="E1576" t="s">
        <v>205</v>
      </c>
      <c r="F1576" t="s">
        <v>17</v>
      </c>
      <c r="G1576" t="s">
        <v>1751</v>
      </c>
      <c r="H1576" t="s">
        <v>1752</v>
      </c>
      <c r="I1576" t="s">
        <v>363</v>
      </c>
      <c r="J1576">
        <v>3</v>
      </c>
      <c r="K1576">
        <v>198000</v>
      </c>
      <c r="L1576">
        <v>0</v>
      </c>
      <c r="M1576">
        <v>129000</v>
      </c>
      <c r="N1576">
        <f>(data[[#This Row],[unit_price]]*data[[#This Row],[quantity]]) * (1-data[[#This Row],[discount]])</f>
        <v>594000</v>
      </c>
      <c r="O1576">
        <f>data[[#This Row],[sales]]-data[[#This Row],[cost]]</f>
        <v>465000</v>
      </c>
      <c r="P1576" t="str">
        <f>TEXT(data[[#This Row],[order_date]],"mmm")</f>
        <v>Feb</v>
      </c>
      <c r="Q1576">
        <f>YEAR(data[[#This Row],[order_date]])</f>
        <v>2026</v>
      </c>
      <c r="R1576">
        <f>MONTH(data[[#This Row],[order_date]])</f>
        <v>2</v>
      </c>
      <c r="S1576">
        <f>DAY(data[[#This Row],[order_date]])</f>
        <v>4</v>
      </c>
      <c r="T1576">
        <f>data[[#This Row],[profit]]/data[[#This Row],[sales]]</f>
        <v>0.78282828282828287</v>
      </c>
    </row>
    <row r="1577" spans="1:20" x14ac:dyDescent="0.35">
      <c r="A1577" t="s">
        <v>1805</v>
      </c>
      <c r="B1577" s="1">
        <v>46061</v>
      </c>
      <c r="C1577" t="s">
        <v>41</v>
      </c>
      <c r="D1577" t="s">
        <v>42</v>
      </c>
      <c r="E1577" t="s">
        <v>117</v>
      </c>
      <c r="F1577" t="s">
        <v>23</v>
      </c>
      <c r="G1577" t="s">
        <v>1751</v>
      </c>
      <c r="H1577" t="s">
        <v>1752</v>
      </c>
      <c r="I1577" t="s">
        <v>363</v>
      </c>
      <c r="J1577">
        <v>5</v>
      </c>
      <c r="K1577">
        <v>348000</v>
      </c>
      <c r="L1577">
        <v>0</v>
      </c>
      <c r="M1577">
        <v>229000</v>
      </c>
      <c r="N1577">
        <f>(data[[#This Row],[unit_price]]*data[[#This Row],[quantity]]) * (1-data[[#This Row],[discount]])</f>
        <v>1740000</v>
      </c>
      <c r="O1577">
        <f>data[[#This Row],[sales]]-data[[#This Row],[cost]]</f>
        <v>1511000</v>
      </c>
      <c r="P1577" t="str">
        <f>TEXT(data[[#This Row],[order_date]],"mmm")</f>
        <v>Feb</v>
      </c>
      <c r="Q1577">
        <f>YEAR(data[[#This Row],[order_date]])</f>
        <v>2026</v>
      </c>
      <c r="R1577">
        <f>MONTH(data[[#This Row],[order_date]])</f>
        <v>2</v>
      </c>
      <c r="S1577">
        <f>DAY(data[[#This Row],[order_date]])</f>
        <v>8</v>
      </c>
      <c r="T1577">
        <f>data[[#This Row],[profit]]/data[[#This Row],[sales]]</f>
        <v>0.86839080459770113</v>
      </c>
    </row>
    <row r="1578" spans="1:20" x14ac:dyDescent="0.35">
      <c r="A1578" t="s">
        <v>1806</v>
      </c>
      <c r="B1578" s="1">
        <v>46077</v>
      </c>
      <c r="C1578" t="s">
        <v>14</v>
      </c>
      <c r="D1578" t="s">
        <v>15</v>
      </c>
      <c r="E1578" t="s">
        <v>327</v>
      </c>
      <c r="F1578" t="s">
        <v>23</v>
      </c>
      <c r="G1578" t="s">
        <v>1751</v>
      </c>
      <c r="H1578" t="s">
        <v>1752</v>
      </c>
      <c r="I1578" t="s">
        <v>363</v>
      </c>
      <c r="J1578">
        <v>1</v>
      </c>
      <c r="K1578">
        <v>216000</v>
      </c>
      <c r="L1578">
        <v>0</v>
      </c>
      <c r="M1578">
        <v>149000</v>
      </c>
      <c r="N1578">
        <f>(data[[#This Row],[unit_price]]*data[[#This Row],[quantity]]) * (1-data[[#This Row],[discount]])</f>
        <v>216000</v>
      </c>
      <c r="O1578">
        <f>data[[#This Row],[sales]]-data[[#This Row],[cost]]</f>
        <v>67000</v>
      </c>
      <c r="P1578" t="str">
        <f>TEXT(data[[#This Row],[order_date]],"mmm")</f>
        <v>Feb</v>
      </c>
      <c r="Q1578">
        <f>YEAR(data[[#This Row],[order_date]])</f>
        <v>2026</v>
      </c>
      <c r="R1578">
        <f>MONTH(data[[#This Row],[order_date]])</f>
        <v>2</v>
      </c>
      <c r="S1578">
        <f>DAY(data[[#This Row],[order_date]])</f>
        <v>24</v>
      </c>
      <c r="T1578">
        <f>data[[#This Row],[profit]]/data[[#This Row],[sales]]</f>
        <v>0.31018518518518517</v>
      </c>
    </row>
    <row r="1579" spans="1:20" x14ac:dyDescent="0.35">
      <c r="A1579" t="s">
        <v>1807</v>
      </c>
      <c r="B1579" s="1">
        <v>46094</v>
      </c>
      <c r="C1579" t="s">
        <v>14</v>
      </c>
      <c r="D1579" t="s">
        <v>15</v>
      </c>
      <c r="E1579" t="s">
        <v>447</v>
      </c>
      <c r="F1579" t="s">
        <v>23</v>
      </c>
      <c r="G1579" t="s">
        <v>1751</v>
      </c>
      <c r="H1579" t="s">
        <v>1752</v>
      </c>
      <c r="I1579" t="s">
        <v>363</v>
      </c>
      <c r="J1579">
        <v>1</v>
      </c>
      <c r="K1579">
        <v>429000</v>
      </c>
      <c r="L1579">
        <v>0</v>
      </c>
      <c r="M1579">
        <v>295000</v>
      </c>
      <c r="N1579">
        <f>(data[[#This Row],[unit_price]]*data[[#This Row],[quantity]]) * (1-data[[#This Row],[discount]])</f>
        <v>429000</v>
      </c>
      <c r="O1579">
        <f>data[[#This Row],[sales]]-data[[#This Row],[cost]]</f>
        <v>134000</v>
      </c>
      <c r="P1579" t="str">
        <f>TEXT(data[[#This Row],[order_date]],"mmm")</f>
        <v>Mar</v>
      </c>
      <c r="Q1579">
        <f>YEAR(data[[#This Row],[order_date]])</f>
        <v>2026</v>
      </c>
      <c r="R1579">
        <f>MONTH(data[[#This Row],[order_date]])</f>
        <v>3</v>
      </c>
      <c r="S1579">
        <f>DAY(data[[#This Row],[order_date]])</f>
        <v>13</v>
      </c>
      <c r="T1579">
        <f>data[[#This Row],[profit]]/data[[#This Row],[sales]]</f>
        <v>0.31235431235431238</v>
      </c>
    </row>
    <row r="1580" spans="1:20" x14ac:dyDescent="0.35">
      <c r="A1580" t="s">
        <v>1808</v>
      </c>
      <c r="B1580" s="1">
        <v>46094</v>
      </c>
      <c r="C1580" t="s">
        <v>14</v>
      </c>
      <c r="D1580" t="s">
        <v>15</v>
      </c>
      <c r="E1580" t="s">
        <v>85</v>
      </c>
      <c r="F1580" t="s">
        <v>23</v>
      </c>
      <c r="G1580" t="s">
        <v>1751</v>
      </c>
      <c r="H1580" t="s">
        <v>1752</v>
      </c>
      <c r="I1580" t="s">
        <v>363</v>
      </c>
      <c r="J1580">
        <v>2</v>
      </c>
      <c r="K1580">
        <v>359000</v>
      </c>
      <c r="L1580">
        <v>0.1</v>
      </c>
      <c r="M1580">
        <v>238000</v>
      </c>
      <c r="N1580">
        <f>(data[[#This Row],[unit_price]]*data[[#This Row],[quantity]]) * (1-data[[#This Row],[discount]])</f>
        <v>646200</v>
      </c>
      <c r="O1580">
        <f>data[[#This Row],[sales]]-data[[#This Row],[cost]]</f>
        <v>408200</v>
      </c>
      <c r="P1580" t="str">
        <f>TEXT(data[[#This Row],[order_date]],"mmm")</f>
        <v>Mar</v>
      </c>
      <c r="Q1580">
        <f>YEAR(data[[#This Row],[order_date]])</f>
        <v>2026</v>
      </c>
      <c r="R1580">
        <f>MONTH(data[[#This Row],[order_date]])</f>
        <v>3</v>
      </c>
      <c r="S1580">
        <f>DAY(data[[#This Row],[order_date]])</f>
        <v>13</v>
      </c>
      <c r="T1580">
        <f>data[[#This Row],[profit]]/data[[#This Row],[sales]]</f>
        <v>0.63169297431135873</v>
      </c>
    </row>
    <row r="1581" spans="1:20" x14ac:dyDescent="0.35">
      <c r="A1581" t="s">
        <v>1809</v>
      </c>
      <c r="B1581" s="1">
        <v>46103</v>
      </c>
      <c r="C1581" t="s">
        <v>14</v>
      </c>
      <c r="D1581" t="s">
        <v>15</v>
      </c>
      <c r="E1581" t="s">
        <v>559</v>
      </c>
      <c r="F1581" t="s">
        <v>23</v>
      </c>
      <c r="G1581" t="s">
        <v>1751</v>
      </c>
      <c r="H1581" t="s">
        <v>1752</v>
      </c>
      <c r="I1581" t="s">
        <v>363</v>
      </c>
      <c r="J1581">
        <v>1</v>
      </c>
      <c r="K1581">
        <v>433000</v>
      </c>
      <c r="L1581">
        <v>0</v>
      </c>
      <c r="M1581">
        <v>284000</v>
      </c>
      <c r="N1581">
        <f>(data[[#This Row],[unit_price]]*data[[#This Row],[quantity]]) * (1-data[[#This Row],[discount]])</f>
        <v>433000</v>
      </c>
      <c r="O1581">
        <f>data[[#This Row],[sales]]-data[[#This Row],[cost]]</f>
        <v>149000</v>
      </c>
      <c r="P1581" t="str">
        <f>TEXT(data[[#This Row],[order_date]],"mmm")</f>
        <v>Mar</v>
      </c>
      <c r="Q1581">
        <f>YEAR(data[[#This Row],[order_date]])</f>
        <v>2026</v>
      </c>
      <c r="R1581">
        <f>MONTH(data[[#This Row],[order_date]])</f>
        <v>3</v>
      </c>
      <c r="S1581">
        <f>DAY(data[[#This Row],[order_date]])</f>
        <v>22</v>
      </c>
      <c r="T1581">
        <f>data[[#This Row],[profit]]/data[[#This Row],[sales]]</f>
        <v>0.34411085450346418</v>
      </c>
    </row>
    <row r="1582" spans="1:20" x14ac:dyDescent="0.35">
      <c r="A1582" t="s">
        <v>1810</v>
      </c>
      <c r="B1582" s="1">
        <v>46103</v>
      </c>
      <c r="C1582" t="s">
        <v>49</v>
      </c>
      <c r="D1582" t="s">
        <v>50</v>
      </c>
      <c r="E1582" t="s">
        <v>221</v>
      </c>
      <c r="F1582" t="s">
        <v>17</v>
      </c>
      <c r="G1582" t="s">
        <v>1751</v>
      </c>
      <c r="H1582" t="s">
        <v>1752</v>
      </c>
      <c r="I1582" t="s">
        <v>363</v>
      </c>
      <c r="J1582">
        <v>1</v>
      </c>
      <c r="K1582">
        <v>302000</v>
      </c>
      <c r="L1582">
        <v>0.05</v>
      </c>
      <c r="M1582">
        <v>196000</v>
      </c>
      <c r="N1582">
        <f>(data[[#This Row],[unit_price]]*data[[#This Row],[quantity]]) * (1-data[[#This Row],[discount]])</f>
        <v>286900</v>
      </c>
      <c r="O1582">
        <f>data[[#This Row],[sales]]-data[[#This Row],[cost]]</f>
        <v>90900</v>
      </c>
      <c r="P1582" t="str">
        <f>TEXT(data[[#This Row],[order_date]],"mmm")</f>
        <v>Mar</v>
      </c>
      <c r="Q1582">
        <f>YEAR(data[[#This Row],[order_date]])</f>
        <v>2026</v>
      </c>
      <c r="R1582">
        <f>MONTH(data[[#This Row],[order_date]])</f>
        <v>3</v>
      </c>
      <c r="S1582">
        <f>DAY(data[[#This Row],[order_date]])</f>
        <v>22</v>
      </c>
      <c r="T1582">
        <f>data[[#This Row],[profit]]/data[[#This Row],[sales]]</f>
        <v>0.31683513419309867</v>
      </c>
    </row>
    <row r="1583" spans="1:20" x14ac:dyDescent="0.35">
      <c r="A1583" t="s">
        <v>1811</v>
      </c>
      <c r="B1583" s="1">
        <v>46108</v>
      </c>
      <c r="C1583" t="s">
        <v>14</v>
      </c>
      <c r="D1583" t="s">
        <v>15</v>
      </c>
      <c r="E1583" t="s">
        <v>95</v>
      </c>
      <c r="F1583" t="s">
        <v>23</v>
      </c>
      <c r="G1583" t="s">
        <v>1751</v>
      </c>
      <c r="H1583" t="s">
        <v>1752</v>
      </c>
      <c r="I1583" t="s">
        <v>363</v>
      </c>
      <c r="J1583">
        <v>1</v>
      </c>
      <c r="K1583">
        <v>294000</v>
      </c>
      <c r="L1583">
        <v>0</v>
      </c>
      <c r="M1583">
        <v>197000</v>
      </c>
      <c r="N1583">
        <f>(data[[#This Row],[unit_price]]*data[[#This Row],[quantity]]) * (1-data[[#This Row],[discount]])</f>
        <v>294000</v>
      </c>
      <c r="O1583">
        <f>data[[#This Row],[sales]]-data[[#This Row],[cost]]</f>
        <v>97000</v>
      </c>
      <c r="P1583" t="str">
        <f>TEXT(data[[#This Row],[order_date]],"mmm")</f>
        <v>Mar</v>
      </c>
      <c r="Q1583">
        <f>YEAR(data[[#This Row],[order_date]])</f>
        <v>2026</v>
      </c>
      <c r="R1583">
        <f>MONTH(data[[#This Row],[order_date]])</f>
        <v>3</v>
      </c>
      <c r="S1583">
        <f>DAY(data[[#This Row],[order_date]])</f>
        <v>27</v>
      </c>
      <c r="T1583">
        <f>data[[#This Row],[profit]]/data[[#This Row],[sales]]</f>
        <v>0.32993197278911562</v>
      </c>
    </row>
    <row r="1584" spans="1:20" x14ac:dyDescent="0.35">
      <c r="A1584" t="s">
        <v>1812</v>
      </c>
      <c r="B1584" s="1">
        <v>46169</v>
      </c>
      <c r="C1584" t="s">
        <v>14</v>
      </c>
      <c r="D1584" t="s">
        <v>15</v>
      </c>
      <c r="E1584" t="s">
        <v>201</v>
      </c>
      <c r="F1584" t="s">
        <v>58</v>
      </c>
      <c r="G1584" t="s">
        <v>1751</v>
      </c>
      <c r="H1584" t="s">
        <v>1752</v>
      </c>
      <c r="I1584" t="s">
        <v>363</v>
      </c>
      <c r="J1584">
        <v>1</v>
      </c>
      <c r="K1584">
        <v>233000</v>
      </c>
      <c r="L1584">
        <v>0</v>
      </c>
      <c r="M1584">
        <v>153000</v>
      </c>
      <c r="N1584">
        <f>(data[[#This Row],[unit_price]]*data[[#This Row],[quantity]]) * (1-data[[#This Row],[discount]])</f>
        <v>233000</v>
      </c>
      <c r="O1584">
        <f>data[[#This Row],[sales]]-data[[#This Row],[cost]]</f>
        <v>80000</v>
      </c>
      <c r="P1584" t="str">
        <f>TEXT(data[[#This Row],[order_date]],"mmm")</f>
        <v>May</v>
      </c>
      <c r="Q1584">
        <f>YEAR(data[[#This Row],[order_date]])</f>
        <v>2026</v>
      </c>
      <c r="R1584">
        <f>MONTH(data[[#This Row],[order_date]])</f>
        <v>5</v>
      </c>
      <c r="S1584">
        <f>DAY(data[[#This Row],[order_date]])</f>
        <v>27</v>
      </c>
      <c r="T1584">
        <f>data[[#This Row],[profit]]/data[[#This Row],[sales]]</f>
        <v>0.34334763948497854</v>
      </c>
    </row>
    <row r="1585" spans="1:20" x14ac:dyDescent="0.35">
      <c r="A1585" t="s">
        <v>1813</v>
      </c>
      <c r="B1585" s="1">
        <v>46174</v>
      </c>
      <c r="C1585" t="s">
        <v>14</v>
      </c>
      <c r="D1585" t="s">
        <v>15</v>
      </c>
      <c r="E1585" t="s">
        <v>150</v>
      </c>
      <c r="F1585" t="s">
        <v>28</v>
      </c>
      <c r="G1585" t="s">
        <v>1751</v>
      </c>
      <c r="H1585" t="s">
        <v>1752</v>
      </c>
      <c r="I1585" t="s">
        <v>363</v>
      </c>
      <c r="J1585">
        <v>3</v>
      </c>
      <c r="K1585">
        <v>331000</v>
      </c>
      <c r="L1585">
        <v>0</v>
      </c>
      <c r="M1585">
        <v>226000</v>
      </c>
      <c r="N1585">
        <f>(data[[#This Row],[unit_price]]*data[[#This Row],[quantity]]) * (1-data[[#This Row],[discount]])</f>
        <v>993000</v>
      </c>
      <c r="O1585">
        <f>data[[#This Row],[sales]]-data[[#This Row],[cost]]</f>
        <v>767000</v>
      </c>
      <c r="P1585" t="str">
        <f>TEXT(data[[#This Row],[order_date]],"mmm")</f>
        <v>Jun</v>
      </c>
      <c r="Q1585">
        <f>YEAR(data[[#This Row],[order_date]])</f>
        <v>2026</v>
      </c>
      <c r="R1585">
        <f>MONTH(data[[#This Row],[order_date]])</f>
        <v>6</v>
      </c>
      <c r="S1585">
        <f>DAY(data[[#This Row],[order_date]])</f>
        <v>1</v>
      </c>
      <c r="T1585">
        <f>data[[#This Row],[profit]]/data[[#This Row],[sales]]</f>
        <v>0.77240684793554881</v>
      </c>
    </row>
    <row r="1586" spans="1:20" x14ac:dyDescent="0.35">
      <c r="A1586" t="s">
        <v>1814</v>
      </c>
      <c r="B1586" s="1">
        <v>44968</v>
      </c>
      <c r="C1586" t="s">
        <v>41</v>
      </c>
      <c r="D1586" t="s">
        <v>42</v>
      </c>
      <c r="E1586" t="s">
        <v>366</v>
      </c>
      <c r="F1586" t="s">
        <v>58</v>
      </c>
      <c r="G1586" t="s">
        <v>1815</v>
      </c>
      <c r="H1586" t="s">
        <v>1816</v>
      </c>
      <c r="I1586" t="s">
        <v>754</v>
      </c>
      <c r="J1586">
        <v>1</v>
      </c>
      <c r="K1586">
        <v>191750</v>
      </c>
      <c r="L1586">
        <v>0</v>
      </c>
      <c r="M1586">
        <v>129000</v>
      </c>
      <c r="N1586">
        <f>(data[[#This Row],[unit_price]]*data[[#This Row],[quantity]]) * (1-data[[#This Row],[discount]])</f>
        <v>191750</v>
      </c>
      <c r="O1586">
        <f>data[[#This Row],[sales]]-data[[#This Row],[cost]]</f>
        <v>62750</v>
      </c>
      <c r="P1586" t="str">
        <f>TEXT(data[[#This Row],[order_date]],"mmm")</f>
        <v>Feb</v>
      </c>
      <c r="Q1586">
        <f>YEAR(data[[#This Row],[order_date]])</f>
        <v>2023</v>
      </c>
      <c r="R1586">
        <f>MONTH(data[[#This Row],[order_date]])</f>
        <v>2</v>
      </c>
      <c r="S1586">
        <f>DAY(data[[#This Row],[order_date]])</f>
        <v>11</v>
      </c>
      <c r="T1586">
        <f>data[[#This Row],[profit]]/data[[#This Row],[sales]]</f>
        <v>0.32724902216427643</v>
      </c>
    </row>
    <row r="1587" spans="1:20" x14ac:dyDescent="0.35">
      <c r="A1587" t="s">
        <v>1817</v>
      </c>
      <c r="B1587" s="1">
        <v>44969</v>
      </c>
      <c r="C1587" t="s">
        <v>49</v>
      </c>
      <c r="D1587" t="s">
        <v>50</v>
      </c>
      <c r="E1587" t="s">
        <v>162</v>
      </c>
      <c r="F1587" t="s">
        <v>28</v>
      </c>
      <c r="G1587" t="s">
        <v>1815</v>
      </c>
      <c r="H1587" t="s">
        <v>1816</v>
      </c>
      <c r="I1587" t="s">
        <v>754</v>
      </c>
      <c r="J1587">
        <v>2</v>
      </c>
      <c r="K1587">
        <v>210000</v>
      </c>
      <c r="L1587">
        <v>0</v>
      </c>
      <c r="M1587">
        <v>150000</v>
      </c>
      <c r="N1587">
        <f>(data[[#This Row],[unit_price]]*data[[#This Row],[quantity]]) * (1-data[[#This Row],[discount]])</f>
        <v>420000</v>
      </c>
      <c r="O1587">
        <f>data[[#This Row],[sales]]-data[[#This Row],[cost]]</f>
        <v>270000</v>
      </c>
      <c r="P1587" t="str">
        <f>TEXT(data[[#This Row],[order_date]],"mmm")</f>
        <v>Feb</v>
      </c>
      <c r="Q1587">
        <f>YEAR(data[[#This Row],[order_date]])</f>
        <v>2023</v>
      </c>
      <c r="R1587">
        <f>MONTH(data[[#This Row],[order_date]])</f>
        <v>2</v>
      </c>
      <c r="S1587">
        <f>DAY(data[[#This Row],[order_date]])</f>
        <v>12</v>
      </c>
      <c r="T1587">
        <f>data[[#This Row],[profit]]/data[[#This Row],[sales]]</f>
        <v>0.6428571428571429</v>
      </c>
    </row>
    <row r="1588" spans="1:20" x14ac:dyDescent="0.35">
      <c r="A1588" t="s">
        <v>1818</v>
      </c>
      <c r="B1588" s="1">
        <v>45011</v>
      </c>
      <c r="C1588" t="s">
        <v>25</v>
      </c>
      <c r="D1588" t="s">
        <v>26</v>
      </c>
      <c r="E1588" t="s">
        <v>130</v>
      </c>
      <c r="F1588" t="s">
        <v>28</v>
      </c>
      <c r="G1588" t="s">
        <v>1815</v>
      </c>
      <c r="H1588" t="s">
        <v>1816</v>
      </c>
      <c r="I1588" t="s">
        <v>754</v>
      </c>
      <c r="J1588">
        <v>2</v>
      </c>
      <c r="K1588">
        <v>214000</v>
      </c>
      <c r="L1588">
        <v>0</v>
      </c>
      <c r="M1588">
        <v>148000</v>
      </c>
      <c r="N1588">
        <f>(data[[#This Row],[unit_price]]*data[[#This Row],[quantity]]) * (1-data[[#This Row],[discount]])</f>
        <v>428000</v>
      </c>
      <c r="O1588">
        <f>data[[#This Row],[sales]]-data[[#This Row],[cost]]</f>
        <v>280000</v>
      </c>
      <c r="P1588" t="str">
        <f>TEXT(data[[#This Row],[order_date]],"mmm")</f>
        <v>Mar</v>
      </c>
      <c r="Q1588">
        <f>YEAR(data[[#This Row],[order_date]])</f>
        <v>2023</v>
      </c>
      <c r="R1588">
        <f>MONTH(data[[#This Row],[order_date]])</f>
        <v>3</v>
      </c>
      <c r="S1588">
        <f>DAY(data[[#This Row],[order_date]])</f>
        <v>26</v>
      </c>
      <c r="T1588">
        <f>data[[#This Row],[profit]]/data[[#This Row],[sales]]</f>
        <v>0.65420560747663548</v>
      </c>
    </row>
    <row r="1589" spans="1:20" x14ac:dyDescent="0.35">
      <c r="A1589" t="s">
        <v>1819</v>
      </c>
      <c r="B1589" s="1">
        <v>45023</v>
      </c>
      <c r="C1589" t="s">
        <v>25</v>
      </c>
      <c r="D1589" t="s">
        <v>26</v>
      </c>
      <c r="E1589" t="s">
        <v>134</v>
      </c>
      <c r="F1589" t="s">
        <v>28</v>
      </c>
      <c r="G1589" t="s">
        <v>1815</v>
      </c>
      <c r="H1589" t="s">
        <v>1816</v>
      </c>
      <c r="I1589" t="s">
        <v>754</v>
      </c>
      <c r="J1589">
        <v>1</v>
      </c>
      <c r="K1589">
        <v>177000</v>
      </c>
      <c r="L1589">
        <v>0</v>
      </c>
      <c r="M1589">
        <v>127000</v>
      </c>
      <c r="N1589">
        <f>(data[[#This Row],[unit_price]]*data[[#This Row],[quantity]]) * (1-data[[#This Row],[discount]])</f>
        <v>177000</v>
      </c>
      <c r="O1589">
        <f>data[[#This Row],[sales]]-data[[#This Row],[cost]]</f>
        <v>50000</v>
      </c>
      <c r="P1589" t="str">
        <f>TEXT(data[[#This Row],[order_date]],"mmm")</f>
        <v>Apr</v>
      </c>
      <c r="Q1589">
        <f>YEAR(data[[#This Row],[order_date]])</f>
        <v>2023</v>
      </c>
      <c r="R1589">
        <f>MONTH(data[[#This Row],[order_date]])</f>
        <v>4</v>
      </c>
      <c r="S1589">
        <f>DAY(data[[#This Row],[order_date]])</f>
        <v>7</v>
      </c>
      <c r="T1589">
        <f>data[[#This Row],[profit]]/data[[#This Row],[sales]]</f>
        <v>0.2824858757062147</v>
      </c>
    </row>
    <row r="1590" spans="1:20" x14ac:dyDescent="0.35">
      <c r="A1590" t="s">
        <v>1820</v>
      </c>
      <c r="B1590" s="1">
        <v>45050</v>
      </c>
      <c r="C1590" t="s">
        <v>14</v>
      </c>
      <c r="D1590" t="s">
        <v>15</v>
      </c>
      <c r="E1590" t="s">
        <v>39</v>
      </c>
      <c r="F1590" t="s">
        <v>23</v>
      </c>
      <c r="G1590" t="s">
        <v>1815</v>
      </c>
      <c r="H1590" t="s">
        <v>1816</v>
      </c>
      <c r="I1590" t="s">
        <v>754</v>
      </c>
      <c r="J1590">
        <v>1</v>
      </c>
      <c r="K1590">
        <v>206000</v>
      </c>
      <c r="L1590">
        <v>0</v>
      </c>
      <c r="M1590">
        <v>145000</v>
      </c>
      <c r="N1590">
        <f>(data[[#This Row],[unit_price]]*data[[#This Row],[quantity]]) * (1-data[[#This Row],[discount]])</f>
        <v>206000</v>
      </c>
      <c r="O1590">
        <f>data[[#This Row],[sales]]-data[[#This Row],[cost]]</f>
        <v>61000</v>
      </c>
      <c r="P1590" t="str">
        <f>TEXT(data[[#This Row],[order_date]],"mmm")</f>
        <v>May</v>
      </c>
      <c r="Q1590">
        <f>YEAR(data[[#This Row],[order_date]])</f>
        <v>2023</v>
      </c>
      <c r="R1590">
        <f>MONTH(data[[#This Row],[order_date]])</f>
        <v>5</v>
      </c>
      <c r="S1590">
        <f>DAY(data[[#This Row],[order_date]])</f>
        <v>4</v>
      </c>
      <c r="T1590">
        <f>data[[#This Row],[profit]]/data[[#This Row],[sales]]</f>
        <v>0.29611650485436891</v>
      </c>
    </row>
    <row r="1591" spans="1:20" x14ac:dyDescent="0.35">
      <c r="A1591" t="s">
        <v>1821</v>
      </c>
      <c r="B1591" s="1">
        <v>45054</v>
      </c>
      <c r="C1591" t="s">
        <v>41</v>
      </c>
      <c r="D1591" t="s">
        <v>42</v>
      </c>
      <c r="E1591" t="s">
        <v>155</v>
      </c>
      <c r="F1591" t="s">
        <v>58</v>
      </c>
      <c r="G1591" t="s">
        <v>1815</v>
      </c>
      <c r="H1591" t="s">
        <v>1816</v>
      </c>
      <c r="I1591" t="s">
        <v>754</v>
      </c>
      <c r="J1591">
        <v>3</v>
      </c>
      <c r="K1591">
        <v>149000</v>
      </c>
      <c r="L1591">
        <v>0</v>
      </c>
      <c r="M1591">
        <v>106000</v>
      </c>
      <c r="N1591">
        <f>(data[[#This Row],[unit_price]]*data[[#This Row],[quantity]]) * (1-data[[#This Row],[discount]])</f>
        <v>447000</v>
      </c>
      <c r="O1591">
        <f>data[[#This Row],[sales]]-data[[#This Row],[cost]]</f>
        <v>341000</v>
      </c>
      <c r="P1591" t="str">
        <f>TEXT(data[[#This Row],[order_date]],"mmm")</f>
        <v>May</v>
      </c>
      <c r="Q1591">
        <f>YEAR(data[[#This Row],[order_date]])</f>
        <v>2023</v>
      </c>
      <c r="R1591">
        <f>MONTH(data[[#This Row],[order_date]])</f>
        <v>5</v>
      </c>
      <c r="S1591">
        <f>DAY(data[[#This Row],[order_date]])</f>
        <v>8</v>
      </c>
      <c r="T1591">
        <f>data[[#This Row],[profit]]/data[[#This Row],[sales]]</f>
        <v>0.76286353467561518</v>
      </c>
    </row>
    <row r="1592" spans="1:20" x14ac:dyDescent="0.35">
      <c r="A1592" t="s">
        <v>1822</v>
      </c>
      <c r="B1592" s="1">
        <v>45065</v>
      </c>
      <c r="C1592" t="s">
        <v>41</v>
      </c>
      <c r="D1592" t="s">
        <v>42</v>
      </c>
      <c r="E1592" t="s">
        <v>55</v>
      </c>
      <c r="F1592" t="s">
        <v>17</v>
      </c>
      <c r="G1592" t="s">
        <v>1815</v>
      </c>
      <c r="H1592" t="s">
        <v>1816</v>
      </c>
      <c r="I1592" t="s">
        <v>754</v>
      </c>
      <c r="J1592">
        <v>1</v>
      </c>
      <c r="K1592">
        <v>143000</v>
      </c>
      <c r="L1592">
        <v>0</v>
      </c>
      <c r="M1592">
        <v>103000</v>
      </c>
      <c r="N1592">
        <f>(data[[#This Row],[unit_price]]*data[[#This Row],[quantity]]) * (1-data[[#This Row],[discount]])</f>
        <v>143000</v>
      </c>
      <c r="O1592">
        <f>data[[#This Row],[sales]]-data[[#This Row],[cost]]</f>
        <v>40000</v>
      </c>
      <c r="P1592" t="str">
        <f>TEXT(data[[#This Row],[order_date]],"mmm")</f>
        <v>May</v>
      </c>
      <c r="Q1592">
        <f>YEAR(data[[#This Row],[order_date]])</f>
        <v>2023</v>
      </c>
      <c r="R1592">
        <f>MONTH(data[[#This Row],[order_date]])</f>
        <v>5</v>
      </c>
      <c r="S1592">
        <f>DAY(data[[#This Row],[order_date]])</f>
        <v>19</v>
      </c>
      <c r="T1592">
        <f>data[[#This Row],[profit]]/data[[#This Row],[sales]]</f>
        <v>0.27972027972027974</v>
      </c>
    </row>
    <row r="1593" spans="1:20" x14ac:dyDescent="0.35">
      <c r="A1593" t="s">
        <v>1823</v>
      </c>
      <c r="B1593" s="1">
        <v>45072</v>
      </c>
      <c r="C1593" t="s">
        <v>14</v>
      </c>
      <c r="D1593" t="s">
        <v>15</v>
      </c>
      <c r="E1593" t="s">
        <v>55</v>
      </c>
      <c r="F1593" t="s">
        <v>17</v>
      </c>
      <c r="G1593" t="s">
        <v>1815</v>
      </c>
      <c r="H1593" t="s">
        <v>1816</v>
      </c>
      <c r="I1593" t="s">
        <v>754</v>
      </c>
      <c r="J1593">
        <v>1</v>
      </c>
      <c r="K1593">
        <v>240000</v>
      </c>
      <c r="L1593">
        <v>0</v>
      </c>
      <c r="M1593">
        <v>171000</v>
      </c>
      <c r="N1593">
        <f>(data[[#This Row],[unit_price]]*data[[#This Row],[quantity]]) * (1-data[[#This Row],[discount]])</f>
        <v>240000</v>
      </c>
      <c r="O1593">
        <f>data[[#This Row],[sales]]-data[[#This Row],[cost]]</f>
        <v>69000</v>
      </c>
      <c r="P1593" t="str">
        <f>TEXT(data[[#This Row],[order_date]],"mmm")</f>
        <v>May</v>
      </c>
      <c r="Q1593">
        <f>YEAR(data[[#This Row],[order_date]])</f>
        <v>2023</v>
      </c>
      <c r="R1593">
        <f>MONTH(data[[#This Row],[order_date]])</f>
        <v>5</v>
      </c>
      <c r="S1593">
        <f>DAY(data[[#This Row],[order_date]])</f>
        <v>26</v>
      </c>
      <c r="T1593">
        <f>data[[#This Row],[profit]]/data[[#This Row],[sales]]</f>
        <v>0.28749999999999998</v>
      </c>
    </row>
    <row r="1594" spans="1:20" x14ac:dyDescent="0.35">
      <c r="A1594" t="s">
        <v>1824</v>
      </c>
      <c r="B1594" s="1">
        <v>45091</v>
      </c>
      <c r="C1594" t="s">
        <v>36</v>
      </c>
      <c r="D1594" t="s">
        <v>37</v>
      </c>
      <c r="E1594" t="s">
        <v>394</v>
      </c>
      <c r="F1594" t="s">
        <v>23</v>
      </c>
      <c r="G1594" t="s">
        <v>1815</v>
      </c>
      <c r="H1594" t="s">
        <v>1816</v>
      </c>
      <c r="I1594" t="s">
        <v>754</v>
      </c>
      <c r="J1594">
        <v>2</v>
      </c>
      <c r="K1594">
        <v>162000</v>
      </c>
      <c r="L1594">
        <v>0</v>
      </c>
      <c r="M1594">
        <v>115000</v>
      </c>
      <c r="N1594">
        <f>(data[[#This Row],[unit_price]]*data[[#This Row],[quantity]]) * (1-data[[#This Row],[discount]])</f>
        <v>324000</v>
      </c>
      <c r="O1594">
        <f>data[[#This Row],[sales]]-data[[#This Row],[cost]]</f>
        <v>209000</v>
      </c>
      <c r="P1594" t="str">
        <f>TEXT(data[[#This Row],[order_date]],"mmm")</f>
        <v>Jun</v>
      </c>
      <c r="Q1594">
        <f>YEAR(data[[#This Row],[order_date]])</f>
        <v>2023</v>
      </c>
      <c r="R1594">
        <f>MONTH(data[[#This Row],[order_date]])</f>
        <v>6</v>
      </c>
      <c r="S1594">
        <f>DAY(data[[#This Row],[order_date]])</f>
        <v>14</v>
      </c>
      <c r="T1594">
        <f>data[[#This Row],[profit]]/data[[#This Row],[sales]]</f>
        <v>0.64506172839506171</v>
      </c>
    </row>
    <row r="1595" spans="1:20" x14ac:dyDescent="0.35">
      <c r="A1595" t="s">
        <v>1825</v>
      </c>
      <c r="B1595" s="1">
        <v>45092</v>
      </c>
      <c r="C1595" t="s">
        <v>25</v>
      </c>
      <c r="D1595" t="s">
        <v>26</v>
      </c>
      <c r="E1595" t="s">
        <v>366</v>
      </c>
      <c r="F1595" t="s">
        <v>58</v>
      </c>
      <c r="G1595" t="s">
        <v>1815</v>
      </c>
      <c r="H1595" t="s">
        <v>1816</v>
      </c>
      <c r="I1595" t="s">
        <v>754</v>
      </c>
      <c r="J1595">
        <v>1</v>
      </c>
      <c r="K1595">
        <v>232000</v>
      </c>
      <c r="L1595">
        <v>0</v>
      </c>
      <c r="M1595">
        <v>163000</v>
      </c>
      <c r="N1595">
        <f>(data[[#This Row],[unit_price]]*data[[#This Row],[quantity]]) * (1-data[[#This Row],[discount]])</f>
        <v>232000</v>
      </c>
      <c r="O1595">
        <f>data[[#This Row],[sales]]-data[[#This Row],[cost]]</f>
        <v>69000</v>
      </c>
      <c r="P1595" t="str">
        <f>TEXT(data[[#This Row],[order_date]],"mmm")</f>
        <v>Jun</v>
      </c>
      <c r="Q1595">
        <f>YEAR(data[[#This Row],[order_date]])</f>
        <v>2023</v>
      </c>
      <c r="R1595">
        <f>MONTH(data[[#This Row],[order_date]])</f>
        <v>6</v>
      </c>
      <c r="S1595">
        <f>DAY(data[[#This Row],[order_date]])</f>
        <v>15</v>
      </c>
      <c r="T1595">
        <f>data[[#This Row],[profit]]/data[[#This Row],[sales]]</f>
        <v>0.29741379310344829</v>
      </c>
    </row>
    <row r="1596" spans="1:20" x14ac:dyDescent="0.35">
      <c r="A1596" t="s">
        <v>1826</v>
      </c>
      <c r="B1596" s="1">
        <v>45097</v>
      </c>
      <c r="C1596" t="s">
        <v>41</v>
      </c>
      <c r="D1596" t="s">
        <v>42</v>
      </c>
      <c r="E1596" t="s">
        <v>368</v>
      </c>
      <c r="F1596" t="s">
        <v>23</v>
      </c>
      <c r="G1596" t="s">
        <v>1815</v>
      </c>
      <c r="H1596" t="s">
        <v>1816</v>
      </c>
      <c r="I1596" t="s">
        <v>754</v>
      </c>
      <c r="J1596">
        <v>2</v>
      </c>
      <c r="K1596">
        <v>209000</v>
      </c>
      <c r="L1596">
        <v>0</v>
      </c>
      <c r="M1596">
        <v>143000</v>
      </c>
      <c r="N1596">
        <f>(data[[#This Row],[unit_price]]*data[[#This Row],[quantity]]) * (1-data[[#This Row],[discount]])</f>
        <v>418000</v>
      </c>
      <c r="O1596">
        <f>data[[#This Row],[sales]]-data[[#This Row],[cost]]</f>
        <v>275000</v>
      </c>
      <c r="P1596" t="str">
        <f>TEXT(data[[#This Row],[order_date]],"mmm")</f>
        <v>Jun</v>
      </c>
      <c r="Q1596">
        <f>YEAR(data[[#This Row],[order_date]])</f>
        <v>2023</v>
      </c>
      <c r="R1596">
        <f>MONTH(data[[#This Row],[order_date]])</f>
        <v>6</v>
      </c>
      <c r="S1596">
        <f>DAY(data[[#This Row],[order_date]])</f>
        <v>20</v>
      </c>
      <c r="T1596">
        <f>data[[#This Row],[profit]]/data[[#This Row],[sales]]</f>
        <v>0.65789473684210531</v>
      </c>
    </row>
    <row r="1597" spans="1:20" x14ac:dyDescent="0.35">
      <c r="A1597" t="s">
        <v>1827</v>
      </c>
      <c r="B1597" s="1">
        <v>45127</v>
      </c>
      <c r="C1597" t="s">
        <v>14</v>
      </c>
      <c r="D1597" t="s">
        <v>15</v>
      </c>
      <c r="E1597" t="s">
        <v>150</v>
      </c>
      <c r="F1597" t="s">
        <v>28</v>
      </c>
      <c r="G1597" t="s">
        <v>1815</v>
      </c>
      <c r="H1597" t="s">
        <v>1816</v>
      </c>
      <c r="I1597" t="s">
        <v>754</v>
      </c>
      <c r="J1597">
        <v>2</v>
      </c>
      <c r="K1597">
        <v>232000</v>
      </c>
      <c r="L1597">
        <v>0</v>
      </c>
      <c r="M1597">
        <v>159000</v>
      </c>
      <c r="N1597">
        <f>(data[[#This Row],[unit_price]]*data[[#This Row],[quantity]]) * (1-data[[#This Row],[discount]])</f>
        <v>464000</v>
      </c>
      <c r="O1597">
        <f>data[[#This Row],[sales]]-data[[#This Row],[cost]]</f>
        <v>305000</v>
      </c>
      <c r="P1597" t="str">
        <f>TEXT(data[[#This Row],[order_date]],"mmm")</f>
        <v>Jul</v>
      </c>
      <c r="Q1597">
        <f>YEAR(data[[#This Row],[order_date]])</f>
        <v>2023</v>
      </c>
      <c r="R1597">
        <f>MONTH(data[[#This Row],[order_date]])</f>
        <v>7</v>
      </c>
      <c r="S1597">
        <f>DAY(data[[#This Row],[order_date]])</f>
        <v>20</v>
      </c>
      <c r="T1597">
        <f>data[[#This Row],[profit]]/data[[#This Row],[sales]]</f>
        <v>0.65732758620689657</v>
      </c>
    </row>
    <row r="1598" spans="1:20" x14ac:dyDescent="0.35">
      <c r="A1598" t="s">
        <v>1828</v>
      </c>
      <c r="B1598" s="1">
        <v>45164</v>
      </c>
      <c r="C1598" t="s">
        <v>14</v>
      </c>
      <c r="D1598" t="s">
        <v>15</v>
      </c>
      <c r="E1598" t="s">
        <v>270</v>
      </c>
      <c r="F1598" t="s">
        <v>23</v>
      </c>
      <c r="G1598" t="s">
        <v>1815</v>
      </c>
      <c r="H1598" t="s">
        <v>1816</v>
      </c>
      <c r="I1598" t="s">
        <v>754</v>
      </c>
      <c r="J1598">
        <v>1</v>
      </c>
      <c r="K1598">
        <v>201000</v>
      </c>
      <c r="L1598">
        <v>0</v>
      </c>
      <c r="M1598">
        <v>143000</v>
      </c>
      <c r="N1598">
        <f>(data[[#This Row],[unit_price]]*data[[#This Row],[quantity]]) * (1-data[[#This Row],[discount]])</f>
        <v>201000</v>
      </c>
      <c r="O1598">
        <f>data[[#This Row],[sales]]-data[[#This Row],[cost]]</f>
        <v>58000</v>
      </c>
      <c r="P1598" t="str">
        <f>TEXT(data[[#This Row],[order_date]],"mmm")</f>
        <v>Aug</v>
      </c>
      <c r="Q1598">
        <f>YEAR(data[[#This Row],[order_date]])</f>
        <v>2023</v>
      </c>
      <c r="R1598">
        <f>MONTH(data[[#This Row],[order_date]])</f>
        <v>8</v>
      </c>
      <c r="S1598">
        <f>DAY(data[[#This Row],[order_date]])</f>
        <v>26</v>
      </c>
      <c r="T1598">
        <f>data[[#This Row],[profit]]/data[[#This Row],[sales]]</f>
        <v>0.28855721393034828</v>
      </c>
    </row>
    <row r="1599" spans="1:20" x14ac:dyDescent="0.35">
      <c r="A1599" t="s">
        <v>1829</v>
      </c>
      <c r="B1599" s="1">
        <v>45168</v>
      </c>
      <c r="C1599" t="s">
        <v>25</v>
      </c>
      <c r="D1599" t="s">
        <v>26</v>
      </c>
      <c r="E1599" t="s">
        <v>117</v>
      </c>
      <c r="F1599" t="s">
        <v>23</v>
      </c>
      <c r="G1599" t="s">
        <v>1815</v>
      </c>
      <c r="H1599" t="s">
        <v>1816</v>
      </c>
      <c r="I1599" t="s">
        <v>754</v>
      </c>
      <c r="J1599">
        <v>1</v>
      </c>
      <c r="K1599">
        <v>130000</v>
      </c>
      <c r="L1599">
        <v>0</v>
      </c>
      <c r="M1599">
        <v>91000</v>
      </c>
      <c r="N1599">
        <f>(data[[#This Row],[unit_price]]*data[[#This Row],[quantity]]) * (1-data[[#This Row],[discount]])</f>
        <v>130000</v>
      </c>
      <c r="O1599">
        <f>data[[#This Row],[sales]]-data[[#This Row],[cost]]</f>
        <v>39000</v>
      </c>
      <c r="P1599" t="str">
        <f>TEXT(data[[#This Row],[order_date]],"mmm")</f>
        <v>Aug</v>
      </c>
      <c r="Q1599">
        <f>YEAR(data[[#This Row],[order_date]])</f>
        <v>2023</v>
      </c>
      <c r="R1599">
        <f>MONTH(data[[#This Row],[order_date]])</f>
        <v>8</v>
      </c>
      <c r="S1599">
        <f>DAY(data[[#This Row],[order_date]])</f>
        <v>30</v>
      </c>
      <c r="T1599">
        <f>data[[#This Row],[profit]]/data[[#This Row],[sales]]</f>
        <v>0.3</v>
      </c>
    </row>
    <row r="1600" spans="1:20" x14ac:dyDescent="0.35">
      <c r="A1600" t="s">
        <v>1830</v>
      </c>
      <c r="B1600" s="1">
        <v>45174</v>
      </c>
      <c r="C1600" t="s">
        <v>14</v>
      </c>
      <c r="D1600" t="s">
        <v>15</v>
      </c>
      <c r="E1600" t="s">
        <v>83</v>
      </c>
      <c r="F1600" t="s">
        <v>23</v>
      </c>
      <c r="G1600" t="s">
        <v>1815</v>
      </c>
      <c r="H1600" t="s">
        <v>1816</v>
      </c>
      <c r="I1600" t="s">
        <v>754</v>
      </c>
      <c r="J1600">
        <v>1</v>
      </c>
      <c r="K1600">
        <v>237000</v>
      </c>
      <c r="L1600">
        <v>0</v>
      </c>
      <c r="M1600">
        <v>161000</v>
      </c>
      <c r="N1600">
        <f>(data[[#This Row],[unit_price]]*data[[#This Row],[quantity]]) * (1-data[[#This Row],[discount]])</f>
        <v>237000</v>
      </c>
      <c r="O1600">
        <f>data[[#This Row],[sales]]-data[[#This Row],[cost]]</f>
        <v>76000</v>
      </c>
      <c r="P1600" t="str">
        <f>TEXT(data[[#This Row],[order_date]],"mmm")</f>
        <v>Sep</v>
      </c>
      <c r="Q1600">
        <f>YEAR(data[[#This Row],[order_date]])</f>
        <v>2023</v>
      </c>
      <c r="R1600">
        <f>MONTH(data[[#This Row],[order_date]])</f>
        <v>9</v>
      </c>
      <c r="S1600">
        <f>DAY(data[[#This Row],[order_date]])</f>
        <v>5</v>
      </c>
      <c r="T1600">
        <f>data[[#This Row],[profit]]/data[[#This Row],[sales]]</f>
        <v>0.32067510548523209</v>
      </c>
    </row>
    <row r="1601" spans="1:20" x14ac:dyDescent="0.35">
      <c r="A1601" t="s">
        <v>1831</v>
      </c>
      <c r="B1601" s="1">
        <v>45176</v>
      </c>
      <c r="C1601" t="s">
        <v>14</v>
      </c>
      <c r="D1601" t="s">
        <v>15</v>
      </c>
      <c r="E1601" t="s">
        <v>79</v>
      </c>
      <c r="F1601" t="s">
        <v>17</v>
      </c>
      <c r="G1601" t="s">
        <v>1815</v>
      </c>
      <c r="H1601" t="s">
        <v>1816</v>
      </c>
      <c r="I1601" t="s">
        <v>754</v>
      </c>
      <c r="J1601">
        <v>1</v>
      </c>
      <c r="K1601">
        <v>216000</v>
      </c>
      <c r="L1601">
        <v>0</v>
      </c>
      <c r="M1601">
        <v>155000</v>
      </c>
      <c r="N1601">
        <f>(data[[#This Row],[unit_price]]*data[[#This Row],[quantity]]) * (1-data[[#This Row],[discount]])</f>
        <v>216000</v>
      </c>
      <c r="O1601">
        <f>data[[#This Row],[sales]]-data[[#This Row],[cost]]</f>
        <v>61000</v>
      </c>
      <c r="P1601" t="str">
        <f>TEXT(data[[#This Row],[order_date]],"mmm")</f>
        <v>Sep</v>
      </c>
      <c r="Q1601">
        <f>YEAR(data[[#This Row],[order_date]])</f>
        <v>2023</v>
      </c>
      <c r="R1601">
        <f>MONTH(data[[#This Row],[order_date]])</f>
        <v>9</v>
      </c>
      <c r="S1601">
        <f>DAY(data[[#This Row],[order_date]])</f>
        <v>7</v>
      </c>
      <c r="T1601">
        <f>data[[#This Row],[profit]]/data[[#This Row],[sales]]</f>
        <v>0.28240740740740738</v>
      </c>
    </row>
    <row r="1602" spans="1:20" x14ac:dyDescent="0.35">
      <c r="A1602" t="s">
        <v>1832</v>
      </c>
      <c r="B1602" s="1">
        <v>45181</v>
      </c>
      <c r="C1602" t="s">
        <v>41</v>
      </c>
      <c r="D1602" t="s">
        <v>42</v>
      </c>
      <c r="E1602" t="s">
        <v>255</v>
      </c>
      <c r="F1602" t="s">
        <v>17</v>
      </c>
      <c r="G1602" t="s">
        <v>1815</v>
      </c>
      <c r="H1602" t="s">
        <v>1816</v>
      </c>
      <c r="I1602" t="s">
        <v>754</v>
      </c>
      <c r="J1602">
        <v>3</v>
      </c>
      <c r="K1602">
        <v>151000</v>
      </c>
      <c r="L1602">
        <v>0</v>
      </c>
      <c r="M1602">
        <v>104000</v>
      </c>
      <c r="N1602">
        <f>(data[[#This Row],[unit_price]]*data[[#This Row],[quantity]]) * (1-data[[#This Row],[discount]])</f>
        <v>453000</v>
      </c>
      <c r="O1602">
        <f>data[[#This Row],[sales]]-data[[#This Row],[cost]]</f>
        <v>349000</v>
      </c>
      <c r="P1602" t="str">
        <f>TEXT(data[[#This Row],[order_date]],"mmm")</f>
        <v>Sep</v>
      </c>
      <c r="Q1602">
        <f>YEAR(data[[#This Row],[order_date]])</f>
        <v>2023</v>
      </c>
      <c r="R1602">
        <f>MONTH(data[[#This Row],[order_date]])</f>
        <v>9</v>
      </c>
      <c r="S1602">
        <f>DAY(data[[#This Row],[order_date]])</f>
        <v>12</v>
      </c>
      <c r="T1602">
        <f>data[[#This Row],[profit]]/data[[#This Row],[sales]]</f>
        <v>0.77041942604856517</v>
      </c>
    </row>
    <row r="1603" spans="1:20" x14ac:dyDescent="0.35">
      <c r="A1603" t="s">
        <v>1833</v>
      </c>
      <c r="B1603" s="1">
        <v>45197</v>
      </c>
      <c r="C1603" t="s">
        <v>49</v>
      </c>
      <c r="D1603" t="s">
        <v>50</v>
      </c>
      <c r="E1603" t="s">
        <v>216</v>
      </c>
      <c r="F1603" t="s">
        <v>17</v>
      </c>
      <c r="G1603" t="s">
        <v>1815</v>
      </c>
      <c r="H1603" t="s">
        <v>1816</v>
      </c>
      <c r="I1603" t="s">
        <v>754</v>
      </c>
      <c r="J1603">
        <v>1</v>
      </c>
      <c r="K1603">
        <v>191750</v>
      </c>
      <c r="L1603">
        <v>0</v>
      </c>
      <c r="M1603">
        <v>129000</v>
      </c>
      <c r="N1603">
        <f>(data[[#This Row],[unit_price]]*data[[#This Row],[quantity]]) * (1-data[[#This Row],[discount]])</f>
        <v>191750</v>
      </c>
      <c r="O1603">
        <f>data[[#This Row],[sales]]-data[[#This Row],[cost]]</f>
        <v>62750</v>
      </c>
      <c r="P1603" t="str">
        <f>TEXT(data[[#This Row],[order_date]],"mmm")</f>
        <v>Sep</v>
      </c>
      <c r="Q1603">
        <f>YEAR(data[[#This Row],[order_date]])</f>
        <v>2023</v>
      </c>
      <c r="R1603">
        <f>MONTH(data[[#This Row],[order_date]])</f>
        <v>9</v>
      </c>
      <c r="S1603">
        <f>DAY(data[[#This Row],[order_date]])</f>
        <v>28</v>
      </c>
      <c r="T1603">
        <f>data[[#This Row],[profit]]/data[[#This Row],[sales]]</f>
        <v>0.32724902216427643</v>
      </c>
    </row>
    <row r="1604" spans="1:20" x14ac:dyDescent="0.35">
      <c r="A1604" t="s">
        <v>1834</v>
      </c>
      <c r="B1604" s="1">
        <v>45246</v>
      </c>
      <c r="C1604" t="s">
        <v>36</v>
      </c>
      <c r="D1604" t="s">
        <v>37</v>
      </c>
      <c r="E1604" t="s">
        <v>30</v>
      </c>
      <c r="F1604" t="s">
        <v>23</v>
      </c>
      <c r="G1604" t="s">
        <v>1815</v>
      </c>
      <c r="H1604" t="s">
        <v>1816</v>
      </c>
      <c r="I1604" t="s">
        <v>754</v>
      </c>
      <c r="J1604">
        <v>2</v>
      </c>
      <c r="K1604">
        <v>137000</v>
      </c>
      <c r="L1604">
        <v>0</v>
      </c>
      <c r="M1604">
        <v>97000</v>
      </c>
      <c r="N1604">
        <f>(data[[#This Row],[unit_price]]*data[[#This Row],[quantity]]) * (1-data[[#This Row],[discount]])</f>
        <v>274000</v>
      </c>
      <c r="O1604">
        <f>data[[#This Row],[sales]]-data[[#This Row],[cost]]</f>
        <v>177000</v>
      </c>
      <c r="P1604" t="str">
        <f>TEXT(data[[#This Row],[order_date]],"mmm")</f>
        <v>Nov</v>
      </c>
      <c r="Q1604">
        <f>YEAR(data[[#This Row],[order_date]])</f>
        <v>2023</v>
      </c>
      <c r="R1604">
        <f>MONTH(data[[#This Row],[order_date]])</f>
        <v>11</v>
      </c>
      <c r="S1604">
        <f>DAY(data[[#This Row],[order_date]])</f>
        <v>16</v>
      </c>
      <c r="T1604">
        <f>data[[#This Row],[profit]]/data[[#This Row],[sales]]</f>
        <v>0.64598540145985406</v>
      </c>
    </row>
    <row r="1605" spans="1:20" x14ac:dyDescent="0.35">
      <c r="A1605" t="s">
        <v>1835</v>
      </c>
      <c r="B1605" s="1">
        <v>45255</v>
      </c>
      <c r="C1605" t="s">
        <v>49</v>
      </c>
      <c r="D1605" t="s">
        <v>50</v>
      </c>
      <c r="E1605" t="s">
        <v>247</v>
      </c>
      <c r="F1605" t="s">
        <v>17</v>
      </c>
      <c r="G1605" t="s">
        <v>1815</v>
      </c>
      <c r="H1605" t="s">
        <v>1816</v>
      </c>
      <c r="I1605" t="s">
        <v>754</v>
      </c>
      <c r="J1605">
        <v>2</v>
      </c>
      <c r="K1605">
        <v>239000</v>
      </c>
      <c r="L1605">
        <v>0</v>
      </c>
      <c r="M1605">
        <v>163000</v>
      </c>
      <c r="N1605">
        <f>(data[[#This Row],[unit_price]]*data[[#This Row],[quantity]]) * (1-data[[#This Row],[discount]])</f>
        <v>478000</v>
      </c>
      <c r="O1605">
        <f>data[[#This Row],[sales]]-data[[#This Row],[cost]]</f>
        <v>315000</v>
      </c>
      <c r="P1605" t="str">
        <f>TEXT(data[[#This Row],[order_date]],"mmm")</f>
        <v>Nov</v>
      </c>
      <c r="Q1605">
        <f>YEAR(data[[#This Row],[order_date]])</f>
        <v>2023</v>
      </c>
      <c r="R1605">
        <f>MONTH(data[[#This Row],[order_date]])</f>
        <v>11</v>
      </c>
      <c r="S1605">
        <f>DAY(data[[#This Row],[order_date]])</f>
        <v>25</v>
      </c>
      <c r="T1605">
        <f>data[[#This Row],[profit]]/data[[#This Row],[sales]]</f>
        <v>0.65899581589958156</v>
      </c>
    </row>
    <row r="1606" spans="1:20" x14ac:dyDescent="0.35">
      <c r="A1606" t="s">
        <v>1836</v>
      </c>
      <c r="B1606" s="1">
        <v>45263</v>
      </c>
      <c r="C1606" t="s">
        <v>49</v>
      </c>
      <c r="D1606" t="s">
        <v>50</v>
      </c>
      <c r="E1606" t="s">
        <v>295</v>
      </c>
      <c r="F1606" t="s">
        <v>23</v>
      </c>
      <c r="G1606" t="s">
        <v>1815</v>
      </c>
      <c r="H1606" t="s">
        <v>1816</v>
      </c>
      <c r="I1606" t="s">
        <v>754</v>
      </c>
      <c r="J1606">
        <v>1</v>
      </c>
      <c r="K1606">
        <v>159000</v>
      </c>
      <c r="L1606">
        <v>0</v>
      </c>
      <c r="M1606">
        <v>110000</v>
      </c>
      <c r="N1606">
        <f>(data[[#This Row],[unit_price]]*data[[#This Row],[quantity]]) * (1-data[[#This Row],[discount]])</f>
        <v>159000</v>
      </c>
      <c r="O1606">
        <f>data[[#This Row],[sales]]-data[[#This Row],[cost]]</f>
        <v>49000</v>
      </c>
      <c r="P1606" t="str">
        <f>TEXT(data[[#This Row],[order_date]],"mmm")</f>
        <v>Dec</v>
      </c>
      <c r="Q1606">
        <f>YEAR(data[[#This Row],[order_date]])</f>
        <v>2023</v>
      </c>
      <c r="R1606">
        <f>MONTH(data[[#This Row],[order_date]])</f>
        <v>12</v>
      </c>
      <c r="S1606">
        <f>DAY(data[[#This Row],[order_date]])</f>
        <v>3</v>
      </c>
      <c r="T1606">
        <f>data[[#This Row],[profit]]/data[[#This Row],[sales]]</f>
        <v>0.3081761006289308</v>
      </c>
    </row>
    <row r="1607" spans="1:20" x14ac:dyDescent="0.35">
      <c r="A1607" t="s">
        <v>1837</v>
      </c>
      <c r="B1607" s="1">
        <v>45279</v>
      </c>
      <c r="C1607" t="s">
        <v>41</v>
      </c>
      <c r="D1607" t="s">
        <v>42</v>
      </c>
      <c r="E1607" t="s">
        <v>57</v>
      </c>
      <c r="F1607" t="s">
        <v>58</v>
      </c>
      <c r="G1607" t="s">
        <v>1815</v>
      </c>
      <c r="H1607" t="s">
        <v>1816</v>
      </c>
      <c r="I1607" t="s">
        <v>754</v>
      </c>
      <c r="J1607">
        <v>1</v>
      </c>
      <c r="K1607">
        <v>186000</v>
      </c>
      <c r="L1607">
        <v>0</v>
      </c>
      <c r="M1607">
        <v>128000</v>
      </c>
      <c r="N1607">
        <f>(data[[#This Row],[unit_price]]*data[[#This Row],[quantity]]) * (1-data[[#This Row],[discount]])</f>
        <v>186000</v>
      </c>
      <c r="O1607">
        <f>data[[#This Row],[sales]]-data[[#This Row],[cost]]</f>
        <v>58000</v>
      </c>
      <c r="P1607" t="str">
        <f>TEXT(data[[#This Row],[order_date]],"mmm")</f>
        <v>Dec</v>
      </c>
      <c r="Q1607">
        <f>YEAR(data[[#This Row],[order_date]])</f>
        <v>2023</v>
      </c>
      <c r="R1607">
        <f>MONTH(data[[#This Row],[order_date]])</f>
        <v>12</v>
      </c>
      <c r="S1607">
        <f>DAY(data[[#This Row],[order_date]])</f>
        <v>19</v>
      </c>
      <c r="T1607">
        <f>data[[#This Row],[profit]]/data[[#This Row],[sales]]</f>
        <v>0.31182795698924731</v>
      </c>
    </row>
    <row r="1608" spans="1:20" x14ac:dyDescent="0.35">
      <c r="A1608" t="s">
        <v>1838</v>
      </c>
      <c r="B1608" s="1">
        <v>45282</v>
      </c>
      <c r="C1608" t="s">
        <v>14</v>
      </c>
      <c r="D1608" t="s">
        <v>15</v>
      </c>
      <c r="E1608" t="s">
        <v>85</v>
      </c>
      <c r="F1608" t="s">
        <v>23</v>
      </c>
      <c r="G1608" t="s">
        <v>1815</v>
      </c>
      <c r="H1608" t="s">
        <v>1816</v>
      </c>
      <c r="I1608" t="s">
        <v>754</v>
      </c>
      <c r="J1608">
        <v>1</v>
      </c>
      <c r="K1608">
        <v>181000</v>
      </c>
      <c r="L1608">
        <v>0</v>
      </c>
      <c r="M1608">
        <v>125000</v>
      </c>
      <c r="N1608">
        <f>(data[[#This Row],[unit_price]]*data[[#This Row],[quantity]]) * (1-data[[#This Row],[discount]])</f>
        <v>181000</v>
      </c>
      <c r="O1608">
        <f>data[[#This Row],[sales]]-data[[#This Row],[cost]]</f>
        <v>56000</v>
      </c>
      <c r="P1608" t="str">
        <f>TEXT(data[[#This Row],[order_date]],"mmm")</f>
        <v>Dec</v>
      </c>
      <c r="Q1608">
        <f>YEAR(data[[#This Row],[order_date]])</f>
        <v>2023</v>
      </c>
      <c r="R1608">
        <f>MONTH(data[[#This Row],[order_date]])</f>
        <v>12</v>
      </c>
      <c r="S1608">
        <f>DAY(data[[#This Row],[order_date]])</f>
        <v>22</v>
      </c>
      <c r="T1608">
        <f>data[[#This Row],[profit]]/data[[#This Row],[sales]]</f>
        <v>0.30939226519337015</v>
      </c>
    </row>
    <row r="1609" spans="1:20" x14ac:dyDescent="0.35">
      <c r="A1609" t="s">
        <v>1839</v>
      </c>
      <c r="B1609" s="1">
        <v>45360</v>
      </c>
      <c r="C1609" t="s">
        <v>14</v>
      </c>
      <c r="D1609" t="s">
        <v>15</v>
      </c>
      <c r="E1609" t="s">
        <v>329</v>
      </c>
      <c r="F1609" t="s">
        <v>28</v>
      </c>
      <c r="G1609" t="s">
        <v>1815</v>
      </c>
      <c r="H1609" t="s">
        <v>1816</v>
      </c>
      <c r="I1609" t="s">
        <v>754</v>
      </c>
      <c r="J1609">
        <v>2</v>
      </c>
      <c r="K1609">
        <v>191000</v>
      </c>
      <c r="L1609">
        <v>0</v>
      </c>
      <c r="M1609">
        <v>135000</v>
      </c>
      <c r="N1609">
        <f>(data[[#This Row],[unit_price]]*data[[#This Row],[quantity]]) * (1-data[[#This Row],[discount]])</f>
        <v>382000</v>
      </c>
      <c r="O1609">
        <f>data[[#This Row],[sales]]-data[[#This Row],[cost]]</f>
        <v>247000</v>
      </c>
      <c r="P1609" t="str">
        <f>TEXT(data[[#This Row],[order_date]],"mmm")</f>
        <v>Mar</v>
      </c>
      <c r="Q1609">
        <f>YEAR(data[[#This Row],[order_date]])</f>
        <v>2024</v>
      </c>
      <c r="R1609">
        <f>MONTH(data[[#This Row],[order_date]])</f>
        <v>3</v>
      </c>
      <c r="S1609">
        <f>DAY(data[[#This Row],[order_date]])</f>
        <v>9</v>
      </c>
      <c r="T1609">
        <f>data[[#This Row],[profit]]/data[[#This Row],[sales]]</f>
        <v>0.6465968586387435</v>
      </c>
    </row>
    <row r="1610" spans="1:20" x14ac:dyDescent="0.35">
      <c r="A1610" t="s">
        <v>1840</v>
      </c>
      <c r="B1610" s="1">
        <v>45392</v>
      </c>
      <c r="C1610" t="s">
        <v>41</v>
      </c>
      <c r="D1610" t="s">
        <v>42</v>
      </c>
      <c r="E1610" t="s">
        <v>214</v>
      </c>
      <c r="F1610" t="s">
        <v>23</v>
      </c>
      <c r="G1610" t="s">
        <v>1815</v>
      </c>
      <c r="H1610" t="s">
        <v>1816</v>
      </c>
      <c r="I1610" t="s">
        <v>754</v>
      </c>
      <c r="J1610">
        <v>1</v>
      </c>
      <c r="K1610">
        <v>247000</v>
      </c>
      <c r="L1610">
        <v>0</v>
      </c>
      <c r="M1610">
        <v>172000</v>
      </c>
      <c r="N1610">
        <f>(data[[#This Row],[unit_price]]*data[[#This Row],[quantity]]) * (1-data[[#This Row],[discount]])</f>
        <v>247000</v>
      </c>
      <c r="O1610">
        <f>data[[#This Row],[sales]]-data[[#This Row],[cost]]</f>
        <v>75000</v>
      </c>
      <c r="P1610" t="str">
        <f>TEXT(data[[#This Row],[order_date]],"mmm")</f>
        <v>Apr</v>
      </c>
      <c r="Q1610">
        <f>YEAR(data[[#This Row],[order_date]])</f>
        <v>2024</v>
      </c>
      <c r="R1610">
        <f>MONTH(data[[#This Row],[order_date]])</f>
        <v>4</v>
      </c>
      <c r="S1610">
        <f>DAY(data[[#This Row],[order_date]])</f>
        <v>10</v>
      </c>
      <c r="T1610">
        <f>data[[#This Row],[profit]]/data[[#This Row],[sales]]</f>
        <v>0.30364372469635625</v>
      </c>
    </row>
    <row r="1611" spans="1:20" x14ac:dyDescent="0.35">
      <c r="A1611" t="s">
        <v>1841</v>
      </c>
      <c r="B1611" s="1">
        <v>45457</v>
      </c>
      <c r="C1611" t="s">
        <v>14</v>
      </c>
      <c r="D1611" t="s">
        <v>15</v>
      </c>
      <c r="E1611" t="s">
        <v>87</v>
      </c>
      <c r="F1611" t="s">
        <v>17</v>
      </c>
      <c r="G1611" t="s">
        <v>1815</v>
      </c>
      <c r="H1611" t="s">
        <v>1816</v>
      </c>
      <c r="I1611" t="s">
        <v>754</v>
      </c>
      <c r="J1611">
        <v>5</v>
      </c>
      <c r="K1611">
        <v>255000</v>
      </c>
      <c r="L1611">
        <v>0</v>
      </c>
      <c r="M1611">
        <v>175000</v>
      </c>
      <c r="N1611">
        <f>(data[[#This Row],[unit_price]]*data[[#This Row],[quantity]]) * (1-data[[#This Row],[discount]])</f>
        <v>1275000</v>
      </c>
      <c r="O1611">
        <f>data[[#This Row],[sales]]-data[[#This Row],[cost]]</f>
        <v>1100000</v>
      </c>
      <c r="P1611" t="str">
        <f>TEXT(data[[#This Row],[order_date]],"mmm")</f>
        <v>Jun</v>
      </c>
      <c r="Q1611">
        <f>YEAR(data[[#This Row],[order_date]])</f>
        <v>2024</v>
      </c>
      <c r="R1611">
        <f>MONTH(data[[#This Row],[order_date]])</f>
        <v>6</v>
      </c>
      <c r="S1611">
        <f>DAY(data[[#This Row],[order_date]])</f>
        <v>14</v>
      </c>
      <c r="T1611">
        <f>data[[#This Row],[profit]]/data[[#This Row],[sales]]</f>
        <v>0.86274509803921573</v>
      </c>
    </row>
    <row r="1612" spans="1:20" x14ac:dyDescent="0.35">
      <c r="A1612" t="s">
        <v>1842</v>
      </c>
      <c r="B1612" s="1">
        <v>45473</v>
      </c>
      <c r="C1612" t="s">
        <v>14</v>
      </c>
      <c r="D1612" t="s">
        <v>15</v>
      </c>
      <c r="E1612" t="s">
        <v>582</v>
      </c>
      <c r="F1612" t="s">
        <v>17</v>
      </c>
      <c r="G1612" t="s">
        <v>1815</v>
      </c>
      <c r="H1612" t="s">
        <v>1816</v>
      </c>
      <c r="I1612" t="s">
        <v>754</v>
      </c>
      <c r="J1612">
        <v>1</v>
      </c>
      <c r="K1612">
        <v>153000</v>
      </c>
      <c r="L1612">
        <v>0</v>
      </c>
      <c r="M1612">
        <v>107000</v>
      </c>
      <c r="N1612">
        <f>(data[[#This Row],[unit_price]]*data[[#This Row],[quantity]]) * (1-data[[#This Row],[discount]])</f>
        <v>153000</v>
      </c>
      <c r="O1612">
        <f>data[[#This Row],[sales]]-data[[#This Row],[cost]]</f>
        <v>46000</v>
      </c>
      <c r="P1612" t="str">
        <f>TEXT(data[[#This Row],[order_date]],"mmm")</f>
        <v>Jun</v>
      </c>
      <c r="Q1612">
        <f>YEAR(data[[#This Row],[order_date]])</f>
        <v>2024</v>
      </c>
      <c r="R1612">
        <f>MONTH(data[[#This Row],[order_date]])</f>
        <v>6</v>
      </c>
      <c r="S1612">
        <f>DAY(data[[#This Row],[order_date]])</f>
        <v>30</v>
      </c>
      <c r="T1612">
        <f>data[[#This Row],[profit]]/data[[#This Row],[sales]]</f>
        <v>0.30065359477124182</v>
      </c>
    </row>
    <row r="1613" spans="1:20" x14ac:dyDescent="0.35">
      <c r="A1613" t="s">
        <v>1843</v>
      </c>
      <c r="B1613" s="1">
        <v>45495</v>
      </c>
      <c r="C1613" t="s">
        <v>25</v>
      </c>
      <c r="D1613" t="s">
        <v>26</v>
      </c>
      <c r="E1613" t="s">
        <v>598</v>
      </c>
      <c r="F1613" t="s">
        <v>23</v>
      </c>
      <c r="G1613" t="s">
        <v>1815</v>
      </c>
      <c r="H1613" t="s">
        <v>1816</v>
      </c>
      <c r="I1613" t="s">
        <v>754</v>
      </c>
      <c r="J1613">
        <v>1</v>
      </c>
      <c r="K1613">
        <v>199000</v>
      </c>
      <c r="L1613">
        <v>0</v>
      </c>
      <c r="M1613">
        <v>141000</v>
      </c>
      <c r="N1613">
        <f>(data[[#This Row],[unit_price]]*data[[#This Row],[quantity]]) * (1-data[[#This Row],[discount]])</f>
        <v>199000</v>
      </c>
      <c r="O1613">
        <f>data[[#This Row],[sales]]-data[[#This Row],[cost]]</f>
        <v>58000</v>
      </c>
      <c r="P1613" t="str">
        <f>TEXT(data[[#This Row],[order_date]],"mmm")</f>
        <v>Jul</v>
      </c>
      <c r="Q1613">
        <f>YEAR(data[[#This Row],[order_date]])</f>
        <v>2024</v>
      </c>
      <c r="R1613">
        <f>MONTH(data[[#This Row],[order_date]])</f>
        <v>7</v>
      </c>
      <c r="S1613">
        <f>DAY(data[[#This Row],[order_date]])</f>
        <v>22</v>
      </c>
      <c r="T1613">
        <f>data[[#This Row],[profit]]/data[[#This Row],[sales]]</f>
        <v>0.29145728643216079</v>
      </c>
    </row>
    <row r="1614" spans="1:20" x14ac:dyDescent="0.35">
      <c r="A1614" t="s">
        <v>1844</v>
      </c>
      <c r="B1614" s="1">
        <v>45504</v>
      </c>
      <c r="C1614" t="s">
        <v>14</v>
      </c>
      <c r="D1614" t="s">
        <v>15</v>
      </c>
      <c r="E1614" t="s">
        <v>239</v>
      </c>
      <c r="F1614" t="s">
        <v>23</v>
      </c>
      <c r="G1614" t="s">
        <v>1815</v>
      </c>
      <c r="H1614" t="s">
        <v>1816</v>
      </c>
      <c r="I1614" t="s">
        <v>754</v>
      </c>
      <c r="J1614">
        <v>1</v>
      </c>
      <c r="K1614">
        <v>160000</v>
      </c>
      <c r="L1614">
        <v>0</v>
      </c>
      <c r="M1614">
        <v>109000</v>
      </c>
      <c r="N1614">
        <f>(data[[#This Row],[unit_price]]*data[[#This Row],[quantity]]) * (1-data[[#This Row],[discount]])</f>
        <v>160000</v>
      </c>
      <c r="O1614">
        <f>data[[#This Row],[sales]]-data[[#This Row],[cost]]</f>
        <v>51000</v>
      </c>
      <c r="P1614" t="str">
        <f>TEXT(data[[#This Row],[order_date]],"mmm")</f>
        <v>Jul</v>
      </c>
      <c r="Q1614">
        <f>YEAR(data[[#This Row],[order_date]])</f>
        <v>2024</v>
      </c>
      <c r="R1614">
        <f>MONTH(data[[#This Row],[order_date]])</f>
        <v>7</v>
      </c>
      <c r="S1614">
        <f>DAY(data[[#This Row],[order_date]])</f>
        <v>31</v>
      </c>
      <c r="T1614">
        <f>data[[#This Row],[profit]]/data[[#This Row],[sales]]</f>
        <v>0.31874999999999998</v>
      </c>
    </row>
    <row r="1615" spans="1:20" x14ac:dyDescent="0.35">
      <c r="A1615" t="s">
        <v>1845</v>
      </c>
      <c r="B1615" s="1">
        <v>45516</v>
      </c>
      <c r="C1615" t="s">
        <v>14</v>
      </c>
      <c r="D1615" t="s">
        <v>15</v>
      </c>
      <c r="E1615" t="s">
        <v>447</v>
      </c>
      <c r="F1615" t="s">
        <v>23</v>
      </c>
      <c r="G1615" t="s">
        <v>1815</v>
      </c>
      <c r="H1615" t="s">
        <v>1816</v>
      </c>
      <c r="I1615" t="s">
        <v>754</v>
      </c>
      <c r="J1615">
        <v>1</v>
      </c>
      <c r="K1615">
        <v>175000</v>
      </c>
      <c r="L1615">
        <v>0</v>
      </c>
      <c r="M1615">
        <v>121000</v>
      </c>
      <c r="N1615">
        <f>(data[[#This Row],[unit_price]]*data[[#This Row],[quantity]]) * (1-data[[#This Row],[discount]])</f>
        <v>175000</v>
      </c>
      <c r="O1615">
        <f>data[[#This Row],[sales]]-data[[#This Row],[cost]]</f>
        <v>54000</v>
      </c>
      <c r="P1615" t="str">
        <f>TEXT(data[[#This Row],[order_date]],"mmm")</f>
        <v>Aug</v>
      </c>
      <c r="Q1615">
        <f>YEAR(data[[#This Row],[order_date]])</f>
        <v>2024</v>
      </c>
      <c r="R1615">
        <f>MONTH(data[[#This Row],[order_date]])</f>
        <v>8</v>
      </c>
      <c r="S1615">
        <f>DAY(data[[#This Row],[order_date]])</f>
        <v>12</v>
      </c>
      <c r="T1615">
        <f>data[[#This Row],[profit]]/data[[#This Row],[sales]]</f>
        <v>0.30857142857142855</v>
      </c>
    </row>
    <row r="1616" spans="1:20" x14ac:dyDescent="0.35">
      <c r="A1616" t="s">
        <v>1846</v>
      </c>
      <c r="B1616" s="1">
        <v>45520</v>
      </c>
      <c r="C1616" t="s">
        <v>14</v>
      </c>
      <c r="D1616" t="s">
        <v>15</v>
      </c>
      <c r="E1616" t="s">
        <v>32</v>
      </c>
      <c r="F1616" t="s">
        <v>23</v>
      </c>
      <c r="G1616" t="s">
        <v>1815</v>
      </c>
      <c r="H1616" t="s">
        <v>1816</v>
      </c>
      <c r="I1616" t="s">
        <v>754</v>
      </c>
      <c r="J1616">
        <v>2</v>
      </c>
      <c r="K1616">
        <v>145000</v>
      </c>
      <c r="L1616">
        <v>0</v>
      </c>
      <c r="M1616">
        <v>101000</v>
      </c>
      <c r="N1616">
        <f>(data[[#This Row],[unit_price]]*data[[#This Row],[quantity]]) * (1-data[[#This Row],[discount]])</f>
        <v>290000</v>
      </c>
      <c r="O1616">
        <f>data[[#This Row],[sales]]-data[[#This Row],[cost]]</f>
        <v>189000</v>
      </c>
      <c r="P1616" t="str">
        <f>TEXT(data[[#This Row],[order_date]],"mmm")</f>
        <v>Aug</v>
      </c>
      <c r="Q1616">
        <f>YEAR(data[[#This Row],[order_date]])</f>
        <v>2024</v>
      </c>
      <c r="R1616">
        <f>MONTH(data[[#This Row],[order_date]])</f>
        <v>8</v>
      </c>
      <c r="S1616">
        <f>DAY(data[[#This Row],[order_date]])</f>
        <v>16</v>
      </c>
      <c r="T1616">
        <f>data[[#This Row],[profit]]/data[[#This Row],[sales]]</f>
        <v>0.65172413793103445</v>
      </c>
    </row>
    <row r="1617" spans="1:20" x14ac:dyDescent="0.35">
      <c r="A1617" t="s">
        <v>1847</v>
      </c>
      <c r="B1617" s="1">
        <v>45530</v>
      </c>
      <c r="C1617" t="s">
        <v>14</v>
      </c>
      <c r="D1617" t="s">
        <v>15</v>
      </c>
      <c r="E1617" t="s">
        <v>76</v>
      </c>
      <c r="F1617" t="s">
        <v>23</v>
      </c>
      <c r="G1617" t="s">
        <v>1815</v>
      </c>
      <c r="H1617" t="s">
        <v>1816</v>
      </c>
      <c r="I1617" t="s">
        <v>754</v>
      </c>
      <c r="J1617">
        <v>1</v>
      </c>
      <c r="K1617">
        <v>210000</v>
      </c>
      <c r="L1617">
        <v>0</v>
      </c>
      <c r="M1617">
        <v>148000</v>
      </c>
      <c r="N1617">
        <f>(data[[#This Row],[unit_price]]*data[[#This Row],[quantity]]) * (1-data[[#This Row],[discount]])</f>
        <v>210000</v>
      </c>
      <c r="O1617">
        <f>data[[#This Row],[sales]]-data[[#This Row],[cost]]</f>
        <v>62000</v>
      </c>
      <c r="P1617" t="str">
        <f>TEXT(data[[#This Row],[order_date]],"mmm")</f>
        <v>Aug</v>
      </c>
      <c r="Q1617">
        <f>YEAR(data[[#This Row],[order_date]])</f>
        <v>2024</v>
      </c>
      <c r="R1617">
        <f>MONTH(data[[#This Row],[order_date]])</f>
        <v>8</v>
      </c>
      <c r="S1617">
        <f>DAY(data[[#This Row],[order_date]])</f>
        <v>26</v>
      </c>
      <c r="T1617">
        <f>data[[#This Row],[profit]]/data[[#This Row],[sales]]</f>
        <v>0.29523809523809524</v>
      </c>
    </row>
    <row r="1618" spans="1:20" x14ac:dyDescent="0.35">
      <c r="A1618" t="s">
        <v>1848</v>
      </c>
      <c r="B1618" s="1">
        <v>45585</v>
      </c>
      <c r="C1618" t="s">
        <v>14</v>
      </c>
      <c r="D1618" t="s">
        <v>15</v>
      </c>
      <c r="E1618" t="s">
        <v>634</v>
      </c>
      <c r="F1618" t="s">
        <v>17</v>
      </c>
      <c r="G1618" t="s">
        <v>1815</v>
      </c>
      <c r="H1618" t="s">
        <v>1816</v>
      </c>
      <c r="I1618" t="s">
        <v>754</v>
      </c>
      <c r="J1618">
        <v>1</v>
      </c>
      <c r="K1618">
        <v>169000</v>
      </c>
      <c r="L1618">
        <v>0</v>
      </c>
      <c r="M1618">
        <v>118000</v>
      </c>
      <c r="N1618">
        <f>(data[[#This Row],[unit_price]]*data[[#This Row],[quantity]]) * (1-data[[#This Row],[discount]])</f>
        <v>169000</v>
      </c>
      <c r="O1618">
        <f>data[[#This Row],[sales]]-data[[#This Row],[cost]]</f>
        <v>51000</v>
      </c>
      <c r="P1618" t="str">
        <f>TEXT(data[[#This Row],[order_date]],"mmm")</f>
        <v>Oct</v>
      </c>
      <c r="Q1618">
        <f>YEAR(data[[#This Row],[order_date]])</f>
        <v>2024</v>
      </c>
      <c r="R1618">
        <f>MONTH(data[[#This Row],[order_date]])</f>
        <v>10</v>
      </c>
      <c r="S1618">
        <f>DAY(data[[#This Row],[order_date]])</f>
        <v>20</v>
      </c>
      <c r="T1618">
        <f>data[[#This Row],[profit]]/data[[#This Row],[sales]]</f>
        <v>0.30177514792899407</v>
      </c>
    </row>
    <row r="1619" spans="1:20" x14ac:dyDescent="0.35">
      <c r="A1619" t="s">
        <v>1849</v>
      </c>
      <c r="B1619" s="1">
        <v>45611</v>
      </c>
      <c r="C1619" t="s">
        <v>41</v>
      </c>
      <c r="D1619" t="s">
        <v>42</v>
      </c>
      <c r="E1619" t="s">
        <v>134</v>
      </c>
      <c r="F1619" t="s">
        <v>28</v>
      </c>
      <c r="G1619" t="s">
        <v>1815</v>
      </c>
      <c r="H1619" t="s">
        <v>1816</v>
      </c>
      <c r="I1619" t="s">
        <v>754</v>
      </c>
      <c r="J1619">
        <v>1</v>
      </c>
      <c r="K1619">
        <v>174000</v>
      </c>
      <c r="L1619">
        <v>0</v>
      </c>
      <c r="M1619">
        <v>121000</v>
      </c>
      <c r="N1619">
        <f>(data[[#This Row],[unit_price]]*data[[#This Row],[quantity]]) * (1-data[[#This Row],[discount]])</f>
        <v>174000</v>
      </c>
      <c r="O1619">
        <f>data[[#This Row],[sales]]-data[[#This Row],[cost]]</f>
        <v>53000</v>
      </c>
      <c r="P1619" t="str">
        <f>TEXT(data[[#This Row],[order_date]],"mmm")</f>
        <v>Nov</v>
      </c>
      <c r="Q1619">
        <f>YEAR(data[[#This Row],[order_date]])</f>
        <v>2024</v>
      </c>
      <c r="R1619">
        <f>MONTH(data[[#This Row],[order_date]])</f>
        <v>11</v>
      </c>
      <c r="S1619">
        <f>DAY(data[[#This Row],[order_date]])</f>
        <v>15</v>
      </c>
      <c r="T1619">
        <f>data[[#This Row],[profit]]/data[[#This Row],[sales]]</f>
        <v>0.3045977011494253</v>
      </c>
    </row>
    <row r="1620" spans="1:20" x14ac:dyDescent="0.35">
      <c r="A1620" t="s">
        <v>1850</v>
      </c>
      <c r="B1620" s="1">
        <v>45623</v>
      </c>
      <c r="C1620" t="s">
        <v>14</v>
      </c>
      <c r="D1620" t="s">
        <v>15</v>
      </c>
      <c r="E1620" t="s">
        <v>825</v>
      </c>
      <c r="F1620" t="s">
        <v>23</v>
      </c>
      <c r="G1620" t="s">
        <v>1815</v>
      </c>
      <c r="H1620" t="s">
        <v>1816</v>
      </c>
      <c r="I1620" t="s">
        <v>754</v>
      </c>
      <c r="J1620">
        <v>3</v>
      </c>
      <c r="K1620">
        <v>251000</v>
      </c>
      <c r="L1620">
        <v>0</v>
      </c>
      <c r="M1620">
        <v>176000</v>
      </c>
      <c r="N1620">
        <f>(data[[#This Row],[unit_price]]*data[[#This Row],[quantity]]) * (1-data[[#This Row],[discount]])</f>
        <v>753000</v>
      </c>
      <c r="O1620">
        <f>data[[#This Row],[sales]]-data[[#This Row],[cost]]</f>
        <v>577000</v>
      </c>
      <c r="P1620" t="str">
        <f>TEXT(data[[#This Row],[order_date]],"mmm")</f>
        <v>Nov</v>
      </c>
      <c r="Q1620">
        <f>YEAR(data[[#This Row],[order_date]])</f>
        <v>2024</v>
      </c>
      <c r="R1620">
        <f>MONTH(data[[#This Row],[order_date]])</f>
        <v>11</v>
      </c>
      <c r="S1620">
        <f>DAY(data[[#This Row],[order_date]])</f>
        <v>27</v>
      </c>
      <c r="T1620">
        <f>data[[#This Row],[profit]]/data[[#This Row],[sales]]</f>
        <v>0.76626826029216466</v>
      </c>
    </row>
    <row r="1621" spans="1:20" x14ac:dyDescent="0.35">
      <c r="A1621" t="s">
        <v>1851</v>
      </c>
      <c r="B1621" s="1">
        <v>45645</v>
      </c>
      <c r="C1621" t="s">
        <v>41</v>
      </c>
      <c r="D1621" t="s">
        <v>42</v>
      </c>
      <c r="E1621" t="s">
        <v>798</v>
      </c>
      <c r="F1621" t="s">
        <v>28</v>
      </c>
      <c r="G1621" t="s">
        <v>1815</v>
      </c>
      <c r="H1621" t="s">
        <v>1816</v>
      </c>
      <c r="I1621" t="s">
        <v>754</v>
      </c>
      <c r="J1621">
        <v>1</v>
      </c>
      <c r="K1621">
        <v>203000</v>
      </c>
      <c r="L1621">
        <v>0.05</v>
      </c>
      <c r="M1621">
        <v>144000</v>
      </c>
      <c r="N1621">
        <f>(data[[#This Row],[unit_price]]*data[[#This Row],[quantity]]) * (1-data[[#This Row],[discount]])</f>
        <v>192850</v>
      </c>
      <c r="O1621">
        <f>data[[#This Row],[sales]]-data[[#This Row],[cost]]</f>
        <v>48850</v>
      </c>
      <c r="P1621" t="str">
        <f>TEXT(data[[#This Row],[order_date]],"mmm")</f>
        <v>Dec</v>
      </c>
      <c r="Q1621">
        <f>YEAR(data[[#This Row],[order_date]])</f>
        <v>2024</v>
      </c>
      <c r="R1621">
        <f>MONTH(data[[#This Row],[order_date]])</f>
        <v>12</v>
      </c>
      <c r="S1621">
        <f>DAY(data[[#This Row],[order_date]])</f>
        <v>19</v>
      </c>
      <c r="T1621">
        <f>data[[#This Row],[profit]]/data[[#This Row],[sales]]</f>
        <v>0.25330567798807363</v>
      </c>
    </row>
    <row r="1622" spans="1:20" x14ac:dyDescent="0.35">
      <c r="A1622" t="s">
        <v>1852</v>
      </c>
      <c r="B1622" s="1">
        <v>45653</v>
      </c>
      <c r="C1622" t="s">
        <v>36</v>
      </c>
      <c r="D1622" t="s">
        <v>37</v>
      </c>
      <c r="E1622" t="s">
        <v>489</v>
      </c>
      <c r="F1622" t="s">
        <v>17</v>
      </c>
      <c r="G1622" t="s">
        <v>1815</v>
      </c>
      <c r="H1622" t="s">
        <v>1816</v>
      </c>
      <c r="I1622" t="s">
        <v>754</v>
      </c>
      <c r="J1622">
        <v>1</v>
      </c>
      <c r="K1622">
        <v>139000</v>
      </c>
      <c r="L1622">
        <v>0</v>
      </c>
      <c r="M1622">
        <v>98000</v>
      </c>
      <c r="N1622">
        <f>(data[[#This Row],[unit_price]]*data[[#This Row],[quantity]]) * (1-data[[#This Row],[discount]])</f>
        <v>139000</v>
      </c>
      <c r="O1622">
        <f>data[[#This Row],[sales]]-data[[#This Row],[cost]]</f>
        <v>41000</v>
      </c>
      <c r="P1622" t="str">
        <f>TEXT(data[[#This Row],[order_date]],"mmm")</f>
        <v>Dec</v>
      </c>
      <c r="Q1622">
        <f>YEAR(data[[#This Row],[order_date]])</f>
        <v>2024</v>
      </c>
      <c r="R1622">
        <f>MONTH(data[[#This Row],[order_date]])</f>
        <v>12</v>
      </c>
      <c r="S1622">
        <f>DAY(data[[#This Row],[order_date]])</f>
        <v>27</v>
      </c>
      <c r="T1622">
        <f>data[[#This Row],[profit]]/data[[#This Row],[sales]]</f>
        <v>0.29496402877697842</v>
      </c>
    </row>
    <row r="1623" spans="1:20" x14ac:dyDescent="0.35">
      <c r="A1623" t="s">
        <v>1853</v>
      </c>
      <c r="B1623" s="1">
        <v>45685</v>
      </c>
      <c r="C1623" t="s">
        <v>14</v>
      </c>
      <c r="D1623" t="s">
        <v>15</v>
      </c>
      <c r="E1623" t="s">
        <v>110</v>
      </c>
      <c r="F1623" t="s">
        <v>23</v>
      </c>
      <c r="G1623" t="s">
        <v>1815</v>
      </c>
      <c r="H1623" t="s">
        <v>1816</v>
      </c>
      <c r="I1623" t="s">
        <v>754</v>
      </c>
      <c r="J1623">
        <v>2</v>
      </c>
      <c r="K1623">
        <v>143000</v>
      </c>
      <c r="L1623">
        <v>0</v>
      </c>
      <c r="M1623">
        <v>98000</v>
      </c>
      <c r="N1623">
        <f>(data[[#This Row],[unit_price]]*data[[#This Row],[quantity]]) * (1-data[[#This Row],[discount]])</f>
        <v>286000</v>
      </c>
      <c r="O1623">
        <f>data[[#This Row],[sales]]-data[[#This Row],[cost]]</f>
        <v>188000</v>
      </c>
      <c r="P1623" t="str">
        <f>TEXT(data[[#This Row],[order_date]],"mmm")</f>
        <v>Jan</v>
      </c>
      <c r="Q1623">
        <f>YEAR(data[[#This Row],[order_date]])</f>
        <v>2025</v>
      </c>
      <c r="R1623">
        <f>MONTH(data[[#This Row],[order_date]])</f>
        <v>1</v>
      </c>
      <c r="S1623">
        <f>DAY(data[[#This Row],[order_date]])</f>
        <v>28</v>
      </c>
      <c r="T1623">
        <f>data[[#This Row],[profit]]/data[[#This Row],[sales]]</f>
        <v>0.65734265734265729</v>
      </c>
    </row>
    <row r="1624" spans="1:20" x14ac:dyDescent="0.35">
      <c r="A1624" t="s">
        <v>1854</v>
      </c>
      <c r="B1624" s="1">
        <v>45707</v>
      </c>
      <c r="C1624" t="s">
        <v>14</v>
      </c>
      <c r="D1624" t="s">
        <v>15</v>
      </c>
      <c r="E1624" t="s">
        <v>32</v>
      </c>
      <c r="F1624" t="s">
        <v>23</v>
      </c>
      <c r="G1624" t="s">
        <v>1815</v>
      </c>
      <c r="H1624" t="s">
        <v>1816</v>
      </c>
      <c r="I1624" t="s">
        <v>754</v>
      </c>
      <c r="J1624">
        <v>2</v>
      </c>
      <c r="K1624">
        <v>234000</v>
      </c>
      <c r="L1624">
        <v>0</v>
      </c>
      <c r="M1624">
        <v>162000</v>
      </c>
      <c r="N1624">
        <f>(data[[#This Row],[unit_price]]*data[[#This Row],[quantity]]) * (1-data[[#This Row],[discount]])</f>
        <v>468000</v>
      </c>
      <c r="O1624">
        <f>data[[#This Row],[sales]]-data[[#This Row],[cost]]</f>
        <v>306000</v>
      </c>
      <c r="P1624" t="str">
        <f>TEXT(data[[#This Row],[order_date]],"mmm")</f>
        <v>Feb</v>
      </c>
      <c r="Q1624">
        <f>YEAR(data[[#This Row],[order_date]])</f>
        <v>2025</v>
      </c>
      <c r="R1624">
        <f>MONTH(data[[#This Row],[order_date]])</f>
        <v>2</v>
      </c>
      <c r="S1624">
        <f>DAY(data[[#This Row],[order_date]])</f>
        <v>19</v>
      </c>
      <c r="T1624">
        <f>data[[#This Row],[profit]]/data[[#This Row],[sales]]</f>
        <v>0.65384615384615385</v>
      </c>
    </row>
    <row r="1625" spans="1:20" x14ac:dyDescent="0.35">
      <c r="A1625" t="s">
        <v>1855</v>
      </c>
      <c r="B1625" s="1">
        <v>45732</v>
      </c>
      <c r="C1625" t="s">
        <v>36</v>
      </c>
      <c r="D1625" t="s">
        <v>37</v>
      </c>
      <c r="E1625" t="s">
        <v>51</v>
      </c>
      <c r="F1625" t="s">
        <v>23</v>
      </c>
      <c r="G1625" t="s">
        <v>1815</v>
      </c>
      <c r="H1625" t="s">
        <v>1816</v>
      </c>
      <c r="I1625" t="s">
        <v>754</v>
      </c>
      <c r="J1625">
        <v>1</v>
      </c>
      <c r="K1625">
        <v>182000</v>
      </c>
      <c r="L1625">
        <v>0.05</v>
      </c>
      <c r="M1625">
        <v>128000</v>
      </c>
      <c r="N1625">
        <f>(data[[#This Row],[unit_price]]*data[[#This Row],[quantity]]) * (1-data[[#This Row],[discount]])</f>
        <v>172900</v>
      </c>
      <c r="O1625">
        <f>data[[#This Row],[sales]]-data[[#This Row],[cost]]</f>
        <v>44900</v>
      </c>
      <c r="P1625" t="str">
        <f>TEXT(data[[#This Row],[order_date]],"mmm")</f>
        <v>Mar</v>
      </c>
      <c r="Q1625">
        <f>YEAR(data[[#This Row],[order_date]])</f>
        <v>2025</v>
      </c>
      <c r="R1625">
        <f>MONTH(data[[#This Row],[order_date]])</f>
        <v>3</v>
      </c>
      <c r="S1625">
        <f>DAY(data[[#This Row],[order_date]])</f>
        <v>16</v>
      </c>
      <c r="T1625">
        <f>data[[#This Row],[profit]]/data[[#This Row],[sales]]</f>
        <v>0.25968768074031234</v>
      </c>
    </row>
    <row r="1626" spans="1:20" x14ac:dyDescent="0.35">
      <c r="A1626" t="s">
        <v>1856</v>
      </c>
      <c r="B1626" s="1">
        <v>45740</v>
      </c>
      <c r="C1626" t="s">
        <v>14</v>
      </c>
      <c r="D1626" t="s">
        <v>15</v>
      </c>
      <c r="E1626" t="s">
        <v>270</v>
      </c>
      <c r="F1626" t="s">
        <v>23</v>
      </c>
      <c r="G1626" t="s">
        <v>1815</v>
      </c>
      <c r="H1626" t="s">
        <v>1816</v>
      </c>
      <c r="I1626" t="s">
        <v>754</v>
      </c>
      <c r="J1626">
        <v>1</v>
      </c>
      <c r="K1626">
        <v>190000</v>
      </c>
      <c r="L1626">
        <v>0</v>
      </c>
      <c r="M1626">
        <v>132000</v>
      </c>
      <c r="N1626">
        <f>(data[[#This Row],[unit_price]]*data[[#This Row],[quantity]]) * (1-data[[#This Row],[discount]])</f>
        <v>190000</v>
      </c>
      <c r="O1626">
        <f>data[[#This Row],[sales]]-data[[#This Row],[cost]]</f>
        <v>58000</v>
      </c>
      <c r="P1626" t="str">
        <f>TEXT(data[[#This Row],[order_date]],"mmm")</f>
        <v>Mar</v>
      </c>
      <c r="Q1626">
        <f>YEAR(data[[#This Row],[order_date]])</f>
        <v>2025</v>
      </c>
      <c r="R1626">
        <f>MONTH(data[[#This Row],[order_date]])</f>
        <v>3</v>
      </c>
      <c r="S1626">
        <f>DAY(data[[#This Row],[order_date]])</f>
        <v>24</v>
      </c>
      <c r="T1626">
        <f>data[[#This Row],[profit]]/data[[#This Row],[sales]]</f>
        <v>0.30526315789473685</v>
      </c>
    </row>
    <row r="1627" spans="1:20" x14ac:dyDescent="0.35">
      <c r="A1627" t="s">
        <v>1857</v>
      </c>
      <c r="B1627" s="1">
        <v>45748</v>
      </c>
      <c r="C1627" t="s">
        <v>14</v>
      </c>
      <c r="D1627" t="s">
        <v>15</v>
      </c>
      <c r="E1627" t="s">
        <v>93</v>
      </c>
      <c r="F1627" t="s">
        <v>23</v>
      </c>
      <c r="G1627" t="s">
        <v>1815</v>
      </c>
      <c r="H1627" t="s">
        <v>1816</v>
      </c>
      <c r="I1627" t="s">
        <v>754</v>
      </c>
      <c r="J1627">
        <v>1</v>
      </c>
      <c r="K1627">
        <v>238000</v>
      </c>
      <c r="L1627">
        <v>0.05</v>
      </c>
      <c r="M1627">
        <v>171000</v>
      </c>
      <c r="N1627">
        <f>(data[[#This Row],[unit_price]]*data[[#This Row],[quantity]]) * (1-data[[#This Row],[discount]])</f>
        <v>226100</v>
      </c>
      <c r="O1627">
        <f>data[[#This Row],[sales]]-data[[#This Row],[cost]]</f>
        <v>55100</v>
      </c>
      <c r="P1627" t="str">
        <f>TEXT(data[[#This Row],[order_date]],"mmm")</f>
        <v>Apr</v>
      </c>
      <c r="Q1627">
        <f>YEAR(data[[#This Row],[order_date]])</f>
        <v>2025</v>
      </c>
      <c r="R1627">
        <f>MONTH(data[[#This Row],[order_date]])</f>
        <v>4</v>
      </c>
      <c r="S1627">
        <f>DAY(data[[#This Row],[order_date]])</f>
        <v>1</v>
      </c>
      <c r="T1627">
        <f>data[[#This Row],[profit]]/data[[#This Row],[sales]]</f>
        <v>0.24369747899159663</v>
      </c>
    </row>
    <row r="1628" spans="1:20" x14ac:dyDescent="0.35">
      <c r="A1628" t="s">
        <v>1858</v>
      </c>
      <c r="B1628" s="1">
        <v>45762</v>
      </c>
      <c r="C1628" t="s">
        <v>14</v>
      </c>
      <c r="D1628" t="s">
        <v>15</v>
      </c>
      <c r="E1628" t="s">
        <v>134</v>
      </c>
      <c r="F1628" t="s">
        <v>28</v>
      </c>
      <c r="G1628" t="s">
        <v>1815</v>
      </c>
      <c r="H1628" t="s">
        <v>1816</v>
      </c>
      <c r="I1628" t="s">
        <v>754</v>
      </c>
      <c r="J1628">
        <v>2</v>
      </c>
      <c r="K1628">
        <v>228000</v>
      </c>
      <c r="L1628">
        <v>0</v>
      </c>
      <c r="M1628">
        <v>161000</v>
      </c>
      <c r="N1628">
        <f>(data[[#This Row],[unit_price]]*data[[#This Row],[quantity]]) * (1-data[[#This Row],[discount]])</f>
        <v>456000</v>
      </c>
      <c r="O1628">
        <f>data[[#This Row],[sales]]-data[[#This Row],[cost]]</f>
        <v>295000</v>
      </c>
      <c r="P1628" t="str">
        <f>TEXT(data[[#This Row],[order_date]],"mmm")</f>
        <v>Apr</v>
      </c>
      <c r="Q1628">
        <f>YEAR(data[[#This Row],[order_date]])</f>
        <v>2025</v>
      </c>
      <c r="R1628">
        <f>MONTH(data[[#This Row],[order_date]])</f>
        <v>4</v>
      </c>
      <c r="S1628">
        <f>DAY(data[[#This Row],[order_date]])</f>
        <v>15</v>
      </c>
      <c r="T1628">
        <f>data[[#This Row],[profit]]/data[[#This Row],[sales]]</f>
        <v>0.64692982456140347</v>
      </c>
    </row>
    <row r="1629" spans="1:20" x14ac:dyDescent="0.35">
      <c r="A1629" t="s">
        <v>1859</v>
      </c>
      <c r="B1629" s="1">
        <v>45809</v>
      </c>
      <c r="C1629" t="s">
        <v>25</v>
      </c>
      <c r="D1629" t="s">
        <v>26</v>
      </c>
      <c r="E1629" t="s">
        <v>447</v>
      </c>
      <c r="F1629" t="s">
        <v>23</v>
      </c>
      <c r="G1629" t="s">
        <v>1815</v>
      </c>
      <c r="H1629" t="s">
        <v>1816</v>
      </c>
      <c r="I1629" t="s">
        <v>754</v>
      </c>
      <c r="J1629">
        <v>1</v>
      </c>
      <c r="K1629">
        <v>178000</v>
      </c>
      <c r="L1629">
        <v>0</v>
      </c>
      <c r="M1629">
        <v>125000</v>
      </c>
      <c r="N1629">
        <f>(data[[#This Row],[unit_price]]*data[[#This Row],[quantity]]) * (1-data[[#This Row],[discount]])</f>
        <v>178000</v>
      </c>
      <c r="O1629">
        <f>data[[#This Row],[sales]]-data[[#This Row],[cost]]</f>
        <v>53000</v>
      </c>
      <c r="P1629" t="str">
        <f>TEXT(data[[#This Row],[order_date]],"mmm")</f>
        <v>Jun</v>
      </c>
      <c r="Q1629">
        <f>YEAR(data[[#This Row],[order_date]])</f>
        <v>2025</v>
      </c>
      <c r="R1629">
        <f>MONTH(data[[#This Row],[order_date]])</f>
        <v>6</v>
      </c>
      <c r="S1629">
        <f>DAY(data[[#This Row],[order_date]])</f>
        <v>1</v>
      </c>
      <c r="T1629">
        <f>data[[#This Row],[profit]]/data[[#This Row],[sales]]</f>
        <v>0.29775280898876405</v>
      </c>
    </row>
    <row r="1630" spans="1:20" x14ac:dyDescent="0.35">
      <c r="A1630" t="s">
        <v>1860</v>
      </c>
      <c r="B1630" s="1">
        <v>45843</v>
      </c>
      <c r="C1630" t="s">
        <v>25</v>
      </c>
      <c r="D1630" t="s">
        <v>26</v>
      </c>
      <c r="E1630" t="s">
        <v>553</v>
      </c>
      <c r="F1630" t="s">
        <v>17</v>
      </c>
      <c r="G1630" t="s">
        <v>1815</v>
      </c>
      <c r="H1630" t="s">
        <v>1816</v>
      </c>
      <c r="I1630" t="s">
        <v>754</v>
      </c>
      <c r="J1630">
        <v>5</v>
      </c>
      <c r="K1630">
        <v>199000</v>
      </c>
      <c r="L1630">
        <v>0.05</v>
      </c>
      <c r="M1630">
        <v>141000</v>
      </c>
      <c r="N1630">
        <f>(data[[#This Row],[unit_price]]*data[[#This Row],[quantity]]) * (1-data[[#This Row],[discount]])</f>
        <v>945250</v>
      </c>
      <c r="O1630">
        <f>data[[#This Row],[sales]]-data[[#This Row],[cost]]</f>
        <v>804250</v>
      </c>
      <c r="P1630" t="str">
        <f>TEXT(data[[#This Row],[order_date]],"mmm")</f>
        <v>Jul</v>
      </c>
      <c r="Q1630">
        <f>YEAR(data[[#This Row],[order_date]])</f>
        <v>2025</v>
      </c>
      <c r="R1630">
        <f>MONTH(data[[#This Row],[order_date]])</f>
        <v>7</v>
      </c>
      <c r="S1630">
        <f>DAY(data[[#This Row],[order_date]])</f>
        <v>5</v>
      </c>
      <c r="T1630">
        <f>data[[#This Row],[profit]]/data[[#This Row],[sales]]</f>
        <v>0.8508331129330865</v>
      </c>
    </row>
    <row r="1631" spans="1:20" x14ac:dyDescent="0.35">
      <c r="A1631" t="s">
        <v>1861</v>
      </c>
      <c r="B1631" s="1">
        <v>45847</v>
      </c>
      <c r="C1631" t="s">
        <v>14</v>
      </c>
      <c r="D1631" t="s">
        <v>15</v>
      </c>
      <c r="E1631" t="s">
        <v>191</v>
      </c>
      <c r="F1631" t="s">
        <v>23</v>
      </c>
      <c r="G1631" t="s">
        <v>1815</v>
      </c>
      <c r="H1631" t="s">
        <v>1816</v>
      </c>
      <c r="I1631" t="s">
        <v>754</v>
      </c>
      <c r="J1631">
        <v>1</v>
      </c>
      <c r="K1631">
        <v>206000</v>
      </c>
      <c r="L1631">
        <v>0</v>
      </c>
      <c r="M1631">
        <v>148000</v>
      </c>
      <c r="N1631">
        <f>(data[[#This Row],[unit_price]]*data[[#This Row],[quantity]]) * (1-data[[#This Row],[discount]])</f>
        <v>206000</v>
      </c>
      <c r="O1631">
        <f>data[[#This Row],[sales]]-data[[#This Row],[cost]]</f>
        <v>58000</v>
      </c>
      <c r="P1631" t="str">
        <f>TEXT(data[[#This Row],[order_date]],"mmm")</f>
        <v>Jul</v>
      </c>
      <c r="Q1631">
        <f>YEAR(data[[#This Row],[order_date]])</f>
        <v>2025</v>
      </c>
      <c r="R1631">
        <f>MONTH(data[[#This Row],[order_date]])</f>
        <v>7</v>
      </c>
      <c r="S1631">
        <f>DAY(data[[#This Row],[order_date]])</f>
        <v>9</v>
      </c>
      <c r="T1631">
        <f>data[[#This Row],[profit]]/data[[#This Row],[sales]]</f>
        <v>0.28155339805825241</v>
      </c>
    </row>
    <row r="1632" spans="1:20" x14ac:dyDescent="0.35">
      <c r="A1632" t="s">
        <v>1862</v>
      </c>
      <c r="B1632" s="1">
        <v>45862</v>
      </c>
      <c r="C1632" t="s">
        <v>49</v>
      </c>
      <c r="D1632" t="s">
        <v>50</v>
      </c>
      <c r="E1632" t="s">
        <v>447</v>
      </c>
      <c r="F1632" t="s">
        <v>23</v>
      </c>
      <c r="G1632" t="s">
        <v>1815</v>
      </c>
      <c r="H1632" t="s">
        <v>1816</v>
      </c>
      <c r="I1632" t="s">
        <v>754</v>
      </c>
      <c r="J1632">
        <v>1</v>
      </c>
      <c r="K1632">
        <v>199000</v>
      </c>
      <c r="L1632">
        <v>0.15</v>
      </c>
      <c r="M1632">
        <v>142000</v>
      </c>
      <c r="N1632">
        <f>(data[[#This Row],[unit_price]]*data[[#This Row],[quantity]]) * (1-data[[#This Row],[discount]])</f>
        <v>169150</v>
      </c>
      <c r="O1632">
        <f>data[[#This Row],[sales]]-data[[#This Row],[cost]]</f>
        <v>27150</v>
      </c>
      <c r="P1632" t="str">
        <f>TEXT(data[[#This Row],[order_date]],"mmm")</f>
        <v>Jul</v>
      </c>
      <c r="Q1632">
        <f>YEAR(data[[#This Row],[order_date]])</f>
        <v>2025</v>
      </c>
      <c r="R1632">
        <f>MONTH(data[[#This Row],[order_date]])</f>
        <v>7</v>
      </c>
      <c r="S1632">
        <f>DAY(data[[#This Row],[order_date]])</f>
        <v>24</v>
      </c>
      <c r="T1632">
        <f>data[[#This Row],[profit]]/data[[#This Row],[sales]]</f>
        <v>0.16050842447531777</v>
      </c>
    </row>
    <row r="1633" spans="1:20" x14ac:dyDescent="0.35">
      <c r="A1633" t="s">
        <v>1863</v>
      </c>
      <c r="B1633" s="1">
        <v>45888</v>
      </c>
      <c r="C1633" t="s">
        <v>49</v>
      </c>
      <c r="D1633" t="s">
        <v>50</v>
      </c>
      <c r="E1633" t="s">
        <v>522</v>
      </c>
      <c r="F1633" t="s">
        <v>23</v>
      </c>
      <c r="G1633" t="s">
        <v>1815</v>
      </c>
      <c r="H1633" t="s">
        <v>1816</v>
      </c>
      <c r="I1633" t="s">
        <v>754</v>
      </c>
      <c r="J1633">
        <v>1</v>
      </c>
      <c r="K1633">
        <v>178000</v>
      </c>
      <c r="L1633">
        <v>0</v>
      </c>
      <c r="M1633">
        <v>128000</v>
      </c>
      <c r="N1633">
        <f>(data[[#This Row],[unit_price]]*data[[#This Row],[quantity]]) * (1-data[[#This Row],[discount]])</f>
        <v>178000</v>
      </c>
      <c r="O1633">
        <f>data[[#This Row],[sales]]-data[[#This Row],[cost]]</f>
        <v>50000</v>
      </c>
      <c r="P1633" t="str">
        <f>TEXT(data[[#This Row],[order_date]],"mmm")</f>
        <v>Aug</v>
      </c>
      <c r="Q1633">
        <f>YEAR(data[[#This Row],[order_date]])</f>
        <v>2025</v>
      </c>
      <c r="R1633">
        <f>MONTH(data[[#This Row],[order_date]])</f>
        <v>8</v>
      </c>
      <c r="S1633">
        <f>DAY(data[[#This Row],[order_date]])</f>
        <v>19</v>
      </c>
      <c r="T1633">
        <f>data[[#This Row],[profit]]/data[[#This Row],[sales]]</f>
        <v>0.2808988764044944</v>
      </c>
    </row>
    <row r="1634" spans="1:20" x14ac:dyDescent="0.35">
      <c r="A1634" t="s">
        <v>1864</v>
      </c>
      <c r="B1634" s="1">
        <v>45892</v>
      </c>
      <c r="C1634" t="s">
        <v>49</v>
      </c>
      <c r="D1634" t="s">
        <v>50</v>
      </c>
      <c r="E1634" t="s">
        <v>108</v>
      </c>
      <c r="F1634" t="s">
        <v>23</v>
      </c>
      <c r="G1634" t="s">
        <v>1815</v>
      </c>
      <c r="H1634" t="s">
        <v>1816</v>
      </c>
      <c r="I1634" t="s">
        <v>754</v>
      </c>
      <c r="J1634">
        <v>1</v>
      </c>
      <c r="K1634">
        <v>255000</v>
      </c>
      <c r="L1634">
        <v>0</v>
      </c>
      <c r="M1634">
        <v>177000</v>
      </c>
      <c r="N1634">
        <f>(data[[#This Row],[unit_price]]*data[[#This Row],[quantity]]) * (1-data[[#This Row],[discount]])</f>
        <v>255000</v>
      </c>
      <c r="O1634">
        <f>data[[#This Row],[sales]]-data[[#This Row],[cost]]</f>
        <v>78000</v>
      </c>
      <c r="P1634" t="str">
        <f>TEXT(data[[#This Row],[order_date]],"mmm")</f>
        <v>Aug</v>
      </c>
      <c r="Q1634">
        <f>YEAR(data[[#This Row],[order_date]])</f>
        <v>2025</v>
      </c>
      <c r="R1634">
        <f>MONTH(data[[#This Row],[order_date]])</f>
        <v>8</v>
      </c>
      <c r="S1634">
        <f>DAY(data[[#This Row],[order_date]])</f>
        <v>23</v>
      </c>
      <c r="T1634">
        <f>data[[#This Row],[profit]]/data[[#This Row],[sales]]</f>
        <v>0.30588235294117649</v>
      </c>
    </row>
    <row r="1635" spans="1:20" x14ac:dyDescent="0.35">
      <c r="A1635" t="s">
        <v>1865</v>
      </c>
      <c r="B1635" s="1">
        <v>45921</v>
      </c>
      <c r="C1635" t="s">
        <v>14</v>
      </c>
      <c r="D1635" t="s">
        <v>15</v>
      </c>
      <c r="E1635" t="s">
        <v>61</v>
      </c>
      <c r="F1635" t="s">
        <v>23</v>
      </c>
      <c r="G1635" t="s">
        <v>1815</v>
      </c>
      <c r="H1635" t="s">
        <v>1816</v>
      </c>
      <c r="I1635" t="s">
        <v>754</v>
      </c>
      <c r="J1635">
        <v>5</v>
      </c>
      <c r="K1635">
        <v>132000</v>
      </c>
      <c r="L1635">
        <v>0</v>
      </c>
      <c r="M1635">
        <v>94000</v>
      </c>
      <c r="N1635">
        <f>(data[[#This Row],[unit_price]]*data[[#This Row],[quantity]]) * (1-data[[#This Row],[discount]])</f>
        <v>660000</v>
      </c>
      <c r="O1635">
        <f>data[[#This Row],[sales]]-data[[#This Row],[cost]]</f>
        <v>566000</v>
      </c>
      <c r="P1635" t="str">
        <f>TEXT(data[[#This Row],[order_date]],"mmm")</f>
        <v>Sep</v>
      </c>
      <c r="Q1635">
        <f>YEAR(data[[#This Row],[order_date]])</f>
        <v>2025</v>
      </c>
      <c r="R1635">
        <f>MONTH(data[[#This Row],[order_date]])</f>
        <v>9</v>
      </c>
      <c r="S1635">
        <f>DAY(data[[#This Row],[order_date]])</f>
        <v>21</v>
      </c>
      <c r="T1635">
        <f>data[[#This Row],[profit]]/data[[#This Row],[sales]]</f>
        <v>0.85757575757575755</v>
      </c>
    </row>
    <row r="1636" spans="1:20" x14ac:dyDescent="0.35">
      <c r="A1636" t="s">
        <v>1866</v>
      </c>
      <c r="B1636" s="1">
        <v>45933</v>
      </c>
      <c r="C1636" t="s">
        <v>14</v>
      </c>
      <c r="D1636" t="s">
        <v>15</v>
      </c>
      <c r="E1636" t="s">
        <v>141</v>
      </c>
      <c r="F1636" t="s">
        <v>17</v>
      </c>
      <c r="G1636" t="s">
        <v>1815</v>
      </c>
      <c r="H1636" t="s">
        <v>1816</v>
      </c>
      <c r="I1636" t="s">
        <v>754</v>
      </c>
      <c r="J1636">
        <v>1</v>
      </c>
      <c r="K1636">
        <v>153000</v>
      </c>
      <c r="L1636">
        <v>0</v>
      </c>
      <c r="M1636">
        <v>107000</v>
      </c>
      <c r="N1636">
        <f>(data[[#This Row],[unit_price]]*data[[#This Row],[quantity]]) * (1-data[[#This Row],[discount]])</f>
        <v>153000</v>
      </c>
      <c r="O1636">
        <f>data[[#This Row],[sales]]-data[[#This Row],[cost]]</f>
        <v>46000</v>
      </c>
      <c r="P1636" t="str">
        <f>TEXT(data[[#This Row],[order_date]],"mmm")</f>
        <v>Oct</v>
      </c>
      <c r="Q1636">
        <f>YEAR(data[[#This Row],[order_date]])</f>
        <v>2025</v>
      </c>
      <c r="R1636">
        <f>MONTH(data[[#This Row],[order_date]])</f>
        <v>10</v>
      </c>
      <c r="S1636">
        <f>DAY(data[[#This Row],[order_date]])</f>
        <v>3</v>
      </c>
      <c r="T1636">
        <f>data[[#This Row],[profit]]/data[[#This Row],[sales]]</f>
        <v>0.30065359477124182</v>
      </c>
    </row>
    <row r="1637" spans="1:20" x14ac:dyDescent="0.35">
      <c r="A1637" t="s">
        <v>1867</v>
      </c>
      <c r="B1637" s="1">
        <v>45938</v>
      </c>
      <c r="C1637" t="s">
        <v>49</v>
      </c>
      <c r="D1637" t="s">
        <v>50</v>
      </c>
      <c r="E1637" t="s">
        <v>121</v>
      </c>
      <c r="F1637" t="s">
        <v>23</v>
      </c>
      <c r="G1637" t="s">
        <v>1815</v>
      </c>
      <c r="H1637" t="s">
        <v>1816</v>
      </c>
      <c r="I1637" t="s">
        <v>754</v>
      </c>
      <c r="J1637">
        <v>1</v>
      </c>
      <c r="K1637">
        <v>226000</v>
      </c>
      <c r="L1637">
        <v>0</v>
      </c>
      <c r="M1637">
        <v>161000</v>
      </c>
      <c r="N1637">
        <f>(data[[#This Row],[unit_price]]*data[[#This Row],[quantity]]) * (1-data[[#This Row],[discount]])</f>
        <v>226000</v>
      </c>
      <c r="O1637">
        <f>data[[#This Row],[sales]]-data[[#This Row],[cost]]</f>
        <v>65000</v>
      </c>
      <c r="P1637" t="str">
        <f>TEXT(data[[#This Row],[order_date]],"mmm")</f>
        <v>Oct</v>
      </c>
      <c r="Q1637">
        <f>YEAR(data[[#This Row],[order_date]])</f>
        <v>2025</v>
      </c>
      <c r="R1637">
        <f>MONTH(data[[#This Row],[order_date]])</f>
        <v>10</v>
      </c>
      <c r="S1637">
        <f>DAY(data[[#This Row],[order_date]])</f>
        <v>8</v>
      </c>
      <c r="T1637">
        <f>data[[#This Row],[profit]]/data[[#This Row],[sales]]</f>
        <v>0.28761061946902655</v>
      </c>
    </row>
    <row r="1638" spans="1:20" x14ac:dyDescent="0.35">
      <c r="A1638" t="s">
        <v>1868</v>
      </c>
      <c r="B1638" s="1">
        <v>45959</v>
      </c>
      <c r="C1638" t="s">
        <v>14</v>
      </c>
      <c r="D1638" t="s">
        <v>15</v>
      </c>
      <c r="E1638" t="s">
        <v>598</v>
      </c>
      <c r="F1638" t="s">
        <v>23</v>
      </c>
      <c r="G1638" t="s">
        <v>1815</v>
      </c>
      <c r="H1638" t="s">
        <v>1816</v>
      </c>
      <c r="I1638" t="s">
        <v>754</v>
      </c>
      <c r="J1638">
        <v>1</v>
      </c>
      <c r="K1638">
        <v>186000</v>
      </c>
      <c r="L1638">
        <v>0.05</v>
      </c>
      <c r="M1638">
        <v>127000</v>
      </c>
      <c r="N1638">
        <f>(data[[#This Row],[unit_price]]*data[[#This Row],[quantity]]) * (1-data[[#This Row],[discount]])</f>
        <v>176700</v>
      </c>
      <c r="O1638">
        <f>data[[#This Row],[sales]]-data[[#This Row],[cost]]</f>
        <v>49700</v>
      </c>
      <c r="P1638" t="str">
        <f>TEXT(data[[#This Row],[order_date]],"mmm")</f>
        <v>Oct</v>
      </c>
      <c r="Q1638">
        <f>YEAR(data[[#This Row],[order_date]])</f>
        <v>2025</v>
      </c>
      <c r="R1638">
        <f>MONTH(data[[#This Row],[order_date]])</f>
        <v>10</v>
      </c>
      <c r="S1638">
        <f>DAY(data[[#This Row],[order_date]])</f>
        <v>29</v>
      </c>
      <c r="T1638">
        <f>data[[#This Row],[profit]]/data[[#This Row],[sales]]</f>
        <v>0.28126768534238822</v>
      </c>
    </row>
    <row r="1639" spans="1:20" x14ac:dyDescent="0.35">
      <c r="A1639" t="s">
        <v>1869</v>
      </c>
      <c r="B1639" s="1">
        <v>46008</v>
      </c>
      <c r="C1639" t="s">
        <v>14</v>
      </c>
      <c r="D1639" t="s">
        <v>15</v>
      </c>
      <c r="E1639" t="s">
        <v>113</v>
      </c>
      <c r="F1639" t="s">
        <v>23</v>
      </c>
      <c r="G1639" t="s">
        <v>1815</v>
      </c>
      <c r="H1639" t="s">
        <v>1816</v>
      </c>
      <c r="I1639" t="s">
        <v>754</v>
      </c>
      <c r="J1639">
        <v>1</v>
      </c>
      <c r="K1639">
        <v>149000</v>
      </c>
      <c r="L1639">
        <v>0</v>
      </c>
      <c r="M1639">
        <v>107000</v>
      </c>
      <c r="N1639">
        <f>(data[[#This Row],[unit_price]]*data[[#This Row],[quantity]]) * (1-data[[#This Row],[discount]])</f>
        <v>149000</v>
      </c>
      <c r="O1639">
        <f>data[[#This Row],[sales]]-data[[#This Row],[cost]]</f>
        <v>42000</v>
      </c>
      <c r="P1639" t="str">
        <f>TEXT(data[[#This Row],[order_date]],"mmm")</f>
        <v>Dec</v>
      </c>
      <c r="Q1639">
        <f>YEAR(data[[#This Row],[order_date]])</f>
        <v>2025</v>
      </c>
      <c r="R1639">
        <f>MONTH(data[[#This Row],[order_date]])</f>
        <v>12</v>
      </c>
      <c r="S1639">
        <f>DAY(data[[#This Row],[order_date]])</f>
        <v>17</v>
      </c>
      <c r="T1639">
        <f>data[[#This Row],[profit]]/data[[#This Row],[sales]]</f>
        <v>0.28187919463087246</v>
      </c>
    </row>
    <row r="1640" spans="1:20" x14ac:dyDescent="0.35">
      <c r="A1640" t="s">
        <v>1870</v>
      </c>
      <c r="B1640" s="1">
        <v>46045</v>
      </c>
      <c r="C1640" t="s">
        <v>14</v>
      </c>
      <c r="D1640" t="s">
        <v>15</v>
      </c>
      <c r="E1640" t="s">
        <v>216</v>
      </c>
      <c r="F1640" t="s">
        <v>17</v>
      </c>
      <c r="G1640" t="s">
        <v>1815</v>
      </c>
      <c r="H1640" t="s">
        <v>1816</v>
      </c>
      <c r="I1640" t="s">
        <v>754</v>
      </c>
      <c r="J1640">
        <v>1</v>
      </c>
      <c r="K1640">
        <v>141000</v>
      </c>
      <c r="L1640">
        <v>0</v>
      </c>
      <c r="M1640">
        <v>96000</v>
      </c>
      <c r="N1640">
        <f>(data[[#This Row],[unit_price]]*data[[#This Row],[quantity]]) * (1-data[[#This Row],[discount]])</f>
        <v>141000</v>
      </c>
      <c r="O1640">
        <f>data[[#This Row],[sales]]-data[[#This Row],[cost]]</f>
        <v>45000</v>
      </c>
      <c r="P1640" t="str">
        <f>TEXT(data[[#This Row],[order_date]],"mmm")</f>
        <v>Jan</v>
      </c>
      <c r="Q1640">
        <f>YEAR(data[[#This Row],[order_date]])</f>
        <v>2026</v>
      </c>
      <c r="R1640">
        <f>MONTH(data[[#This Row],[order_date]])</f>
        <v>1</v>
      </c>
      <c r="S1640">
        <f>DAY(data[[#This Row],[order_date]])</f>
        <v>23</v>
      </c>
      <c r="T1640">
        <f>data[[#This Row],[profit]]/data[[#This Row],[sales]]</f>
        <v>0.31914893617021278</v>
      </c>
    </row>
    <row r="1641" spans="1:20" x14ac:dyDescent="0.35">
      <c r="A1641" t="s">
        <v>1871</v>
      </c>
      <c r="B1641" s="1">
        <v>46047</v>
      </c>
      <c r="C1641" t="s">
        <v>14</v>
      </c>
      <c r="D1641" t="s">
        <v>15</v>
      </c>
      <c r="E1641" t="s">
        <v>522</v>
      </c>
      <c r="F1641" t="s">
        <v>23</v>
      </c>
      <c r="G1641" t="s">
        <v>1815</v>
      </c>
      <c r="H1641" t="s">
        <v>1816</v>
      </c>
      <c r="I1641" t="s">
        <v>754</v>
      </c>
      <c r="J1641">
        <v>1</v>
      </c>
      <c r="K1641">
        <v>165000</v>
      </c>
      <c r="L1641">
        <v>0</v>
      </c>
      <c r="M1641">
        <v>116000</v>
      </c>
      <c r="N1641">
        <f>(data[[#This Row],[unit_price]]*data[[#This Row],[quantity]]) * (1-data[[#This Row],[discount]])</f>
        <v>165000</v>
      </c>
      <c r="O1641">
        <f>data[[#This Row],[sales]]-data[[#This Row],[cost]]</f>
        <v>49000</v>
      </c>
      <c r="P1641" t="str">
        <f>TEXT(data[[#This Row],[order_date]],"mmm")</f>
        <v>Jan</v>
      </c>
      <c r="Q1641">
        <f>YEAR(data[[#This Row],[order_date]])</f>
        <v>2026</v>
      </c>
      <c r="R1641">
        <f>MONTH(data[[#This Row],[order_date]])</f>
        <v>1</v>
      </c>
      <c r="S1641">
        <f>DAY(data[[#This Row],[order_date]])</f>
        <v>25</v>
      </c>
      <c r="T1641" s="3">
        <f>data[[#This Row],[profit]]/data[[#This Row],[sales]]</f>
        <v>0.29696969696969699</v>
      </c>
    </row>
    <row r="1642" spans="1:20" x14ac:dyDescent="0.35">
      <c r="A1642" t="s">
        <v>1872</v>
      </c>
      <c r="B1642" s="1">
        <v>46062</v>
      </c>
      <c r="C1642" t="s">
        <v>41</v>
      </c>
      <c r="D1642" t="s">
        <v>42</v>
      </c>
      <c r="E1642" t="s">
        <v>27</v>
      </c>
      <c r="F1642" t="s">
        <v>28</v>
      </c>
      <c r="G1642" t="s">
        <v>1815</v>
      </c>
      <c r="H1642" t="s">
        <v>1816</v>
      </c>
      <c r="I1642" t="s">
        <v>754</v>
      </c>
      <c r="J1642">
        <v>1</v>
      </c>
      <c r="K1642">
        <v>191000</v>
      </c>
      <c r="L1642">
        <v>0</v>
      </c>
      <c r="M1642">
        <v>132000</v>
      </c>
      <c r="N1642">
        <f>(data[[#This Row],[unit_price]]*data[[#This Row],[quantity]]) * (1-data[[#This Row],[discount]])</f>
        <v>191000</v>
      </c>
      <c r="O1642">
        <f>data[[#This Row],[sales]]-data[[#This Row],[cost]]</f>
        <v>59000</v>
      </c>
      <c r="P1642" t="str">
        <f>TEXT(data[[#This Row],[order_date]],"mmm")</f>
        <v>Feb</v>
      </c>
      <c r="Q1642">
        <f>YEAR(data[[#This Row],[order_date]])</f>
        <v>2026</v>
      </c>
      <c r="R1642">
        <f>MONTH(data[[#This Row],[order_date]])</f>
        <v>2</v>
      </c>
      <c r="S1642">
        <f>DAY(data[[#This Row],[order_date]])</f>
        <v>9</v>
      </c>
      <c r="T1642">
        <f>data[[#This Row],[profit]]/data[[#This Row],[sales]]</f>
        <v>0.30890052356020942</v>
      </c>
    </row>
    <row r="1643" spans="1:20" x14ac:dyDescent="0.35">
      <c r="A1643" t="s">
        <v>1873</v>
      </c>
      <c r="B1643" s="1">
        <v>46106</v>
      </c>
      <c r="C1643" t="s">
        <v>14</v>
      </c>
      <c r="D1643" t="s">
        <v>15</v>
      </c>
      <c r="E1643" t="s">
        <v>419</v>
      </c>
      <c r="F1643" t="s">
        <v>17</v>
      </c>
      <c r="G1643" t="s">
        <v>1815</v>
      </c>
      <c r="H1643" t="s">
        <v>1816</v>
      </c>
      <c r="I1643" t="s">
        <v>754</v>
      </c>
      <c r="J1643">
        <v>1</v>
      </c>
      <c r="K1643">
        <v>224000</v>
      </c>
      <c r="L1643">
        <v>0.05</v>
      </c>
      <c r="M1643">
        <v>153000</v>
      </c>
      <c r="N1643">
        <f>(data[[#This Row],[unit_price]]*data[[#This Row],[quantity]]) * (1-data[[#This Row],[discount]])</f>
        <v>212800</v>
      </c>
      <c r="O1643">
        <f>data[[#This Row],[sales]]-data[[#This Row],[cost]]</f>
        <v>59800</v>
      </c>
      <c r="P1643" t="str">
        <f>TEXT(data[[#This Row],[order_date]],"mmm")</f>
        <v>Mar</v>
      </c>
      <c r="Q1643">
        <f>YEAR(data[[#This Row],[order_date]])</f>
        <v>2026</v>
      </c>
      <c r="R1643">
        <f>MONTH(data[[#This Row],[order_date]])</f>
        <v>3</v>
      </c>
      <c r="S1643">
        <f>DAY(data[[#This Row],[order_date]])</f>
        <v>25</v>
      </c>
      <c r="T1643">
        <f>data[[#This Row],[profit]]/data[[#This Row],[sales]]</f>
        <v>0.28101503759398494</v>
      </c>
    </row>
    <row r="1644" spans="1:20" x14ac:dyDescent="0.35">
      <c r="A1644" t="s">
        <v>1874</v>
      </c>
      <c r="B1644" s="1">
        <v>46143</v>
      </c>
      <c r="C1644" t="s">
        <v>14</v>
      </c>
      <c r="D1644" t="s">
        <v>15</v>
      </c>
      <c r="E1644" t="s">
        <v>239</v>
      </c>
      <c r="F1644" t="s">
        <v>23</v>
      </c>
      <c r="G1644" t="s">
        <v>1815</v>
      </c>
      <c r="H1644" t="s">
        <v>1816</v>
      </c>
      <c r="I1644" t="s">
        <v>754</v>
      </c>
      <c r="J1644">
        <v>1</v>
      </c>
      <c r="K1644">
        <v>173000</v>
      </c>
      <c r="L1644">
        <v>0.05</v>
      </c>
      <c r="M1644">
        <v>124000</v>
      </c>
      <c r="N1644">
        <f>(data[[#This Row],[unit_price]]*data[[#This Row],[quantity]]) * (1-data[[#This Row],[discount]])</f>
        <v>164350</v>
      </c>
      <c r="O1644">
        <f>data[[#This Row],[sales]]-data[[#This Row],[cost]]</f>
        <v>40350</v>
      </c>
      <c r="P1644" t="str">
        <f>TEXT(data[[#This Row],[order_date]],"mmm")</f>
        <v>May</v>
      </c>
      <c r="Q1644">
        <f>YEAR(data[[#This Row],[order_date]])</f>
        <v>2026</v>
      </c>
      <c r="R1644">
        <f>MONTH(data[[#This Row],[order_date]])</f>
        <v>5</v>
      </c>
      <c r="S1644">
        <f>DAY(data[[#This Row],[order_date]])</f>
        <v>1</v>
      </c>
      <c r="T1644">
        <f>data[[#This Row],[profit]]/data[[#This Row],[sales]]</f>
        <v>0.24551262549437178</v>
      </c>
    </row>
    <row r="1645" spans="1:20" x14ac:dyDescent="0.35">
      <c r="A1645" t="s">
        <v>1875</v>
      </c>
      <c r="B1645" s="1">
        <v>46153</v>
      </c>
      <c r="C1645" t="s">
        <v>41</v>
      </c>
      <c r="D1645" t="s">
        <v>42</v>
      </c>
      <c r="E1645" t="s">
        <v>65</v>
      </c>
      <c r="F1645" t="s">
        <v>17</v>
      </c>
      <c r="G1645" t="s">
        <v>1815</v>
      </c>
      <c r="H1645" t="s">
        <v>1816</v>
      </c>
      <c r="I1645" t="s">
        <v>754</v>
      </c>
      <c r="J1645">
        <v>1</v>
      </c>
      <c r="K1645">
        <v>270000</v>
      </c>
      <c r="L1645">
        <v>0</v>
      </c>
      <c r="M1645">
        <v>194000</v>
      </c>
      <c r="N1645">
        <f>(data[[#This Row],[unit_price]]*data[[#This Row],[quantity]]) * (1-data[[#This Row],[discount]])</f>
        <v>270000</v>
      </c>
      <c r="O1645">
        <f>data[[#This Row],[sales]]-data[[#This Row],[cost]]</f>
        <v>76000</v>
      </c>
      <c r="P1645" t="str">
        <f>TEXT(data[[#This Row],[order_date]],"mmm")</f>
        <v>May</v>
      </c>
      <c r="Q1645">
        <f>YEAR(data[[#This Row],[order_date]])</f>
        <v>2026</v>
      </c>
      <c r="R1645">
        <f>MONTH(data[[#This Row],[order_date]])</f>
        <v>5</v>
      </c>
      <c r="S1645">
        <f>DAY(data[[#This Row],[order_date]])</f>
        <v>11</v>
      </c>
      <c r="T1645">
        <f>data[[#This Row],[profit]]/data[[#This Row],[sales]]</f>
        <v>0.2814814814814815</v>
      </c>
    </row>
    <row r="1646" spans="1:20" x14ac:dyDescent="0.35">
      <c r="A1646" t="s">
        <v>1876</v>
      </c>
      <c r="B1646" s="1">
        <v>46188</v>
      </c>
      <c r="C1646" t="s">
        <v>49</v>
      </c>
      <c r="D1646" t="s">
        <v>50</v>
      </c>
      <c r="E1646" t="s">
        <v>216</v>
      </c>
      <c r="F1646" t="s">
        <v>17</v>
      </c>
      <c r="G1646" t="s">
        <v>1815</v>
      </c>
      <c r="H1646" t="s">
        <v>1816</v>
      </c>
      <c r="I1646" t="s">
        <v>754</v>
      </c>
      <c r="J1646">
        <v>1</v>
      </c>
      <c r="K1646">
        <v>236000</v>
      </c>
      <c r="L1646">
        <v>0</v>
      </c>
      <c r="M1646">
        <v>168000</v>
      </c>
      <c r="N1646">
        <f>(data[[#This Row],[unit_price]]*data[[#This Row],[quantity]]) * (1-data[[#This Row],[discount]])</f>
        <v>236000</v>
      </c>
      <c r="O1646">
        <f>data[[#This Row],[sales]]-data[[#This Row],[cost]]</f>
        <v>68000</v>
      </c>
      <c r="P1646" t="str">
        <f>TEXT(data[[#This Row],[order_date]],"mmm")</f>
        <v>Jun</v>
      </c>
      <c r="Q1646">
        <f>YEAR(data[[#This Row],[order_date]])</f>
        <v>2026</v>
      </c>
      <c r="R1646">
        <f>MONTH(data[[#This Row],[order_date]])</f>
        <v>6</v>
      </c>
      <c r="S1646">
        <f>DAY(data[[#This Row],[order_date]])</f>
        <v>15</v>
      </c>
      <c r="T1646">
        <f>data[[#This Row],[profit]]/data[[#This Row],[sales]]</f>
        <v>0.28813559322033899</v>
      </c>
    </row>
    <row r="1647" spans="1:20" x14ac:dyDescent="0.35">
      <c r="A1647" t="s">
        <v>1877</v>
      </c>
      <c r="B1647" s="1">
        <v>46197</v>
      </c>
      <c r="C1647" t="s">
        <v>14</v>
      </c>
      <c r="D1647" t="s">
        <v>15</v>
      </c>
      <c r="E1647" t="s">
        <v>186</v>
      </c>
      <c r="F1647" t="s">
        <v>23</v>
      </c>
      <c r="G1647" t="s">
        <v>1815</v>
      </c>
      <c r="H1647" t="s">
        <v>1816</v>
      </c>
      <c r="I1647" t="s">
        <v>754</v>
      </c>
      <c r="J1647">
        <v>1</v>
      </c>
      <c r="K1647">
        <v>147000</v>
      </c>
      <c r="L1647">
        <v>0</v>
      </c>
      <c r="M1647">
        <v>101000</v>
      </c>
      <c r="N1647">
        <f>(data[[#This Row],[unit_price]]*data[[#This Row],[quantity]]) * (1-data[[#This Row],[discount]])</f>
        <v>147000</v>
      </c>
      <c r="O1647">
        <f>data[[#This Row],[sales]]-data[[#This Row],[cost]]</f>
        <v>46000</v>
      </c>
      <c r="P1647" t="str">
        <f>TEXT(data[[#This Row],[order_date]],"mmm")</f>
        <v>Jun</v>
      </c>
      <c r="Q1647">
        <f>YEAR(data[[#This Row],[order_date]])</f>
        <v>2026</v>
      </c>
      <c r="R1647">
        <f>MONTH(data[[#This Row],[order_date]])</f>
        <v>6</v>
      </c>
      <c r="S1647">
        <f>DAY(data[[#This Row],[order_date]])</f>
        <v>24</v>
      </c>
      <c r="T1647">
        <f>data[[#This Row],[profit]]/data[[#This Row],[sales]]</f>
        <v>0.31292517006802723</v>
      </c>
    </row>
    <row r="1648" spans="1:20" x14ac:dyDescent="0.35">
      <c r="A1648" t="s">
        <v>1878</v>
      </c>
      <c r="B1648" s="1">
        <v>44977</v>
      </c>
      <c r="C1648" t="s">
        <v>14</v>
      </c>
      <c r="D1648" t="s">
        <v>15</v>
      </c>
      <c r="E1648" t="s">
        <v>489</v>
      </c>
      <c r="F1648" t="s">
        <v>17</v>
      </c>
      <c r="G1648" t="s">
        <v>1879</v>
      </c>
      <c r="H1648" t="s">
        <v>1880</v>
      </c>
      <c r="I1648" t="s">
        <v>20</v>
      </c>
      <c r="J1648">
        <v>1</v>
      </c>
      <c r="K1648">
        <v>481000</v>
      </c>
      <c r="L1648">
        <v>0</v>
      </c>
      <c r="M1648">
        <v>347000</v>
      </c>
      <c r="N1648">
        <f>(data[[#This Row],[unit_price]]*data[[#This Row],[quantity]]) * (1-data[[#This Row],[discount]])</f>
        <v>481000</v>
      </c>
      <c r="O1648">
        <f>data[[#This Row],[sales]]-data[[#This Row],[cost]]</f>
        <v>134000</v>
      </c>
      <c r="P1648" t="str">
        <f>TEXT(data[[#This Row],[order_date]],"mmm")</f>
        <v>Feb</v>
      </c>
      <c r="Q1648">
        <f>YEAR(data[[#This Row],[order_date]])</f>
        <v>2023</v>
      </c>
      <c r="R1648">
        <f>MONTH(data[[#This Row],[order_date]])</f>
        <v>2</v>
      </c>
      <c r="S1648">
        <f>DAY(data[[#This Row],[order_date]])</f>
        <v>20</v>
      </c>
      <c r="T1648">
        <f>data[[#This Row],[profit]]/data[[#This Row],[sales]]</f>
        <v>0.2785862785862786</v>
      </c>
    </row>
    <row r="1649" spans="1:20" x14ac:dyDescent="0.35">
      <c r="A1649" t="s">
        <v>1881</v>
      </c>
      <c r="B1649" s="1">
        <v>45033</v>
      </c>
      <c r="C1649" t="s">
        <v>36</v>
      </c>
      <c r="D1649" t="s">
        <v>37</v>
      </c>
      <c r="E1649" t="s">
        <v>43</v>
      </c>
      <c r="F1649" t="s">
        <v>17</v>
      </c>
      <c r="G1649" t="s">
        <v>1879</v>
      </c>
      <c r="H1649" t="s">
        <v>1880</v>
      </c>
      <c r="I1649" t="s">
        <v>20</v>
      </c>
      <c r="J1649">
        <v>3</v>
      </c>
      <c r="K1649">
        <v>415000</v>
      </c>
      <c r="L1649">
        <v>0</v>
      </c>
      <c r="M1649">
        <v>301000</v>
      </c>
      <c r="N1649">
        <f>(data[[#This Row],[unit_price]]*data[[#This Row],[quantity]]) * (1-data[[#This Row],[discount]])</f>
        <v>1245000</v>
      </c>
      <c r="O1649">
        <f>data[[#This Row],[sales]]-data[[#This Row],[cost]]</f>
        <v>944000</v>
      </c>
      <c r="P1649" t="str">
        <f>TEXT(data[[#This Row],[order_date]],"mmm")</f>
        <v>Apr</v>
      </c>
      <c r="Q1649">
        <f>YEAR(data[[#This Row],[order_date]])</f>
        <v>2023</v>
      </c>
      <c r="R1649">
        <f>MONTH(data[[#This Row],[order_date]])</f>
        <v>4</v>
      </c>
      <c r="S1649">
        <f>DAY(data[[#This Row],[order_date]])</f>
        <v>17</v>
      </c>
      <c r="T1649">
        <f>data[[#This Row],[profit]]/data[[#This Row],[sales]]</f>
        <v>0.75823293172690764</v>
      </c>
    </row>
    <row r="1650" spans="1:20" x14ac:dyDescent="0.35">
      <c r="A1650" t="s">
        <v>1882</v>
      </c>
      <c r="B1650" s="1">
        <v>45039</v>
      </c>
      <c r="C1650" t="s">
        <v>41</v>
      </c>
      <c r="D1650" t="s">
        <v>42</v>
      </c>
      <c r="E1650" t="s">
        <v>179</v>
      </c>
      <c r="F1650" t="s">
        <v>23</v>
      </c>
      <c r="G1650" t="s">
        <v>1879</v>
      </c>
      <c r="H1650" t="s">
        <v>1880</v>
      </c>
      <c r="I1650" t="s">
        <v>20</v>
      </c>
      <c r="J1650">
        <v>1</v>
      </c>
      <c r="K1650">
        <v>501000</v>
      </c>
      <c r="L1650">
        <v>0</v>
      </c>
      <c r="M1650">
        <v>363000</v>
      </c>
      <c r="N1650">
        <f>(data[[#This Row],[unit_price]]*data[[#This Row],[quantity]]) * (1-data[[#This Row],[discount]])</f>
        <v>501000</v>
      </c>
      <c r="O1650">
        <f>data[[#This Row],[sales]]-data[[#This Row],[cost]]</f>
        <v>138000</v>
      </c>
      <c r="P1650" t="str">
        <f>TEXT(data[[#This Row],[order_date]],"mmm")</f>
        <v>Apr</v>
      </c>
      <c r="Q1650">
        <f>YEAR(data[[#This Row],[order_date]])</f>
        <v>2023</v>
      </c>
      <c r="R1650">
        <f>MONTH(data[[#This Row],[order_date]])</f>
        <v>4</v>
      </c>
      <c r="S1650">
        <f>DAY(data[[#This Row],[order_date]])</f>
        <v>23</v>
      </c>
      <c r="T1650">
        <f>data[[#This Row],[profit]]/data[[#This Row],[sales]]</f>
        <v>0.27544910179640719</v>
      </c>
    </row>
    <row r="1651" spans="1:20" x14ac:dyDescent="0.35">
      <c r="A1651" t="s">
        <v>1883</v>
      </c>
      <c r="B1651" s="1">
        <v>45093</v>
      </c>
      <c r="C1651" t="s">
        <v>14</v>
      </c>
      <c r="D1651" t="s">
        <v>15</v>
      </c>
      <c r="E1651" t="s">
        <v>119</v>
      </c>
      <c r="F1651" t="s">
        <v>23</v>
      </c>
      <c r="G1651" t="s">
        <v>1879</v>
      </c>
      <c r="H1651" t="s">
        <v>1880</v>
      </c>
      <c r="I1651" t="s">
        <v>20</v>
      </c>
      <c r="J1651">
        <v>2</v>
      </c>
      <c r="K1651">
        <v>441000</v>
      </c>
      <c r="L1651">
        <v>0</v>
      </c>
      <c r="M1651">
        <v>314000</v>
      </c>
      <c r="N1651">
        <f>(data[[#This Row],[unit_price]]*data[[#This Row],[quantity]]) * (1-data[[#This Row],[discount]])</f>
        <v>882000</v>
      </c>
      <c r="O1651">
        <f>data[[#This Row],[sales]]-data[[#This Row],[cost]]</f>
        <v>568000</v>
      </c>
      <c r="P1651" t="str">
        <f>TEXT(data[[#This Row],[order_date]],"mmm")</f>
        <v>Jun</v>
      </c>
      <c r="Q1651">
        <f>YEAR(data[[#This Row],[order_date]])</f>
        <v>2023</v>
      </c>
      <c r="R1651">
        <f>MONTH(data[[#This Row],[order_date]])</f>
        <v>6</v>
      </c>
      <c r="S1651">
        <f>DAY(data[[#This Row],[order_date]])</f>
        <v>16</v>
      </c>
      <c r="T1651">
        <f>data[[#This Row],[profit]]/data[[#This Row],[sales]]</f>
        <v>0.64399092970521543</v>
      </c>
    </row>
    <row r="1652" spans="1:20" x14ac:dyDescent="0.35">
      <c r="A1652" t="s">
        <v>1884</v>
      </c>
      <c r="B1652" s="1">
        <v>45100</v>
      </c>
      <c r="C1652" t="s">
        <v>14</v>
      </c>
      <c r="D1652" t="s">
        <v>15</v>
      </c>
      <c r="E1652" t="s">
        <v>61</v>
      </c>
      <c r="F1652" t="s">
        <v>23</v>
      </c>
      <c r="G1652" t="s">
        <v>1879</v>
      </c>
      <c r="H1652" t="s">
        <v>1880</v>
      </c>
      <c r="I1652" t="s">
        <v>20</v>
      </c>
      <c r="J1652">
        <v>1</v>
      </c>
      <c r="K1652">
        <v>544000</v>
      </c>
      <c r="L1652">
        <v>0</v>
      </c>
      <c r="M1652">
        <v>404000</v>
      </c>
      <c r="N1652">
        <f>(data[[#This Row],[unit_price]]*data[[#This Row],[quantity]]) * (1-data[[#This Row],[discount]])</f>
        <v>544000</v>
      </c>
      <c r="O1652">
        <f>data[[#This Row],[sales]]-data[[#This Row],[cost]]</f>
        <v>140000</v>
      </c>
      <c r="P1652" t="str">
        <f>TEXT(data[[#This Row],[order_date]],"mmm")</f>
        <v>Jun</v>
      </c>
      <c r="Q1652">
        <f>YEAR(data[[#This Row],[order_date]])</f>
        <v>2023</v>
      </c>
      <c r="R1652">
        <f>MONTH(data[[#This Row],[order_date]])</f>
        <v>6</v>
      </c>
      <c r="S1652">
        <f>DAY(data[[#This Row],[order_date]])</f>
        <v>23</v>
      </c>
      <c r="T1652">
        <f>data[[#This Row],[profit]]/data[[#This Row],[sales]]</f>
        <v>0.25735294117647056</v>
      </c>
    </row>
    <row r="1653" spans="1:20" x14ac:dyDescent="0.35">
      <c r="A1653" t="s">
        <v>1885</v>
      </c>
      <c r="B1653" s="1">
        <v>45124</v>
      </c>
      <c r="C1653" t="s">
        <v>41</v>
      </c>
      <c r="D1653" t="s">
        <v>42</v>
      </c>
      <c r="E1653" t="s">
        <v>349</v>
      </c>
      <c r="F1653" t="s">
        <v>23</v>
      </c>
      <c r="G1653" t="s">
        <v>1879</v>
      </c>
      <c r="H1653" t="s">
        <v>1880</v>
      </c>
      <c r="I1653" t="s">
        <v>20</v>
      </c>
      <c r="J1653">
        <v>1</v>
      </c>
      <c r="K1653">
        <v>434000</v>
      </c>
      <c r="L1653">
        <v>0</v>
      </c>
      <c r="M1653">
        <v>311000</v>
      </c>
      <c r="N1653">
        <f>(data[[#This Row],[unit_price]]*data[[#This Row],[quantity]]) * (1-data[[#This Row],[discount]])</f>
        <v>434000</v>
      </c>
      <c r="O1653">
        <f>data[[#This Row],[sales]]-data[[#This Row],[cost]]</f>
        <v>123000</v>
      </c>
      <c r="P1653" t="str">
        <f>TEXT(data[[#This Row],[order_date]],"mmm")</f>
        <v>Jul</v>
      </c>
      <c r="Q1653">
        <f>YEAR(data[[#This Row],[order_date]])</f>
        <v>2023</v>
      </c>
      <c r="R1653">
        <f>MONTH(data[[#This Row],[order_date]])</f>
        <v>7</v>
      </c>
      <c r="S1653">
        <f>DAY(data[[#This Row],[order_date]])</f>
        <v>17</v>
      </c>
      <c r="T1653">
        <f>data[[#This Row],[profit]]/data[[#This Row],[sales]]</f>
        <v>0.28341013824884792</v>
      </c>
    </row>
    <row r="1654" spans="1:20" x14ac:dyDescent="0.35">
      <c r="A1654" t="s">
        <v>1886</v>
      </c>
      <c r="B1654" s="1">
        <v>45154</v>
      </c>
      <c r="C1654" t="s">
        <v>41</v>
      </c>
      <c r="D1654" t="s">
        <v>42</v>
      </c>
      <c r="E1654" t="s">
        <v>95</v>
      </c>
      <c r="F1654" t="s">
        <v>23</v>
      </c>
      <c r="G1654" t="s">
        <v>1879</v>
      </c>
      <c r="H1654" t="s">
        <v>1880</v>
      </c>
      <c r="I1654" t="s">
        <v>20</v>
      </c>
      <c r="J1654">
        <v>3</v>
      </c>
      <c r="K1654">
        <v>572000</v>
      </c>
      <c r="L1654">
        <v>0.1</v>
      </c>
      <c r="M1654">
        <v>413000</v>
      </c>
      <c r="N1654">
        <f>(data[[#This Row],[unit_price]]*data[[#This Row],[quantity]]) * (1-data[[#This Row],[discount]])</f>
        <v>1544400</v>
      </c>
      <c r="O1654">
        <f>data[[#This Row],[sales]]-data[[#This Row],[cost]]</f>
        <v>1131400</v>
      </c>
      <c r="P1654" t="str">
        <f>TEXT(data[[#This Row],[order_date]],"mmm")</f>
        <v>Aug</v>
      </c>
      <c r="Q1654">
        <f>YEAR(data[[#This Row],[order_date]])</f>
        <v>2023</v>
      </c>
      <c r="R1654">
        <f>MONTH(data[[#This Row],[order_date]])</f>
        <v>8</v>
      </c>
      <c r="S1654">
        <f>DAY(data[[#This Row],[order_date]])</f>
        <v>16</v>
      </c>
      <c r="T1654">
        <f>data[[#This Row],[profit]]/data[[#This Row],[sales]]</f>
        <v>0.73258223258223254</v>
      </c>
    </row>
    <row r="1655" spans="1:20" x14ac:dyDescent="0.35">
      <c r="A1655" t="s">
        <v>1887</v>
      </c>
      <c r="B1655" s="1">
        <v>45184</v>
      </c>
      <c r="C1655" t="s">
        <v>41</v>
      </c>
      <c r="D1655" t="s">
        <v>42</v>
      </c>
      <c r="E1655" t="s">
        <v>1041</v>
      </c>
      <c r="F1655" t="s">
        <v>23</v>
      </c>
      <c r="G1655" t="s">
        <v>1879</v>
      </c>
      <c r="H1655" t="s">
        <v>1880</v>
      </c>
      <c r="I1655" t="s">
        <v>20</v>
      </c>
      <c r="J1655">
        <v>1</v>
      </c>
      <c r="K1655">
        <v>418000</v>
      </c>
      <c r="L1655">
        <v>0</v>
      </c>
      <c r="M1655">
        <v>302000</v>
      </c>
      <c r="N1655">
        <f>(data[[#This Row],[unit_price]]*data[[#This Row],[quantity]]) * (1-data[[#This Row],[discount]])</f>
        <v>418000</v>
      </c>
      <c r="O1655">
        <f>data[[#This Row],[sales]]-data[[#This Row],[cost]]</f>
        <v>116000</v>
      </c>
      <c r="P1655" t="str">
        <f>TEXT(data[[#This Row],[order_date]],"mmm")</f>
        <v>Sep</v>
      </c>
      <c r="Q1655">
        <f>YEAR(data[[#This Row],[order_date]])</f>
        <v>2023</v>
      </c>
      <c r="R1655">
        <f>MONTH(data[[#This Row],[order_date]])</f>
        <v>9</v>
      </c>
      <c r="S1655">
        <f>DAY(data[[#This Row],[order_date]])</f>
        <v>15</v>
      </c>
      <c r="T1655">
        <f>data[[#This Row],[profit]]/data[[#This Row],[sales]]</f>
        <v>0.27751196172248804</v>
      </c>
    </row>
    <row r="1656" spans="1:20" x14ac:dyDescent="0.35">
      <c r="A1656" t="s">
        <v>1888</v>
      </c>
      <c r="B1656" s="1">
        <v>45186</v>
      </c>
      <c r="C1656" t="s">
        <v>41</v>
      </c>
      <c r="D1656" t="s">
        <v>42</v>
      </c>
      <c r="E1656" t="s">
        <v>212</v>
      </c>
      <c r="F1656" t="s">
        <v>28</v>
      </c>
      <c r="G1656" t="s">
        <v>1879</v>
      </c>
      <c r="H1656" t="s">
        <v>1880</v>
      </c>
      <c r="I1656" t="s">
        <v>20</v>
      </c>
      <c r="J1656">
        <v>1</v>
      </c>
      <c r="K1656">
        <v>371000</v>
      </c>
      <c r="L1656">
        <v>0</v>
      </c>
      <c r="M1656">
        <v>274000</v>
      </c>
      <c r="N1656">
        <f>(data[[#This Row],[unit_price]]*data[[#This Row],[quantity]]) * (1-data[[#This Row],[discount]])</f>
        <v>371000</v>
      </c>
      <c r="O1656">
        <f>data[[#This Row],[sales]]-data[[#This Row],[cost]]</f>
        <v>97000</v>
      </c>
      <c r="P1656" t="str">
        <f>TEXT(data[[#This Row],[order_date]],"mmm")</f>
        <v>Sep</v>
      </c>
      <c r="Q1656">
        <f>YEAR(data[[#This Row],[order_date]])</f>
        <v>2023</v>
      </c>
      <c r="R1656">
        <f>MONTH(data[[#This Row],[order_date]])</f>
        <v>9</v>
      </c>
      <c r="S1656">
        <f>DAY(data[[#This Row],[order_date]])</f>
        <v>17</v>
      </c>
      <c r="T1656">
        <f>data[[#This Row],[profit]]/data[[#This Row],[sales]]</f>
        <v>0.26145552560646901</v>
      </c>
    </row>
    <row r="1657" spans="1:20" x14ac:dyDescent="0.35">
      <c r="A1657" t="s">
        <v>1889</v>
      </c>
      <c r="B1657" s="1">
        <v>45232</v>
      </c>
      <c r="C1657" t="s">
        <v>36</v>
      </c>
      <c r="D1657" t="s">
        <v>37</v>
      </c>
      <c r="E1657" t="s">
        <v>69</v>
      </c>
      <c r="F1657" t="s">
        <v>23</v>
      </c>
      <c r="G1657" t="s">
        <v>1879</v>
      </c>
      <c r="H1657" t="s">
        <v>1880</v>
      </c>
      <c r="I1657" t="s">
        <v>20</v>
      </c>
      <c r="J1657">
        <v>1</v>
      </c>
      <c r="K1657">
        <v>430000</v>
      </c>
      <c r="L1657">
        <v>0</v>
      </c>
      <c r="M1657">
        <v>312000</v>
      </c>
      <c r="N1657">
        <f>(data[[#This Row],[unit_price]]*data[[#This Row],[quantity]]) * (1-data[[#This Row],[discount]])</f>
        <v>430000</v>
      </c>
      <c r="O1657">
        <f>data[[#This Row],[sales]]-data[[#This Row],[cost]]</f>
        <v>118000</v>
      </c>
      <c r="P1657" t="str">
        <f>TEXT(data[[#This Row],[order_date]],"mmm")</f>
        <v>Nov</v>
      </c>
      <c r="Q1657">
        <f>YEAR(data[[#This Row],[order_date]])</f>
        <v>2023</v>
      </c>
      <c r="R1657">
        <f>MONTH(data[[#This Row],[order_date]])</f>
        <v>11</v>
      </c>
      <c r="S1657">
        <f>DAY(data[[#This Row],[order_date]])</f>
        <v>2</v>
      </c>
      <c r="T1657">
        <f>data[[#This Row],[profit]]/data[[#This Row],[sales]]</f>
        <v>0.2744186046511628</v>
      </c>
    </row>
    <row r="1658" spans="1:20" x14ac:dyDescent="0.35">
      <c r="A1658" t="s">
        <v>1890</v>
      </c>
      <c r="B1658" s="1">
        <v>45233</v>
      </c>
      <c r="C1658" t="s">
        <v>41</v>
      </c>
      <c r="D1658" t="s">
        <v>42</v>
      </c>
      <c r="E1658" t="s">
        <v>179</v>
      </c>
      <c r="F1658" t="s">
        <v>23</v>
      </c>
      <c r="G1658" t="s">
        <v>1879</v>
      </c>
      <c r="H1658" t="s">
        <v>1880</v>
      </c>
      <c r="I1658" t="s">
        <v>20</v>
      </c>
      <c r="J1658">
        <v>3</v>
      </c>
      <c r="K1658">
        <v>502000</v>
      </c>
      <c r="L1658">
        <v>0.05</v>
      </c>
      <c r="M1658">
        <v>363000</v>
      </c>
      <c r="N1658">
        <f>(data[[#This Row],[unit_price]]*data[[#This Row],[quantity]]) * (1-data[[#This Row],[discount]])</f>
        <v>1430700</v>
      </c>
      <c r="O1658">
        <f>data[[#This Row],[sales]]-data[[#This Row],[cost]]</f>
        <v>1067700</v>
      </c>
      <c r="P1658" t="str">
        <f>TEXT(data[[#This Row],[order_date]],"mmm")</f>
        <v>Nov</v>
      </c>
      <c r="Q1658">
        <f>YEAR(data[[#This Row],[order_date]])</f>
        <v>2023</v>
      </c>
      <c r="R1658">
        <f>MONTH(data[[#This Row],[order_date]])</f>
        <v>11</v>
      </c>
      <c r="S1658">
        <f>DAY(data[[#This Row],[order_date]])</f>
        <v>3</v>
      </c>
      <c r="T1658">
        <f>data[[#This Row],[profit]]/data[[#This Row],[sales]]</f>
        <v>0.74627804571188927</v>
      </c>
    </row>
    <row r="1659" spans="1:20" x14ac:dyDescent="0.35">
      <c r="A1659" t="s">
        <v>1891</v>
      </c>
      <c r="B1659" s="1">
        <v>45245</v>
      </c>
      <c r="C1659" t="s">
        <v>49</v>
      </c>
      <c r="D1659" t="s">
        <v>50</v>
      </c>
      <c r="E1659" t="s">
        <v>309</v>
      </c>
      <c r="F1659" t="s">
        <v>23</v>
      </c>
      <c r="G1659" t="s">
        <v>1879</v>
      </c>
      <c r="H1659" t="s">
        <v>1880</v>
      </c>
      <c r="I1659" t="s">
        <v>20</v>
      </c>
      <c r="J1659">
        <v>2</v>
      </c>
      <c r="K1659">
        <v>501000</v>
      </c>
      <c r="L1659">
        <v>0.1</v>
      </c>
      <c r="M1659">
        <v>361000</v>
      </c>
      <c r="N1659">
        <f>(data[[#This Row],[unit_price]]*data[[#This Row],[quantity]]) * (1-data[[#This Row],[discount]])</f>
        <v>901800</v>
      </c>
      <c r="O1659">
        <f>data[[#This Row],[sales]]-data[[#This Row],[cost]]</f>
        <v>540800</v>
      </c>
      <c r="P1659" t="str">
        <f>TEXT(data[[#This Row],[order_date]],"mmm")</f>
        <v>Nov</v>
      </c>
      <c r="Q1659">
        <f>YEAR(data[[#This Row],[order_date]])</f>
        <v>2023</v>
      </c>
      <c r="R1659">
        <f>MONTH(data[[#This Row],[order_date]])</f>
        <v>11</v>
      </c>
      <c r="S1659">
        <f>DAY(data[[#This Row],[order_date]])</f>
        <v>15</v>
      </c>
      <c r="T1659">
        <f>data[[#This Row],[profit]]/data[[#This Row],[sales]]</f>
        <v>0.59968950986915059</v>
      </c>
    </row>
    <row r="1660" spans="1:20" x14ac:dyDescent="0.35">
      <c r="A1660" t="s">
        <v>1892</v>
      </c>
      <c r="B1660" s="1">
        <v>45268</v>
      </c>
      <c r="C1660" t="s">
        <v>14</v>
      </c>
      <c r="D1660" t="s">
        <v>15</v>
      </c>
      <c r="E1660" t="s">
        <v>121</v>
      </c>
      <c r="F1660" t="s">
        <v>23</v>
      </c>
      <c r="G1660" t="s">
        <v>1879</v>
      </c>
      <c r="H1660" t="s">
        <v>1880</v>
      </c>
      <c r="I1660" t="s">
        <v>20</v>
      </c>
      <c r="J1660">
        <v>1</v>
      </c>
      <c r="K1660">
        <v>452000</v>
      </c>
      <c r="L1660">
        <v>0</v>
      </c>
      <c r="M1660">
        <v>334000</v>
      </c>
      <c r="N1660">
        <f>(data[[#This Row],[unit_price]]*data[[#This Row],[quantity]]) * (1-data[[#This Row],[discount]])</f>
        <v>452000</v>
      </c>
      <c r="O1660">
        <f>data[[#This Row],[sales]]-data[[#This Row],[cost]]</f>
        <v>118000</v>
      </c>
      <c r="P1660" t="str">
        <f>TEXT(data[[#This Row],[order_date]],"mmm")</f>
        <v>Dec</v>
      </c>
      <c r="Q1660">
        <f>YEAR(data[[#This Row],[order_date]])</f>
        <v>2023</v>
      </c>
      <c r="R1660">
        <f>MONTH(data[[#This Row],[order_date]])</f>
        <v>12</v>
      </c>
      <c r="S1660">
        <f>DAY(data[[#This Row],[order_date]])</f>
        <v>8</v>
      </c>
      <c r="T1660">
        <f>data[[#This Row],[profit]]/data[[#This Row],[sales]]</f>
        <v>0.26106194690265488</v>
      </c>
    </row>
    <row r="1661" spans="1:20" x14ac:dyDescent="0.35">
      <c r="A1661" t="s">
        <v>1893</v>
      </c>
      <c r="B1661" s="1">
        <v>45315</v>
      </c>
      <c r="C1661" t="s">
        <v>14</v>
      </c>
      <c r="D1661" t="s">
        <v>15</v>
      </c>
      <c r="E1661" t="s">
        <v>208</v>
      </c>
      <c r="F1661" t="s">
        <v>23</v>
      </c>
      <c r="G1661" t="s">
        <v>1879</v>
      </c>
      <c r="H1661" t="s">
        <v>1880</v>
      </c>
      <c r="I1661" t="s">
        <v>20</v>
      </c>
      <c r="J1661">
        <v>1</v>
      </c>
      <c r="K1661">
        <v>331000</v>
      </c>
      <c r="L1661">
        <v>0</v>
      </c>
      <c r="M1661">
        <v>240000</v>
      </c>
      <c r="N1661">
        <f>(data[[#This Row],[unit_price]]*data[[#This Row],[quantity]]) * (1-data[[#This Row],[discount]])</f>
        <v>331000</v>
      </c>
      <c r="O1661">
        <f>data[[#This Row],[sales]]-data[[#This Row],[cost]]</f>
        <v>91000</v>
      </c>
      <c r="P1661" t="str">
        <f>TEXT(data[[#This Row],[order_date]],"mmm")</f>
        <v>Jan</v>
      </c>
      <c r="Q1661">
        <f>YEAR(data[[#This Row],[order_date]])</f>
        <v>2024</v>
      </c>
      <c r="R1661">
        <f>MONTH(data[[#This Row],[order_date]])</f>
        <v>1</v>
      </c>
      <c r="S1661">
        <f>DAY(data[[#This Row],[order_date]])</f>
        <v>24</v>
      </c>
      <c r="T1661">
        <f>data[[#This Row],[profit]]/data[[#This Row],[sales]]</f>
        <v>0.27492447129909364</v>
      </c>
    </row>
    <row r="1662" spans="1:20" x14ac:dyDescent="0.35">
      <c r="A1662" t="s">
        <v>1894</v>
      </c>
      <c r="B1662" s="1">
        <v>45364</v>
      </c>
      <c r="C1662" t="s">
        <v>14</v>
      </c>
      <c r="D1662" t="s">
        <v>15</v>
      </c>
      <c r="E1662" t="s">
        <v>221</v>
      </c>
      <c r="F1662" t="s">
        <v>17</v>
      </c>
      <c r="G1662" t="s">
        <v>1879</v>
      </c>
      <c r="H1662" t="s">
        <v>1880</v>
      </c>
      <c r="I1662" t="s">
        <v>20</v>
      </c>
      <c r="J1662">
        <v>1</v>
      </c>
      <c r="K1662">
        <v>453000</v>
      </c>
      <c r="L1662">
        <v>0</v>
      </c>
      <c r="M1662">
        <v>334000</v>
      </c>
      <c r="N1662">
        <f>(data[[#This Row],[unit_price]]*data[[#This Row],[quantity]]) * (1-data[[#This Row],[discount]])</f>
        <v>453000</v>
      </c>
      <c r="O1662">
        <f>data[[#This Row],[sales]]-data[[#This Row],[cost]]</f>
        <v>119000</v>
      </c>
      <c r="P1662" t="str">
        <f>TEXT(data[[#This Row],[order_date]],"mmm")</f>
        <v>Mar</v>
      </c>
      <c r="Q1662">
        <f>YEAR(data[[#This Row],[order_date]])</f>
        <v>2024</v>
      </c>
      <c r="R1662">
        <f>MONTH(data[[#This Row],[order_date]])</f>
        <v>3</v>
      </c>
      <c r="S1662">
        <f>DAY(data[[#This Row],[order_date]])</f>
        <v>13</v>
      </c>
      <c r="T1662">
        <f>data[[#This Row],[profit]]/data[[#This Row],[sales]]</f>
        <v>0.26269315673289184</v>
      </c>
    </row>
    <row r="1663" spans="1:20" x14ac:dyDescent="0.35">
      <c r="A1663" t="s">
        <v>1895</v>
      </c>
      <c r="B1663" s="1">
        <v>45381</v>
      </c>
      <c r="C1663" t="s">
        <v>14</v>
      </c>
      <c r="D1663" t="s">
        <v>15</v>
      </c>
      <c r="E1663" t="s">
        <v>287</v>
      </c>
      <c r="F1663" t="s">
        <v>28</v>
      </c>
      <c r="G1663" t="s">
        <v>1879</v>
      </c>
      <c r="H1663" t="s">
        <v>1880</v>
      </c>
      <c r="I1663" t="s">
        <v>20</v>
      </c>
      <c r="J1663">
        <v>2</v>
      </c>
      <c r="K1663">
        <v>616000</v>
      </c>
      <c r="L1663">
        <v>0</v>
      </c>
      <c r="M1663">
        <v>440000</v>
      </c>
      <c r="N1663">
        <f>(data[[#This Row],[unit_price]]*data[[#This Row],[quantity]]) * (1-data[[#This Row],[discount]])</f>
        <v>1232000</v>
      </c>
      <c r="O1663">
        <f>data[[#This Row],[sales]]-data[[#This Row],[cost]]</f>
        <v>792000</v>
      </c>
      <c r="P1663" t="str">
        <f>TEXT(data[[#This Row],[order_date]],"mmm")</f>
        <v>Mar</v>
      </c>
      <c r="Q1663">
        <f>YEAR(data[[#This Row],[order_date]])</f>
        <v>2024</v>
      </c>
      <c r="R1663">
        <f>MONTH(data[[#This Row],[order_date]])</f>
        <v>3</v>
      </c>
      <c r="S1663">
        <f>DAY(data[[#This Row],[order_date]])</f>
        <v>30</v>
      </c>
      <c r="T1663">
        <f>data[[#This Row],[profit]]/data[[#This Row],[sales]]</f>
        <v>0.6428571428571429</v>
      </c>
    </row>
    <row r="1664" spans="1:20" x14ac:dyDescent="0.35">
      <c r="A1664" t="s">
        <v>1896</v>
      </c>
      <c r="B1664" s="1">
        <v>45387</v>
      </c>
      <c r="C1664" t="s">
        <v>14</v>
      </c>
      <c r="D1664" t="s">
        <v>15</v>
      </c>
      <c r="E1664" t="s">
        <v>498</v>
      </c>
      <c r="F1664" t="s">
        <v>23</v>
      </c>
      <c r="G1664" t="s">
        <v>1879</v>
      </c>
      <c r="H1664" t="s">
        <v>1880</v>
      </c>
      <c r="I1664" t="s">
        <v>20</v>
      </c>
      <c r="J1664">
        <v>1</v>
      </c>
      <c r="K1664">
        <v>611000</v>
      </c>
      <c r="L1664">
        <v>0</v>
      </c>
      <c r="M1664">
        <v>452000</v>
      </c>
      <c r="N1664">
        <f>(data[[#This Row],[unit_price]]*data[[#This Row],[quantity]]) * (1-data[[#This Row],[discount]])</f>
        <v>611000</v>
      </c>
      <c r="O1664">
        <f>data[[#This Row],[sales]]-data[[#This Row],[cost]]</f>
        <v>159000</v>
      </c>
      <c r="P1664" t="str">
        <f>TEXT(data[[#This Row],[order_date]],"mmm")</f>
        <v>Apr</v>
      </c>
      <c r="Q1664">
        <f>YEAR(data[[#This Row],[order_date]])</f>
        <v>2024</v>
      </c>
      <c r="R1664">
        <f>MONTH(data[[#This Row],[order_date]])</f>
        <v>4</v>
      </c>
      <c r="S1664">
        <f>DAY(data[[#This Row],[order_date]])</f>
        <v>5</v>
      </c>
      <c r="T1664">
        <f>data[[#This Row],[profit]]/data[[#This Row],[sales]]</f>
        <v>0.2602291325695581</v>
      </c>
    </row>
    <row r="1665" spans="1:20" x14ac:dyDescent="0.35">
      <c r="A1665" t="s">
        <v>1897</v>
      </c>
      <c r="B1665" s="1">
        <v>45403</v>
      </c>
      <c r="C1665" t="s">
        <v>36</v>
      </c>
      <c r="D1665" t="s">
        <v>37</v>
      </c>
      <c r="E1665" t="s">
        <v>675</v>
      </c>
      <c r="F1665" t="s">
        <v>17</v>
      </c>
      <c r="G1665" t="s">
        <v>1879</v>
      </c>
      <c r="H1665" t="s">
        <v>1880</v>
      </c>
      <c r="I1665" t="s">
        <v>20</v>
      </c>
      <c r="J1665">
        <v>1</v>
      </c>
      <c r="K1665">
        <v>475000</v>
      </c>
      <c r="L1665">
        <v>0.05</v>
      </c>
      <c r="M1665">
        <v>344000</v>
      </c>
      <c r="N1665">
        <f>(data[[#This Row],[unit_price]]*data[[#This Row],[quantity]]) * (1-data[[#This Row],[discount]])</f>
        <v>451250</v>
      </c>
      <c r="O1665">
        <f>data[[#This Row],[sales]]-data[[#This Row],[cost]]</f>
        <v>107250</v>
      </c>
      <c r="P1665" t="str">
        <f>TEXT(data[[#This Row],[order_date]],"mmm")</f>
        <v>Apr</v>
      </c>
      <c r="Q1665">
        <f>YEAR(data[[#This Row],[order_date]])</f>
        <v>2024</v>
      </c>
      <c r="R1665">
        <f>MONTH(data[[#This Row],[order_date]])</f>
        <v>4</v>
      </c>
      <c r="S1665">
        <f>DAY(data[[#This Row],[order_date]])</f>
        <v>21</v>
      </c>
      <c r="T1665">
        <f>data[[#This Row],[profit]]/data[[#This Row],[sales]]</f>
        <v>0.23767313019390582</v>
      </c>
    </row>
    <row r="1666" spans="1:20" x14ac:dyDescent="0.35">
      <c r="A1666" t="s">
        <v>1898</v>
      </c>
      <c r="B1666" s="1">
        <v>45417</v>
      </c>
      <c r="C1666" t="s">
        <v>36</v>
      </c>
      <c r="D1666" t="s">
        <v>37</v>
      </c>
      <c r="E1666" t="s">
        <v>262</v>
      </c>
      <c r="F1666" t="s">
        <v>23</v>
      </c>
      <c r="G1666" t="s">
        <v>1879</v>
      </c>
      <c r="H1666" t="s">
        <v>1880</v>
      </c>
      <c r="I1666" t="s">
        <v>20</v>
      </c>
      <c r="J1666">
        <v>2</v>
      </c>
      <c r="K1666">
        <v>593000</v>
      </c>
      <c r="L1666">
        <v>0.05</v>
      </c>
      <c r="M1666">
        <v>434000</v>
      </c>
      <c r="N1666">
        <f>(data[[#This Row],[unit_price]]*data[[#This Row],[quantity]]) * (1-data[[#This Row],[discount]])</f>
        <v>1126700</v>
      </c>
      <c r="O1666">
        <f>data[[#This Row],[sales]]-data[[#This Row],[cost]]</f>
        <v>692700</v>
      </c>
      <c r="P1666" t="str">
        <f>TEXT(data[[#This Row],[order_date]],"mmm")</f>
        <v>May</v>
      </c>
      <c r="Q1666">
        <f>YEAR(data[[#This Row],[order_date]])</f>
        <v>2024</v>
      </c>
      <c r="R1666">
        <f>MONTH(data[[#This Row],[order_date]])</f>
        <v>5</v>
      </c>
      <c r="S1666">
        <f>DAY(data[[#This Row],[order_date]])</f>
        <v>5</v>
      </c>
      <c r="T1666">
        <f>data[[#This Row],[profit]]/data[[#This Row],[sales]]</f>
        <v>0.61480429573089557</v>
      </c>
    </row>
    <row r="1667" spans="1:20" x14ac:dyDescent="0.35">
      <c r="A1667" t="s">
        <v>1899</v>
      </c>
      <c r="B1667" s="1">
        <v>45428</v>
      </c>
      <c r="C1667" t="s">
        <v>14</v>
      </c>
      <c r="D1667" t="s">
        <v>15</v>
      </c>
      <c r="E1667" t="s">
        <v>179</v>
      </c>
      <c r="F1667" t="s">
        <v>23</v>
      </c>
      <c r="G1667" t="s">
        <v>1879</v>
      </c>
      <c r="H1667" t="s">
        <v>1880</v>
      </c>
      <c r="I1667" t="s">
        <v>20</v>
      </c>
      <c r="J1667">
        <v>2</v>
      </c>
      <c r="K1667">
        <v>603000</v>
      </c>
      <c r="L1667">
        <v>0</v>
      </c>
      <c r="M1667">
        <v>444000</v>
      </c>
      <c r="N1667">
        <f>(data[[#This Row],[unit_price]]*data[[#This Row],[quantity]]) * (1-data[[#This Row],[discount]])</f>
        <v>1206000</v>
      </c>
      <c r="O1667">
        <f>data[[#This Row],[sales]]-data[[#This Row],[cost]]</f>
        <v>762000</v>
      </c>
      <c r="P1667" t="str">
        <f>TEXT(data[[#This Row],[order_date]],"mmm")</f>
        <v>May</v>
      </c>
      <c r="Q1667">
        <f>YEAR(data[[#This Row],[order_date]])</f>
        <v>2024</v>
      </c>
      <c r="R1667">
        <f>MONTH(data[[#This Row],[order_date]])</f>
        <v>5</v>
      </c>
      <c r="S1667">
        <f>DAY(data[[#This Row],[order_date]])</f>
        <v>16</v>
      </c>
      <c r="T1667">
        <f>data[[#This Row],[profit]]/data[[#This Row],[sales]]</f>
        <v>0.63184079601990051</v>
      </c>
    </row>
    <row r="1668" spans="1:20" x14ac:dyDescent="0.35">
      <c r="A1668" t="s">
        <v>1900</v>
      </c>
      <c r="B1668" s="1">
        <v>45438</v>
      </c>
      <c r="C1668" t="s">
        <v>14</v>
      </c>
      <c r="D1668" t="s">
        <v>15</v>
      </c>
      <c r="E1668" t="s">
        <v>337</v>
      </c>
      <c r="F1668" t="s">
        <v>23</v>
      </c>
      <c r="G1668" t="s">
        <v>1879</v>
      </c>
      <c r="H1668" t="s">
        <v>1880</v>
      </c>
      <c r="I1668" t="s">
        <v>20</v>
      </c>
      <c r="J1668">
        <v>1</v>
      </c>
      <c r="K1668">
        <v>608000</v>
      </c>
      <c r="L1668">
        <v>0</v>
      </c>
      <c r="M1668">
        <v>438000</v>
      </c>
      <c r="N1668">
        <f>(data[[#This Row],[unit_price]]*data[[#This Row],[quantity]]) * (1-data[[#This Row],[discount]])</f>
        <v>608000</v>
      </c>
      <c r="O1668">
        <f>data[[#This Row],[sales]]-data[[#This Row],[cost]]</f>
        <v>170000</v>
      </c>
      <c r="P1668" t="str">
        <f>TEXT(data[[#This Row],[order_date]],"mmm")</f>
        <v>May</v>
      </c>
      <c r="Q1668">
        <f>YEAR(data[[#This Row],[order_date]])</f>
        <v>2024</v>
      </c>
      <c r="R1668">
        <f>MONTH(data[[#This Row],[order_date]])</f>
        <v>5</v>
      </c>
      <c r="S1668">
        <f>DAY(data[[#This Row],[order_date]])</f>
        <v>26</v>
      </c>
      <c r="T1668">
        <f>data[[#This Row],[profit]]/data[[#This Row],[sales]]</f>
        <v>0.27960526315789475</v>
      </c>
    </row>
    <row r="1669" spans="1:20" x14ac:dyDescent="0.35">
      <c r="A1669" t="s">
        <v>1901</v>
      </c>
      <c r="B1669" s="1">
        <v>45439</v>
      </c>
      <c r="C1669" t="s">
        <v>49</v>
      </c>
      <c r="D1669" t="s">
        <v>50</v>
      </c>
      <c r="E1669" t="s">
        <v>218</v>
      </c>
      <c r="F1669" t="s">
        <v>23</v>
      </c>
      <c r="G1669" t="s">
        <v>1879</v>
      </c>
      <c r="H1669" t="s">
        <v>1880</v>
      </c>
      <c r="I1669" t="s">
        <v>20</v>
      </c>
      <c r="J1669">
        <v>1</v>
      </c>
      <c r="K1669">
        <v>508000</v>
      </c>
      <c r="L1669">
        <v>0</v>
      </c>
      <c r="M1669">
        <v>375000</v>
      </c>
      <c r="N1669">
        <f>(data[[#This Row],[unit_price]]*data[[#This Row],[quantity]]) * (1-data[[#This Row],[discount]])</f>
        <v>508000</v>
      </c>
      <c r="O1669">
        <f>data[[#This Row],[sales]]-data[[#This Row],[cost]]</f>
        <v>133000</v>
      </c>
      <c r="P1669" t="str">
        <f>TEXT(data[[#This Row],[order_date]],"mmm")</f>
        <v>May</v>
      </c>
      <c r="Q1669">
        <f>YEAR(data[[#This Row],[order_date]])</f>
        <v>2024</v>
      </c>
      <c r="R1669">
        <f>MONTH(data[[#This Row],[order_date]])</f>
        <v>5</v>
      </c>
      <c r="S1669">
        <f>DAY(data[[#This Row],[order_date]])</f>
        <v>27</v>
      </c>
      <c r="T1669">
        <f>data[[#This Row],[profit]]/data[[#This Row],[sales]]</f>
        <v>0.26181102362204722</v>
      </c>
    </row>
    <row r="1670" spans="1:20" x14ac:dyDescent="0.35">
      <c r="A1670" t="s">
        <v>1902</v>
      </c>
      <c r="B1670" s="1">
        <v>45440</v>
      </c>
      <c r="C1670" t="s">
        <v>36</v>
      </c>
      <c r="D1670" t="s">
        <v>37</v>
      </c>
      <c r="E1670" t="s">
        <v>359</v>
      </c>
      <c r="F1670" t="s">
        <v>23</v>
      </c>
      <c r="G1670" t="s">
        <v>1879</v>
      </c>
      <c r="H1670" t="s">
        <v>1880</v>
      </c>
      <c r="I1670" t="s">
        <v>20</v>
      </c>
      <c r="J1670">
        <v>2</v>
      </c>
      <c r="K1670">
        <v>437000</v>
      </c>
      <c r="L1670">
        <v>0</v>
      </c>
      <c r="M1670">
        <v>319000</v>
      </c>
      <c r="N1670">
        <f>(data[[#This Row],[unit_price]]*data[[#This Row],[quantity]]) * (1-data[[#This Row],[discount]])</f>
        <v>874000</v>
      </c>
      <c r="O1670">
        <f>data[[#This Row],[sales]]-data[[#This Row],[cost]]</f>
        <v>555000</v>
      </c>
      <c r="P1670" t="str">
        <f>TEXT(data[[#This Row],[order_date]],"mmm")</f>
        <v>May</v>
      </c>
      <c r="Q1670">
        <f>YEAR(data[[#This Row],[order_date]])</f>
        <v>2024</v>
      </c>
      <c r="R1670">
        <f>MONTH(data[[#This Row],[order_date]])</f>
        <v>5</v>
      </c>
      <c r="S1670">
        <f>DAY(data[[#This Row],[order_date]])</f>
        <v>28</v>
      </c>
      <c r="T1670">
        <f>data[[#This Row],[profit]]/data[[#This Row],[sales]]</f>
        <v>0.63501144164759726</v>
      </c>
    </row>
    <row r="1671" spans="1:20" x14ac:dyDescent="0.35">
      <c r="A1671" t="s">
        <v>1903</v>
      </c>
      <c r="B1671" s="1">
        <v>45441</v>
      </c>
      <c r="C1671" t="s">
        <v>14</v>
      </c>
      <c r="D1671" t="s">
        <v>15</v>
      </c>
      <c r="E1671" t="s">
        <v>205</v>
      </c>
      <c r="F1671" t="s">
        <v>17</v>
      </c>
      <c r="G1671" t="s">
        <v>1879</v>
      </c>
      <c r="H1671" t="s">
        <v>1880</v>
      </c>
      <c r="I1671" t="s">
        <v>20</v>
      </c>
      <c r="J1671">
        <v>1</v>
      </c>
      <c r="K1671">
        <v>335000</v>
      </c>
      <c r="L1671">
        <v>0</v>
      </c>
      <c r="M1671">
        <v>242000</v>
      </c>
      <c r="N1671">
        <f>(data[[#This Row],[unit_price]]*data[[#This Row],[quantity]]) * (1-data[[#This Row],[discount]])</f>
        <v>335000</v>
      </c>
      <c r="O1671">
        <f>data[[#This Row],[sales]]-data[[#This Row],[cost]]</f>
        <v>93000</v>
      </c>
      <c r="P1671" t="str">
        <f>TEXT(data[[#This Row],[order_date]],"mmm")</f>
        <v>May</v>
      </c>
      <c r="Q1671">
        <f>YEAR(data[[#This Row],[order_date]])</f>
        <v>2024</v>
      </c>
      <c r="R1671">
        <f>MONTH(data[[#This Row],[order_date]])</f>
        <v>5</v>
      </c>
      <c r="S1671">
        <f>DAY(data[[#This Row],[order_date]])</f>
        <v>29</v>
      </c>
      <c r="T1671">
        <f>data[[#This Row],[profit]]/data[[#This Row],[sales]]</f>
        <v>0.27761194029850744</v>
      </c>
    </row>
    <row r="1672" spans="1:20" x14ac:dyDescent="0.35">
      <c r="A1672" t="s">
        <v>1904</v>
      </c>
      <c r="B1672" s="1">
        <v>45445</v>
      </c>
      <c r="C1672" t="s">
        <v>41</v>
      </c>
      <c r="D1672" t="s">
        <v>42</v>
      </c>
      <c r="E1672" t="s">
        <v>228</v>
      </c>
      <c r="F1672" t="s">
        <v>17</v>
      </c>
      <c r="G1672" t="s">
        <v>1879</v>
      </c>
      <c r="H1672" t="s">
        <v>1880</v>
      </c>
      <c r="I1672" t="s">
        <v>20</v>
      </c>
      <c r="J1672">
        <v>1</v>
      </c>
      <c r="K1672">
        <v>491000</v>
      </c>
      <c r="L1672">
        <v>0.1</v>
      </c>
      <c r="M1672">
        <v>366000</v>
      </c>
      <c r="N1672">
        <f>(data[[#This Row],[unit_price]]*data[[#This Row],[quantity]]) * (1-data[[#This Row],[discount]])</f>
        <v>441900</v>
      </c>
      <c r="O1672">
        <f>data[[#This Row],[sales]]-data[[#This Row],[cost]]</f>
        <v>75900</v>
      </c>
      <c r="P1672" t="str">
        <f>TEXT(data[[#This Row],[order_date]],"mmm")</f>
        <v>Jun</v>
      </c>
      <c r="Q1672">
        <f>YEAR(data[[#This Row],[order_date]])</f>
        <v>2024</v>
      </c>
      <c r="R1672">
        <f>MONTH(data[[#This Row],[order_date]])</f>
        <v>6</v>
      </c>
      <c r="S1672">
        <f>DAY(data[[#This Row],[order_date]])</f>
        <v>2</v>
      </c>
      <c r="T1672">
        <f>data[[#This Row],[profit]]/data[[#This Row],[sales]]</f>
        <v>0.17175831636116767</v>
      </c>
    </row>
    <row r="1673" spans="1:20" x14ac:dyDescent="0.35">
      <c r="A1673" t="s">
        <v>1905</v>
      </c>
      <c r="B1673" s="1">
        <v>45448</v>
      </c>
      <c r="C1673" t="s">
        <v>49</v>
      </c>
      <c r="D1673" t="s">
        <v>50</v>
      </c>
      <c r="E1673" t="s">
        <v>113</v>
      </c>
      <c r="F1673" t="s">
        <v>23</v>
      </c>
      <c r="G1673" t="s">
        <v>1879</v>
      </c>
      <c r="H1673" t="s">
        <v>1880</v>
      </c>
      <c r="I1673" t="s">
        <v>20</v>
      </c>
      <c r="J1673">
        <v>1</v>
      </c>
      <c r="K1673">
        <v>455000</v>
      </c>
      <c r="L1673">
        <v>0</v>
      </c>
      <c r="M1673">
        <v>333000</v>
      </c>
      <c r="N1673">
        <f>(data[[#This Row],[unit_price]]*data[[#This Row],[quantity]]) * (1-data[[#This Row],[discount]])</f>
        <v>455000</v>
      </c>
      <c r="O1673">
        <f>data[[#This Row],[sales]]-data[[#This Row],[cost]]</f>
        <v>122000</v>
      </c>
      <c r="P1673" t="str">
        <f>TEXT(data[[#This Row],[order_date]],"mmm")</f>
        <v>Jun</v>
      </c>
      <c r="Q1673">
        <f>YEAR(data[[#This Row],[order_date]])</f>
        <v>2024</v>
      </c>
      <c r="R1673">
        <f>MONTH(data[[#This Row],[order_date]])</f>
        <v>6</v>
      </c>
      <c r="S1673">
        <f>DAY(data[[#This Row],[order_date]])</f>
        <v>5</v>
      </c>
      <c r="T1673">
        <f>data[[#This Row],[profit]]/data[[#This Row],[sales]]</f>
        <v>0.26813186813186812</v>
      </c>
    </row>
    <row r="1674" spans="1:20" x14ac:dyDescent="0.35">
      <c r="A1674" t="s">
        <v>1906</v>
      </c>
      <c r="B1674" s="1">
        <v>45523</v>
      </c>
      <c r="C1674" t="s">
        <v>36</v>
      </c>
      <c r="D1674" t="s">
        <v>37</v>
      </c>
      <c r="E1674" t="s">
        <v>144</v>
      </c>
      <c r="F1674" t="s">
        <v>23</v>
      </c>
      <c r="G1674" t="s">
        <v>1879</v>
      </c>
      <c r="H1674" t="s">
        <v>1880</v>
      </c>
      <c r="I1674" t="s">
        <v>20</v>
      </c>
      <c r="J1674">
        <v>3</v>
      </c>
      <c r="K1674">
        <v>410000</v>
      </c>
      <c r="L1674">
        <v>0</v>
      </c>
      <c r="M1674">
        <v>294000</v>
      </c>
      <c r="N1674">
        <f>(data[[#This Row],[unit_price]]*data[[#This Row],[quantity]]) * (1-data[[#This Row],[discount]])</f>
        <v>1230000</v>
      </c>
      <c r="O1674">
        <f>data[[#This Row],[sales]]-data[[#This Row],[cost]]</f>
        <v>936000</v>
      </c>
      <c r="P1674" t="str">
        <f>TEXT(data[[#This Row],[order_date]],"mmm")</f>
        <v>Aug</v>
      </c>
      <c r="Q1674">
        <f>YEAR(data[[#This Row],[order_date]])</f>
        <v>2024</v>
      </c>
      <c r="R1674">
        <f>MONTH(data[[#This Row],[order_date]])</f>
        <v>8</v>
      </c>
      <c r="S1674">
        <f>DAY(data[[#This Row],[order_date]])</f>
        <v>19</v>
      </c>
      <c r="T1674">
        <f>data[[#This Row],[profit]]/data[[#This Row],[sales]]</f>
        <v>0.76097560975609757</v>
      </c>
    </row>
    <row r="1675" spans="1:20" x14ac:dyDescent="0.35">
      <c r="A1675" t="s">
        <v>1907</v>
      </c>
      <c r="B1675" s="1">
        <v>45574</v>
      </c>
      <c r="C1675" t="s">
        <v>49</v>
      </c>
      <c r="D1675" t="s">
        <v>50</v>
      </c>
      <c r="E1675" t="s">
        <v>141</v>
      </c>
      <c r="F1675" t="s">
        <v>17</v>
      </c>
      <c r="G1675" t="s">
        <v>1879</v>
      </c>
      <c r="H1675" t="s">
        <v>1880</v>
      </c>
      <c r="I1675" t="s">
        <v>20</v>
      </c>
      <c r="J1675">
        <v>1</v>
      </c>
      <c r="K1675">
        <v>334000</v>
      </c>
      <c r="L1675">
        <v>0.05</v>
      </c>
      <c r="M1675">
        <v>243000</v>
      </c>
      <c r="N1675">
        <f>(data[[#This Row],[unit_price]]*data[[#This Row],[quantity]]) * (1-data[[#This Row],[discount]])</f>
        <v>317300</v>
      </c>
      <c r="O1675">
        <f>data[[#This Row],[sales]]-data[[#This Row],[cost]]</f>
        <v>74300</v>
      </c>
      <c r="P1675" t="str">
        <f>TEXT(data[[#This Row],[order_date]],"mmm")</f>
        <v>Oct</v>
      </c>
      <c r="Q1675">
        <f>YEAR(data[[#This Row],[order_date]])</f>
        <v>2024</v>
      </c>
      <c r="R1675">
        <f>MONTH(data[[#This Row],[order_date]])</f>
        <v>10</v>
      </c>
      <c r="S1675">
        <f>DAY(data[[#This Row],[order_date]])</f>
        <v>9</v>
      </c>
      <c r="T1675">
        <f>data[[#This Row],[profit]]/data[[#This Row],[sales]]</f>
        <v>0.23416325244248345</v>
      </c>
    </row>
    <row r="1676" spans="1:20" x14ac:dyDescent="0.35">
      <c r="A1676" t="s">
        <v>1908</v>
      </c>
      <c r="B1676" s="1">
        <v>45607</v>
      </c>
      <c r="C1676" t="s">
        <v>14</v>
      </c>
      <c r="D1676" t="s">
        <v>15</v>
      </c>
      <c r="E1676" t="s">
        <v>53</v>
      </c>
      <c r="F1676" t="s">
        <v>17</v>
      </c>
      <c r="G1676" t="s">
        <v>1879</v>
      </c>
      <c r="H1676" t="s">
        <v>1880</v>
      </c>
      <c r="I1676" t="s">
        <v>20</v>
      </c>
      <c r="J1676">
        <v>3</v>
      </c>
      <c r="K1676">
        <v>331000</v>
      </c>
      <c r="L1676">
        <v>0</v>
      </c>
      <c r="M1676">
        <v>246000</v>
      </c>
      <c r="N1676">
        <f>(data[[#This Row],[unit_price]]*data[[#This Row],[quantity]]) * (1-data[[#This Row],[discount]])</f>
        <v>993000</v>
      </c>
      <c r="O1676">
        <f>data[[#This Row],[sales]]-data[[#This Row],[cost]]</f>
        <v>747000</v>
      </c>
      <c r="P1676" t="str">
        <f>TEXT(data[[#This Row],[order_date]],"mmm")</f>
        <v>Nov</v>
      </c>
      <c r="Q1676">
        <f>YEAR(data[[#This Row],[order_date]])</f>
        <v>2024</v>
      </c>
      <c r="R1676">
        <f>MONTH(data[[#This Row],[order_date]])</f>
        <v>11</v>
      </c>
      <c r="S1676">
        <f>DAY(data[[#This Row],[order_date]])</f>
        <v>11</v>
      </c>
      <c r="T1676">
        <f>data[[#This Row],[profit]]/data[[#This Row],[sales]]</f>
        <v>0.75226586102719029</v>
      </c>
    </row>
    <row r="1677" spans="1:20" x14ac:dyDescent="0.35">
      <c r="A1677" t="s">
        <v>1909</v>
      </c>
      <c r="B1677" s="1">
        <v>45613</v>
      </c>
      <c r="C1677" t="s">
        <v>41</v>
      </c>
      <c r="D1677" t="s">
        <v>42</v>
      </c>
      <c r="E1677" t="s">
        <v>168</v>
      </c>
      <c r="F1677" t="s">
        <v>23</v>
      </c>
      <c r="G1677" t="s">
        <v>1879</v>
      </c>
      <c r="H1677" t="s">
        <v>1880</v>
      </c>
      <c r="I1677" t="s">
        <v>20</v>
      </c>
      <c r="J1677">
        <v>1</v>
      </c>
      <c r="K1677">
        <v>398000</v>
      </c>
      <c r="L1677">
        <v>0</v>
      </c>
      <c r="M1677">
        <v>287000</v>
      </c>
      <c r="N1677">
        <f>(data[[#This Row],[unit_price]]*data[[#This Row],[quantity]]) * (1-data[[#This Row],[discount]])</f>
        <v>398000</v>
      </c>
      <c r="O1677">
        <f>data[[#This Row],[sales]]-data[[#This Row],[cost]]</f>
        <v>111000</v>
      </c>
      <c r="P1677" t="str">
        <f>TEXT(data[[#This Row],[order_date]],"mmm")</f>
        <v>Nov</v>
      </c>
      <c r="Q1677">
        <f>YEAR(data[[#This Row],[order_date]])</f>
        <v>2024</v>
      </c>
      <c r="R1677">
        <f>MONTH(data[[#This Row],[order_date]])</f>
        <v>11</v>
      </c>
      <c r="S1677">
        <f>DAY(data[[#This Row],[order_date]])</f>
        <v>17</v>
      </c>
      <c r="T1677">
        <f>data[[#This Row],[profit]]/data[[#This Row],[sales]]</f>
        <v>0.27889447236180903</v>
      </c>
    </row>
    <row r="1678" spans="1:20" x14ac:dyDescent="0.35">
      <c r="A1678" t="s">
        <v>1910</v>
      </c>
      <c r="B1678" s="1">
        <v>45616</v>
      </c>
      <c r="C1678" t="s">
        <v>41</v>
      </c>
      <c r="D1678" t="s">
        <v>42</v>
      </c>
      <c r="E1678" t="s">
        <v>53</v>
      </c>
      <c r="F1678" t="s">
        <v>17</v>
      </c>
      <c r="G1678" t="s">
        <v>1879</v>
      </c>
      <c r="H1678" t="s">
        <v>1880</v>
      </c>
      <c r="I1678" t="s">
        <v>20</v>
      </c>
      <c r="J1678">
        <v>1</v>
      </c>
      <c r="K1678">
        <v>472000</v>
      </c>
      <c r="L1678">
        <v>0</v>
      </c>
      <c r="M1678">
        <v>345000</v>
      </c>
      <c r="N1678">
        <f>(data[[#This Row],[unit_price]]*data[[#This Row],[quantity]]) * (1-data[[#This Row],[discount]])</f>
        <v>472000</v>
      </c>
      <c r="O1678">
        <f>data[[#This Row],[sales]]-data[[#This Row],[cost]]</f>
        <v>127000</v>
      </c>
      <c r="P1678" t="str">
        <f>TEXT(data[[#This Row],[order_date]],"mmm")</f>
        <v>Nov</v>
      </c>
      <c r="Q1678">
        <f>YEAR(data[[#This Row],[order_date]])</f>
        <v>2024</v>
      </c>
      <c r="R1678">
        <f>MONTH(data[[#This Row],[order_date]])</f>
        <v>11</v>
      </c>
      <c r="S1678">
        <f>DAY(data[[#This Row],[order_date]])</f>
        <v>20</v>
      </c>
      <c r="T1678">
        <f>data[[#This Row],[profit]]/data[[#This Row],[sales]]</f>
        <v>0.2690677966101695</v>
      </c>
    </row>
    <row r="1679" spans="1:20" x14ac:dyDescent="0.35">
      <c r="A1679" t="s">
        <v>1911</v>
      </c>
      <c r="B1679" s="1">
        <v>45640</v>
      </c>
      <c r="C1679" t="s">
        <v>41</v>
      </c>
      <c r="D1679" t="s">
        <v>42</v>
      </c>
      <c r="E1679" t="s">
        <v>378</v>
      </c>
      <c r="F1679" t="s">
        <v>23</v>
      </c>
      <c r="G1679" t="s">
        <v>1879</v>
      </c>
      <c r="H1679" t="s">
        <v>1880</v>
      </c>
      <c r="I1679" t="s">
        <v>20</v>
      </c>
      <c r="J1679">
        <v>3</v>
      </c>
      <c r="K1679">
        <v>396000</v>
      </c>
      <c r="L1679">
        <v>0</v>
      </c>
      <c r="M1679">
        <v>284000</v>
      </c>
      <c r="N1679">
        <f>(data[[#This Row],[unit_price]]*data[[#This Row],[quantity]]) * (1-data[[#This Row],[discount]])</f>
        <v>1188000</v>
      </c>
      <c r="O1679">
        <f>data[[#This Row],[sales]]-data[[#This Row],[cost]]</f>
        <v>904000</v>
      </c>
      <c r="P1679" t="str">
        <f>TEXT(data[[#This Row],[order_date]],"mmm")</f>
        <v>Dec</v>
      </c>
      <c r="Q1679">
        <f>YEAR(data[[#This Row],[order_date]])</f>
        <v>2024</v>
      </c>
      <c r="R1679">
        <f>MONTH(data[[#This Row],[order_date]])</f>
        <v>12</v>
      </c>
      <c r="S1679">
        <f>DAY(data[[#This Row],[order_date]])</f>
        <v>14</v>
      </c>
      <c r="T1679">
        <f>data[[#This Row],[profit]]/data[[#This Row],[sales]]</f>
        <v>0.76094276094276092</v>
      </c>
    </row>
    <row r="1680" spans="1:20" x14ac:dyDescent="0.35">
      <c r="A1680" t="s">
        <v>1912</v>
      </c>
      <c r="B1680" s="1">
        <v>45651</v>
      </c>
      <c r="C1680" t="s">
        <v>49</v>
      </c>
      <c r="D1680" t="s">
        <v>50</v>
      </c>
      <c r="E1680" t="s">
        <v>291</v>
      </c>
      <c r="F1680" t="s">
        <v>17</v>
      </c>
      <c r="G1680" t="s">
        <v>1879</v>
      </c>
      <c r="H1680" t="s">
        <v>1880</v>
      </c>
      <c r="I1680" t="s">
        <v>20</v>
      </c>
      <c r="J1680">
        <v>2</v>
      </c>
      <c r="K1680">
        <v>347000</v>
      </c>
      <c r="L1680">
        <v>0</v>
      </c>
      <c r="M1680">
        <v>251000</v>
      </c>
      <c r="N1680">
        <f>(data[[#This Row],[unit_price]]*data[[#This Row],[quantity]]) * (1-data[[#This Row],[discount]])</f>
        <v>694000</v>
      </c>
      <c r="O1680">
        <f>data[[#This Row],[sales]]-data[[#This Row],[cost]]</f>
        <v>443000</v>
      </c>
      <c r="P1680" t="str">
        <f>TEXT(data[[#This Row],[order_date]],"mmm")</f>
        <v>Dec</v>
      </c>
      <c r="Q1680">
        <f>YEAR(data[[#This Row],[order_date]])</f>
        <v>2024</v>
      </c>
      <c r="R1680">
        <f>MONTH(data[[#This Row],[order_date]])</f>
        <v>12</v>
      </c>
      <c r="S1680">
        <f>DAY(data[[#This Row],[order_date]])</f>
        <v>25</v>
      </c>
      <c r="T1680">
        <f>data[[#This Row],[profit]]/data[[#This Row],[sales]]</f>
        <v>0.63832853025936598</v>
      </c>
    </row>
    <row r="1681" spans="1:20" x14ac:dyDescent="0.35">
      <c r="A1681" t="s">
        <v>1913</v>
      </c>
      <c r="B1681" s="1">
        <v>45707</v>
      </c>
      <c r="C1681" t="s">
        <v>14</v>
      </c>
      <c r="D1681" t="s">
        <v>15</v>
      </c>
      <c r="E1681" t="s">
        <v>69</v>
      </c>
      <c r="F1681" t="s">
        <v>23</v>
      </c>
      <c r="G1681" t="s">
        <v>1879</v>
      </c>
      <c r="H1681" t="s">
        <v>1880</v>
      </c>
      <c r="I1681" t="s">
        <v>20</v>
      </c>
      <c r="J1681">
        <v>1</v>
      </c>
      <c r="K1681">
        <v>555000</v>
      </c>
      <c r="L1681">
        <v>0.05</v>
      </c>
      <c r="M1681">
        <v>415000</v>
      </c>
      <c r="N1681">
        <f>(data[[#This Row],[unit_price]]*data[[#This Row],[quantity]]) * (1-data[[#This Row],[discount]])</f>
        <v>527250</v>
      </c>
      <c r="O1681">
        <f>data[[#This Row],[sales]]-data[[#This Row],[cost]]</f>
        <v>112250</v>
      </c>
      <c r="P1681" t="str">
        <f>TEXT(data[[#This Row],[order_date]],"mmm")</f>
        <v>Feb</v>
      </c>
      <c r="Q1681">
        <f>YEAR(data[[#This Row],[order_date]])</f>
        <v>2025</v>
      </c>
      <c r="R1681">
        <f>MONTH(data[[#This Row],[order_date]])</f>
        <v>2</v>
      </c>
      <c r="S1681">
        <f>DAY(data[[#This Row],[order_date]])</f>
        <v>19</v>
      </c>
      <c r="T1681">
        <f>data[[#This Row],[profit]]/data[[#This Row],[sales]]</f>
        <v>0.21289710763394973</v>
      </c>
    </row>
    <row r="1682" spans="1:20" x14ac:dyDescent="0.35">
      <c r="A1682" t="s">
        <v>1914</v>
      </c>
      <c r="B1682" s="1">
        <v>45714</v>
      </c>
      <c r="C1682" t="s">
        <v>49</v>
      </c>
      <c r="D1682" t="s">
        <v>50</v>
      </c>
      <c r="E1682" t="s">
        <v>30</v>
      </c>
      <c r="F1682" t="s">
        <v>23</v>
      </c>
      <c r="G1682" t="s">
        <v>1879</v>
      </c>
      <c r="H1682" t="s">
        <v>1880</v>
      </c>
      <c r="I1682" t="s">
        <v>20</v>
      </c>
      <c r="J1682">
        <v>1</v>
      </c>
      <c r="K1682">
        <v>571000</v>
      </c>
      <c r="L1682">
        <v>0</v>
      </c>
      <c r="M1682">
        <v>407000</v>
      </c>
      <c r="N1682">
        <f>(data[[#This Row],[unit_price]]*data[[#This Row],[quantity]]) * (1-data[[#This Row],[discount]])</f>
        <v>571000</v>
      </c>
      <c r="O1682">
        <f>data[[#This Row],[sales]]-data[[#This Row],[cost]]</f>
        <v>164000</v>
      </c>
      <c r="P1682" t="str">
        <f>TEXT(data[[#This Row],[order_date]],"mmm")</f>
        <v>Feb</v>
      </c>
      <c r="Q1682">
        <f>YEAR(data[[#This Row],[order_date]])</f>
        <v>2025</v>
      </c>
      <c r="R1682">
        <f>MONTH(data[[#This Row],[order_date]])</f>
        <v>2</v>
      </c>
      <c r="S1682">
        <f>DAY(data[[#This Row],[order_date]])</f>
        <v>26</v>
      </c>
      <c r="T1682">
        <f>data[[#This Row],[profit]]/data[[#This Row],[sales]]</f>
        <v>0.28721541155866898</v>
      </c>
    </row>
    <row r="1683" spans="1:20" x14ac:dyDescent="0.35">
      <c r="A1683" t="s">
        <v>1915</v>
      </c>
      <c r="B1683" s="1">
        <v>45742</v>
      </c>
      <c r="C1683" t="s">
        <v>14</v>
      </c>
      <c r="D1683" t="s">
        <v>15</v>
      </c>
      <c r="E1683" t="s">
        <v>309</v>
      </c>
      <c r="F1683" t="s">
        <v>23</v>
      </c>
      <c r="G1683" t="s">
        <v>1879</v>
      </c>
      <c r="H1683" t="s">
        <v>1880</v>
      </c>
      <c r="I1683" t="s">
        <v>20</v>
      </c>
      <c r="J1683">
        <v>1</v>
      </c>
      <c r="K1683">
        <v>644000</v>
      </c>
      <c r="L1683">
        <v>0</v>
      </c>
      <c r="M1683">
        <v>480000</v>
      </c>
      <c r="N1683">
        <f>(data[[#This Row],[unit_price]]*data[[#This Row],[quantity]]) * (1-data[[#This Row],[discount]])</f>
        <v>644000</v>
      </c>
      <c r="O1683">
        <f>data[[#This Row],[sales]]-data[[#This Row],[cost]]</f>
        <v>164000</v>
      </c>
      <c r="P1683" t="str">
        <f>TEXT(data[[#This Row],[order_date]],"mmm")</f>
        <v>Mar</v>
      </c>
      <c r="Q1683">
        <f>YEAR(data[[#This Row],[order_date]])</f>
        <v>2025</v>
      </c>
      <c r="R1683">
        <f>MONTH(data[[#This Row],[order_date]])</f>
        <v>3</v>
      </c>
      <c r="S1683">
        <f>DAY(data[[#This Row],[order_date]])</f>
        <v>26</v>
      </c>
      <c r="T1683">
        <f>data[[#This Row],[profit]]/data[[#This Row],[sales]]</f>
        <v>0.25465838509316768</v>
      </c>
    </row>
    <row r="1684" spans="1:20" x14ac:dyDescent="0.35">
      <c r="A1684" t="s">
        <v>1916</v>
      </c>
      <c r="B1684" s="1">
        <v>45767</v>
      </c>
      <c r="C1684" t="s">
        <v>36</v>
      </c>
      <c r="D1684" t="s">
        <v>37</v>
      </c>
      <c r="E1684" t="s">
        <v>93</v>
      </c>
      <c r="F1684" t="s">
        <v>23</v>
      </c>
      <c r="G1684" t="s">
        <v>1879</v>
      </c>
      <c r="H1684" t="s">
        <v>1880</v>
      </c>
      <c r="I1684" t="s">
        <v>20</v>
      </c>
      <c r="J1684">
        <v>1</v>
      </c>
      <c r="K1684">
        <v>571000</v>
      </c>
      <c r="L1684">
        <v>0</v>
      </c>
      <c r="M1684">
        <v>419000</v>
      </c>
      <c r="N1684">
        <f>(data[[#This Row],[unit_price]]*data[[#This Row],[quantity]]) * (1-data[[#This Row],[discount]])</f>
        <v>571000</v>
      </c>
      <c r="O1684">
        <f>data[[#This Row],[sales]]-data[[#This Row],[cost]]</f>
        <v>152000</v>
      </c>
      <c r="P1684" t="str">
        <f>TEXT(data[[#This Row],[order_date]],"mmm")</f>
        <v>Apr</v>
      </c>
      <c r="Q1684">
        <f>YEAR(data[[#This Row],[order_date]])</f>
        <v>2025</v>
      </c>
      <c r="R1684">
        <f>MONTH(data[[#This Row],[order_date]])</f>
        <v>4</v>
      </c>
      <c r="S1684">
        <f>DAY(data[[#This Row],[order_date]])</f>
        <v>20</v>
      </c>
      <c r="T1684">
        <f>data[[#This Row],[profit]]/data[[#This Row],[sales]]</f>
        <v>0.26619964973730298</v>
      </c>
    </row>
    <row r="1685" spans="1:20" x14ac:dyDescent="0.35">
      <c r="A1685" t="s">
        <v>1917</v>
      </c>
      <c r="B1685" s="1">
        <v>45775</v>
      </c>
      <c r="C1685" t="s">
        <v>41</v>
      </c>
      <c r="D1685" t="s">
        <v>42</v>
      </c>
      <c r="E1685" t="s">
        <v>168</v>
      </c>
      <c r="F1685" t="s">
        <v>23</v>
      </c>
      <c r="G1685" t="s">
        <v>1879</v>
      </c>
      <c r="H1685" t="s">
        <v>1880</v>
      </c>
      <c r="I1685" t="s">
        <v>20</v>
      </c>
      <c r="J1685">
        <v>2</v>
      </c>
      <c r="K1685">
        <v>606000</v>
      </c>
      <c r="L1685">
        <v>0</v>
      </c>
      <c r="M1685">
        <v>432000</v>
      </c>
      <c r="N1685">
        <f>(data[[#This Row],[unit_price]]*data[[#This Row],[quantity]]) * (1-data[[#This Row],[discount]])</f>
        <v>1212000</v>
      </c>
      <c r="O1685">
        <f>data[[#This Row],[sales]]-data[[#This Row],[cost]]</f>
        <v>780000</v>
      </c>
      <c r="P1685" t="str">
        <f>TEXT(data[[#This Row],[order_date]],"mmm")</f>
        <v>Apr</v>
      </c>
      <c r="Q1685">
        <f>YEAR(data[[#This Row],[order_date]])</f>
        <v>2025</v>
      </c>
      <c r="R1685">
        <f>MONTH(data[[#This Row],[order_date]])</f>
        <v>4</v>
      </c>
      <c r="S1685">
        <f>DAY(data[[#This Row],[order_date]])</f>
        <v>28</v>
      </c>
      <c r="T1685">
        <f>data[[#This Row],[profit]]/data[[#This Row],[sales]]</f>
        <v>0.64356435643564358</v>
      </c>
    </row>
    <row r="1686" spans="1:20" x14ac:dyDescent="0.35">
      <c r="A1686" t="s">
        <v>1918</v>
      </c>
      <c r="B1686" s="1">
        <v>45789</v>
      </c>
      <c r="C1686" t="s">
        <v>14</v>
      </c>
      <c r="D1686" t="s">
        <v>15</v>
      </c>
      <c r="E1686" t="s">
        <v>323</v>
      </c>
      <c r="F1686" t="s">
        <v>28</v>
      </c>
      <c r="G1686" t="s">
        <v>1879</v>
      </c>
      <c r="H1686" t="s">
        <v>1880</v>
      </c>
      <c r="I1686" t="s">
        <v>20</v>
      </c>
      <c r="J1686">
        <v>2</v>
      </c>
      <c r="K1686">
        <v>474000</v>
      </c>
      <c r="L1686">
        <v>0.15</v>
      </c>
      <c r="M1686">
        <v>343000</v>
      </c>
      <c r="N1686">
        <f>(data[[#This Row],[unit_price]]*data[[#This Row],[quantity]]) * (1-data[[#This Row],[discount]])</f>
        <v>805800</v>
      </c>
      <c r="O1686">
        <f>data[[#This Row],[sales]]-data[[#This Row],[cost]]</f>
        <v>462800</v>
      </c>
      <c r="P1686" t="str">
        <f>TEXT(data[[#This Row],[order_date]],"mmm")</f>
        <v>May</v>
      </c>
      <c r="Q1686">
        <f>YEAR(data[[#This Row],[order_date]])</f>
        <v>2025</v>
      </c>
      <c r="R1686">
        <f>MONTH(data[[#This Row],[order_date]])</f>
        <v>5</v>
      </c>
      <c r="S1686">
        <f>DAY(data[[#This Row],[order_date]])</f>
        <v>12</v>
      </c>
      <c r="T1686">
        <f>data[[#This Row],[profit]]/data[[#This Row],[sales]]</f>
        <v>0.57433606353933975</v>
      </c>
    </row>
    <row r="1687" spans="1:20" x14ac:dyDescent="0.35">
      <c r="A1687" t="s">
        <v>1919</v>
      </c>
      <c r="B1687" s="1">
        <v>45811</v>
      </c>
      <c r="C1687" t="s">
        <v>36</v>
      </c>
      <c r="D1687" t="s">
        <v>37</v>
      </c>
      <c r="E1687" t="s">
        <v>598</v>
      </c>
      <c r="F1687" t="s">
        <v>23</v>
      </c>
      <c r="G1687" t="s">
        <v>1879</v>
      </c>
      <c r="H1687" t="s">
        <v>1880</v>
      </c>
      <c r="I1687" t="s">
        <v>20</v>
      </c>
      <c r="J1687">
        <v>1</v>
      </c>
      <c r="K1687">
        <v>581000</v>
      </c>
      <c r="L1687">
        <v>0</v>
      </c>
      <c r="M1687">
        <v>422000</v>
      </c>
      <c r="N1687">
        <f>(data[[#This Row],[unit_price]]*data[[#This Row],[quantity]]) * (1-data[[#This Row],[discount]])</f>
        <v>581000</v>
      </c>
      <c r="O1687">
        <f>data[[#This Row],[sales]]-data[[#This Row],[cost]]</f>
        <v>159000</v>
      </c>
      <c r="P1687" t="str">
        <f>TEXT(data[[#This Row],[order_date]],"mmm")</f>
        <v>Jun</v>
      </c>
      <c r="Q1687">
        <f>YEAR(data[[#This Row],[order_date]])</f>
        <v>2025</v>
      </c>
      <c r="R1687">
        <f>MONTH(data[[#This Row],[order_date]])</f>
        <v>6</v>
      </c>
      <c r="S1687">
        <f>DAY(data[[#This Row],[order_date]])</f>
        <v>3</v>
      </c>
      <c r="T1687">
        <f>data[[#This Row],[profit]]/data[[#This Row],[sales]]</f>
        <v>0.27366609294320138</v>
      </c>
    </row>
    <row r="1688" spans="1:20" x14ac:dyDescent="0.35">
      <c r="A1688" t="s">
        <v>1920</v>
      </c>
      <c r="B1688" s="1">
        <v>45854</v>
      </c>
      <c r="C1688" t="s">
        <v>14</v>
      </c>
      <c r="D1688" t="s">
        <v>15</v>
      </c>
      <c r="E1688" t="s">
        <v>126</v>
      </c>
      <c r="F1688" t="s">
        <v>17</v>
      </c>
      <c r="G1688" t="s">
        <v>1879</v>
      </c>
      <c r="H1688" t="s">
        <v>1880</v>
      </c>
      <c r="I1688" t="s">
        <v>20</v>
      </c>
      <c r="J1688">
        <v>3</v>
      </c>
      <c r="K1688">
        <v>493000</v>
      </c>
      <c r="L1688">
        <v>0</v>
      </c>
      <c r="M1688">
        <v>352000</v>
      </c>
      <c r="N1688">
        <f>(data[[#This Row],[unit_price]]*data[[#This Row],[quantity]]) * (1-data[[#This Row],[discount]])</f>
        <v>1479000</v>
      </c>
      <c r="O1688">
        <f>data[[#This Row],[sales]]-data[[#This Row],[cost]]</f>
        <v>1127000</v>
      </c>
      <c r="P1688" t="str">
        <f>TEXT(data[[#This Row],[order_date]],"mmm")</f>
        <v>Jul</v>
      </c>
      <c r="Q1688">
        <f>YEAR(data[[#This Row],[order_date]])</f>
        <v>2025</v>
      </c>
      <c r="R1688">
        <f>MONTH(data[[#This Row],[order_date]])</f>
        <v>7</v>
      </c>
      <c r="S1688">
        <f>DAY(data[[#This Row],[order_date]])</f>
        <v>16</v>
      </c>
      <c r="T1688">
        <f>data[[#This Row],[profit]]/data[[#This Row],[sales]]</f>
        <v>0.76200135226504395</v>
      </c>
    </row>
    <row r="1689" spans="1:20" x14ac:dyDescent="0.35">
      <c r="A1689" t="s">
        <v>1921</v>
      </c>
      <c r="B1689" s="1">
        <v>45868</v>
      </c>
      <c r="C1689" t="s">
        <v>36</v>
      </c>
      <c r="D1689" t="s">
        <v>37</v>
      </c>
      <c r="E1689" t="s">
        <v>368</v>
      </c>
      <c r="F1689" t="s">
        <v>23</v>
      </c>
      <c r="G1689" t="s">
        <v>1879</v>
      </c>
      <c r="H1689" t="s">
        <v>1880</v>
      </c>
      <c r="I1689" t="s">
        <v>20</v>
      </c>
      <c r="J1689">
        <v>1</v>
      </c>
      <c r="K1689">
        <v>621000</v>
      </c>
      <c r="L1689">
        <v>0</v>
      </c>
      <c r="M1689">
        <v>448000</v>
      </c>
      <c r="N1689">
        <f>(data[[#This Row],[unit_price]]*data[[#This Row],[quantity]]) * (1-data[[#This Row],[discount]])</f>
        <v>621000</v>
      </c>
      <c r="O1689">
        <f>data[[#This Row],[sales]]-data[[#This Row],[cost]]</f>
        <v>173000</v>
      </c>
      <c r="P1689" t="str">
        <f>TEXT(data[[#This Row],[order_date]],"mmm")</f>
        <v>Jul</v>
      </c>
      <c r="Q1689">
        <f>YEAR(data[[#This Row],[order_date]])</f>
        <v>2025</v>
      </c>
      <c r="R1689">
        <f>MONTH(data[[#This Row],[order_date]])</f>
        <v>7</v>
      </c>
      <c r="S1689">
        <f>DAY(data[[#This Row],[order_date]])</f>
        <v>30</v>
      </c>
      <c r="T1689">
        <f>data[[#This Row],[profit]]/data[[#This Row],[sales]]</f>
        <v>0.27858293075684382</v>
      </c>
    </row>
    <row r="1690" spans="1:20" x14ac:dyDescent="0.35">
      <c r="A1690" t="s">
        <v>1922</v>
      </c>
      <c r="B1690" s="1">
        <v>45870</v>
      </c>
      <c r="C1690" t="s">
        <v>36</v>
      </c>
      <c r="D1690" t="s">
        <v>37</v>
      </c>
      <c r="E1690" t="s">
        <v>244</v>
      </c>
      <c r="F1690" t="s">
        <v>17</v>
      </c>
      <c r="G1690" t="s">
        <v>1879</v>
      </c>
      <c r="H1690" t="s">
        <v>1880</v>
      </c>
      <c r="I1690" t="s">
        <v>20</v>
      </c>
      <c r="J1690">
        <v>1</v>
      </c>
      <c r="K1690">
        <v>564000</v>
      </c>
      <c r="L1690">
        <v>0</v>
      </c>
      <c r="M1690">
        <v>411000</v>
      </c>
      <c r="N1690">
        <f>(data[[#This Row],[unit_price]]*data[[#This Row],[quantity]]) * (1-data[[#This Row],[discount]])</f>
        <v>564000</v>
      </c>
      <c r="O1690">
        <f>data[[#This Row],[sales]]-data[[#This Row],[cost]]</f>
        <v>153000</v>
      </c>
      <c r="P1690" t="str">
        <f>TEXT(data[[#This Row],[order_date]],"mmm")</f>
        <v>Aug</v>
      </c>
      <c r="Q1690">
        <f>YEAR(data[[#This Row],[order_date]])</f>
        <v>2025</v>
      </c>
      <c r="R1690">
        <f>MONTH(data[[#This Row],[order_date]])</f>
        <v>8</v>
      </c>
      <c r="S1690">
        <f>DAY(data[[#This Row],[order_date]])</f>
        <v>1</v>
      </c>
      <c r="T1690">
        <f>data[[#This Row],[profit]]/data[[#This Row],[sales]]</f>
        <v>0.27127659574468083</v>
      </c>
    </row>
    <row r="1691" spans="1:20" x14ac:dyDescent="0.35">
      <c r="A1691" t="s">
        <v>1923</v>
      </c>
      <c r="B1691" s="1">
        <v>45927</v>
      </c>
      <c r="C1691" t="s">
        <v>14</v>
      </c>
      <c r="D1691" t="s">
        <v>15</v>
      </c>
      <c r="E1691" t="s">
        <v>373</v>
      </c>
      <c r="F1691" t="s">
        <v>23</v>
      </c>
      <c r="G1691" t="s">
        <v>1879</v>
      </c>
      <c r="H1691" t="s">
        <v>1880</v>
      </c>
      <c r="I1691" t="s">
        <v>20</v>
      </c>
      <c r="J1691">
        <v>1</v>
      </c>
      <c r="K1691">
        <v>604000</v>
      </c>
      <c r="L1691">
        <v>0</v>
      </c>
      <c r="M1691">
        <v>432000</v>
      </c>
      <c r="N1691">
        <f>(data[[#This Row],[unit_price]]*data[[#This Row],[quantity]]) * (1-data[[#This Row],[discount]])</f>
        <v>604000</v>
      </c>
      <c r="O1691">
        <f>data[[#This Row],[sales]]-data[[#This Row],[cost]]</f>
        <v>172000</v>
      </c>
      <c r="P1691" t="str">
        <f>TEXT(data[[#This Row],[order_date]],"mmm")</f>
        <v>Sep</v>
      </c>
      <c r="Q1691">
        <f>YEAR(data[[#This Row],[order_date]])</f>
        <v>2025</v>
      </c>
      <c r="R1691">
        <f>MONTH(data[[#This Row],[order_date]])</f>
        <v>9</v>
      </c>
      <c r="S1691">
        <f>DAY(data[[#This Row],[order_date]])</f>
        <v>27</v>
      </c>
      <c r="T1691">
        <f>data[[#This Row],[profit]]/data[[#This Row],[sales]]</f>
        <v>0.28476821192052981</v>
      </c>
    </row>
    <row r="1692" spans="1:20" x14ac:dyDescent="0.35">
      <c r="A1692" t="s">
        <v>1924</v>
      </c>
      <c r="B1692" s="1">
        <v>45941</v>
      </c>
      <c r="C1692" t="s">
        <v>41</v>
      </c>
      <c r="D1692" t="s">
        <v>42</v>
      </c>
      <c r="E1692" t="s">
        <v>99</v>
      </c>
      <c r="F1692" t="s">
        <v>23</v>
      </c>
      <c r="G1692" t="s">
        <v>1879</v>
      </c>
      <c r="H1692" t="s">
        <v>1880</v>
      </c>
      <c r="I1692" t="s">
        <v>20</v>
      </c>
      <c r="J1692">
        <v>1</v>
      </c>
      <c r="K1692">
        <v>480000</v>
      </c>
      <c r="L1692">
        <v>0</v>
      </c>
      <c r="M1692">
        <v>343000</v>
      </c>
      <c r="N1692">
        <f>(data[[#This Row],[unit_price]]*data[[#This Row],[quantity]]) * (1-data[[#This Row],[discount]])</f>
        <v>480000</v>
      </c>
      <c r="O1692">
        <f>data[[#This Row],[sales]]-data[[#This Row],[cost]]</f>
        <v>137000</v>
      </c>
      <c r="P1692" t="str">
        <f>TEXT(data[[#This Row],[order_date]],"mmm")</f>
        <v>Oct</v>
      </c>
      <c r="Q1692">
        <f>YEAR(data[[#This Row],[order_date]])</f>
        <v>2025</v>
      </c>
      <c r="R1692">
        <f>MONTH(data[[#This Row],[order_date]])</f>
        <v>10</v>
      </c>
      <c r="S1692">
        <f>DAY(data[[#This Row],[order_date]])</f>
        <v>11</v>
      </c>
      <c r="T1692">
        <f>data[[#This Row],[profit]]/data[[#This Row],[sales]]</f>
        <v>0.28541666666666665</v>
      </c>
    </row>
    <row r="1693" spans="1:20" x14ac:dyDescent="0.35">
      <c r="A1693" t="s">
        <v>1925</v>
      </c>
      <c r="B1693" s="1">
        <v>45950</v>
      </c>
      <c r="C1693" t="s">
        <v>49</v>
      </c>
      <c r="D1693" t="s">
        <v>50</v>
      </c>
      <c r="E1693" t="s">
        <v>301</v>
      </c>
      <c r="F1693" t="s">
        <v>28</v>
      </c>
      <c r="G1693" t="s">
        <v>1879</v>
      </c>
      <c r="H1693" t="s">
        <v>1880</v>
      </c>
      <c r="I1693" t="s">
        <v>20</v>
      </c>
      <c r="J1693">
        <v>1</v>
      </c>
      <c r="K1693">
        <v>550000</v>
      </c>
      <c r="L1693">
        <v>0</v>
      </c>
      <c r="M1693">
        <v>408000</v>
      </c>
      <c r="N1693">
        <f>(data[[#This Row],[unit_price]]*data[[#This Row],[quantity]]) * (1-data[[#This Row],[discount]])</f>
        <v>550000</v>
      </c>
      <c r="O1693">
        <f>data[[#This Row],[sales]]-data[[#This Row],[cost]]</f>
        <v>142000</v>
      </c>
      <c r="P1693" t="str">
        <f>TEXT(data[[#This Row],[order_date]],"mmm")</f>
        <v>Oct</v>
      </c>
      <c r="Q1693">
        <f>YEAR(data[[#This Row],[order_date]])</f>
        <v>2025</v>
      </c>
      <c r="R1693">
        <f>MONTH(data[[#This Row],[order_date]])</f>
        <v>10</v>
      </c>
      <c r="S1693">
        <f>DAY(data[[#This Row],[order_date]])</f>
        <v>20</v>
      </c>
      <c r="T1693">
        <f>data[[#This Row],[profit]]/data[[#This Row],[sales]]</f>
        <v>0.25818181818181818</v>
      </c>
    </row>
    <row r="1694" spans="1:20" x14ac:dyDescent="0.35">
      <c r="A1694" t="s">
        <v>1926</v>
      </c>
      <c r="B1694" s="1">
        <v>45960</v>
      </c>
      <c r="C1694" t="s">
        <v>14</v>
      </c>
      <c r="D1694" t="s">
        <v>15</v>
      </c>
      <c r="E1694" t="s">
        <v>335</v>
      </c>
      <c r="F1694" t="s">
        <v>23</v>
      </c>
      <c r="G1694" t="s">
        <v>1879</v>
      </c>
      <c r="H1694" t="s">
        <v>1880</v>
      </c>
      <c r="I1694" t="s">
        <v>20</v>
      </c>
      <c r="J1694">
        <v>2</v>
      </c>
      <c r="K1694">
        <v>505000</v>
      </c>
      <c r="L1694">
        <v>0</v>
      </c>
      <c r="M1694">
        <v>373000</v>
      </c>
      <c r="N1694">
        <f>(data[[#This Row],[unit_price]]*data[[#This Row],[quantity]]) * (1-data[[#This Row],[discount]])</f>
        <v>1010000</v>
      </c>
      <c r="O1694">
        <f>data[[#This Row],[sales]]-data[[#This Row],[cost]]</f>
        <v>637000</v>
      </c>
      <c r="P1694" t="str">
        <f>TEXT(data[[#This Row],[order_date]],"mmm")</f>
        <v>Oct</v>
      </c>
      <c r="Q1694">
        <f>YEAR(data[[#This Row],[order_date]])</f>
        <v>2025</v>
      </c>
      <c r="R1694">
        <f>MONTH(data[[#This Row],[order_date]])</f>
        <v>10</v>
      </c>
      <c r="S1694">
        <f>DAY(data[[#This Row],[order_date]])</f>
        <v>30</v>
      </c>
      <c r="T1694">
        <f>data[[#This Row],[profit]]/data[[#This Row],[sales]]</f>
        <v>0.6306930693069307</v>
      </c>
    </row>
    <row r="1695" spans="1:20" x14ac:dyDescent="0.35">
      <c r="A1695" t="s">
        <v>1927</v>
      </c>
      <c r="B1695" s="1">
        <v>45961</v>
      </c>
      <c r="C1695" t="s">
        <v>49</v>
      </c>
      <c r="D1695" t="s">
        <v>50</v>
      </c>
      <c r="E1695" t="s">
        <v>352</v>
      </c>
      <c r="F1695" t="s">
        <v>23</v>
      </c>
      <c r="G1695" t="s">
        <v>1879</v>
      </c>
      <c r="H1695" t="s">
        <v>1880</v>
      </c>
      <c r="I1695" t="s">
        <v>20</v>
      </c>
      <c r="J1695">
        <v>1</v>
      </c>
      <c r="K1695">
        <v>498087.71929824562</v>
      </c>
      <c r="L1695">
        <v>0</v>
      </c>
      <c r="M1695">
        <v>328000</v>
      </c>
      <c r="N1695">
        <f>(data[[#This Row],[unit_price]]*data[[#This Row],[quantity]]) * (1-data[[#This Row],[discount]])</f>
        <v>498087.71929824562</v>
      </c>
      <c r="O1695">
        <f>data[[#This Row],[sales]]-data[[#This Row],[cost]]</f>
        <v>170087.71929824562</v>
      </c>
      <c r="P1695" t="str">
        <f>TEXT(data[[#This Row],[order_date]],"mmm")</f>
        <v>Oct</v>
      </c>
      <c r="Q1695">
        <f>YEAR(data[[#This Row],[order_date]])</f>
        <v>2025</v>
      </c>
      <c r="R1695">
        <f>MONTH(data[[#This Row],[order_date]])</f>
        <v>10</v>
      </c>
      <c r="S1695">
        <f>DAY(data[[#This Row],[order_date]])</f>
        <v>31</v>
      </c>
      <c r="T1695">
        <f>data[[#This Row],[profit]]/data[[#This Row],[sales]]</f>
        <v>0.34148145539079289</v>
      </c>
    </row>
    <row r="1696" spans="1:20" x14ac:dyDescent="0.35">
      <c r="A1696" t="s">
        <v>1928</v>
      </c>
      <c r="B1696" s="1">
        <v>45982</v>
      </c>
      <c r="C1696" t="s">
        <v>49</v>
      </c>
      <c r="D1696" t="s">
        <v>50</v>
      </c>
      <c r="E1696" t="s">
        <v>45</v>
      </c>
      <c r="F1696" t="s">
        <v>17</v>
      </c>
      <c r="G1696" t="s">
        <v>1879</v>
      </c>
      <c r="H1696" t="s">
        <v>1880</v>
      </c>
      <c r="I1696" t="s">
        <v>20</v>
      </c>
      <c r="J1696">
        <v>1</v>
      </c>
      <c r="K1696">
        <v>337000</v>
      </c>
      <c r="L1696">
        <v>0</v>
      </c>
      <c r="M1696">
        <v>249000</v>
      </c>
      <c r="N1696">
        <f>(data[[#This Row],[unit_price]]*data[[#This Row],[quantity]]) * (1-data[[#This Row],[discount]])</f>
        <v>337000</v>
      </c>
      <c r="O1696">
        <f>data[[#This Row],[sales]]-data[[#This Row],[cost]]</f>
        <v>88000</v>
      </c>
      <c r="P1696" t="str">
        <f>TEXT(data[[#This Row],[order_date]],"mmm")</f>
        <v>Nov</v>
      </c>
      <c r="Q1696">
        <f>YEAR(data[[#This Row],[order_date]])</f>
        <v>2025</v>
      </c>
      <c r="R1696">
        <f>MONTH(data[[#This Row],[order_date]])</f>
        <v>11</v>
      </c>
      <c r="S1696">
        <f>DAY(data[[#This Row],[order_date]])</f>
        <v>21</v>
      </c>
      <c r="T1696">
        <f>data[[#This Row],[profit]]/data[[#This Row],[sales]]</f>
        <v>0.26112759643916916</v>
      </c>
    </row>
    <row r="1697" spans="1:20" x14ac:dyDescent="0.35">
      <c r="A1697" t="s">
        <v>1929</v>
      </c>
      <c r="B1697" s="1">
        <v>45986</v>
      </c>
      <c r="C1697" t="s">
        <v>49</v>
      </c>
      <c r="D1697" t="s">
        <v>50</v>
      </c>
      <c r="E1697" t="s">
        <v>675</v>
      </c>
      <c r="F1697" t="s">
        <v>17</v>
      </c>
      <c r="G1697" t="s">
        <v>1879</v>
      </c>
      <c r="H1697" t="s">
        <v>1880</v>
      </c>
      <c r="I1697" t="s">
        <v>20</v>
      </c>
      <c r="J1697">
        <v>1</v>
      </c>
      <c r="K1697">
        <v>466000</v>
      </c>
      <c r="L1697">
        <v>0.05</v>
      </c>
      <c r="M1697">
        <v>349000</v>
      </c>
      <c r="N1697">
        <f>(data[[#This Row],[unit_price]]*data[[#This Row],[quantity]]) * (1-data[[#This Row],[discount]])</f>
        <v>442700</v>
      </c>
      <c r="O1697">
        <f>data[[#This Row],[sales]]-data[[#This Row],[cost]]</f>
        <v>93700</v>
      </c>
      <c r="P1697" t="str">
        <f>TEXT(data[[#This Row],[order_date]],"mmm")</f>
        <v>Nov</v>
      </c>
      <c r="Q1697">
        <f>YEAR(data[[#This Row],[order_date]])</f>
        <v>2025</v>
      </c>
      <c r="R1697">
        <f>MONTH(data[[#This Row],[order_date]])</f>
        <v>11</v>
      </c>
      <c r="S1697">
        <f>DAY(data[[#This Row],[order_date]])</f>
        <v>25</v>
      </c>
      <c r="T1697">
        <f>data[[#This Row],[profit]]/data[[#This Row],[sales]]</f>
        <v>0.21165574881409532</v>
      </c>
    </row>
    <row r="1698" spans="1:20" x14ac:dyDescent="0.35">
      <c r="A1698" t="s">
        <v>1930</v>
      </c>
      <c r="B1698" s="1">
        <v>45996</v>
      </c>
      <c r="C1698" t="s">
        <v>49</v>
      </c>
      <c r="D1698" t="s">
        <v>50</v>
      </c>
      <c r="E1698" t="s">
        <v>498</v>
      </c>
      <c r="F1698" t="s">
        <v>23</v>
      </c>
      <c r="G1698" t="s">
        <v>1879</v>
      </c>
      <c r="H1698" t="s">
        <v>1880</v>
      </c>
      <c r="I1698" t="s">
        <v>20</v>
      </c>
      <c r="J1698">
        <v>1</v>
      </c>
      <c r="K1698">
        <v>532000</v>
      </c>
      <c r="L1698">
        <v>0</v>
      </c>
      <c r="M1698">
        <v>382000</v>
      </c>
      <c r="N1698">
        <f>(data[[#This Row],[unit_price]]*data[[#This Row],[quantity]]) * (1-data[[#This Row],[discount]])</f>
        <v>532000</v>
      </c>
      <c r="O1698">
        <f>data[[#This Row],[sales]]-data[[#This Row],[cost]]</f>
        <v>150000</v>
      </c>
      <c r="P1698" t="str">
        <f>TEXT(data[[#This Row],[order_date]],"mmm")</f>
        <v>Dec</v>
      </c>
      <c r="Q1698">
        <f>YEAR(data[[#This Row],[order_date]])</f>
        <v>2025</v>
      </c>
      <c r="R1698">
        <f>MONTH(data[[#This Row],[order_date]])</f>
        <v>12</v>
      </c>
      <c r="S1698">
        <f>DAY(data[[#This Row],[order_date]])</f>
        <v>5</v>
      </c>
      <c r="T1698">
        <f>data[[#This Row],[profit]]/data[[#This Row],[sales]]</f>
        <v>0.28195488721804512</v>
      </c>
    </row>
    <row r="1699" spans="1:20" x14ac:dyDescent="0.35">
      <c r="A1699" t="s">
        <v>1931</v>
      </c>
      <c r="B1699" s="1">
        <v>46023</v>
      </c>
      <c r="C1699" t="s">
        <v>36</v>
      </c>
      <c r="D1699" t="s">
        <v>37</v>
      </c>
      <c r="E1699" t="s">
        <v>93</v>
      </c>
      <c r="F1699" t="s">
        <v>23</v>
      </c>
      <c r="G1699" t="s">
        <v>1879</v>
      </c>
      <c r="H1699" t="s">
        <v>1880</v>
      </c>
      <c r="I1699" t="s">
        <v>20</v>
      </c>
      <c r="J1699">
        <v>2</v>
      </c>
      <c r="K1699">
        <v>612000</v>
      </c>
      <c r="L1699">
        <v>0</v>
      </c>
      <c r="M1699">
        <v>454000</v>
      </c>
      <c r="N1699">
        <f>(data[[#This Row],[unit_price]]*data[[#This Row],[quantity]]) * (1-data[[#This Row],[discount]])</f>
        <v>1224000</v>
      </c>
      <c r="O1699">
        <f>data[[#This Row],[sales]]-data[[#This Row],[cost]]</f>
        <v>770000</v>
      </c>
      <c r="P1699" t="str">
        <f>TEXT(data[[#This Row],[order_date]],"mmm")</f>
        <v>Jan</v>
      </c>
      <c r="Q1699">
        <f>YEAR(data[[#This Row],[order_date]])</f>
        <v>2026</v>
      </c>
      <c r="R1699">
        <f>MONTH(data[[#This Row],[order_date]])</f>
        <v>1</v>
      </c>
      <c r="S1699">
        <f>DAY(data[[#This Row],[order_date]])</f>
        <v>1</v>
      </c>
      <c r="T1699">
        <f>data[[#This Row],[profit]]/data[[#This Row],[sales]]</f>
        <v>0.62908496732026142</v>
      </c>
    </row>
    <row r="1700" spans="1:20" x14ac:dyDescent="0.35">
      <c r="A1700" t="s">
        <v>1932</v>
      </c>
      <c r="B1700" s="1">
        <v>46034</v>
      </c>
      <c r="C1700" t="s">
        <v>14</v>
      </c>
      <c r="D1700" t="s">
        <v>15</v>
      </c>
      <c r="E1700" t="s">
        <v>39</v>
      </c>
      <c r="F1700" t="s">
        <v>23</v>
      </c>
      <c r="G1700" t="s">
        <v>1879</v>
      </c>
      <c r="H1700" t="s">
        <v>1880</v>
      </c>
      <c r="I1700" t="s">
        <v>20</v>
      </c>
      <c r="J1700">
        <v>2</v>
      </c>
      <c r="K1700">
        <v>503000</v>
      </c>
      <c r="L1700">
        <v>0</v>
      </c>
      <c r="M1700">
        <v>377000</v>
      </c>
      <c r="N1700">
        <f>(data[[#This Row],[unit_price]]*data[[#This Row],[quantity]]) * (1-data[[#This Row],[discount]])</f>
        <v>1006000</v>
      </c>
      <c r="O1700">
        <f>data[[#This Row],[sales]]-data[[#This Row],[cost]]</f>
        <v>629000</v>
      </c>
      <c r="P1700" t="str">
        <f>TEXT(data[[#This Row],[order_date]],"mmm")</f>
        <v>Jan</v>
      </c>
      <c r="Q1700">
        <f>YEAR(data[[#This Row],[order_date]])</f>
        <v>2026</v>
      </c>
      <c r="R1700">
        <f>MONTH(data[[#This Row],[order_date]])</f>
        <v>1</v>
      </c>
      <c r="S1700">
        <f>DAY(data[[#This Row],[order_date]])</f>
        <v>12</v>
      </c>
      <c r="T1700">
        <f>data[[#This Row],[profit]]/data[[#This Row],[sales]]</f>
        <v>0.62524850894632211</v>
      </c>
    </row>
    <row r="1701" spans="1:20" x14ac:dyDescent="0.35">
      <c r="A1701" t="s">
        <v>1933</v>
      </c>
      <c r="B1701" s="1">
        <v>46069</v>
      </c>
      <c r="C1701" t="s">
        <v>49</v>
      </c>
      <c r="D1701" t="s">
        <v>50</v>
      </c>
      <c r="E1701" t="s">
        <v>327</v>
      </c>
      <c r="F1701" t="s">
        <v>23</v>
      </c>
      <c r="G1701" t="s">
        <v>1879</v>
      </c>
      <c r="H1701" t="s">
        <v>1880</v>
      </c>
      <c r="I1701" t="s">
        <v>20</v>
      </c>
      <c r="J1701">
        <v>5</v>
      </c>
      <c r="K1701">
        <v>599000</v>
      </c>
      <c r="L1701">
        <v>0</v>
      </c>
      <c r="M1701">
        <v>438000</v>
      </c>
      <c r="N1701">
        <f>(data[[#This Row],[unit_price]]*data[[#This Row],[quantity]]) * (1-data[[#This Row],[discount]])</f>
        <v>2995000</v>
      </c>
      <c r="O1701">
        <f>data[[#This Row],[sales]]-data[[#This Row],[cost]]</f>
        <v>2557000</v>
      </c>
      <c r="P1701" t="str">
        <f>TEXT(data[[#This Row],[order_date]],"mmm")</f>
        <v>Feb</v>
      </c>
      <c r="Q1701">
        <f>YEAR(data[[#This Row],[order_date]])</f>
        <v>2026</v>
      </c>
      <c r="R1701">
        <f>MONTH(data[[#This Row],[order_date]])</f>
        <v>2</v>
      </c>
      <c r="S1701">
        <f>DAY(data[[#This Row],[order_date]])</f>
        <v>16</v>
      </c>
      <c r="T1701">
        <f>data[[#This Row],[profit]]/data[[#This Row],[sales]]</f>
        <v>0.85375626043405672</v>
      </c>
    </row>
    <row r="1702" spans="1:20" x14ac:dyDescent="0.35">
      <c r="A1702" t="s">
        <v>1934</v>
      </c>
      <c r="B1702" s="1">
        <v>46130</v>
      </c>
      <c r="C1702" t="s">
        <v>25</v>
      </c>
      <c r="D1702" t="s">
        <v>26</v>
      </c>
      <c r="E1702" t="s">
        <v>102</v>
      </c>
      <c r="F1702" t="s">
        <v>58</v>
      </c>
      <c r="G1702" t="s">
        <v>1879</v>
      </c>
      <c r="H1702" t="s">
        <v>1880</v>
      </c>
      <c r="I1702" t="s">
        <v>20</v>
      </c>
      <c r="J1702">
        <v>1</v>
      </c>
      <c r="K1702">
        <v>686000</v>
      </c>
      <c r="L1702">
        <v>0</v>
      </c>
      <c r="M1702">
        <v>510000</v>
      </c>
      <c r="N1702">
        <f>(data[[#This Row],[unit_price]]*data[[#This Row],[quantity]]) * (1-data[[#This Row],[discount]])</f>
        <v>686000</v>
      </c>
      <c r="O1702">
        <f>data[[#This Row],[sales]]-data[[#This Row],[cost]]</f>
        <v>176000</v>
      </c>
      <c r="P1702" t="str">
        <f>TEXT(data[[#This Row],[order_date]],"mmm")</f>
        <v>Apr</v>
      </c>
      <c r="Q1702">
        <f>YEAR(data[[#This Row],[order_date]])</f>
        <v>2026</v>
      </c>
      <c r="R1702">
        <f>MONTH(data[[#This Row],[order_date]])</f>
        <v>4</v>
      </c>
      <c r="S1702">
        <f>DAY(data[[#This Row],[order_date]])</f>
        <v>18</v>
      </c>
      <c r="T1702">
        <f>data[[#This Row],[profit]]/data[[#This Row],[sales]]</f>
        <v>0.2565597667638484</v>
      </c>
    </row>
    <row r="1703" spans="1:20" x14ac:dyDescent="0.35">
      <c r="A1703" t="s">
        <v>1935</v>
      </c>
      <c r="B1703" s="1">
        <v>46131</v>
      </c>
      <c r="C1703" t="s">
        <v>36</v>
      </c>
      <c r="D1703" t="s">
        <v>37</v>
      </c>
      <c r="E1703" t="s">
        <v>423</v>
      </c>
      <c r="F1703" t="s">
        <v>17</v>
      </c>
      <c r="G1703" t="s">
        <v>1879</v>
      </c>
      <c r="H1703" t="s">
        <v>1880</v>
      </c>
      <c r="I1703" t="s">
        <v>20</v>
      </c>
      <c r="J1703">
        <v>1</v>
      </c>
      <c r="K1703">
        <v>558000</v>
      </c>
      <c r="L1703">
        <v>0</v>
      </c>
      <c r="M1703">
        <v>418000</v>
      </c>
      <c r="N1703">
        <f>(data[[#This Row],[unit_price]]*data[[#This Row],[quantity]]) * (1-data[[#This Row],[discount]])</f>
        <v>558000</v>
      </c>
      <c r="O1703">
        <f>data[[#This Row],[sales]]-data[[#This Row],[cost]]</f>
        <v>140000</v>
      </c>
      <c r="P1703" t="str">
        <f>TEXT(data[[#This Row],[order_date]],"mmm")</f>
        <v>Apr</v>
      </c>
      <c r="Q1703">
        <f>YEAR(data[[#This Row],[order_date]])</f>
        <v>2026</v>
      </c>
      <c r="R1703">
        <f>MONTH(data[[#This Row],[order_date]])</f>
        <v>4</v>
      </c>
      <c r="S1703">
        <f>DAY(data[[#This Row],[order_date]])</f>
        <v>19</v>
      </c>
      <c r="T1703">
        <f>data[[#This Row],[profit]]/data[[#This Row],[sales]]</f>
        <v>0.25089605734767023</v>
      </c>
    </row>
    <row r="1704" spans="1:20" x14ac:dyDescent="0.35">
      <c r="A1704" t="s">
        <v>1936</v>
      </c>
      <c r="B1704" s="1">
        <v>46143</v>
      </c>
      <c r="C1704" t="s">
        <v>41</v>
      </c>
      <c r="D1704" t="s">
        <v>42</v>
      </c>
      <c r="E1704" t="s">
        <v>95</v>
      </c>
      <c r="F1704" t="s">
        <v>23</v>
      </c>
      <c r="G1704" t="s">
        <v>1879</v>
      </c>
      <c r="H1704" t="s">
        <v>1880</v>
      </c>
      <c r="I1704" t="s">
        <v>20</v>
      </c>
      <c r="J1704">
        <v>1</v>
      </c>
      <c r="K1704">
        <v>346000</v>
      </c>
      <c r="L1704">
        <v>0</v>
      </c>
      <c r="M1704">
        <v>256000</v>
      </c>
      <c r="N1704">
        <f>(data[[#This Row],[unit_price]]*data[[#This Row],[quantity]]) * (1-data[[#This Row],[discount]])</f>
        <v>346000</v>
      </c>
      <c r="O1704">
        <f>data[[#This Row],[sales]]-data[[#This Row],[cost]]</f>
        <v>90000</v>
      </c>
      <c r="P1704" t="str">
        <f>TEXT(data[[#This Row],[order_date]],"mmm")</f>
        <v>May</v>
      </c>
      <c r="Q1704">
        <f>YEAR(data[[#This Row],[order_date]])</f>
        <v>2026</v>
      </c>
      <c r="R1704">
        <f>MONTH(data[[#This Row],[order_date]])</f>
        <v>5</v>
      </c>
      <c r="S1704">
        <f>DAY(data[[#This Row],[order_date]])</f>
        <v>1</v>
      </c>
      <c r="T1704">
        <f>data[[#This Row],[profit]]/data[[#This Row],[sales]]</f>
        <v>0.26011560693641617</v>
      </c>
    </row>
    <row r="1705" spans="1:20" x14ac:dyDescent="0.35">
      <c r="A1705" t="s">
        <v>1937</v>
      </c>
      <c r="B1705" s="1">
        <v>46168</v>
      </c>
      <c r="C1705" t="s">
        <v>14</v>
      </c>
      <c r="D1705" t="s">
        <v>15</v>
      </c>
      <c r="E1705" t="s">
        <v>43</v>
      </c>
      <c r="F1705" t="s">
        <v>17</v>
      </c>
      <c r="G1705" t="s">
        <v>1879</v>
      </c>
      <c r="H1705" t="s">
        <v>1880</v>
      </c>
      <c r="I1705" t="s">
        <v>20</v>
      </c>
      <c r="J1705">
        <v>5</v>
      </c>
      <c r="K1705">
        <v>667000</v>
      </c>
      <c r="L1705">
        <v>0</v>
      </c>
      <c r="M1705">
        <v>480000</v>
      </c>
      <c r="N1705">
        <f>(data[[#This Row],[unit_price]]*data[[#This Row],[quantity]]) * (1-data[[#This Row],[discount]])</f>
        <v>3335000</v>
      </c>
      <c r="O1705">
        <f>data[[#This Row],[sales]]-data[[#This Row],[cost]]</f>
        <v>2855000</v>
      </c>
      <c r="P1705" t="str">
        <f>TEXT(data[[#This Row],[order_date]],"mmm")</f>
        <v>May</v>
      </c>
      <c r="Q1705">
        <f>YEAR(data[[#This Row],[order_date]])</f>
        <v>2026</v>
      </c>
      <c r="R1705">
        <f>MONTH(data[[#This Row],[order_date]])</f>
        <v>5</v>
      </c>
      <c r="S1705">
        <f>DAY(data[[#This Row],[order_date]])</f>
        <v>26</v>
      </c>
      <c r="T1705">
        <f>data[[#This Row],[profit]]/data[[#This Row],[sales]]</f>
        <v>0.85607196401799102</v>
      </c>
    </row>
    <row r="1706" spans="1:20" x14ac:dyDescent="0.35">
      <c r="A1706" t="s">
        <v>1938</v>
      </c>
      <c r="B1706" s="1">
        <v>44996</v>
      </c>
      <c r="C1706" t="s">
        <v>14</v>
      </c>
      <c r="D1706" t="s">
        <v>15</v>
      </c>
      <c r="E1706" t="s">
        <v>47</v>
      </c>
      <c r="F1706" t="s">
        <v>23</v>
      </c>
      <c r="G1706" t="s">
        <v>1939</v>
      </c>
      <c r="H1706" t="s">
        <v>1940</v>
      </c>
      <c r="I1706" t="s">
        <v>160</v>
      </c>
      <c r="J1706">
        <v>1</v>
      </c>
      <c r="K1706">
        <v>2107000</v>
      </c>
      <c r="L1706">
        <v>0</v>
      </c>
      <c r="M1706">
        <v>1417000</v>
      </c>
      <c r="N1706">
        <f>(data[[#This Row],[unit_price]]*data[[#This Row],[quantity]]) * (1-data[[#This Row],[discount]])</f>
        <v>2107000</v>
      </c>
      <c r="O1706">
        <f>data[[#This Row],[sales]]-data[[#This Row],[cost]]</f>
        <v>690000</v>
      </c>
      <c r="P1706" t="str">
        <f>TEXT(data[[#This Row],[order_date]],"mmm")</f>
        <v>Mar</v>
      </c>
      <c r="Q1706">
        <f>YEAR(data[[#This Row],[order_date]])</f>
        <v>2023</v>
      </c>
      <c r="R1706">
        <f>MONTH(data[[#This Row],[order_date]])</f>
        <v>3</v>
      </c>
      <c r="S1706">
        <f>DAY(data[[#This Row],[order_date]])</f>
        <v>11</v>
      </c>
      <c r="T1706">
        <f>data[[#This Row],[profit]]/data[[#This Row],[sales]]</f>
        <v>0.32747982914095869</v>
      </c>
    </row>
    <row r="1707" spans="1:20" x14ac:dyDescent="0.35">
      <c r="A1707" t="s">
        <v>1941</v>
      </c>
      <c r="B1707" s="1">
        <v>45004</v>
      </c>
      <c r="C1707" t="s">
        <v>14</v>
      </c>
      <c r="D1707" t="s">
        <v>15</v>
      </c>
      <c r="E1707" t="s">
        <v>65</v>
      </c>
      <c r="F1707" t="s">
        <v>17</v>
      </c>
      <c r="G1707" t="s">
        <v>1939</v>
      </c>
      <c r="H1707" t="s">
        <v>1940</v>
      </c>
      <c r="I1707" t="s">
        <v>160</v>
      </c>
      <c r="J1707">
        <v>1</v>
      </c>
      <c r="K1707">
        <v>2098000</v>
      </c>
      <c r="L1707">
        <v>0</v>
      </c>
      <c r="M1707">
        <v>1443000</v>
      </c>
      <c r="N1707">
        <f>(data[[#This Row],[unit_price]]*data[[#This Row],[quantity]]) * (1-data[[#This Row],[discount]])</f>
        <v>2098000</v>
      </c>
      <c r="O1707">
        <f>data[[#This Row],[sales]]-data[[#This Row],[cost]]</f>
        <v>655000</v>
      </c>
      <c r="P1707" t="str">
        <f>TEXT(data[[#This Row],[order_date]],"mmm")</f>
        <v>Mar</v>
      </c>
      <c r="Q1707">
        <f>YEAR(data[[#This Row],[order_date]])</f>
        <v>2023</v>
      </c>
      <c r="R1707">
        <f>MONTH(data[[#This Row],[order_date]])</f>
        <v>3</v>
      </c>
      <c r="S1707">
        <f>DAY(data[[#This Row],[order_date]])</f>
        <v>19</v>
      </c>
      <c r="T1707">
        <f>data[[#This Row],[profit]]/data[[#This Row],[sales]]</f>
        <v>0.31220209723546233</v>
      </c>
    </row>
    <row r="1708" spans="1:20" x14ac:dyDescent="0.35">
      <c r="A1708" t="s">
        <v>1942</v>
      </c>
      <c r="B1708" s="1">
        <v>45004</v>
      </c>
      <c r="C1708" t="s">
        <v>41</v>
      </c>
      <c r="D1708" t="s">
        <v>42</v>
      </c>
      <c r="E1708" t="s">
        <v>489</v>
      </c>
      <c r="F1708" t="s">
        <v>17</v>
      </c>
      <c r="G1708" t="s">
        <v>1939</v>
      </c>
      <c r="H1708" t="s">
        <v>1940</v>
      </c>
      <c r="I1708" t="s">
        <v>160</v>
      </c>
      <c r="J1708">
        <v>2</v>
      </c>
      <c r="K1708">
        <v>3446000</v>
      </c>
      <c r="L1708">
        <v>0</v>
      </c>
      <c r="M1708">
        <v>2391000</v>
      </c>
      <c r="N1708">
        <f>(data[[#This Row],[unit_price]]*data[[#This Row],[quantity]]) * (1-data[[#This Row],[discount]])</f>
        <v>6892000</v>
      </c>
      <c r="O1708">
        <f>data[[#This Row],[sales]]-data[[#This Row],[cost]]</f>
        <v>4501000</v>
      </c>
      <c r="P1708" t="str">
        <f>TEXT(data[[#This Row],[order_date]],"mmm")</f>
        <v>Mar</v>
      </c>
      <c r="Q1708">
        <f>YEAR(data[[#This Row],[order_date]])</f>
        <v>2023</v>
      </c>
      <c r="R1708">
        <f>MONTH(data[[#This Row],[order_date]])</f>
        <v>3</v>
      </c>
      <c r="S1708">
        <f>DAY(data[[#This Row],[order_date]])</f>
        <v>19</v>
      </c>
      <c r="T1708">
        <f>data[[#This Row],[profit]]/data[[#This Row],[sales]]</f>
        <v>0.65307603017991878</v>
      </c>
    </row>
    <row r="1709" spans="1:20" x14ac:dyDescent="0.35">
      <c r="A1709" t="s">
        <v>1943</v>
      </c>
      <c r="B1709" s="1">
        <v>45020</v>
      </c>
      <c r="C1709" t="s">
        <v>36</v>
      </c>
      <c r="D1709" t="s">
        <v>37</v>
      </c>
      <c r="E1709" t="s">
        <v>411</v>
      </c>
      <c r="F1709" t="s">
        <v>28</v>
      </c>
      <c r="G1709" t="s">
        <v>1939</v>
      </c>
      <c r="H1709" t="s">
        <v>1940</v>
      </c>
      <c r="I1709" t="s">
        <v>160</v>
      </c>
      <c r="J1709">
        <v>1</v>
      </c>
      <c r="K1709">
        <v>2116000</v>
      </c>
      <c r="L1709">
        <v>0.05</v>
      </c>
      <c r="M1709">
        <v>1472000</v>
      </c>
      <c r="N1709">
        <f>(data[[#This Row],[unit_price]]*data[[#This Row],[quantity]]) * (1-data[[#This Row],[discount]])</f>
        <v>2010200</v>
      </c>
      <c r="O1709">
        <f>data[[#This Row],[sales]]-data[[#This Row],[cost]]</f>
        <v>538200</v>
      </c>
      <c r="P1709" t="str">
        <f>TEXT(data[[#This Row],[order_date]],"mmm")</f>
        <v>Apr</v>
      </c>
      <c r="Q1709">
        <f>YEAR(data[[#This Row],[order_date]])</f>
        <v>2023</v>
      </c>
      <c r="R1709">
        <f>MONTH(data[[#This Row],[order_date]])</f>
        <v>4</v>
      </c>
      <c r="S1709">
        <f>DAY(data[[#This Row],[order_date]])</f>
        <v>4</v>
      </c>
      <c r="T1709">
        <f>data[[#This Row],[profit]]/data[[#This Row],[sales]]</f>
        <v>0.26773455377574373</v>
      </c>
    </row>
    <row r="1710" spans="1:20" x14ac:dyDescent="0.35">
      <c r="A1710" t="s">
        <v>1944</v>
      </c>
      <c r="B1710" s="1">
        <v>45043</v>
      </c>
      <c r="C1710" t="s">
        <v>41</v>
      </c>
      <c r="D1710" t="s">
        <v>42</v>
      </c>
      <c r="E1710" t="s">
        <v>498</v>
      </c>
      <c r="F1710" t="s">
        <v>23</v>
      </c>
      <c r="G1710" t="s">
        <v>1939</v>
      </c>
      <c r="H1710" t="s">
        <v>1940</v>
      </c>
      <c r="I1710" t="s">
        <v>160</v>
      </c>
      <c r="J1710">
        <v>1</v>
      </c>
      <c r="K1710">
        <v>3395000</v>
      </c>
      <c r="L1710">
        <v>0</v>
      </c>
      <c r="M1710">
        <v>2314000</v>
      </c>
      <c r="N1710">
        <f>(data[[#This Row],[unit_price]]*data[[#This Row],[quantity]]) * (1-data[[#This Row],[discount]])</f>
        <v>3395000</v>
      </c>
      <c r="O1710">
        <f>data[[#This Row],[sales]]-data[[#This Row],[cost]]</f>
        <v>1081000</v>
      </c>
      <c r="P1710" t="str">
        <f>TEXT(data[[#This Row],[order_date]],"mmm")</f>
        <v>Apr</v>
      </c>
      <c r="Q1710">
        <f>YEAR(data[[#This Row],[order_date]])</f>
        <v>2023</v>
      </c>
      <c r="R1710">
        <f>MONTH(data[[#This Row],[order_date]])</f>
        <v>4</v>
      </c>
      <c r="S1710">
        <f>DAY(data[[#This Row],[order_date]])</f>
        <v>27</v>
      </c>
      <c r="T1710">
        <f>data[[#This Row],[profit]]/data[[#This Row],[sales]]</f>
        <v>0.31840942562592045</v>
      </c>
    </row>
    <row r="1711" spans="1:20" x14ac:dyDescent="0.35">
      <c r="A1711" t="s">
        <v>1945</v>
      </c>
      <c r="B1711" s="1">
        <v>45055</v>
      </c>
      <c r="C1711" t="s">
        <v>14</v>
      </c>
      <c r="D1711" t="s">
        <v>15</v>
      </c>
      <c r="E1711" t="s">
        <v>239</v>
      </c>
      <c r="F1711" t="s">
        <v>23</v>
      </c>
      <c r="G1711" t="s">
        <v>1939</v>
      </c>
      <c r="H1711" t="s">
        <v>1940</v>
      </c>
      <c r="I1711" t="s">
        <v>160</v>
      </c>
      <c r="J1711">
        <v>1</v>
      </c>
      <c r="K1711">
        <v>2856000</v>
      </c>
      <c r="L1711">
        <v>0.05</v>
      </c>
      <c r="M1711">
        <v>1932000</v>
      </c>
      <c r="N1711">
        <f>(data[[#This Row],[unit_price]]*data[[#This Row],[quantity]]) * (1-data[[#This Row],[discount]])</f>
        <v>2713200</v>
      </c>
      <c r="O1711">
        <f>data[[#This Row],[sales]]-data[[#This Row],[cost]]</f>
        <v>781200</v>
      </c>
      <c r="P1711" t="str">
        <f>TEXT(data[[#This Row],[order_date]],"mmm")</f>
        <v>May</v>
      </c>
      <c r="Q1711">
        <f>YEAR(data[[#This Row],[order_date]])</f>
        <v>2023</v>
      </c>
      <c r="R1711">
        <f>MONTH(data[[#This Row],[order_date]])</f>
        <v>5</v>
      </c>
      <c r="S1711">
        <f>DAY(data[[#This Row],[order_date]])</f>
        <v>9</v>
      </c>
      <c r="T1711">
        <f>data[[#This Row],[profit]]/data[[#This Row],[sales]]</f>
        <v>0.28792569659442724</v>
      </c>
    </row>
    <row r="1712" spans="1:20" x14ac:dyDescent="0.35">
      <c r="A1712" t="s">
        <v>1946</v>
      </c>
      <c r="B1712" s="1">
        <v>45070</v>
      </c>
      <c r="C1712" t="s">
        <v>36</v>
      </c>
      <c r="D1712" t="s">
        <v>37</v>
      </c>
      <c r="E1712" t="s">
        <v>373</v>
      </c>
      <c r="F1712" t="s">
        <v>23</v>
      </c>
      <c r="G1712" t="s">
        <v>1939</v>
      </c>
      <c r="H1712" t="s">
        <v>1940</v>
      </c>
      <c r="I1712" t="s">
        <v>160</v>
      </c>
      <c r="J1712">
        <v>1</v>
      </c>
      <c r="K1712">
        <v>3079000</v>
      </c>
      <c r="L1712">
        <v>0</v>
      </c>
      <c r="M1712">
        <v>2036000</v>
      </c>
      <c r="N1712">
        <f>(data[[#This Row],[unit_price]]*data[[#This Row],[quantity]]) * (1-data[[#This Row],[discount]])</f>
        <v>3079000</v>
      </c>
      <c r="O1712">
        <f>data[[#This Row],[sales]]-data[[#This Row],[cost]]</f>
        <v>1043000</v>
      </c>
      <c r="P1712" t="str">
        <f>TEXT(data[[#This Row],[order_date]],"mmm")</f>
        <v>May</v>
      </c>
      <c r="Q1712">
        <f>YEAR(data[[#This Row],[order_date]])</f>
        <v>2023</v>
      </c>
      <c r="R1712">
        <f>MONTH(data[[#This Row],[order_date]])</f>
        <v>5</v>
      </c>
      <c r="S1712">
        <f>DAY(data[[#This Row],[order_date]])</f>
        <v>24</v>
      </c>
      <c r="T1712">
        <f>data[[#This Row],[profit]]/data[[#This Row],[sales]]</f>
        <v>0.33874634621630401</v>
      </c>
    </row>
    <row r="1713" spans="1:20" x14ac:dyDescent="0.35">
      <c r="A1713" t="s">
        <v>1947</v>
      </c>
      <c r="B1713" s="1">
        <v>45077</v>
      </c>
      <c r="C1713" t="s">
        <v>14</v>
      </c>
      <c r="D1713" t="s">
        <v>15</v>
      </c>
      <c r="E1713" t="s">
        <v>164</v>
      </c>
      <c r="F1713" t="s">
        <v>23</v>
      </c>
      <c r="G1713" t="s">
        <v>1939</v>
      </c>
      <c r="H1713" t="s">
        <v>1940</v>
      </c>
      <c r="I1713" t="s">
        <v>160</v>
      </c>
      <c r="J1713">
        <v>1</v>
      </c>
      <c r="K1713">
        <v>2456000</v>
      </c>
      <c r="L1713">
        <v>0</v>
      </c>
      <c r="M1713">
        <v>1695000</v>
      </c>
      <c r="N1713">
        <f>(data[[#This Row],[unit_price]]*data[[#This Row],[quantity]]) * (1-data[[#This Row],[discount]])</f>
        <v>2456000</v>
      </c>
      <c r="O1713">
        <f>data[[#This Row],[sales]]-data[[#This Row],[cost]]</f>
        <v>761000</v>
      </c>
      <c r="P1713" t="str">
        <f>TEXT(data[[#This Row],[order_date]],"mmm")</f>
        <v>May</v>
      </c>
      <c r="Q1713">
        <f>YEAR(data[[#This Row],[order_date]])</f>
        <v>2023</v>
      </c>
      <c r="R1713">
        <f>MONTH(data[[#This Row],[order_date]])</f>
        <v>5</v>
      </c>
      <c r="S1713">
        <f>DAY(data[[#This Row],[order_date]])</f>
        <v>31</v>
      </c>
      <c r="T1713">
        <f>data[[#This Row],[profit]]/data[[#This Row],[sales]]</f>
        <v>0.30985342019543977</v>
      </c>
    </row>
    <row r="1714" spans="1:20" x14ac:dyDescent="0.35">
      <c r="A1714" t="s">
        <v>1948</v>
      </c>
      <c r="B1714" s="1">
        <v>45099</v>
      </c>
      <c r="C1714" t="s">
        <v>41</v>
      </c>
      <c r="D1714" t="s">
        <v>42</v>
      </c>
      <c r="E1714" t="s">
        <v>45</v>
      </c>
      <c r="F1714" t="s">
        <v>17</v>
      </c>
      <c r="G1714" t="s">
        <v>1939</v>
      </c>
      <c r="H1714" t="s">
        <v>1940</v>
      </c>
      <c r="I1714" t="s">
        <v>160</v>
      </c>
      <c r="J1714">
        <v>1</v>
      </c>
      <c r="K1714">
        <v>3396000</v>
      </c>
      <c r="L1714">
        <v>0</v>
      </c>
      <c r="M1714">
        <v>2360000</v>
      </c>
      <c r="N1714">
        <f>(data[[#This Row],[unit_price]]*data[[#This Row],[quantity]]) * (1-data[[#This Row],[discount]])</f>
        <v>3396000</v>
      </c>
      <c r="O1714">
        <f>data[[#This Row],[sales]]-data[[#This Row],[cost]]</f>
        <v>1036000</v>
      </c>
      <c r="P1714" t="str">
        <f>TEXT(data[[#This Row],[order_date]],"mmm")</f>
        <v>Jun</v>
      </c>
      <c r="Q1714">
        <f>YEAR(data[[#This Row],[order_date]])</f>
        <v>2023</v>
      </c>
      <c r="R1714">
        <f>MONTH(data[[#This Row],[order_date]])</f>
        <v>6</v>
      </c>
      <c r="S1714">
        <f>DAY(data[[#This Row],[order_date]])</f>
        <v>22</v>
      </c>
      <c r="T1714">
        <f>data[[#This Row],[profit]]/data[[#This Row],[sales]]</f>
        <v>0.30506478209658422</v>
      </c>
    </row>
    <row r="1715" spans="1:20" x14ac:dyDescent="0.35">
      <c r="A1715" t="s">
        <v>1949</v>
      </c>
      <c r="B1715" s="1">
        <v>45153</v>
      </c>
      <c r="C1715" t="s">
        <v>49</v>
      </c>
      <c r="D1715" t="s">
        <v>50</v>
      </c>
      <c r="E1715" t="s">
        <v>95</v>
      </c>
      <c r="F1715" t="s">
        <v>23</v>
      </c>
      <c r="G1715" t="s">
        <v>1939</v>
      </c>
      <c r="H1715" t="s">
        <v>1940</v>
      </c>
      <c r="I1715" t="s">
        <v>160</v>
      </c>
      <c r="J1715">
        <v>3</v>
      </c>
      <c r="K1715">
        <v>2276000</v>
      </c>
      <c r="L1715">
        <v>0</v>
      </c>
      <c r="M1715">
        <v>1574000</v>
      </c>
      <c r="N1715">
        <f>(data[[#This Row],[unit_price]]*data[[#This Row],[quantity]]) * (1-data[[#This Row],[discount]])</f>
        <v>6828000</v>
      </c>
      <c r="O1715">
        <f>data[[#This Row],[sales]]-data[[#This Row],[cost]]</f>
        <v>5254000</v>
      </c>
      <c r="P1715" t="str">
        <f>TEXT(data[[#This Row],[order_date]],"mmm")</f>
        <v>Aug</v>
      </c>
      <c r="Q1715">
        <f>YEAR(data[[#This Row],[order_date]])</f>
        <v>2023</v>
      </c>
      <c r="R1715">
        <f>MONTH(data[[#This Row],[order_date]])</f>
        <v>8</v>
      </c>
      <c r="S1715">
        <f>DAY(data[[#This Row],[order_date]])</f>
        <v>15</v>
      </c>
      <c r="T1715">
        <f>data[[#This Row],[profit]]/data[[#This Row],[sales]]</f>
        <v>0.76947861745752788</v>
      </c>
    </row>
    <row r="1716" spans="1:20" x14ac:dyDescent="0.35">
      <c r="A1716" t="s">
        <v>1950</v>
      </c>
      <c r="B1716" s="1">
        <v>45172</v>
      </c>
      <c r="C1716" t="s">
        <v>14</v>
      </c>
      <c r="D1716" t="s">
        <v>15</v>
      </c>
      <c r="E1716" t="s">
        <v>327</v>
      </c>
      <c r="F1716" t="s">
        <v>23</v>
      </c>
      <c r="G1716" t="s">
        <v>1939</v>
      </c>
      <c r="H1716" t="s">
        <v>1940</v>
      </c>
      <c r="I1716" t="s">
        <v>160</v>
      </c>
      <c r="J1716">
        <v>5</v>
      </c>
      <c r="K1716">
        <v>2012000</v>
      </c>
      <c r="L1716">
        <v>0</v>
      </c>
      <c r="M1716">
        <v>1373000</v>
      </c>
      <c r="N1716">
        <f>(data[[#This Row],[unit_price]]*data[[#This Row],[quantity]]) * (1-data[[#This Row],[discount]])</f>
        <v>10060000</v>
      </c>
      <c r="O1716">
        <f>data[[#This Row],[sales]]-data[[#This Row],[cost]]</f>
        <v>8687000</v>
      </c>
      <c r="P1716" t="str">
        <f>TEXT(data[[#This Row],[order_date]],"mmm")</f>
        <v>Sep</v>
      </c>
      <c r="Q1716">
        <f>YEAR(data[[#This Row],[order_date]])</f>
        <v>2023</v>
      </c>
      <c r="R1716">
        <f>MONTH(data[[#This Row],[order_date]])</f>
        <v>9</v>
      </c>
      <c r="S1716">
        <f>DAY(data[[#This Row],[order_date]])</f>
        <v>3</v>
      </c>
      <c r="T1716">
        <f>data[[#This Row],[profit]]/data[[#This Row],[sales]]</f>
        <v>0.86351888667992049</v>
      </c>
    </row>
    <row r="1717" spans="1:20" x14ac:dyDescent="0.35">
      <c r="A1717" t="s">
        <v>1951</v>
      </c>
      <c r="B1717" s="1">
        <v>45198</v>
      </c>
      <c r="C1717" t="s">
        <v>14</v>
      </c>
      <c r="D1717" t="s">
        <v>15</v>
      </c>
      <c r="E1717" t="s">
        <v>43</v>
      </c>
      <c r="F1717" t="s">
        <v>17</v>
      </c>
      <c r="G1717" t="s">
        <v>1939</v>
      </c>
      <c r="H1717" t="s">
        <v>1940</v>
      </c>
      <c r="I1717" t="s">
        <v>160</v>
      </c>
      <c r="J1717">
        <v>1</v>
      </c>
      <c r="K1717">
        <v>2503000</v>
      </c>
      <c r="L1717">
        <v>0</v>
      </c>
      <c r="M1717">
        <v>1664000</v>
      </c>
      <c r="N1717">
        <f>(data[[#This Row],[unit_price]]*data[[#This Row],[quantity]]) * (1-data[[#This Row],[discount]])</f>
        <v>2503000</v>
      </c>
      <c r="O1717">
        <f>data[[#This Row],[sales]]-data[[#This Row],[cost]]</f>
        <v>839000</v>
      </c>
      <c r="P1717" t="str">
        <f>TEXT(data[[#This Row],[order_date]],"mmm")</f>
        <v>Sep</v>
      </c>
      <c r="Q1717">
        <f>YEAR(data[[#This Row],[order_date]])</f>
        <v>2023</v>
      </c>
      <c r="R1717">
        <f>MONTH(data[[#This Row],[order_date]])</f>
        <v>9</v>
      </c>
      <c r="S1717">
        <f>DAY(data[[#This Row],[order_date]])</f>
        <v>29</v>
      </c>
      <c r="T1717">
        <f>data[[#This Row],[profit]]/data[[#This Row],[sales]]</f>
        <v>0.33519776268477824</v>
      </c>
    </row>
    <row r="1718" spans="1:20" x14ac:dyDescent="0.35">
      <c r="A1718" t="s">
        <v>1952</v>
      </c>
      <c r="B1718" s="1">
        <v>45221</v>
      </c>
      <c r="C1718" t="s">
        <v>14</v>
      </c>
      <c r="D1718" t="s">
        <v>15</v>
      </c>
      <c r="E1718" t="s">
        <v>195</v>
      </c>
      <c r="F1718" t="s">
        <v>23</v>
      </c>
      <c r="G1718" t="s">
        <v>1939</v>
      </c>
      <c r="H1718" t="s">
        <v>1940</v>
      </c>
      <c r="I1718" t="s">
        <v>160</v>
      </c>
      <c r="J1718">
        <v>1</v>
      </c>
      <c r="K1718">
        <v>2699000</v>
      </c>
      <c r="L1718">
        <v>0</v>
      </c>
      <c r="M1718">
        <v>1810000</v>
      </c>
      <c r="N1718">
        <f>(data[[#This Row],[unit_price]]*data[[#This Row],[quantity]]) * (1-data[[#This Row],[discount]])</f>
        <v>2699000</v>
      </c>
      <c r="O1718">
        <f>data[[#This Row],[sales]]-data[[#This Row],[cost]]</f>
        <v>889000</v>
      </c>
      <c r="P1718" t="str">
        <f>TEXT(data[[#This Row],[order_date]],"mmm")</f>
        <v>Oct</v>
      </c>
      <c r="Q1718">
        <f>YEAR(data[[#This Row],[order_date]])</f>
        <v>2023</v>
      </c>
      <c r="R1718">
        <f>MONTH(data[[#This Row],[order_date]])</f>
        <v>10</v>
      </c>
      <c r="S1718">
        <f>DAY(data[[#This Row],[order_date]])</f>
        <v>22</v>
      </c>
      <c r="T1718">
        <f>data[[#This Row],[profit]]/data[[#This Row],[sales]]</f>
        <v>0.32938125231567245</v>
      </c>
    </row>
    <row r="1719" spans="1:20" x14ac:dyDescent="0.35">
      <c r="A1719" t="s">
        <v>1953</v>
      </c>
      <c r="B1719" s="1">
        <v>45236</v>
      </c>
      <c r="C1719" t="s">
        <v>41</v>
      </c>
      <c r="D1719" t="s">
        <v>42</v>
      </c>
      <c r="E1719" t="s">
        <v>99</v>
      </c>
      <c r="F1719" t="s">
        <v>23</v>
      </c>
      <c r="G1719" t="s">
        <v>1939</v>
      </c>
      <c r="H1719" t="s">
        <v>1940</v>
      </c>
      <c r="I1719" t="s">
        <v>160</v>
      </c>
      <c r="J1719">
        <v>2</v>
      </c>
      <c r="K1719">
        <v>2022000</v>
      </c>
      <c r="L1719">
        <v>0</v>
      </c>
      <c r="M1719">
        <v>1404000</v>
      </c>
      <c r="N1719">
        <f>(data[[#This Row],[unit_price]]*data[[#This Row],[quantity]]) * (1-data[[#This Row],[discount]])</f>
        <v>4044000</v>
      </c>
      <c r="O1719">
        <f>data[[#This Row],[sales]]-data[[#This Row],[cost]]</f>
        <v>2640000</v>
      </c>
      <c r="P1719" t="str">
        <f>TEXT(data[[#This Row],[order_date]],"mmm")</f>
        <v>Nov</v>
      </c>
      <c r="Q1719">
        <f>YEAR(data[[#This Row],[order_date]])</f>
        <v>2023</v>
      </c>
      <c r="R1719">
        <f>MONTH(data[[#This Row],[order_date]])</f>
        <v>11</v>
      </c>
      <c r="S1719">
        <f>DAY(data[[#This Row],[order_date]])</f>
        <v>6</v>
      </c>
      <c r="T1719">
        <f>data[[#This Row],[profit]]/data[[#This Row],[sales]]</f>
        <v>0.65281899109792285</v>
      </c>
    </row>
    <row r="1720" spans="1:20" x14ac:dyDescent="0.35">
      <c r="A1720" t="s">
        <v>1954</v>
      </c>
      <c r="B1720" s="1">
        <v>45259</v>
      </c>
      <c r="C1720" t="s">
        <v>49</v>
      </c>
      <c r="D1720" t="s">
        <v>50</v>
      </c>
      <c r="E1720" t="s">
        <v>287</v>
      </c>
      <c r="F1720" t="s">
        <v>28</v>
      </c>
      <c r="G1720" t="s">
        <v>1939</v>
      </c>
      <c r="H1720" t="s">
        <v>1940</v>
      </c>
      <c r="I1720" t="s">
        <v>160</v>
      </c>
      <c r="J1720">
        <v>1</v>
      </c>
      <c r="K1720">
        <v>2885000</v>
      </c>
      <c r="L1720">
        <v>0</v>
      </c>
      <c r="M1720">
        <v>1968000</v>
      </c>
      <c r="N1720">
        <f>(data[[#This Row],[unit_price]]*data[[#This Row],[quantity]]) * (1-data[[#This Row],[discount]])</f>
        <v>2885000</v>
      </c>
      <c r="O1720">
        <f>data[[#This Row],[sales]]-data[[#This Row],[cost]]</f>
        <v>917000</v>
      </c>
      <c r="P1720" t="str">
        <f>TEXT(data[[#This Row],[order_date]],"mmm")</f>
        <v>Nov</v>
      </c>
      <c r="Q1720">
        <f>YEAR(data[[#This Row],[order_date]])</f>
        <v>2023</v>
      </c>
      <c r="R1720">
        <f>MONTH(data[[#This Row],[order_date]])</f>
        <v>11</v>
      </c>
      <c r="S1720">
        <f>DAY(data[[#This Row],[order_date]])</f>
        <v>29</v>
      </c>
      <c r="T1720">
        <f>data[[#This Row],[profit]]/data[[#This Row],[sales]]</f>
        <v>0.31785095320623918</v>
      </c>
    </row>
    <row r="1721" spans="1:20" x14ac:dyDescent="0.35">
      <c r="A1721" t="s">
        <v>1955</v>
      </c>
      <c r="B1721" s="1">
        <v>45269</v>
      </c>
      <c r="C1721" t="s">
        <v>14</v>
      </c>
      <c r="D1721" t="s">
        <v>15</v>
      </c>
      <c r="E1721" t="s">
        <v>144</v>
      </c>
      <c r="F1721" t="s">
        <v>23</v>
      </c>
      <c r="G1721" t="s">
        <v>1939</v>
      </c>
      <c r="H1721" t="s">
        <v>1940</v>
      </c>
      <c r="I1721" t="s">
        <v>160</v>
      </c>
      <c r="J1721">
        <v>3</v>
      </c>
      <c r="K1721">
        <v>2804666.6666666665</v>
      </c>
      <c r="L1721">
        <v>0</v>
      </c>
      <c r="M1721">
        <v>0</v>
      </c>
      <c r="N1721">
        <f>(data[[#This Row],[unit_price]]*data[[#This Row],[quantity]]) * (1-data[[#This Row],[discount]])</f>
        <v>8414000</v>
      </c>
      <c r="O1721">
        <f>data[[#This Row],[sales]]-data[[#This Row],[cost]]</f>
        <v>8414000</v>
      </c>
      <c r="P1721" t="str">
        <f>TEXT(data[[#This Row],[order_date]],"mmm")</f>
        <v>Dec</v>
      </c>
      <c r="Q1721">
        <f>YEAR(data[[#This Row],[order_date]])</f>
        <v>2023</v>
      </c>
      <c r="R1721">
        <f>MONTH(data[[#This Row],[order_date]])</f>
        <v>12</v>
      </c>
      <c r="S1721">
        <f>DAY(data[[#This Row],[order_date]])</f>
        <v>9</v>
      </c>
      <c r="T1721">
        <f>data[[#This Row],[profit]]/data[[#This Row],[sales]]</f>
        <v>1</v>
      </c>
    </row>
    <row r="1722" spans="1:20" x14ac:dyDescent="0.35">
      <c r="A1722" t="s">
        <v>1956</v>
      </c>
      <c r="B1722" s="1">
        <v>45278</v>
      </c>
      <c r="C1722" t="s">
        <v>25</v>
      </c>
      <c r="D1722" t="s">
        <v>26</v>
      </c>
      <c r="E1722" t="s">
        <v>32</v>
      </c>
      <c r="F1722" t="s">
        <v>23</v>
      </c>
      <c r="G1722" t="s">
        <v>1939</v>
      </c>
      <c r="H1722" t="s">
        <v>1940</v>
      </c>
      <c r="I1722" t="s">
        <v>160</v>
      </c>
      <c r="J1722">
        <v>1</v>
      </c>
      <c r="K1722">
        <v>2350000</v>
      </c>
      <c r="L1722">
        <v>0</v>
      </c>
      <c r="M1722">
        <v>1627000</v>
      </c>
      <c r="N1722">
        <f>(data[[#This Row],[unit_price]]*data[[#This Row],[quantity]]) * (1-data[[#This Row],[discount]])</f>
        <v>2350000</v>
      </c>
      <c r="O1722">
        <f>data[[#This Row],[sales]]-data[[#This Row],[cost]]</f>
        <v>723000</v>
      </c>
      <c r="P1722" t="str">
        <f>TEXT(data[[#This Row],[order_date]],"mmm")</f>
        <v>Dec</v>
      </c>
      <c r="Q1722">
        <f>YEAR(data[[#This Row],[order_date]])</f>
        <v>2023</v>
      </c>
      <c r="R1722">
        <f>MONTH(data[[#This Row],[order_date]])</f>
        <v>12</v>
      </c>
      <c r="S1722">
        <f>DAY(data[[#This Row],[order_date]])</f>
        <v>18</v>
      </c>
      <c r="T1722">
        <f>data[[#This Row],[profit]]/data[[#This Row],[sales]]</f>
        <v>0.30765957446808512</v>
      </c>
    </row>
    <row r="1723" spans="1:20" x14ac:dyDescent="0.35">
      <c r="A1723" t="s">
        <v>1957</v>
      </c>
      <c r="B1723" s="1">
        <v>45317</v>
      </c>
      <c r="C1723" t="s">
        <v>14</v>
      </c>
      <c r="D1723" t="s">
        <v>15</v>
      </c>
      <c r="E1723" t="s">
        <v>226</v>
      </c>
      <c r="F1723" t="s">
        <v>17</v>
      </c>
      <c r="G1723" t="s">
        <v>1939</v>
      </c>
      <c r="H1723" t="s">
        <v>1940</v>
      </c>
      <c r="I1723" t="s">
        <v>160</v>
      </c>
      <c r="J1723">
        <v>2</v>
      </c>
      <c r="K1723">
        <v>2247000</v>
      </c>
      <c r="L1723">
        <v>0</v>
      </c>
      <c r="M1723">
        <v>1534000</v>
      </c>
      <c r="N1723">
        <f>(data[[#This Row],[unit_price]]*data[[#This Row],[quantity]]) * (1-data[[#This Row],[discount]])</f>
        <v>4494000</v>
      </c>
      <c r="O1723">
        <f>data[[#This Row],[sales]]-data[[#This Row],[cost]]</f>
        <v>2960000</v>
      </c>
      <c r="P1723" t="str">
        <f>TEXT(data[[#This Row],[order_date]],"mmm")</f>
        <v>Jan</v>
      </c>
      <c r="Q1723">
        <f>YEAR(data[[#This Row],[order_date]])</f>
        <v>2024</v>
      </c>
      <c r="R1723">
        <f>MONTH(data[[#This Row],[order_date]])</f>
        <v>1</v>
      </c>
      <c r="S1723">
        <f>DAY(data[[#This Row],[order_date]])</f>
        <v>26</v>
      </c>
      <c r="T1723">
        <f>data[[#This Row],[profit]]/data[[#This Row],[sales]]</f>
        <v>0.65865598575878948</v>
      </c>
    </row>
    <row r="1724" spans="1:20" x14ac:dyDescent="0.35">
      <c r="A1724" t="s">
        <v>1958</v>
      </c>
      <c r="B1724" s="1">
        <v>45336</v>
      </c>
      <c r="C1724" t="s">
        <v>49</v>
      </c>
      <c r="D1724" t="s">
        <v>50</v>
      </c>
      <c r="E1724" t="s">
        <v>83</v>
      </c>
      <c r="F1724" t="s">
        <v>23</v>
      </c>
      <c r="G1724" t="s">
        <v>1939</v>
      </c>
      <c r="H1724" t="s">
        <v>1940</v>
      </c>
      <c r="I1724" t="s">
        <v>160</v>
      </c>
      <c r="J1724">
        <v>1</v>
      </c>
      <c r="K1724">
        <v>2351000</v>
      </c>
      <c r="L1724">
        <v>0.05</v>
      </c>
      <c r="M1724">
        <v>1584000</v>
      </c>
      <c r="N1724">
        <f>(data[[#This Row],[unit_price]]*data[[#This Row],[quantity]]) * (1-data[[#This Row],[discount]])</f>
        <v>2233450</v>
      </c>
      <c r="O1724">
        <f>data[[#This Row],[sales]]-data[[#This Row],[cost]]</f>
        <v>649450</v>
      </c>
      <c r="P1724" t="str">
        <f>TEXT(data[[#This Row],[order_date]],"mmm")</f>
        <v>Feb</v>
      </c>
      <c r="Q1724">
        <f>YEAR(data[[#This Row],[order_date]])</f>
        <v>2024</v>
      </c>
      <c r="R1724">
        <f>MONTH(data[[#This Row],[order_date]])</f>
        <v>2</v>
      </c>
      <c r="S1724">
        <f>DAY(data[[#This Row],[order_date]])</f>
        <v>14</v>
      </c>
      <c r="T1724">
        <f>data[[#This Row],[profit]]/data[[#This Row],[sales]]</f>
        <v>0.29078331728939533</v>
      </c>
    </row>
    <row r="1725" spans="1:20" x14ac:dyDescent="0.35">
      <c r="A1725" t="s">
        <v>1959</v>
      </c>
      <c r="B1725" s="1">
        <v>45371</v>
      </c>
      <c r="C1725" t="s">
        <v>14</v>
      </c>
      <c r="D1725" t="s">
        <v>15</v>
      </c>
      <c r="E1725" t="s">
        <v>191</v>
      </c>
      <c r="F1725" t="s">
        <v>23</v>
      </c>
      <c r="G1725" t="s">
        <v>1939</v>
      </c>
      <c r="H1725" t="s">
        <v>1940</v>
      </c>
      <c r="I1725" t="s">
        <v>160</v>
      </c>
      <c r="J1725">
        <v>1</v>
      </c>
      <c r="K1725">
        <v>2804666.6666666665</v>
      </c>
      <c r="L1725">
        <v>0</v>
      </c>
      <c r="M1725">
        <v>0</v>
      </c>
      <c r="N1725">
        <f>(data[[#This Row],[unit_price]]*data[[#This Row],[quantity]]) * (1-data[[#This Row],[discount]])</f>
        <v>2804666.6666666665</v>
      </c>
      <c r="O1725">
        <f>data[[#This Row],[sales]]-data[[#This Row],[cost]]</f>
        <v>2804666.6666666665</v>
      </c>
      <c r="P1725" t="str">
        <f>TEXT(data[[#This Row],[order_date]],"mmm")</f>
        <v>Mar</v>
      </c>
      <c r="Q1725">
        <f>YEAR(data[[#This Row],[order_date]])</f>
        <v>2024</v>
      </c>
      <c r="R1725">
        <f>MONTH(data[[#This Row],[order_date]])</f>
        <v>3</v>
      </c>
      <c r="S1725">
        <f>DAY(data[[#This Row],[order_date]])</f>
        <v>20</v>
      </c>
      <c r="T1725">
        <f>data[[#This Row],[profit]]/data[[#This Row],[sales]]</f>
        <v>1</v>
      </c>
    </row>
    <row r="1726" spans="1:20" x14ac:dyDescent="0.35">
      <c r="A1726" t="s">
        <v>1960</v>
      </c>
      <c r="B1726" s="1">
        <v>45391</v>
      </c>
      <c r="C1726" t="s">
        <v>14</v>
      </c>
      <c r="D1726" t="s">
        <v>15</v>
      </c>
      <c r="E1726" t="s">
        <v>205</v>
      </c>
      <c r="F1726" t="s">
        <v>17</v>
      </c>
      <c r="G1726" t="s">
        <v>1939</v>
      </c>
      <c r="H1726" t="s">
        <v>1940</v>
      </c>
      <c r="I1726" t="s">
        <v>160</v>
      </c>
      <c r="J1726">
        <v>3</v>
      </c>
      <c r="K1726">
        <v>3405000</v>
      </c>
      <c r="L1726">
        <v>0.05</v>
      </c>
      <c r="M1726">
        <v>2278000</v>
      </c>
      <c r="N1726">
        <f>(data[[#This Row],[unit_price]]*data[[#This Row],[quantity]]) * (1-data[[#This Row],[discount]])</f>
        <v>9704250</v>
      </c>
      <c r="O1726">
        <f>data[[#This Row],[sales]]-data[[#This Row],[cost]]</f>
        <v>7426250</v>
      </c>
      <c r="P1726" t="str">
        <f>TEXT(data[[#This Row],[order_date]],"mmm")</f>
        <v>Apr</v>
      </c>
      <c r="Q1726">
        <f>YEAR(data[[#This Row],[order_date]])</f>
        <v>2024</v>
      </c>
      <c r="R1726">
        <f>MONTH(data[[#This Row],[order_date]])</f>
        <v>4</v>
      </c>
      <c r="S1726">
        <f>DAY(data[[#This Row],[order_date]])</f>
        <v>9</v>
      </c>
      <c r="T1726">
        <f>data[[#This Row],[profit]]/data[[#This Row],[sales]]</f>
        <v>0.76525749027487955</v>
      </c>
    </row>
    <row r="1727" spans="1:20" x14ac:dyDescent="0.35">
      <c r="A1727" t="s">
        <v>1961</v>
      </c>
      <c r="B1727" s="1">
        <v>45392</v>
      </c>
      <c r="C1727" t="s">
        <v>14</v>
      </c>
      <c r="D1727" t="s">
        <v>15</v>
      </c>
      <c r="E1727" t="s">
        <v>311</v>
      </c>
      <c r="F1727" t="s">
        <v>17</v>
      </c>
      <c r="G1727" t="s">
        <v>1939</v>
      </c>
      <c r="H1727" t="s">
        <v>1940</v>
      </c>
      <c r="I1727" t="s">
        <v>160</v>
      </c>
      <c r="J1727">
        <v>3</v>
      </c>
      <c r="K1727">
        <v>2526000</v>
      </c>
      <c r="L1727">
        <v>0</v>
      </c>
      <c r="M1727">
        <v>1731000</v>
      </c>
      <c r="N1727">
        <f>(data[[#This Row],[unit_price]]*data[[#This Row],[quantity]]) * (1-data[[#This Row],[discount]])</f>
        <v>7578000</v>
      </c>
      <c r="O1727">
        <f>data[[#This Row],[sales]]-data[[#This Row],[cost]]</f>
        <v>5847000</v>
      </c>
      <c r="P1727" t="str">
        <f>TEXT(data[[#This Row],[order_date]],"mmm")</f>
        <v>Apr</v>
      </c>
      <c r="Q1727">
        <f>YEAR(data[[#This Row],[order_date]])</f>
        <v>2024</v>
      </c>
      <c r="R1727">
        <f>MONTH(data[[#This Row],[order_date]])</f>
        <v>4</v>
      </c>
      <c r="S1727">
        <f>DAY(data[[#This Row],[order_date]])</f>
        <v>10</v>
      </c>
      <c r="T1727">
        <f>data[[#This Row],[profit]]/data[[#This Row],[sales]]</f>
        <v>0.77157561361836902</v>
      </c>
    </row>
    <row r="1728" spans="1:20" x14ac:dyDescent="0.35">
      <c r="A1728" t="s">
        <v>1962</v>
      </c>
      <c r="B1728" s="1">
        <v>45423</v>
      </c>
      <c r="C1728" t="s">
        <v>14</v>
      </c>
      <c r="D1728" t="s">
        <v>15</v>
      </c>
      <c r="E1728" t="s">
        <v>432</v>
      </c>
      <c r="F1728" t="s">
        <v>23</v>
      </c>
      <c r="G1728" t="s">
        <v>1939</v>
      </c>
      <c r="H1728" t="s">
        <v>1940</v>
      </c>
      <c r="I1728" t="s">
        <v>160</v>
      </c>
      <c r="J1728">
        <v>3</v>
      </c>
      <c r="K1728">
        <v>2802000</v>
      </c>
      <c r="L1728">
        <v>0</v>
      </c>
      <c r="M1728">
        <v>1867000</v>
      </c>
      <c r="N1728">
        <f>(data[[#This Row],[unit_price]]*data[[#This Row],[quantity]]) * (1-data[[#This Row],[discount]])</f>
        <v>8406000</v>
      </c>
      <c r="O1728">
        <f>data[[#This Row],[sales]]-data[[#This Row],[cost]]</f>
        <v>6539000</v>
      </c>
      <c r="P1728" t="str">
        <f>TEXT(data[[#This Row],[order_date]],"mmm")</f>
        <v>May</v>
      </c>
      <c r="Q1728">
        <f>YEAR(data[[#This Row],[order_date]])</f>
        <v>2024</v>
      </c>
      <c r="R1728">
        <f>MONTH(data[[#This Row],[order_date]])</f>
        <v>5</v>
      </c>
      <c r="S1728">
        <f>DAY(data[[#This Row],[order_date]])</f>
        <v>11</v>
      </c>
      <c r="T1728">
        <f>data[[#This Row],[profit]]/data[[#This Row],[sales]]</f>
        <v>0.77789674042350698</v>
      </c>
    </row>
    <row r="1729" spans="1:20" x14ac:dyDescent="0.35">
      <c r="A1729" t="s">
        <v>1963</v>
      </c>
      <c r="B1729" s="1">
        <v>45432</v>
      </c>
      <c r="C1729" t="s">
        <v>14</v>
      </c>
      <c r="D1729" t="s">
        <v>15</v>
      </c>
      <c r="E1729" t="s">
        <v>239</v>
      </c>
      <c r="F1729" t="s">
        <v>23</v>
      </c>
      <c r="G1729" t="s">
        <v>1939</v>
      </c>
      <c r="H1729" t="s">
        <v>1940</v>
      </c>
      <c r="I1729" t="s">
        <v>160</v>
      </c>
      <c r="J1729">
        <v>1</v>
      </c>
      <c r="K1729">
        <v>3591000</v>
      </c>
      <c r="L1729">
        <v>0</v>
      </c>
      <c r="M1729">
        <v>2513000</v>
      </c>
      <c r="N1729">
        <f>(data[[#This Row],[unit_price]]*data[[#This Row],[quantity]]) * (1-data[[#This Row],[discount]])</f>
        <v>3591000</v>
      </c>
      <c r="O1729">
        <f>data[[#This Row],[sales]]-data[[#This Row],[cost]]</f>
        <v>1078000</v>
      </c>
      <c r="P1729" t="str">
        <f>TEXT(data[[#This Row],[order_date]],"mmm")</f>
        <v>May</v>
      </c>
      <c r="Q1729">
        <f>YEAR(data[[#This Row],[order_date]])</f>
        <v>2024</v>
      </c>
      <c r="R1729">
        <f>MONTH(data[[#This Row],[order_date]])</f>
        <v>5</v>
      </c>
      <c r="S1729">
        <f>DAY(data[[#This Row],[order_date]])</f>
        <v>20</v>
      </c>
      <c r="T1729">
        <f>data[[#This Row],[profit]]/data[[#This Row],[sales]]</f>
        <v>0.30019493177387913</v>
      </c>
    </row>
    <row r="1730" spans="1:20" x14ac:dyDescent="0.35">
      <c r="A1730" t="s">
        <v>1964</v>
      </c>
      <c r="B1730" s="1">
        <v>45438</v>
      </c>
      <c r="C1730" t="s">
        <v>14</v>
      </c>
      <c r="D1730" t="s">
        <v>15</v>
      </c>
      <c r="E1730" t="s">
        <v>247</v>
      </c>
      <c r="F1730" t="s">
        <v>17</v>
      </c>
      <c r="G1730" t="s">
        <v>1939</v>
      </c>
      <c r="H1730" t="s">
        <v>1940</v>
      </c>
      <c r="I1730" t="s">
        <v>160</v>
      </c>
      <c r="J1730">
        <v>3</v>
      </c>
      <c r="K1730">
        <v>2808000</v>
      </c>
      <c r="L1730">
        <v>0.05</v>
      </c>
      <c r="M1730">
        <v>1865000</v>
      </c>
      <c r="N1730">
        <f>(data[[#This Row],[unit_price]]*data[[#This Row],[quantity]]) * (1-data[[#This Row],[discount]])</f>
        <v>8002800</v>
      </c>
      <c r="O1730">
        <f>data[[#This Row],[sales]]-data[[#This Row],[cost]]</f>
        <v>6137800</v>
      </c>
      <c r="P1730" t="str">
        <f>TEXT(data[[#This Row],[order_date]],"mmm")</f>
        <v>May</v>
      </c>
      <c r="Q1730">
        <f>YEAR(data[[#This Row],[order_date]])</f>
        <v>2024</v>
      </c>
      <c r="R1730">
        <f>MONTH(data[[#This Row],[order_date]])</f>
        <v>5</v>
      </c>
      <c r="S1730">
        <f>DAY(data[[#This Row],[order_date]])</f>
        <v>26</v>
      </c>
      <c r="T1730">
        <f>data[[#This Row],[profit]]/data[[#This Row],[sales]]</f>
        <v>0.76695656520217925</v>
      </c>
    </row>
    <row r="1731" spans="1:20" x14ac:dyDescent="0.35">
      <c r="A1731" t="s">
        <v>1965</v>
      </c>
      <c r="B1731" s="1">
        <v>45445</v>
      </c>
      <c r="C1731" t="s">
        <v>49</v>
      </c>
      <c r="D1731" t="s">
        <v>50</v>
      </c>
      <c r="E1731" t="s">
        <v>423</v>
      </c>
      <c r="F1731" t="s">
        <v>17</v>
      </c>
      <c r="G1731" t="s">
        <v>1939</v>
      </c>
      <c r="H1731" t="s">
        <v>1940</v>
      </c>
      <c r="I1731" t="s">
        <v>160</v>
      </c>
      <c r="J1731">
        <v>1</v>
      </c>
      <c r="K1731">
        <v>2468000</v>
      </c>
      <c r="L1731">
        <v>0.05</v>
      </c>
      <c r="M1731">
        <v>1645000</v>
      </c>
      <c r="N1731">
        <f>(data[[#This Row],[unit_price]]*data[[#This Row],[quantity]]) * (1-data[[#This Row],[discount]])</f>
        <v>2344600</v>
      </c>
      <c r="O1731">
        <f>data[[#This Row],[sales]]-data[[#This Row],[cost]]</f>
        <v>699600</v>
      </c>
      <c r="P1731" t="str">
        <f>TEXT(data[[#This Row],[order_date]],"mmm")</f>
        <v>Jun</v>
      </c>
      <c r="Q1731">
        <f>YEAR(data[[#This Row],[order_date]])</f>
        <v>2024</v>
      </c>
      <c r="R1731">
        <f>MONTH(data[[#This Row],[order_date]])</f>
        <v>6</v>
      </c>
      <c r="S1731">
        <f>DAY(data[[#This Row],[order_date]])</f>
        <v>2</v>
      </c>
      <c r="T1731">
        <f>data[[#This Row],[profit]]/data[[#This Row],[sales]]</f>
        <v>0.29838778469674998</v>
      </c>
    </row>
    <row r="1732" spans="1:20" x14ac:dyDescent="0.35">
      <c r="A1732" t="s">
        <v>1966</v>
      </c>
      <c r="B1732" s="1">
        <v>45457</v>
      </c>
      <c r="C1732" t="s">
        <v>14</v>
      </c>
      <c r="D1732" t="s">
        <v>15</v>
      </c>
      <c r="E1732" t="s">
        <v>74</v>
      </c>
      <c r="F1732" t="s">
        <v>23</v>
      </c>
      <c r="G1732" t="s">
        <v>1939</v>
      </c>
      <c r="H1732" t="s">
        <v>1940</v>
      </c>
      <c r="I1732" t="s">
        <v>160</v>
      </c>
      <c r="J1732">
        <v>1</v>
      </c>
      <c r="K1732">
        <v>2626000</v>
      </c>
      <c r="L1732">
        <v>0</v>
      </c>
      <c r="M1732">
        <v>1735000</v>
      </c>
      <c r="N1732">
        <f>(data[[#This Row],[unit_price]]*data[[#This Row],[quantity]]) * (1-data[[#This Row],[discount]])</f>
        <v>2626000</v>
      </c>
      <c r="O1732">
        <f>data[[#This Row],[sales]]-data[[#This Row],[cost]]</f>
        <v>891000</v>
      </c>
      <c r="P1732" t="str">
        <f>TEXT(data[[#This Row],[order_date]],"mmm")</f>
        <v>Jun</v>
      </c>
      <c r="Q1732">
        <f>YEAR(data[[#This Row],[order_date]])</f>
        <v>2024</v>
      </c>
      <c r="R1732">
        <f>MONTH(data[[#This Row],[order_date]])</f>
        <v>6</v>
      </c>
      <c r="S1732">
        <f>DAY(data[[#This Row],[order_date]])</f>
        <v>14</v>
      </c>
      <c r="T1732">
        <f>data[[#This Row],[profit]]/data[[#This Row],[sales]]</f>
        <v>0.33929931454683931</v>
      </c>
    </row>
    <row r="1733" spans="1:20" x14ac:dyDescent="0.35">
      <c r="A1733" t="s">
        <v>1967</v>
      </c>
      <c r="B1733" s="1">
        <v>45460</v>
      </c>
      <c r="C1733" t="s">
        <v>14</v>
      </c>
      <c r="D1733" t="s">
        <v>15</v>
      </c>
      <c r="E1733" t="s">
        <v>113</v>
      </c>
      <c r="F1733" t="s">
        <v>23</v>
      </c>
      <c r="G1733" t="s">
        <v>1939</v>
      </c>
      <c r="H1733" t="s">
        <v>1940</v>
      </c>
      <c r="I1733" t="s">
        <v>160</v>
      </c>
      <c r="J1733">
        <v>1</v>
      </c>
      <c r="K1733">
        <v>2366000</v>
      </c>
      <c r="L1733">
        <v>0</v>
      </c>
      <c r="M1733">
        <v>1623000</v>
      </c>
      <c r="N1733">
        <f>(data[[#This Row],[unit_price]]*data[[#This Row],[quantity]]) * (1-data[[#This Row],[discount]])</f>
        <v>2366000</v>
      </c>
      <c r="O1733">
        <f>data[[#This Row],[sales]]-data[[#This Row],[cost]]</f>
        <v>743000</v>
      </c>
      <c r="P1733" t="str">
        <f>TEXT(data[[#This Row],[order_date]],"mmm")</f>
        <v>Jun</v>
      </c>
      <c r="Q1733">
        <f>YEAR(data[[#This Row],[order_date]])</f>
        <v>2024</v>
      </c>
      <c r="R1733">
        <f>MONTH(data[[#This Row],[order_date]])</f>
        <v>6</v>
      </c>
      <c r="S1733">
        <f>DAY(data[[#This Row],[order_date]])</f>
        <v>17</v>
      </c>
      <c r="T1733">
        <f>data[[#This Row],[profit]]/data[[#This Row],[sales]]</f>
        <v>0.3140321217244294</v>
      </c>
    </row>
    <row r="1734" spans="1:20" x14ac:dyDescent="0.35">
      <c r="A1734" t="s">
        <v>1968</v>
      </c>
      <c r="B1734" s="1">
        <v>45485</v>
      </c>
      <c r="C1734" t="s">
        <v>14</v>
      </c>
      <c r="D1734" t="s">
        <v>15</v>
      </c>
      <c r="E1734" t="s">
        <v>1041</v>
      </c>
      <c r="F1734" t="s">
        <v>23</v>
      </c>
      <c r="G1734" t="s">
        <v>1939</v>
      </c>
      <c r="H1734" t="s">
        <v>1940</v>
      </c>
      <c r="I1734" t="s">
        <v>160</v>
      </c>
      <c r="J1734">
        <v>1</v>
      </c>
      <c r="K1734">
        <v>2553000</v>
      </c>
      <c r="L1734">
        <v>0.1</v>
      </c>
      <c r="M1734">
        <v>1720000</v>
      </c>
      <c r="N1734">
        <f>(data[[#This Row],[unit_price]]*data[[#This Row],[quantity]]) * (1-data[[#This Row],[discount]])</f>
        <v>2297700</v>
      </c>
      <c r="O1734">
        <f>data[[#This Row],[sales]]-data[[#This Row],[cost]]</f>
        <v>577700</v>
      </c>
      <c r="P1734" t="str">
        <f>TEXT(data[[#This Row],[order_date]],"mmm")</f>
        <v>Jul</v>
      </c>
      <c r="Q1734">
        <f>YEAR(data[[#This Row],[order_date]])</f>
        <v>2024</v>
      </c>
      <c r="R1734">
        <f>MONTH(data[[#This Row],[order_date]])</f>
        <v>7</v>
      </c>
      <c r="S1734">
        <f>DAY(data[[#This Row],[order_date]])</f>
        <v>12</v>
      </c>
      <c r="T1734">
        <f>data[[#This Row],[profit]]/data[[#This Row],[sales]]</f>
        <v>0.2514253383818601</v>
      </c>
    </row>
    <row r="1735" spans="1:20" x14ac:dyDescent="0.35">
      <c r="A1735" t="s">
        <v>1969</v>
      </c>
      <c r="B1735" s="1">
        <v>45558</v>
      </c>
      <c r="C1735" t="s">
        <v>49</v>
      </c>
      <c r="D1735" t="s">
        <v>50</v>
      </c>
      <c r="E1735" t="s">
        <v>216</v>
      </c>
      <c r="F1735" t="s">
        <v>17</v>
      </c>
      <c r="G1735" t="s">
        <v>1939</v>
      </c>
      <c r="H1735" t="s">
        <v>1940</v>
      </c>
      <c r="I1735" t="s">
        <v>160</v>
      </c>
      <c r="J1735">
        <v>1</v>
      </c>
      <c r="K1735">
        <v>2125000</v>
      </c>
      <c r="L1735">
        <v>0</v>
      </c>
      <c r="M1735">
        <v>1478000</v>
      </c>
      <c r="N1735">
        <f>(data[[#This Row],[unit_price]]*data[[#This Row],[quantity]]) * (1-data[[#This Row],[discount]])</f>
        <v>2125000</v>
      </c>
      <c r="O1735">
        <f>data[[#This Row],[sales]]-data[[#This Row],[cost]]</f>
        <v>647000</v>
      </c>
      <c r="P1735" t="str">
        <f>TEXT(data[[#This Row],[order_date]],"mmm")</f>
        <v>Sep</v>
      </c>
      <c r="Q1735">
        <f>YEAR(data[[#This Row],[order_date]])</f>
        <v>2024</v>
      </c>
      <c r="R1735">
        <f>MONTH(data[[#This Row],[order_date]])</f>
        <v>9</v>
      </c>
      <c r="S1735">
        <f>DAY(data[[#This Row],[order_date]])</f>
        <v>23</v>
      </c>
      <c r="T1735">
        <f>data[[#This Row],[profit]]/data[[#This Row],[sales]]</f>
        <v>0.3044705882352941</v>
      </c>
    </row>
    <row r="1736" spans="1:20" x14ac:dyDescent="0.35">
      <c r="A1736" t="s">
        <v>1970</v>
      </c>
      <c r="B1736" s="1">
        <v>45567</v>
      </c>
      <c r="C1736" t="s">
        <v>49</v>
      </c>
      <c r="D1736" t="s">
        <v>50</v>
      </c>
      <c r="E1736" t="s">
        <v>95</v>
      </c>
      <c r="F1736" t="s">
        <v>23</v>
      </c>
      <c r="G1736" t="s">
        <v>1939</v>
      </c>
      <c r="H1736" t="s">
        <v>1940</v>
      </c>
      <c r="I1736" t="s">
        <v>160</v>
      </c>
      <c r="J1736">
        <v>2</v>
      </c>
      <c r="K1736">
        <v>3324000</v>
      </c>
      <c r="L1736">
        <v>0.05</v>
      </c>
      <c r="M1736">
        <v>2198000</v>
      </c>
      <c r="N1736">
        <f>(data[[#This Row],[unit_price]]*data[[#This Row],[quantity]]) * (1-data[[#This Row],[discount]])</f>
        <v>6315600</v>
      </c>
      <c r="O1736">
        <f>data[[#This Row],[sales]]-data[[#This Row],[cost]]</f>
        <v>4117600</v>
      </c>
      <c r="P1736" t="str">
        <f>TEXT(data[[#This Row],[order_date]],"mmm")</f>
        <v>Oct</v>
      </c>
      <c r="Q1736">
        <f>YEAR(data[[#This Row],[order_date]])</f>
        <v>2024</v>
      </c>
      <c r="R1736">
        <f>MONTH(data[[#This Row],[order_date]])</f>
        <v>10</v>
      </c>
      <c r="S1736">
        <f>DAY(data[[#This Row],[order_date]])</f>
        <v>2</v>
      </c>
      <c r="T1736">
        <f>data[[#This Row],[profit]]/data[[#This Row],[sales]]</f>
        <v>0.65197289252010893</v>
      </c>
    </row>
    <row r="1737" spans="1:20" x14ac:dyDescent="0.35">
      <c r="A1737" t="s">
        <v>1971</v>
      </c>
      <c r="B1737" s="1">
        <v>45580</v>
      </c>
      <c r="C1737" t="s">
        <v>14</v>
      </c>
      <c r="D1737" t="s">
        <v>15</v>
      </c>
      <c r="E1737" t="s">
        <v>255</v>
      </c>
      <c r="F1737" t="s">
        <v>17</v>
      </c>
      <c r="G1737" t="s">
        <v>1939</v>
      </c>
      <c r="H1737" t="s">
        <v>1940</v>
      </c>
      <c r="I1737" t="s">
        <v>160</v>
      </c>
      <c r="J1737">
        <v>1</v>
      </c>
      <c r="K1737">
        <v>2609000</v>
      </c>
      <c r="L1737">
        <v>0</v>
      </c>
      <c r="M1737">
        <v>1729000</v>
      </c>
      <c r="N1737">
        <f>(data[[#This Row],[unit_price]]*data[[#This Row],[quantity]]) * (1-data[[#This Row],[discount]])</f>
        <v>2609000</v>
      </c>
      <c r="O1737">
        <f>data[[#This Row],[sales]]-data[[#This Row],[cost]]</f>
        <v>880000</v>
      </c>
      <c r="P1737" t="str">
        <f>TEXT(data[[#This Row],[order_date]],"mmm")</f>
        <v>Oct</v>
      </c>
      <c r="Q1737">
        <f>YEAR(data[[#This Row],[order_date]])</f>
        <v>2024</v>
      </c>
      <c r="R1737">
        <f>MONTH(data[[#This Row],[order_date]])</f>
        <v>10</v>
      </c>
      <c r="S1737">
        <f>DAY(data[[#This Row],[order_date]])</f>
        <v>15</v>
      </c>
      <c r="T1737">
        <f>data[[#This Row],[profit]]/data[[#This Row],[sales]]</f>
        <v>0.33729398236872365</v>
      </c>
    </row>
    <row r="1738" spans="1:20" x14ac:dyDescent="0.35">
      <c r="A1738" t="s">
        <v>1972</v>
      </c>
      <c r="B1738" s="1">
        <v>45587</v>
      </c>
      <c r="C1738" t="s">
        <v>14</v>
      </c>
      <c r="D1738" t="s">
        <v>15</v>
      </c>
      <c r="E1738" t="s">
        <v>177</v>
      </c>
      <c r="F1738" t="s">
        <v>23</v>
      </c>
      <c r="G1738" t="s">
        <v>1939</v>
      </c>
      <c r="H1738" t="s">
        <v>1940</v>
      </c>
      <c r="I1738" t="s">
        <v>160</v>
      </c>
      <c r="J1738">
        <v>3</v>
      </c>
      <c r="K1738">
        <v>2424000</v>
      </c>
      <c r="L1738">
        <v>0</v>
      </c>
      <c r="M1738">
        <v>1663000</v>
      </c>
      <c r="N1738">
        <f>(data[[#This Row],[unit_price]]*data[[#This Row],[quantity]]) * (1-data[[#This Row],[discount]])</f>
        <v>7272000</v>
      </c>
      <c r="O1738">
        <f>data[[#This Row],[sales]]-data[[#This Row],[cost]]</f>
        <v>5609000</v>
      </c>
      <c r="P1738" t="str">
        <f>TEXT(data[[#This Row],[order_date]],"mmm")</f>
        <v>Oct</v>
      </c>
      <c r="Q1738">
        <f>YEAR(data[[#This Row],[order_date]])</f>
        <v>2024</v>
      </c>
      <c r="R1738">
        <f>MONTH(data[[#This Row],[order_date]])</f>
        <v>10</v>
      </c>
      <c r="S1738">
        <f>DAY(data[[#This Row],[order_date]])</f>
        <v>22</v>
      </c>
      <c r="T1738">
        <f>data[[#This Row],[profit]]/data[[#This Row],[sales]]</f>
        <v>0.77131463146314627</v>
      </c>
    </row>
    <row r="1739" spans="1:20" x14ac:dyDescent="0.35">
      <c r="A1739" t="s">
        <v>1973</v>
      </c>
      <c r="B1739" s="1">
        <v>45588</v>
      </c>
      <c r="C1739" t="s">
        <v>14</v>
      </c>
      <c r="D1739" t="s">
        <v>15</v>
      </c>
      <c r="E1739" t="s">
        <v>191</v>
      </c>
      <c r="F1739" t="s">
        <v>23</v>
      </c>
      <c r="G1739" t="s">
        <v>1939</v>
      </c>
      <c r="H1739" t="s">
        <v>1940</v>
      </c>
      <c r="I1739" t="s">
        <v>160</v>
      </c>
      <c r="J1739">
        <v>1</v>
      </c>
      <c r="K1739">
        <v>2249000</v>
      </c>
      <c r="L1739">
        <v>0</v>
      </c>
      <c r="M1739">
        <v>1506000</v>
      </c>
      <c r="N1739">
        <f>(data[[#This Row],[unit_price]]*data[[#This Row],[quantity]]) * (1-data[[#This Row],[discount]])</f>
        <v>2249000</v>
      </c>
      <c r="O1739">
        <f>data[[#This Row],[sales]]-data[[#This Row],[cost]]</f>
        <v>743000</v>
      </c>
      <c r="P1739" t="str">
        <f>TEXT(data[[#This Row],[order_date]],"mmm")</f>
        <v>Oct</v>
      </c>
      <c r="Q1739">
        <f>YEAR(data[[#This Row],[order_date]])</f>
        <v>2024</v>
      </c>
      <c r="R1739">
        <f>MONTH(data[[#This Row],[order_date]])</f>
        <v>10</v>
      </c>
      <c r="S1739">
        <f>DAY(data[[#This Row],[order_date]])</f>
        <v>23</v>
      </c>
      <c r="T1739">
        <f>data[[#This Row],[profit]]/data[[#This Row],[sales]]</f>
        <v>0.33036905291240554</v>
      </c>
    </row>
    <row r="1740" spans="1:20" x14ac:dyDescent="0.35">
      <c r="A1740" t="s">
        <v>1974</v>
      </c>
      <c r="B1740" s="1">
        <v>45615</v>
      </c>
      <c r="C1740" t="s">
        <v>36</v>
      </c>
      <c r="D1740" t="s">
        <v>37</v>
      </c>
      <c r="E1740" t="s">
        <v>247</v>
      </c>
      <c r="F1740" t="s">
        <v>17</v>
      </c>
      <c r="G1740" t="s">
        <v>1939</v>
      </c>
      <c r="H1740" t="s">
        <v>1940</v>
      </c>
      <c r="I1740" t="s">
        <v>160</v>
      </c>
      <c r="J1740">
        <v>2</v>
      </c>
      <c r="K1740">
        <v>2274000</v>
      </c>
      <c r="L1740">
        <v>0</v>
      </c>
      <c r="M1740">
        <v>1559000</v>
      </c>
      <c r="N1740">
        <f>(data[[#This Row],[unit_price]]*data[[#This Row],[quantity]]) * (1-data[[#This Row],[discount]])</f>
        <v>4548000</v>
      </c>
      <c r="O1740">
        <f>data[[#This Row],[sales]]-data[[#This Row],[cost]]</f>
        <v>2989000</v>
      </c>
      <c r="P1740" t="str">
        <f>TEXT(data[[#This Row],[order_date]],"mmm")</f>
        <v>Nov</v>
      </c>
      <c r="Q1740">
        <f>YEAR(data[[#This Row],[order_date]])</f>
        <v>2024</v>
      </c>
      <c r="R1740">
        <f>MONTH(data[[#This Row],[order_date]])</f>
        <v>11</v>
      </c>
      <c r="S1740">
        <f>DAY(data[[#This Row],[order_date]])</f>
        <v>19</v>
      </c>
      <c r="T1740">
        <f>data[[#This Row],[profit]]/data[[#This Row],[sales]]</f>
        <v>0.65721196130167103</v>
      </c>
    </row>
    <row r="1741" spans="1:20" x14ac:dyDescent="0.35">
      <c r="A1741" t="s">
        <v>1975</v>
      </c>
      <c r="B1741" s="1">
        <v>45618</v>
      </c>
      <c r="C1741" t="s">
        <v>36</v>
      </c>
      <c r="D1741" t="s">
        <v>37</v>
      </c>
      <c r="E1741" t="s">
        <v>402</v>
      </c>
      <c r="F1741" t="s">
        <v>23</v>
      </c>
      <c r="G1741" t="s">
        <v>1939</v>
      </c>
      <c r="H1741" t="s">
        <v>1940</v>
      </c>
      <c r="I1741" t="s">
        <v>160</v>
      </c>
      <c r="J1741">
        <v>1</v>
      </c>
      <c r="K1741">
        <v>2228000</v>
      </c>
      <c r="L1741">
        <v>0.05</v>
      </c>
      <c r="M1741">
        <v>1475000</v>
      </c>
      <c r="N1741">
        <f>(data[[#This Row],[unit_price]]*data[[#This Row],[quantity]]) * (1-data[[#This Row],[discount]])</f>
        <v>2116600</v>
      </c>
      <c r="O1741">
        <f>data[[#This Row],[sales]]-data[[#This Row],[cost]]</f>
        <v>641600</v>
      </c>
      <c r="P1741" t="str">
        <f>TEXT(data[[#This Row],[order_date]],"mmm")</f>
        <v>Nov</v>
      </c>
      <c r="Q1741">
        <f>YEAR(data[[#This Row],[order_date]])</f>
        <v>2024</v>
      </c>
      <c r="R1741">
        <f>MONTH(data[[#This Row],[order_date]])</f>
        <v>11</v>
      </c>
      <c r="S1741">
        <f>DAY(data[[#This Row],[order_date]])</f>
        <v>22</v>
      </c>
      <c r="T1741">
        <f>data[[#This Row],[profit]]/data[[#This Row],[sales]]</f>
        <v>0.30312765756401777</v>
      </c>
    </row>
    <row r="1742" spans="1:20" x14ac:dyDescent="0.35">
      <c r="A1742" t="s">
        <v>1976</v>
      </c>
      <c r="B1742" s="1">
        <v>45640</v>
      </c>
      <c r="C1742" t="s">
        <v>36</v>
      </c>
      <c r="D1742" t="s">
        <v>37</v>
      </c>
      <c r="E1742" t="s">
        <v>493</v>
      </c>
      <c r="F1742" t="s">
        <v>23</v>
      </c>
      <c r="G1742" t="s">
        <v>1939</v>
      </c>
      <c r="H1742" t="s">
        <v>1940</v>
      </c>
      <c r="I1742" t="s">
        <v>160</v>
      </c>
      <c r="J1742">
        <v>1</v>
      </c>
      <c r="K1742">
        <v>2856000</v>
      </c>
      <c r="L1742">
        <v>0.1</v>
      </c>
      <c r="M1742">
        <v>1962000</v>
      </c>
      <c r="N1742">
        <f>(data[[#This Row],[unit_price]]*data[[#This Row],[quantity]]) * (1-data[[#This Row],[discount]])</f>
        <v>2570400</v>
      </c>
      <c r="O1742">
        <f>data[[#This Row],[sales]]-data[[#This Row],[cost]]</f>
        <v>608400</v>
      </c>
      <c r="P1742" t="str">
        <f>TEXT(data[[#This Row],[order_date]],"mmm")</f>
        <v>Dec</v>
      </c>
      <c r="Q1742">
        <f>YEAR(data[[#This Row],[order_date]])</f>
        <v>2024</v>
      </c>
      <c r="R1742">
        <f>MONTH(data[[#This Row],[order_date]])</f>
        <v>12</v>
      </c>
      <c r="S1742">
        <f>DAY(data[[#This Row],[order_date]])</f>
        <v>14</v>
      </c>
      <c r="T1742">
        <f>data[[#This Row],[profit]]/data[[#This Row],[sales]]</f>
        <v>0.23669467787114845</v>
      </c>
    </row>
    <row r="1743" spans="1:20" x14ac:dyDescent="0.35">
      <c r="A1743" t="s">
        <v>1977</v>
      </c>
      <c r="B1743" s="1">
        <v>45643</v>
      </c>
      <c r="C1743" t="s">
        <v>14</v>
      </c>
      <c r="D1743" t="s">
        <v>15</v>
      </c>
      <c r="E1743" t="s">
        <v>93</v>
      </c>
      <c r="F1743" t="s">
        <v>23</v>
      </c>
      <c r="G1743" t="s">
        <v>1939</v>
      </c>
      <c r="H1743" t="s">
        <v>1940</v>
      </c>
      <c r="I1743" t="s">
        <v>160</v>
      </c>
      <c r="J1743">
        <v>1</v>
      </c>
      <c r="K1743">
        <v>3162000</v>
      </c>
      <c r="L1743">
        <v>0</v>
      </c>
      <c r="M1743">
        <v>2117000</v>
      </c>
      <c r="N1743">
        <f>(data[[#This Row],[unit_price]]*data[[#This Row],[quantity]]) * (1-data[[#This Row],[discount]])</f>
        <v>3162000</v>
      </c>
      <c r="O1743">
        <f>data[[#This Row],[sales]]-data[[#This Row],[cost]]</f>
        <v>1045000</v>
      </c>
      <c r="P1743" t="str">
        <f>TEXT(data[[#This Row],[order_date]],"mmm")</f>
        <v>Dec</v>
      </c>
      <c r="Q1743">
        <f>YEAR(data[[#This Row],[order_date]])</f>
        <v>2024</v>
      </c>
      <c r="R1743">
        <f>MONTH(data[[#This Row],[order_date]])</f>
        <v>12</v>
      </c>
      <c r="S1743">
        <f>DAY(data[[#This Row],[order_date]])</f>
        <v>17</v>
      </c>
      <c r="T1743">
        <f>data[[#This Row],[profit]]/data[[#This Row],[sales]]</f>
        <v>0.33048703352308667</v>
      </c>
    </row>
    <row r="1744" spans="1:20" x14ac:dyDescent="0.35">
      <c r="A1744" t="s">
        <v>1978</v>
      </c>
      <c r="B1744" s="1">
        <v>45651</v>
      </c>
      <c r="C1744" t="s">
        <v>14</v>
      </c>
      <c r="D1744" t="s">
        <v>15</v>
      </c>
      <c r="E1744" t="s">
        <v>226</v>
      </c>
      <c r="F1744" t="s">
        <v>17</v>
      </c>
      <c r="G1744" t="s">
        <v>1939</v>
      </c>
      <c r="H1744" t="s">
        <v>1940</v>
      </c>
      <c r="I1744" t="s">
        <v>160</v>
      </c>
      <c r="J1744">
        <v>1</v>
      </c>
      <c r="K1744">
        <v>2367000</v>
      </c>
      <c r="L1744">
        <v>0</v>
      </c>
      <c r="M1744">
        <v>1589000</v>
      </c>
      <c r="N1744">
        <f>(data[[#This Row],[unit_price]]*data[[#This Row],[quantity]]) * (1-data[[#This Row],[discount]])</f>
        <v>2367000</v>
      </c>
      <c r="O1744">
        <f>data[[#This Row],[sales]]-data[[#This Row],[cost]]</f>
        <v>778000</v>
      </c>
      <c r="P1744" t="str">
        <f>TEXT(data[[#This Row],[order_date]],"mmm")</f>
        <v>Dec</v>
      </c>
      <c r="Q1744">
        <f>YEAR(data[[#This Row],[order_date]])</f>
        <v>2024</v>
      </c>
      <c r="R1744">
        <f>MONTH(data[[#This Row],[order_date]])</f>
        <v>12</v>
      </c>
      <c r="S1744">
        <f>DAY(data[[#This Row],[order_date]])</f>
        <v>25</v>
      </c>
      <c r="T1744">
        <f>data[[#This Row],[profit]]/data[[#This Row],[sales]]</f>
        <v>0.32868610054921843</v>
      </c>
    </row>
    <row r="1745" spans="1:20" x14ac:dyDescent="0.35">
      <c r="A1745" t="s">
        <v>1979</v>
      </c>
      <c r="B1745" s="1">
        <v>45652</v>
      </c>
      <c r="C1745" t="s">
        <v>41</v>
      </c>
      <c r="D1745" t="s">
        <v>42</v>
      </c>
      <c r="E1745" t="s">
        <v>81</v>
      </c>
      <c r="F1745" t="s">
        <v>17</v>
      </c>
      <c r="G1745" t="s">
        <v>1939</v>
      </c>
      <c r="H1745" t="s">
        <v>1940</v>
      </c>
      <c r="I1745" t="s">
        <v>160</v>
      </c>
      <c r="J1745">
        <v>1</v>
      </c>
      <c r="K1745">
        <v>2959000</v>
      </c>
      <c r="L1745">
        <v>0.05</v>
      </c>
      <c r="M1745">
        <v>2028000</v>
      </c>
      <c r="N1745">
        <f>(data[[#This Row],[unit_price]]*data[[#This Row],[quantity]]) * (1-data[[#This Row],[discount]])</f>
        <v>2811050</v>
      </c>
      <c r="O1745">
        <f>data[[#This Row],[sales]]-data[[#This Row],[cost]]</f>
        <v>783050</v>
      </c>
      <c r="P1745" t="str">
        <f>TEXT(data[[#This Row],[order_date]],"mmm")</f>
        <v>Dec</v>
      </c>
      <c r="Q1745">
        <f>YEAR(data[[#This Row],[order_date]])</f>
        <v>2024</v>
      </c>
      <c r="R1745">
        <f>MONTH(data[[#This Row],[order_date]])</f>
        <v>12</v>
      </c>
      <c r="S1745">
        <f>DAY(data[[#This Row],[order_date]])</f>
        <v>26</v>
      </c>
      <c r="T1745">
        <f>data[[#This Row],[profit]]/data[[#This Row],[sales]]</f>
        <v>0.27856139165080662</v>
      </c>
    </row>
    <row r="1746" spans="1:20" x14ac:dyDescent="0.35">
      <c r="A1746" t="s">
        <v>1980</v>
      </c>
      <c r="B1746" s="1">
        <v>45656</v>
      </c>
      <c r="C1746" t="s">
        <v>14</v>
      </c>
      <c r="D1746" t="s">
        <v>15</v>
      </c>
      <c r="E1746" t="s">
        <v>81</v>
      </c>
      <c r="F1746" t="s">
        <v>17</v>
      </c>
      <c r="G1746" t="s">
        <v>1939</v>
      </c>
      <c r="H1746" t="s">
        <v>1940</v>
      </c>
      <c r="I1746" t="s">
        <v>160</v>
      </c>
      <c r="J1746">
        <v>1</v>
      </c>
      <c r="K1746">
        <v>2804666.6666666665</v>
      </c>
      <c r="L1746">
        <v>0</v>
      </c>
      <c r="M1746">
        <v>1870000</v>
      </c>
      <c r="N1746">
        <f>(data[[#This Row],[unit_price]]*data[[#This Row],[quantity]]) * (1-data[[#This Row],[discount]])</f>
        <v>2804666.6666666665</v>
      </c>
      <c r="O1746">
        <f>data[[#This Row],[sales]]-data[[#This Row],[cost]]</f>
        <v>934666.66666666651</v>
      </c>
      <c r="P1746" t="str">
        <f>TEXT(data[[#This Row],[order_date]],"mmm")</f>
        <v>Dec</v>
      </c>
      <c r="Q1746">
        <f>YEAR(data[[#This Row],[order_date]])</f>
        <v>2024</v>
      </c>
      <c r="R1746">
        <f>MONTH(data[[#This Row],[order_date]])</f>
        <v>12</v>
      </c>
      <c r="S1746">
        <f>DAY(data[[#This Row],[order_date]])</f>
        <v>30</v>
      </c>
      <c r="T1746">
        <f>data[[#This Row],[profit]]/data[[#This Row],[sales]]</f>
        <v>0.33325410030900876</v>
      </c>
    </row>
    <row r="1747" spans="1:20" x14ac:dyDescent="0.35">
      <c r="A1747" t="s">
        <v>1981</v>
      </c>
      <c r="B1747" s="1">
        <v>45701</v>
      </c>
      <c r="C1747" t="s">
        <v>14</v>
      </c>
      <c r="D1747" t="s">
        <v>15</v>
      </c>
      <c r="E1747" t="s">
        <v>172</v>
      </c>
      <c r="F1747" t="s">
        <v>23</v>
      </c>
      <c r="G1747" t="s">
        <v>1939</v>
      </c>
      <c r="H1747" t="s">
        <v>1940</v>
      </c>
      <c r="I1747" t="s">
        <v>160</v>
      </c>
      <c r="J1747">
        <v>1</v>
      </c>
      <c r="K1747">
        <v>2830000</v>
      </c>
      <c r="L1747">
        <v>0</v>
      </c>
      <c r="M1747">
        <v>1920000</v>
      </c>
      <c r="N1747">
        <f>(data[[#This Row],[unit_price]]*data[[#This Row],[quantity]]) * (1-data[[#This Row],[discount]])</f>
        <v>2830000</v>
      </c>
      <c r="O1747">
        <f>data[[#This Row],[sales]]-data[[#This Row],[cost]]</f>
        <v>910000</v>
      </c>
      <c r="P1747" t="str">
        <f>TEXT(data[[#This Row],[order_date]],"mmm")</f>
        <v>Feb</v>
      </c>
      <c r="Q1747">
        <f>YEAR(data[[#This Row],[order_date]])</f>
        <v>2025</v>
      </c>
      <c r="R1747">
        <f>MONTH(data[[#This Row],[order_date]])</f>
        <v>2</v>
      </c>
      <c r="S1747">
        <f>DAY(data[[#This Row],[order_date]])</f>
        <v>13</v>
      </c>
      <c r="T1747">
        <f>data[[#This Row],[profit]]/data[[#This Row],[sales]]</f>
        <v>0.32155477031802121</v>
      </c>
    </row>
    <row r="1748" spans="1:20" x14ac:dyDescent="0.35">
      <c r="A1748" t="s">
        <v>1982</v>
      </c>
      <c r="B1748" s="1">
        <v>45705</v>
      </c>
      <c r="C1748" t="s">
        <v>49</v>
      </c>
      <c r="D1748" t="s">
        <v>50</v>
      </c>
      <c r="E1748" t="s">
        <v>214</v>
      </c>
      <c r="F1748" t="s">
        <v>23</v>
      </c>
      <c r="G1748" t="s">
        <v>1939</v>
      </c>
      <c r="H1748" t="s">
        <v>1940</v>
      </c>
      <c r="I1748" t="s">
        <v>160</v>
      </c>
      <c r="J1748">
        <v>1</v>
      </c>
      <c r="K1748">
        <v>3417000</v>
      </c>
      <c r="L1748">
        <v>0</v>
      </c>
      <c r="M1748">
        <v>2349000</v>
      </c>
      <c r="N1748">
        <f>(data[[#This Row],[unit_price]]*data[[#This Row],[quantity]]) * (1-data[[#This Row],[discount]])</f>
        <v>3417000</v>
      </c>
      <c r="O1748">
        <f>data[[#This Row],[sales]]-data[[#This Row],[cost]]</f>
        <v>1068000</v>
      </c>
      <c r="P1748" t="str">
        <f>TEXT(data[[#This Row],[order_date]],"mmm")</f>
        <v>Feb</v>
      </c>
      <c r="Q1748">
        <f>YEAR(data[[#This Row],[order_date]])</f>
        <v>2025</v>
      </c>
      <c r="R1748">
        <f>MONTH(data[[#This Row],[order_date]])</f>
        <v>2</v>
      </c>
      <c r="S1748">
        <f>DAY(data[[#This Row],[order_date]])</f>
        <v>17</v>
      </c>
      <c r="T1748">
        <f>data[[#This Row],[profit]]/data[[#This Row],[sales]]</f>
        <v>0.31255487269534682</v>
      </c>
    </row>
    <row r="1749" spans="1:20" x14ac:dyDescent="0.35">
      <c r="A1749" t="s">
        <v>1983</v>
      </c>
      <c r="B1749" s="1">
        <v>45710</v>
      </c>
      <c r="C1749" t="s">
        <v>14</v>
      </c>
      <c r="D1749" t="s">
        <v>15</v>
      </c>
      <c r="E1749" t="s">
        <v>95</v>
      </c>
      <c r="F1749" t="s">
        <v>23</v>
      </c>
      <c r="G1749" t="s">
        <v>1939</v>
      </c>
      <c r="H1749" t="s">
        <v>1940</v>
      </c>
      <c r="I1749" t="s">
        <v>160</v>
      </c>
      <c r="J1749">
        <v>3</v>
      </c>
      <c r="K1749">
        <v>3631000</v>
      </c>
      <c r="L1749">
        <v>0</v>
      </c>
      <c r="M1749">
        <v>2500000</v>
      </c>
      <c r="N1749">
        <f>(data[[#This Row],[unit_price]]*data[[#This Row],[quantity]]) * (1-data[[#This Row],[discount]])</f>
        <v>10893000</v>
      </c>
      <c r="O1749">
        <f>data[[#This Row],[sales]]-data[[#This Row],[cost]]</f>
        <v>8393000</v>
      </c>
      <c r="P1749" t="str">
        <f>TEXT(data[[#This Row],[order_date]],"mmm")</f>
        <v>Feb</v>
      </c>
      <c r="Q1749">
        <f>YEAR(data[[#This Row],[order_date]])</f>
        <v>2025</v>
      </c>
      <c r="R1749">
        <f>MONTH(data[[#This Row],[order_date]])</f>
        <v>2</v>
      </c>
      <c r="S1749">
        <f>DAY(data[[#This Row],[order_date]])</f>
        <v>22</v>
      </c>
      <c r="T1749">
        <f>data[[#This Row],[profit]]/data[[#This Row],[sales]]</f>
        <v>0.7704948131827779</v>
      </c>
    </row>
    <row r="1750" spans="1:20" x14ac:dyDescent="0.35">
      <c r="A1750" t="s">
        <v>1984</v>
      </c>
      <c r="B1750" s="1">
        <v>45737</v>
      </c>
      <c r="C1750" t="s">
        <v>14</v>
      </c>
      <c r="D1750" t="s">
        <v>15</v>
      </c>
      <c r="E1750" t="s">
        <v>162</v>
      </c>
      <c r="F1750" t="s">
        <v>28</v>
      </c>
      <c r="G1750" t="s">
        <v>1939</v>
      </c>
      <c r="H1750" t="s">
        <v>1940</v>
      </c>
      <c r="I1750" t="s">
        <v>160</v>
      </c>
      <c r="J1750">
        <v>1</v>
      </c>
      <c r="K1750">
        <v>2804666.6666666665</v>
      </c>
      <c r="L1750">
        <v>0</v>
      </c>
      <c r="M1750">
        <v>1870000</v>
      </c>
      <c r="N1750">
        <f>(data[[#This Row],[unit_price]]*data[[#This Row],[quantity]]) * (1-data[[#This Row],[discount]])</f>
        <v>2804666.6666666665</v>
      </c>
      <c r="O1750">
        <f>data[[#This Row],[sales]]-data[[#This Row],[cost]]</f>
        <v>934666.66666666651</v>
      </c>
      <c r="P1750" t="str">
        <f>TEXT(data[[#This Row],[order_date]],"mmm")</f>
        <v>Mar</v>
      </c>
      <c r="Q1750">
        <f>YEAR(data[[#This Row],[order_date]])</f>
        <v>2025</v>
      </c>
      <c r="R1750">
        <f>MONTH(data[[#This Row],[order_date]])</f>
        <v>3</v>
      </c>
      <c r="S1750">
        <f>DAY(data[[#This Row],[order_date]])</f>
        <v>21</v>
      </c>
      <c r="T1750">
        <f>data[[#This Row],[profit]]/data[[#This Row],[sales]]</f>
        <v>0.33325410030900876</v>
      </c>
    </row>
    <row r="1751" spans="1:20" x14ac:dyDescent="0.35">
      <c r="A1751" t="s">
        <v>1985</v>
      </c>
      <c r="B1751" s="1">
        <v>45788</v>
      </c>
      <c r="C1751" t="s">
        <v>41</v>
      </c>
      <c r="D1751" t="s">
        <v>42</v>
      </c>
      <c r="E1751" t="s">
        <v>522</v>
      </c>
      <c r="F1751" t="s">
        <v>23</v>
      </c>
      <c r="G1751" t="s">
        <v>1939</v>
      </c>
      <c r="H1751" t="s">
        <v>1940</v>
      </c>
      <c r="I1751" t="s">
        <v>160</v>
      </c>
      <c r="J1751">
        <v>2</v>
      </c>
      <c r="K1751">
        <v>3373000</v>
      </c>
      <c r="L1751">
        <v>0</v>
      </c>
      <c r="M1751">
        <v>2329000</v>
      </c>
      <c r="N1751">
        <f>(data[[#This Row],[unit_price]]*data[[#This Row],[quantity]]) * (1-data[[#This Row],[discount]])</f>
        <v>6746000</v>
      </c>
      <c r="O1751">
        <f>data[[#This Row],[sales]]-data[[#This Row],[cost]]</f>
        <v>4417000</v>
      </c>
      <c r="P1751" t="str">
        <f>TEXT(data[[#This Row],[order_date]],"mmm")</f>
        <v>May</v>
      </c>
      <c r="Q1751">
        <f>YEAR(data[[#This Row],[order_date]])</f>
        <v>2025</v>
      </c>
      <c r="R1751">
        <f>MONTH(data[[#This Row],[order_date]])</f>
        <v>5</v>
      </c>
      <c r="S1751">
        <f>DAY(data[[#This Row],[order_date]])</f>
        <v>11</v>
      </c>
      <c r="T1751">
        <f>data[[#This Row],[profit]]/data[[#This Row],[sales]]</f>
        <v>0.65475837533353098</v>
      </c>
    </row>
    <row r="1752" spans="1:20" x14ac:dyDescent="0.35">
      <c r="A1752" t="s">
        <v>1986</v>
      </c>
      <c r="B1752" s="1">
        <v>45809</v>
      </c>
      <c r="C1752" t="s">
        <v>14</v>
      </c>
      <c r="D1752" t="s">
        <v>15</v>
      </c>
      <c r="E1752" t="s">
        <v>76</v>
      </c>
      <c r="F1752" t="s">
        <v>23</v>
      </c>
      <c r="G1752" t="s">
        <v>1939</v>
      </c>
      <c r="H1752" t="s">
        <v>1940</v>
      </c>
      <c r="I1752" t="s">
        <v>160</v>
      </c>
      <c r="J1752">
        <v>1</v>
      </c>
      <c r="K1752">
        <v>3107000</v>
      </c>
      <c r="L1752">
        <v>0</v>
      </c>
      <c r="M1752">
        <v>2167000</v>
      </c>
      <c r="N1752">
        <f>(data[[#This Row],[unit_price]]*data[[#This Row],[quantity]]) * (1-data[[#This Row],[discount]])</f>
        <v>3107000</v>
      </c>
      <c r="O1752">
        <f>data[[#This Row],[sales]]-data[[#This Row],[cost]]</f>
        <v>940000</v>
      </c>
      <c r="P1752" t="str">
        <f>TEXT(data[[#This Row],[order_date]],"mmm")</f>
        <v>Jun</v>
      </c>
      <c r="Q1752">
        <f>YEAR(data[[#This Row],[order_date]])</f>
        <v>2025</v>
      </c>
      <c r="R1752">
        <f>MONTH(data[[#This Row],[order_date]])</f>
        <v>6</v>
      </c>
      <c r="S1752">
        <f>DAY(data[[#This Row],[order_date]])</f>
        <v>1</v>
      </c>
      <c r="T1752">
        <f>data[[#This Row],[profit]]/data[[#This Row],[sales]]</f>
        <v>0.30254264563887995</v>
      </c>
    </row>
    <row r="1753" spans="1:20" x14ac:dyDescent="0.35">
      <c r="A1753" t="s">
        <v>1987</v>
      </c>
      <c r="B1753" s="1">
        <v>45872</v>
      </c>
      <c r="C1753" t="s">
        <v>36</v>
      </c>
      <c r="D1753" t="s">
        <v>37</v>
      </c>
      <c r="E1753" t="s">
        <v>87</v>
      </c>
      <c r="F1753" t="s">
        <v>17</v>
      </c>
      <c r="G1753" t="s">
        <v>1939</v>
      </c>
      <c r="H1753" t="s">
        <v>1940</v>
      </c>
      <c r="I1753" t="s">
        <v>160</v>
      </c>
      <c r="J1753">
        <v>1</v>
      </c>
      <c r="K1753">
        <v>2473000</v>
      </c>
      <c r="L1753">
        <v>0</v>
      </c>
      <c r="M1753">
        <v>1672000</v>
      </c>
      <c r="N1753">
        <f>(data[[#This Row],[unit_price]]*data[[#This Row],[quantity]]) * (1-data[[#This Row],[discount]])</f>
        <v>2473000</v>
      </c>
      <c r="O1753">
        <f>data[[#This Row],[sales]]-data[[#This Row],[cost]]</f>
        <v>801000</v>
      </c>
      <c r="P1753" t="str">
        <f>TEXT(data[[#This Row],[order_date]],"mmm")</f>
        <v>Aug</v>
      </c>
      <c r="Q1753">
        <f>YEAR(data[[#This Row],[order_date]])</f>
        <v>2025</v>
      </c>
      <c r="R1753">
        <f>MONTH(data[[#This Row],[order_date]])</f>
        <v>8</v>
      </c>
      <c r="S1753">
        <f>DAY(data[[#This Row],[order_date]])</f>
        <v>3</v>
      </c>
      <c r="T1753">
        <f>data[[#This Row],[profit]]/data[[#This Row],[sales]]</f>
        <v>0.32389809947432269</v>
      </c>
    </row>
    <row r="1754" spans="1:20" x14ac:dyDescent="0.35">
      <c r="A1754" t="s">
        <v>1988</v>
      </c>
      <c r="B1754" s="1">
        <v>45902</v>
      </c>
      <c r="C1754" t="s">
        <v>49</v>
      </c>
      <c r="D1754" t="s">
        <v>50</v>
      </c>
      <c r="E1754" t="s">
        <v>191</v>
      </c>
      <c r="F1754" t="s">
        <v>23</v>
      </c>
      <c r="G1754" t="s">
        <v>1939</v>
      </c>
      <c r="H1754" t="s">
        <v>1940</v>
      </c>
      <c r="I1754" t="s">
        <v>160</v>
      </c>
      <c r="J1754">
        <v>1</v>
      </c>
      <c r="K1754">
        <v>3234000</v>
      </c>
      <c r="L1754">
        <v>0.1</v>
      </c>
      <c r="M1754">
        <v>2161000</v>
      </c>
      <c r="N1754">
        <f>(data[[#This Row],[unit_price]]*data[[#This Row],[quantity]]) * (1-data[[#This Row],[discount]])</f>
        <v>2910600</v>
      </c>
      <c r="O1754">
        <f>data[[#This Row],[sales]]-data[[#This Row],[cost]]</f>
        <v>749600</v>
      </c>
      <c r="P1754" t="str">
        <f>TEXT(data[[#This Row],[order_date]],"mmm")</f>
        <v>Sep</v>
      </c>
      <c r="Q1754">
        <f>YEAR(data[[#This Row],[order_date]])</f>
        <v>2025</v>
      </c>
      <c r="R1754">
        <f>MONTH(data[[#This Row],[order_date]])</f>
        <v>9</v>
      </c>
      <c r="S1754">
        <f>DAY(data[[#This Row],[order_date]])</f>
        <v>2</v>
      </c>
      <c r="T1754">
        <f>data[[#This Row],[profit]]/data[[#This Row],[sales]]</f>
        <v>0.25754140039854323</v>
      </c>
    </row>
    <row r="1755" spans="1:20" x14ac:dyDescent="0.35">
      <c r="A1755" t="s">
        <v>1989</v>
      </c>
      <c r="B1755" s="1">
        <v>45931</v>
      </c>
      <c r="C1755" t="s">
        <v>41</v>
      </c>
      <c r="D1755" t="s">
        <v>42</v>
      </c>
      <c r="E1755" t="s">
        <v>234</v>
      </c>
      <c r="F1755" t="s">
        <v>23</v>
      </c>
      <c r="G1755" t="s">
        <v>1939</v>
      </c>
      <c r="H1755" t="s">
        <v>1940</v>
      </c>
      <c r="I1755" t="s">
        <v>160</v>
      </c>
      <c r="J1755">
        <v>2</v>
      </c>
      <c r="K1755">
        <v>3625000</v>
      </c>
      <c r="L1755">
        <v>0</v>
      </c>
      <c r="M1755">
        <v>2501000</v>
      </c>
      <c r="N1755">
        <f>(data[[#This Row],[unit_price]]*data[[#This Row],[quantity]]) * (1-data[[#This Row],[discount]])</f>
        <v>7250000</v>
      </c>
      <c r="O1755">
        <f>data[[#This Row],[sales]]-data[[#This Row],[cost]]</f>
        <v>4749000</v>
      </c>
      <c r="P1755" t="str">
        <f>TEXT(data[[#This Row],[order_date]],"mmm")</f>
        <v>Oct</v>
      </c>
      <c r="Q1755">
        <f>YEAR(data[[#This Row],[order_date]])</f>
        <v>2025</v>
      </c>
      <c r="R1755">
        <f>MONTH(data[[#This Row],[order_date]])</f>
        <v>10</v>
      </c>
      <c r="S1755">
        <f>DAY(data[[#This Row],[order_date]])</f>
        <v>1</v>
      </c>
      <c r="T1755">
        <f>data[[#This Row],[profit]]/data[[#This Row],[sales]]</f>
        <v>0.65503448275862064</v>
      </c>
    </row>
    <row r="1756" spans="1:20" x14ac:dyDescent="0.35">
      <c r="A1756" t="s">
        <v>1990</v>
      </c>
      <c r="B1756" s="1">
        <v>45986</v>
      </c>
      <c r="C1756" t="s">
        <v>36</v>
      </c>
      <c r="D1756" t="s">
        <v>37</v>
      </c>
      <c r="E1756" t="s">
        <v>291</v>
      </c>
      <c r="F1756" t="s">
        <v>17</v>
      </c>
      <c r="G1756" t="s">
        <v>1939</v>
      </c>
      <c r="H1756" t="s">
        <v>1940</v>
      </c>
      <c r="I1756" t="s">
        <v>160</v>
      </c>
      <c r="J1756">
        <v>1</v>
      </c>
      <c r="K1756">
        <v>3717000</v>
      </c>
      <c r="L1756">
        <v>0</v>
      </c>
      <c r="M1756">
        <v>2601000</v>
      </c>
      <c r="N1756">
        <f>(data[[#This Row],[unit_price]]*data[[#This Row],[quantity]]) * (1-data[[#This Row],[discount]])</f>
        <v>3717000</v>
      </c>
      <c r="O1756">
        <f>data[[#This Row],[sales]]-data[[#This Row],[cost]]</f>
        <v>1116000</v>
      </c>
      <c r="P1756" t="str">
        <f>TEXT(data[[#This Row],[order_date]],"mmm")</f>
        <v>Nov</v>
      </c>
      <c r="Q1756">
        <f>YEAR(data[[#This Row],[order_date]])</f>
        <v>2025</v>
      </c>
      <c r="R1756">
        <f>MONTH(data[[#This Row],[order_date]])</f>
        <v>11</v>
      </c>
      <c r="S1756">
        <f>DAY(data[[#This Row],[order_date]])</f>
        <v>25</v>
      </c>
      <c r="T1756">
        <f>data[[#This Row],[profit]]/data[[#This Row],[sales]]</f>
        <v>0.30024213075060535</v>
      </c>
    </row>
    <row r="1757" spans="1:20" x14ac:dyDescent="0.35">
      <c r="A1757" t="s">
        <v>1991</v>
      </c>
      <c r="B1757" s="1">
        <v>46005</v>
      </c>
      <c r="C1757" t="s">
        <v>49</v>
      </c>
      <c r="D1757" t="s">
        <v>50</v>
      </c>
      <c r="E1757" t="s">
        <v>301</v>
      </c>
      <c r="F1757" t="s">
        <v>28</v>
      </c>
      <c r="G1757" t="s">
        <v>1939</v>
      </c>
      <c r="H1757" t="s">
        <v>1940</v>
      </c>
      <c r="I1757" t="s">
        <v>160</v>
      </c>
      <c r="J1757">
        <v>1</v>
      </c>
      <c r="K1757">
        <v>2419000</v>
      </c>
      <c r="L1757">
        <v>0</v>
      </c>
      <c r="M1757">
        <v>1641000</v>
      </c>
      <c r="N1757">
        <f>(data[[#This Row],[unit_price]]*data[[#This Row],[quantity]]) * (1-data[[#This Row],[discount]])</f>
        <v>2419000</v>
      </c>
      <c r="O1757">
        <f>data[[#This Row],[sales]]-data[[#This Row],[cost]]</f>
        <v>778000</v>
      </c>
      <c r="P1757" t="str">
        <f>TEXT(data[[#This Row],[order_date]],"mmm")</f>
        <v>Dec</v>
      </c>
      <c r="Q1757">
        <f>YEAR(data[[#This Row],[order_date]])</f>
        <v>2025</v>
      </c>
      <c r="R1757">
        <f>MONTH(data[[#This Row],[order_date]])</f>
        <v>12</v>
      </c>
      <c r="S1757">
        <f>DAY(data[[#This Row],[order_date]])</f>
        <v>14</v>
      </c>
      <c r="T1757">
        <f>data[[#This Row],[profit]]/data[[#This Row],[sales]]</f>
        <v>0.3216205043406366</v>
      </c>
    </row>
    <row r="1758" spans="1:20" x14ac:dyDescent="0.35">
      <c r="A1758" t="s">
        <v>1992</v>
      </c>
      <c r="B1758" s="1">
        <v>46012</v>
      </c>
      <c r="C1758" t="s">
        <v>41</v>
      </c>
      <c r="D1758" t="s">
        <v>42</v>
      </c>
      <c r="E1758" t="s">
        <v>218</v>
      </c>
      <c r="F1758" t="s">
        <v>23</v>
      </c>
      <c r="G1758" t="s">
        <v>1939</v>
      </c>
      <c r="H1758" t="s">
        <v>1940</v>
      </c>
      <c r="I1758" t="s">
        <v>160</v>
      </c>
      <c r="J1758">
        <v>2</v>
      </c>
      <c r="K1758">
        <v>2366000</v>
      </c>
      <c r="L1758">
        <v>0.15</v>
      </c>
      <c r="M1758">
        <v>1579000</v>
      </c>
      <c r="N1758">
        <f>(data[[#This Row],[unit_price]]*data[[#This Row],[quantity]]) * (1-data[[#This Row],[discount]])</f>
        <v>4022200</v>
      </c>
      <c r="O1758">
        <f>data[[#This Row],[sales]]-data[[#This Row],[cost]]</f>
        <v>2443200</v>
      </c>
      <c r="P1758" t="str">
        <f>TEXT(data[[#This Row],[order_date]],"mmm")</f>
        <v>Dec</v>
      </c>
      <c r="Q1758">
        <f>YEAR(data[[#This Row],[order_date]])</f>
        <v>2025</v>
      </c>
      <c r="R1758">
        <f>MONTH(data[[#This Row],[order_date]])</f>
        <v>12</v>
      </c>
      <c r="S1758">
        <f>DAY(data[[#This Row],[order_date]])</f>
        <v>21</v>
      </c>
      <c r="T1758">
        <f>data[[#This Row],[profit]]/data[[#This Row],[sales]]</f>
        <v>0.60742877032469789</v>
      </c>
    </row>
    <row r="1759" spans="1:20" x14ac:dyDescent="0.35">
      <c r="A1759" t="s">
        <v>1993</v>
      </c>
      <c r="B1759" s="1">
        <v>46025</v>
      </c>
      <c r="C1759" t="s">
        <v>36</v>
      </c>
      <c r="D1759" t="s">
        <v>37</v>
      </c>
      <c r="E1759" t="s">
        <v>89</v>
      </c>
      <c r="F1759" t="s">
        <v>23</v>
      </c>
      <c r="G1759" t="s">
        <v>1939</v>
      </c>
      <c r="H1759" t="s">
        <v>1940</v>
      </c>
      <c r="I1759" t="s">
        <v>160</v>
      </c>
      <c r="J1759">
        <v>2</v>
      </c>
      <c r="K1759">
        <v>2738000</v>
      </c>
      <c r="L1759">
        <v>0</v>
      </c>
      <c r="M1759">
        <v>1903000</v>
      </c>
      <c r="N1759">
        <f>(data[[#This Row],[unit_price]]*data[[#This Row],[quantity]]) * (1-data[[#This Row],[discount]])</f>
        <v>5476000</v>
      </c>
      <c r="O1759">
        <f>data[[#This Row],[sales]]-data[[#This Row],[cost]]</f>
        <v>3573000</v>
      </c>
      <c r="P1759" t="str">
        <f>TEXT(data[[#This Row],[order_date]],"mmm")</f>
        <v>Jan</v>
      </c>
      <c r="Q1759">
        <f>YEAR(data[[#This Row],[order_date]])</f>
        <v>2026</v>
      </c>
      <c r="R1759">
        <f>MONTH(data[[#This Row],[order_date]])</f>
        <v>1</v>
      </c>
      <c r="S1759">
        <f>DAY(data[[#This Row],[order_date]])</f>
        <v>3</v>
      </c>
      <c r="T1759">
        <f>data[[#This Row],[profit]]/data[[#This Row],[sales]]</f>
        <v>0.65248356464572677</v>
      </c>
    </row>
    <row r="1760" spans="1:20" x14ac:dyDescent="0.35">
      <c r="A1760" t="s">
        <v>1994</v>
      </c>
      <c r="B1760" s="1">
        <v>46056</v>
      </c>
      <c r="C1760" t="s">
        <v>25</v>
      </c>
      <c r="D1760" t="s">
        <v>26</v>
      </c>
      <c r="E1760" t="s">
        <v>166</v>
      </c>
      <c r="F1760" t="s">
        <v>28</v>
      </c>
      <c r="G1760" t="s">
        <v>1939</v>
      </c>
      <c r="H1760" t="s">
        <v>1940</v>
      </c>
      <c r="I1760" t="s">
        <v>160</v>
      </c>
      <c r="J1760">
        <v>2</v>
      </c>
      <c r="K1760">
        <v>3573000</v>
      </c>
      <c r="L1760">
        <v>0</v>
      </c>
      <c r="M1760">
        <v>2388000</v>
      </c>
      <c r="N1760">
        <f>(data[[#This Row],[unit_price]]*data[[#This Row],[quantity]]) * (1-data[[#This Row],[discount]])</f>
        <v>7146000</v>
      </c>
      <c r="O1760">
        <f>data[[#This Row],[sales]]-data[[#This Row],[cost]]</f>
        <v>4758000</v>
      </c>
      <c r="P1760" t="str">
        <f>TEXT(data[[#This Row],[order_date]],"mmm")</f>
        <v>Feb</v>
      </c>
      <c r="Q1760">
        <f>YEAR(data[[#This Row],[order_date]])</f>
        <v>2026</v>
      </c>
      <c r="R1760">
        <f>MONTH(data[[#This Row],[order_date]])</f>
        <v>2</v>
      </c>
      <c r="S1760">
        <f>DAY(data[[#This Row],[order_date]])</f>
        <v>3</v>
      </c>
      <c r="T1760">
        <f>data[[#This Row],[profit]]/data[[#This Row],[sales]]</f>
        <v>0.6658270361041142</v>
      </c>
    </row>
    <row r="1761" spans="1:20" x14ac:dyDescent="0.35">
      <c r="A1761" t="s">
        <v>1995</v>
      </c>
      <c r="B1761" s="1">
        <v>46075</v>
      </c>
      <c r="C1761" t="s">
        <v>14</v>
      </c>
      <c r="D1761" t="s">
        <v>15</v>
      </c>
      <c r="E1761" t="s">
        <v>43</v>
      </c>
      <c r="F1761" t="s">
        <v>17</v>
      </c>
      <c r="G1761" t="s">
        <v>1939</v>
      </c>
      <c r="H1761" t="s">
        <v>1940</v>
      </c>
      <c r="I1761" t="s">
        <v>160</v>
      </c>
      <c r="J1761">
        <v>2</v>
      </c>
      <c r="K1761">
        <v>3708000</v>
      </c>
      <c r="L1761">
        <v>0.05</v>
      </c>
      <c r="M1761">
        <v>2556000</v>
      </c>
      <c r="N1761">
        <f>(data[[#This Row],[unit_price]]*data[[#This Row],[quantity]]) * (1-data[[#This Row],[discount]])</f>
        <v>7045200</v>
      </c>
      <c r="O1761">
        <f>data[[#This Row],[sales]]-data[[#This Row],[cost]]</f>
        <v>4489200</v>
      </c>
      <c r="P1761" t="str">
        <f>TEXT(data[[#This Row],[order_date]],"mmm")</f>
        <v>Feb</v>
      </c>
      <c r="Q1761">
        <f>YEAR(data[[#This Row],[order_date]])</f>
        <v>2026</v>
      </c>
      <c r="R1761">
        <f>MONTH(data[[#This Row],[order_date]])</f>
        <v>2</v>
      </c>
      <c r="S1761">
        <f>DAY(data[[#This Row],[order_date]])</f>
        <v>22</v>
      </c>
      <c r="T1761">
        <f>data[[#This Row],[profit]]/data[[#This Row],[sales]]</f>
        <v>0.63719979560551865</v>
      </c>
    </row>
    <row r="1762" spans="1:20" x14ac:dyDescent="0.35">
      <c r="A1762" t="s">
        <v>1996</v>
      </c>
      <c r="B1762" s="1">
        <v>46124</v>
      </c>
      <c r="C1762" t="s">
        <v>14</v>
      </c>
      <c r="D1762" t="s">
        <v>15</v>
      </c>
      <c r="E1762" t="s">
        <v>65</v>
      </c>
      <c r="F1762" t="s">
        <v>17</v>
      </c>
      <c r="G1762" t="s">
        <v>1939</v>
      </c>
      <c r="H1762" t="s">
        <v>1940</v>
      </c>
      <c r="I1762" t="s">
        <v>160</v>
      </c>
      <c r="J1762">
        <v>1</v>
      </c>
      <c r="K1762">
        <v>2871000</v>
      </c>
      <c r="L1762">
        <v>0</v>
      </c>
      <c r="M1762">
        <v>1970000</v>
      </c>
      <c r="N1762">
        <f>(data[[#This Row],[unit_price]]*data[[#This Row],[quantity]]) * (1-data[[#This Row],[discount]])</f>
        <v>2871000</v>
      </c>
      <c r="O1762">
        <f>data[[#This Row],[sales]]-data[[#This Row],[cost]]</f>
        <v>901000</v>
      </c>
      <c r="P1762" t="str">
        <f>TEXT(data[[#This Row],[order_date]],"mmm")</f>
        <v>Apr</v>
      </c>
      <c r="Q1762">
        <f>YEAR(data[[#This Row],[order_date]])</f>
        <v>2026</v>
      </c>
      <c r="R1762">
        <f>MONTH(data[[#This Row],[order_date]])</f>
        <v>4</v>
      </c>
      <c r="S1762">
        <f>DAY(data[[#This Row],[order_date]])</f>
        <v>12</v>
      </c>
      <c r="T1762">
        <f>data[[#This Row],[profit]]/data[[#This Row],[sales]]</f>
        <v>0.31382793451758967</v>
      </c>
    </row>
    <row r="1763" spans="1:20" x14ac:dyDescent="0.35">
      <c r="A1763" t="s">
        <v>1997</v>
      </c>
      <c r="B1763" s="1">
        <v>46150</v>
      </c>
      <c r="C1763" t="s">
        <v>41</v>
      </c>
      <c r="D1763" t="s">
        <v>42</v>
      </c>
      <c r="E1763" t="s">
        <v>613</v>
      </c>
      <c r="F1763" t="s">
        <v>28</v>
      </c>
      <c r="G1763" t="s">
        <v>1939</v>
      </c>
      <c r="H1763" t="s">
        <v>1940</v>
      </c>
      <c r="I1763" t="s">
        <v>160</v>
      </c>
      <c r="J1763">
        <v>5</v>
      </c>
      <c r="K1763">
        <v>3342000</v>
      </c>
      <c r="L1763">
        <v>0</v>
      </c>
      <c r="M1763">
        <v>2241000</v>
      </c>
      <c r="N1763">
        <f>(data[[#This Row],[unit_price]]*data[[#This Row],[quantity]]) * (1-data[[#This Row],[discount]])</f>
        <v>16710000</v>
      </c>
      <c r="O1763">
        <f>data[[#This Row],[sales]]-data[[#This Row],[cost]]</f>
        <v>14469000</v>
      </c>
      <c r="P1763" t="str">
        <f>TEXT(data[[#This Row],[order_date]],"mmm")</f>
        <v>May</v>
      </c>
      <c r="Q1763">
        <f>YEAR(data[[#This Row],[order_date]])</f>
        <v>2026</v>
      </c>
      <c r="R1763">
        <f>MONTH(data[[#This Row],[order_date]])</f>
        <v>5</v>
      </c>
      <c r="S1763">
        <f>DAY(data[[#This Row],[order_date]])</f>
        <v>8</v>
      </c>
      <c r="T1763">
        <f>data[[#This Row],[profit]]/data[[#This Row],[sales]]</f>
        <v>0.86588868940754038</v>
      </c>
    </row>
    <row r="1764" spans="1:20" x14ac:dyDescent="0.35">
      <c r="A1764" t="s">
        <v>1998</v>
      </c>
      <c r="B1764" s="1">
        <v>46151</v>
      </c>
      <c r="C1764" t="s">
        <v>49</v>
      </c>
      <c r="D1764" t="s">
        <v>50</v>
      </c>
      <c r="E1764" t="s">
        <v>340</v>
      </c>
      <c r="F1764" t="s">
        <v>23</v>
      </c>
      <c r="G1764" t="s">
        <v>1939</v>
      </c>
      <c r="H1764" t="s">
        <v>1940</v>
      </c>
      <c r="I1764" t="s">
        <v>160</v>
      </c>
      <c r="J1764">
        <v>1</v>
      </c>
      <c r="K1764">
        <v>3255000</v>
      </c>
      <c r="L1764">
        <v>0</v>
      </c>
      <c r="M1764">
        <v>2229000</v>
      </c>
      <c r="N1764">
        <f>(data[[#This Row],[unit_price]]*data[[#This Row],[quantity]]) * (1-data[[#This Row],[discount]])</f>
        <v>3255000</v>
      </c>
      <c r="O1764">
        <f>data[[#This Row],[sales]]-data[[#This Row],[cost]]</f>
        <v>1026000</v>
      </c>
      <c r="P1764" t="str">
        <f>TEXT(data[[#This Row],[order_date]],"mmm")</f>
        <v>May</v>
      </c>
      <c r="Q1764">
        <f>YEAR(data[[#This Row],[order_date]])</f>
        <v>2026</v>
      </c>
      <c r="R1764">
        <f>MONTH(data[[#This Row],[order_date]])</f>
        <v>5</v>
      </c>
      <c r="S1764">
        <f>DAY(data[[#This Row],[order_date]])</f>
        <v>9</v>
      </c>
      <c r="T1764">
        <f>data[[#This Row],[profit]]/data[[#This Row],[sales]]</f>
        <v>0.31520737327188941</v>
      </c>
    </row>
    <row r="1765" spans="1:20" x14ac:dyDescent="0.35">
      <c r="A1765" t="s">
        <v>1999</v>
      </c>
      <c r="B1765" s="1">
        <v>46161</v>
      </c>
      <c r="C1765" t="s">
        <v>14</v>
      </c>
      <c r="D1765" t="s">
        <v>15</v>
      </c>
      <c r="E1765" t="s">
        <v>634</v>
      </c>
      <c r="F1765" t="s">
        <v>17</v>
      </c>
      <c r="G1765" t="s">
        <v>1939</v>
      </c>
      <c r="H1765" t="s">
        <v>1940</v>
      </c>
      <c r="I1765" t="s">
        <v>160</v>
      </c>
      <c r="J1765">
        <v>3</v>
      </c>
      <c r="K1765">
        <v>2372000</v>
      </c>
      <c r="L1765">
        <v>0</v>
      </c>
      <c r="M1765">
        <v>1588000</v>
      </c>
      <c r="N1765">
        <f>(data[[#This Row],[unit_price]]*data[[#This Row],[quantity]]) * (1-data[[#This Row],[discount]])</f>
        <v>7116000</v>
      </c>
      <c r="O1765">
        <f>data[[#This Row],[sales]]-data[[#This Row],[cost]]</f>
        <v>5528000</v>
      </c>
      <c r="P1765" t="str">
        <f>TEXT(data[[#This Row],[order_date]],"mmm")</f>
        <v>May</v>
      </c>
      <c r="Q1765">
        <f>YEAR(data[[#This Row],[order_date]])</f>
        <v>2026</v>
      </c>
      <c r="R1765">
        <f>MONTH(data[[#This Row],[order_date]])</f>
        <v>5</v>
      </c>
      <c r="S1765">
        <f>DAY(data[[#This Row],[order_date]])</f>
        <v>19</v>
      </c>
      <c r="T1765">
        <f>data[[#This Row],[profit]]/data[[#This Row],[sales]]</f>
        <v>0.776840921866217</v>
      </c>
    </row>
    <row r="1766" spans="1:20" x14ac:dyDescent="0.35">
      <c r="A1766" t="s">
        <v>2000</v>
      </c>
      <c r="B1766" s="1">
        <v>46162</v>
      </c>
      <c r="C1766" t="s">
        <v>41</v>
      </c>
      <c r="D1766" t="s">
        <v>42</v>
      </c>
      <c r="E1766" t="s">
        <v>30</v>
      </c>
      <c r="F1766" t="s">
        <v>23</v>
      </c>
      <c r="G1766" t="s">
        <v>1939</v>
      </c>
      <c r="H1766" t="s">
        <v>1940</v>
      </c>
      <c r="I1766" t="s">
        <v>160</v>
      </c>
      <c r="J1766">
        <v>2</v>
      </c>
      <c r="K1766">
        <v>3304000</v>
      </c>
      <c r="L1766">
        <v>0</v>
      </c>
      <c r="M1766">
        <v>2231000</v>
      </c>
      <c r="N1766">
        <f>(data[[#This Row],[unit_price]]*data[[#This Row],[quantity]]) * (1-data[[#This Row],[discount]])</f>
        <v>6608000</v>
      </c>
      <c r="O1766">
        <f>data[[#This Row],[sales]]-data[[#This Row],[cost]]</f>
        <v>4377000</v>
      </c>
      <c r="P1766" t="str">
        <f>TEXT(data[[#This Row],[order_date]],"mmm")</f>
        <v>May</v>
      </c>
      <c r="Q1766">
        <f>YEAR(data[[#This Row],[order_date]])</f>
        <v>2026</v>
      </c>
      <c r="R1766">
        <f>MONTH(data[[#This Row],[order_date]])</f>
        <v>5</v>
      </c>
      <c r="S1766">
        <f>DAY(data[[#This Row],[order_date]])</f>
        <v>20</v>
      </c>
      <c r="T1766">
        <f>data[[#This Row],[profit]]/data[[#This Row],[sales]]</f>
        <v>0.66237893462469732</v>
      </c>
    </row>
    <row r="1767" spans="1:20" x14ac:dyDescent="0.35">
      <c r="A1767" t="s">
        <v>2001</v>
      </c>
      <c r="B1767" s="1">
        <v>46170</v>
      </c>
      <c r="C1767" t="s">
        <v>36</v>
      </c>
      <c r="D1767" t="s">
        <v>37</v>
      </c>
      <c r="E1767" t="s">
        <v>368</v>
      </c>
      <c r="F1767" t="s">
        <v>23</v>
      </c>
      <c r="G1767" t="s">
        <v>1939</v>
      </c>
      <c r="H1767" t="s">
        <v>1940</v>
      </c>
      <c r="I1767" t="s">
        <v>160</v>
      </c>
      <c r="J1767">
        <v>1</v>
      </c>
      <c r="K1767">
        <v>2920000</v>
      </c>
      <c r="L1767">
        <v>0</v>
      </c>
      <c r="M1767">
        <v>1944000</v>
      </c>
      <c r="N1767">
        <f>(data[[#This Row],[unit_price]]*data[[#This Row],[quantity]]) * (1-data[[#This Row],[discount]])</f>
        <v>2920000</v>
      </c>
      <c r="O1767">
        <f>data[[#This Row],[sales]]-data[[#This Row],[cost]]</f>
        <v>976000</v>
      </c>
      <c r="P1767" t="str">
        <f>TEXT(data[[#This Row],[order_date]],"mmm")</f>
        <v>May</v>
      </c>
      <c r="Q1767">
        <f>YEAR(data[[#This Row],[order_date]])</f>
        <v>2026</v>
      </c>
      <c r="R1767">
        <f>MONTH(data[[#This Row],[order_date]])</f>
        <v>5</v>
      </c>
      <c r="S1767">
        <f>DAY(data[[#This Row],[order_date]])</f>
        <v>28</v>
      </c>
      <c r="T1767">
        <f>data[[#This Row],[profit]]/data[[#This Row],[sales]]</f>
        <v>0.33424657534246577</v>
      </c>
    </row>
    <row r="1768" spans="1:20" x14ac:dyDescent="0.35">
      <c r="A1768" t="s">
        <v>2002</v>
      </c>
      <c r="B1768" s="1">
        <v>46186</v>
      </c>
      <c r="C1768" t="s">
        <v>36</v>
      </c>
      <c r="D1768" t="s">
        <v>37</v>
      </c>
      <c r="E1768" t="s">
        <v>69</v>
      </c>
      <c r="F1768" t="s">
        <v>23</v>
      </c>
      <c r="G1768" t="s">
        <v>1939</v>
      </c>
      <c r="H1768" t="s">
        <v>1940</v>
      </c>
      <c r="I1768" t="s">
        <v>160</v>
      </c>
      <c r="J1768">
        <v>1</v>
      </c>
      <c r="K1768">
        <v>2687000</v>
      </c>
      <c r="L1768">
        <v>0.05</v>
      </c>
      <c r="M1768">
        <v>1845000</v>
      </c>
      <c r="N1768">
        <f>(data[[#This Row],[unit_price]]*data[[#This Row],[quantity]]) * (1-data[[#This Row],[discount]])</f>
        <v>2552650</v>
      </c>
      <c r="O1768">
        <f>data[[#This Row],[sales]]-data[[#This Row],[cost]]</f>
        <v>707650</v>
      </c>
      <c r="P1768" t="str">
        <f>TEXT(data[[#This Row],[order_date]],"mmm")</f>
        <v>Jun</v>
      </c>
      <c r="Q1768">
        <f>YEAR(data[[#This Row],[order_date]])</f>
        <v>2026</v>
      </c>
      <c r="R1768">
        <f>MONTH(data[[#This Row],[order_date]])</f>
        <v>6</v>
      </c>
      <c r="S1768">
        <f>DAY(data[[#This Row],[order_date]])</f>
        <v>13</v>
      </c>
      <c r="T1768">
        <f>data[[#This Row],[profit]]/data[[#This Row],[sales]]</f>
        <v>0.27722171077115937</v>
      </c>
    </row>
    <row r="1769" spans="1:20" x14ac:dyDescent="0.35">
      <c r="A1769" t="s">
        <v>2003</v>
      </c>
      <c r="B1769" s="1">
        <v>46189</v>
      </c>
      <c r="C1769" t="s">
        <v>49</v>
      </c>
      <c r="D1769" t="s">
        <v>50</v>
      </c>
      <c r="E1769" t="s">
        <v>27</v>
      </c>
      <c r="F1769" t="s">
        <v>28</v>
      </c>
      <c r="G1769" t="s">
        <v>1939</v>
      </c>
      <c r="H1769" t="s">
        <v>1940</v>
      </c>
      <c r="I1769" t="s">
        <v>160</v>
      </c>
      <c r="J1769">
        <v>1</v>
      </c>
      <c r="K1769">
        <v>3302000</v>
      </c>
      <c r="L1769">
        <v>0</v>
      </c>
      <c r="M1769">
        <v>2260000</v>
      </c>
      <c r="N1769">
        <f>(data[[#This Row],[unit_price]]*data[[#This Row],[quantity]]) * (1-data[[#This Row],[discount]])</f>
        <v>3302000</v>
      </c>
      <c r="O1769">
        <f>data[[#This Row],[sales]]-data[[#This Row],[cost]]</f>
        <v>1042000</v>
      </c>
      <c r="P1769" t="str">
        <f>TEXT(data[[#This Row],[order_date]],"mmm")</f>
        <v>Jun</v>
      </c>
      <c r="Q1769">
        <f>YEAR(data[[#This Row],[order_date]])</f>
        <v>2026</v>
      </c>
      <c r="R1769">
        <f>MONTH(data[[#This Row],[order_date]])</f>
        <v>6</v>
      </c>
      <c r="S1769">
        <f>DAY(data[[#This Row],[order_date]])</f>
        <v>16</v>
      </c>
      <c r="T1769">
        <f>data[[#This Row],[profit]]/data[[#This Row],[sales]]</f>
        <v>0.31556632344033919</v>
      </c>
    </row>
    <row r="1770" spans="1:20" x14ac:dyDescent="0.35">
      <c r="A1770" t="s">
        <v>2004</v>
      </c>
      <c r="B1770" s="1">
        <v>46190</v>
      </c>
      <c r="C1770" t="s">
        <v>41</v>
      </c>
      <c r="D1770" t="s">
        <v>42</v>
      </c>
      <c r="E1770" t="s">
        <v>97</v>
      </c>
      <c r="F1770" t="s">
        <v>23</v>
      </c>
      <c r="G1770" t="s">
        <v>1939</v>
      </c>
      <c r="H1770" t="s">
        <v>1940</v>
      </c>
      <c r="I1770" t="s">
        <v>160</v>
      </c>
      <c r="J1770">
        <v>1</v>
      </c>
      <c r="K1770">
        <v>2804666.6666666665</v>
      </c>
      <c r="L1770">
        <v>0</v>
      </c>
      <c r="M1770">
        <v>0</v>
      </c>
      <c r="N1770">
        <f>(data[[#This Row],[unit_price]]*data[[#This Row],[quantity]]) * (1-data[[#This Row],[discount]])</f>
        <v>2804666.6666666665</v>
      </c>
      <c r="O1770">
        <f>data[[#This Row],[sales]]-data[[#This Row],[cost]]</f>
        <v>2804666.6666666665</v>
      </c>
      <c r="P1770" t="str">
        <f>TEXT(data[[#This Row],[order_date]],"mmm")</f>
        <v>Jun</v>
      </c>
      <c r="Q1770">
        <f>YEAR(data[[#This Row],[order_date]])</f>
        <v>2026</v>
      </c>
      <c r="R1770">
        <f>MONTH(data[[#This Row],[order_date]])</f>
        <v>6</v>
      </c>
      <c r="S1770">
        <f>DAY(data[[#This Row],[order_date]])</f>
        <v>17</v>
      </c>
      <c r="T1770">
        <f>data[[#This Row],[profit]]/data[[#This Row],[sales]]</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548E-FD96-4160-BD6A-194F4B2EEDE8}">
  <sheetPr>
    <tabColor rgb="FFFF0000"/>
  </sheetPr>
  <dimension ref="B1:CA1189"/>
  <sheetViews>
    <sheetView topLeftCell="BM1" zoomScale="78" zoomScaleNormal="140" workbookViewId="0">
      <selection activeCell="BV5" sqref="BV5"/>
    </sheetView>
  </sheetViews>
  <sheetFormatPr defaultRowHeight="14.5" x14ac:dyDescent="0.35"/>
  <cols>
    <col min="2" max="2" width="8.81640625" bestFit="1" customWidth="1"/>
    <col min="3" max="3" width="10.54296875" bestFit="1" customWidth="1"/>
    <col min="4" max="4" width="21.90625" bestFit="1" customWidth="1"/>
    <col min="5" max="5" width="13" bestFit="1" customWidth="1"/>
    <col min="6" max="6" width="17.26953125" bestFit="1" customWidth="1"/>
    <col min="7" max="7" width="12" bestFit="1" customWidth="1"/>
    <col min="8" max="11" width="12" customWidth="1"/>
    <col min="12" max="12" width="9.453125" customWidth="1"/>
    <col min="13" max="13" width="9.36328125" bestFit="1" customWidth="1"/>
    <col min="14" max="14" width="10.7265625" bestFit="1" customWidth="1"/>
    <col min="15" max="15" width="10.7265625" customWidth="1"/>
    <col min="16" max="16" width="22.54296875" bestFit="1" customWidth="1"/>
    <col min="17" max="17" width="23.36328125" customWidth="1"/>
    <col min="18" max="18" width="14.26953125" bestFit="1" customWidth="1"/>
    <col min="19" max="19" width="21.36328125" customWidth="1"/>
    <col min="20" max="20" width="12.90625" bestFit="1" customWidth="1"/>
    <col min="21" max="21" width="20.453125" customWidth="1"/>
    <col min="22" max="22" width="15.6328125" bestFit="1" customWidth="1"/>
    <col min="23" max="23" width="19.54296875" customWidth="1"/>
    <col min="24" max="24" width="19.54296875" bestFit="1" customWidth="1"/>
    <col min="25" max="25" width="11.81640625" bestFit="1" customWidth="1"/>
    <col min="26" max="26" width="12.1796875" bestFit="1" customWidth="1"/>
    <col min="27" max="27" width="8.08984375" bestFit="1" customWidth="1"/>
    <col min="28" max="28" width="18.54296875" bestFit="1" customWidth="1"/>
    <col min="29" max="29" width="11.1796875" bestFit="1" customWidth="1"/>
    <col min="30" max="30" width="10.81640625" bestFit="1" customWidth="1"/>
    <col min="31" max="31" width="15.36328125" bestFit="1" customWidth="1"/>
    <col min="32" max="32" width="11.81640625" bestFit="1" customWidth="1"/>
    <col min="33" max="33" width="10.81640625" bestFit="1" customWidth="1"/>
    <col min="34" max="34" width="13.26953125" bestFit="1" customWidth="1"/>
    <col min="35" max="35" width="11.81640625" bestFit="1" customWidth="1"/>
    <col min="36" max="36" width="10.54296875" bestFit="1" customWidth="1"/>
    <col min="37" max="37" width="20.1796875" bestFit="1" customWidth="1"/>
    <col min="38" max="38" width="11.81640625" bestFit="1" customWidth="1"/>
    <col min="39" max="39" width="10.54296875" bestFit="1" customWidth="1"/>
    <col min="40" max="40" width="19.1796875" bestFit="1" customWidth="1"/>
    <col min="41" max="41" width="14.6328125" bestFit="1" customWidth="1"/>
    <col min="42" max="43" width="8.81640625" bestFit="1" customWidth="1"/>
    <col min="44" max="44" width="13.26953125" bestFit="1" customWidth="1"/>
    <col min="45" max="45" width="11.1796875" bestFit="1" customWidth="1"/>
    <col min="46" max="47" width="8.81640625" bestFit="1" customWidth="1"/>
    <col min="48" max="48" width="9.453125" bestFit="1" customWidth="1"/>
    <col min="49" max="49" width="8.81640625" bestFit="1" customWidth="1"/>
    <col min="50" max="50" width="9.453125" bestFit="1" customWidth="1"/>
    <col min="51" max="51" width="8.81640625" bestFit="1" customWidth="1"/>
    <col min="53" max="53" width="9.453125" bestFit="1" customWidth="1"/>
    <col min="55" max="58" width="9.453125" bestFit="1" customWidth="1"/>
    <col min="61" max="61" width="15.36328125" bestFit="1" customWidth="1"/>
    <col min="62" max="62" width="12.54296875" bestFit="1" customWidth="1"/>
    <col min="64" max="64" width="18.54296875" bestFit="1" customWidth="1"/>
    <col min="65" max="65" width="11.54296875" bestFit="1" customWidth="1"/>
    <col min="67" max="67" width="13.26953125" bestFit="1" customWidth="1"/>
    <col min="68" max="68" width="12.54296875" bestFit="1" customWidth="1"/>
    <col min="70" max="70" width="20.26953125" bestFit="1" customWidth="1"/>
    <col min="71" max="71" width="12.54296875" bestFit="1" customWidth="1"/>
    <col min="73" max="73" width="19.1796875" bestFit="1" customWidth="1"/>
    <col min="74" max="74" width="15.26953125" bestFit="1" customWidth="1"/>
    <col min="77" max="77" width="15.36328125" bestFit="1" customWidth="1"/>
    <col min="78" max="78" width="11.54296875" bestFit="1" customWidth="1"/>
  </cols>
  <sheetData>
    <row r="1" spans="2:79" x14ac:dyDescent="0.35">
      <c r="P1" s="6" t="s">
        <v>3</v>
      </c>
      <c r="Q1" s="6" t="s">
        <v>5</v>
      </c>
      <c r="R1" s="6" t="s">
        <v>8</v>
      </c>
      <c r="S1" s="6" t="s">
        <v>2028</v>
      </c>
      <c r="T1" s="6" t="s">
        <v>2029</v>
      </c>
      <c r="U1" s="6" t="s">
        <v>2030</v>
      </c>
      <c r="V1" s="6" t="s">
        <v>2031</v>
      </c>
      <c r="W1" s="6" t="s">
        <v>2032</v>
      </c>
      <c r="X1" s="6" t="s">
        <v>2033</v>
      </c>
      <c r="Z1" s="18"/>
      <c r="AA1" s="18"/>
      <c r="AB1" s="18" cm="1">
        <f t="array" ref="AB1:BF1">_xlfn.SEQUENCE(,31)</f>
        <v>1</v>
      </c>
      <c r="AC1" s="18">
        <v>2</v>
      </c>
      <c r="AD1" s="18">
        <v>3</v>
      </c>
      <c r="AE1" s="18">
        <v>4</v>
      </c>
      <c r="AF1" s="18">
        <v>5</v>
      </c>
      <c r="AG1" s="18">
        <v>6</v>
      </c>
      <c r="AH1" s="18">
        <v>7</v>
      </c>
      <c r="AI1" s="18">
        <v>8</v>
      </c>
      <c r="AJ1" s="18">
        <v>9</v>
      </c>
      <c r="AK1" s="18">
        <v>10</v>
      </c>
      <c r="AL1" s="18">
        <v>11</v>
      </c>
      <c r="AM1" s="18">
        <v>12</v>
      </c>
      <c r="AN1" s="18">
        <v>13</v>
      </c>
      <c r="AO1" s="18">
        <v>14</v>
      </c>
      <c r="AP1" s="18">
        <v>15</v>
      </c>
      <c r="AQ1" s="18">
        <v>16</v>
      </c>
      <c r="AR1" s="18">
        <v>17</v>
      </c>
      <c r="AS1" s="18">
        <v>18</v>
      </c>
      <c r="AT1" s="18">
        <v>19</v>
      </c>
      <c r="AU1" s="18">
        <v>20</v>
      </c>
      <c r="AV1" s="18">
        <v>21</v>
      </c>
      <c r="AW1" s="18">
        <v>22</v>
      </c>
      <c r="AX1" s="18">
        <v>23</v>
      </c>
      <c r="AY1" s="18">
        <v>24</v>
      </c>
      <c r="AZ1" s="18">
        <v>25</v>
      </c>
      <c r="BA1" s="18">
        <v>26</v>
      </c>
      <c r="BB1" s="18">
        <v>27</v>
      </c>
      <c r="BC1" s="18">
        <v>28</v>
      </c>
      <c r="BD1" s="18">
        <v>29</v>
      </c>
      <c r="BE1" s="18">
        <v>30</v>
      </c>
      <c r="BF1" s="18">
        <v>31</v>
      </c>
      <c r="BI1" s="2" t="s">
        <v>2045</v>
      </c>
      <c r="BJ1" t="s">
        <v>2044</v>
      </c>
      <c r="BL1" s="2" t="s">
        <v>2045</v>
      </c>
      <c r="BM1" t="s">
        <v>2044</v>
      </c>
      <c r="BO1" s="2" t="s">
        <v>2045</v>
      </c>
      <c r="BP1" t="s">
        <v>2044</v>
      </c>
      <c r="BR1" s="2" t="s">
        <v>7</v>
      </c>
      <c r="BS1" t="s">
        <v>2044</v>
      </c>
      <c r="BU1" s="2" t="s">
        <v>2045</v>
      </c>
      <c r="BV1" t="s">
        <v>2044</v>
      </c>
      <c r="BY1" s="2" t="s">
        <v>2045</v>
      </c>
      <c r="BZ1" t="s">
        <v>2044</v>
      </c>
    </row>
    <row r="2" spans="2:79" x14ac:dyDescent="0.35">
      <c r="B2" s="11" t="s">
        <v>2025</v>
      </c>
      <c r="C2" s="11" t="s">
        <v>2012</v>
      </c>
      <c r="D2" s="11" t="s">
        <v>3</v>
      </c>
      <c r="E2" s="11" t="s">
        <v>5</v>
      </c>
      <c r="F2" s="11" t="s">
        <v>8</v>
      </c>
      <c r="G2" s="11" t="s">
        <v>2044</v>
      </c>
      <c r="K2" s="17"/>
      <c r="M2" s="2" t="s">
        <v>2026</v>
      </c>
      <c r="N2" t="s">
        <v>2027</v>
      </c>
      <c r="P2" s="6" t="str" cm="1">
        <f t="array" ref="P2">IF(COUNTA(_xlfn.UNIQUE(_xlfn._xlws.FILTER($D$3:$D$1000, $D$3:$D$1000&lt;&gt;"")))&gt;1,"Multiple",$D$3)</f>
        <v>Multiple</v>
      </c>
      <c r="Q2" s="6" t="str" cm="1">
        <f t="array" ref="Q2">IF(COUNTA(_xlfn.UNIQUE(_xlfn._xlws.FILTER($E$3:$E$1000, $E$3:$E$1000&lt;&gt;"")))&gt;1,"Multiple",$E$3)</f>
        <v>Multiple</v>
      </c>
      <c r="R2" s="6" t="str" cm="1">
        <f t="array" ref="R2">IF(COUNTA(_xlfn.UNIQUE(_xlfn._xlws.FILTER($F$3:$F$1000, $F$3:$F$1000&lt;&gt;"")))&gt;1,"Multiple",$F$3)</f>
        <v>Multiple</v>
      </c>
      <c r="S2" s="6" t="str" cm="1">
        <f t="array" ref="S2">IF(COUNTA(_xlfn.UNIQUE(_xlfn._xlws.FILTER($B$3:$B$1000, $B$3:$B$1000&lt;&gt;"")))&gt;1,"Multiple",$B$3)</f>
        <v>Multiple</v>
      </c>
      <c r="T2" s="6" t="str" cm="1">
        <f t="array" ref="T2">IF(COUNTA(_xlfn.UNIQUE(_xlfn._xlws.FILTER($C$3:$C$1000, $C$3:$C$1000&lt;&gt;"")))&gt;1,"Multiple",$C$3)</f>
        <v>Multiple</v>
      </c>
      <c r="U2" s="6" t="str">
        <f>IF(T2="Multiple","Multiple",VLOOKUP(T2,bulan[],2,FALSE))</f>
        <v>Multiple</v>
      </c>
      <c r="V2" s="6" t="str" cm="1">
        <f t="array" ref="V2">_xlfn.IFS($S$2="Multiple","Multiple", $U$2="Multiple",$S$2-1,$U$2=1,$S$2-1,1,$S$2)</f>
        <v>Multiple</v>
      </c>
      <c r="W2" s="6" t="str">
        <f>IF(U2="Multiple","Multiple",IF(U2=1, 12, U2-1))</f>
        <v>Multiple</v>
      </c>
      <c r="X2" s="6" t="str">
        <f>IF(W2="Multiple","Multiple",INDEX(bulan[x], MATCH(W2,bulan[y],0)))</f>
        <v>Multiple</v>
      </c>
      <c r="Z2" s="18"/>
      <c r="AA2" s="18"/>
      <c r="AB2" s="19">
        <f>IF($S$2="Multiple", IF(AB$1&lt;=4, 2022+AB$1, NA()), IF($U$2="Multiple", IF(AB$1&lt;=12, TEXT(DATE(2026, AB$1, 1), "mmm"), NA()), IF(AB$1&lt;=DAY(EOMONTH(DATE($S$2, $U$2, 1), 0)), AB$1, NA())))</f>
        <v>2023</v>
      </c>
      <c r="AC2" s="19">
        <f t="shared" ref="AC2:BF2" si="0">IF($S$2="Multiple", IF(AC$1&lt;=4, 2022+AC$1, NA()), IF($U$2="Multiple", IF(AC$1&lt;=12, TEXT(DATE(2026, AC$1, 1), "mmm"), NA()), IF(AC$1&lt;=DAY(EOMONTH(DATE($S$2, $U$2, 1), 0)), AC$1, NA())))</f>
        <v>2024</v>
      </c>
      <c r="AD2" s="19">
        <f t="shared" si="0"/>
        <v>2025</v>
      </c>
      <c r="AE2" s="19">
        <f t="shared" si="0"/>
        <v>2026</v>
      </c>
      <c r="AF2" s="19" t="e">
        <f t="shared" si="0"/>
        <v>#N/A</v>
      </c>
      <c r="AG2" s="19" t="e">
        <f t="shared" si="0"/>
        <v>#N/A</v>
      </c>
      <c r="AH2" s="19" t="e">
        <f t="shared" si="0"/>
        <v>#N/A</v>
      </c>
      <c r="AI2" s="19" t="e">
        <f t="shared" si="0"/>
        <v>#N/A</v>
      </c>
      <c r="AJ2" s="19" t="e">
        <f t="shared" si="0"/>
        <v>#N/A</v>
      </c>
      <c r="AK2" s="19" t="e">
        <f t="shared" si="0"/>
        <v>#N/A</v>
      </c>
      <c r="AL2" s="19" t="e">
        <f t="shared" si="0"/>
        <v>#N/A</v>
      </c>
      <c r="AM2" s="19" t="e">
        <f t="shared" si="0"/>
        <v>#N/A</v>
      </c>
      <c r="AN2" s="19" t="e">
        <f t="shared" si="0"/>
        <v>#N/A</v>
      </c>
      <c r="AO2" s="19" t="e">
        <f t="shared" si="0"/>
        <v>#N/A</v>
      </c>
      <c r="AP2" s="19" t="e">
        <f t="shared" si="0"/>
        <v>#N/A</v>
      </c>
      <c r="AQ2" s="19" t="e">
        <f t="shared" si="0"/>
        <v>#N/A</v>
      </c>
      <c r="AR2" s="19" t="e">
        <f t="shared" si="0"/>
        <v>#N/A</v>
      </c>
      <c r="AS2" s="19" t="e">
        <f t="shared" si="0"/>
        <v>#N/A</v>
      </c>
      <c r="AT2" s="19" t="e">
        <f t="shared" si="0"/>
        <v>#N/A</v>
      </c>
      <c r="AU2" s="19" t="e">
        <f t="shared" si="0"/>
        <v>#N/A</v>
      </c>
      <c r="AV2" s="19" t="e">
        <f t="shared" si="0"/>
        <v>#N/A</v>
      </c>
      <c r="AW2" s="19" t="e">
        <f t="shared" si="0"/>
        <v>#N/A</v>
      </c>
      <c r="AX2" s="19" t="e">
        <f t="shared" si="0"/>
        <v>#N/A</v>
      </c>
      <c r="AY2" s="19" t="e">
        <f t="shared" si="0"/>
        <v>#N/A</v>
      </c>
      <c r="AZ2" s="19" t="e">
        <f t="shared" si="0"/>
        <v>#N/A</v>
      </c>
      <c r="BA2" s="19" t="e">
        <f t="shared" si="0"/>
        <v>#N/A</v>
      </c>
      <c r="BB2" s="19" t="e">
        <f t="shared" si="0"/>
        <v>#N/A</v>
      </c>
      <c r="BC2" s="19" t="e">
        <f t="shared" si="0"/>
        <v>#N/A</v>
      </c>
      <c r="BD2" s="19" t="e">
        <f t="shared" si="0"/>
        <v>#N/A</v>
      </c>
      <c r="BE2" s="19" t="e">
        <f t="shared" si="0"/>
        <v>#N/A</v>
      </c>
      <c r="BF2" s="19" t="e">
        <f t="shared" si="0"/>
        <v>#N/A</v>
      </c>
      <c r="BI2" s="5" t="s">
        <v>754</v>
      </c>
      <c r="BJ2" s="22">
        <v>101759525.20929772</v>
      </c>
      <c r="BL2" s="5" t="s">
        <v>26</v>
      </c>
      <c r="BM2" s="4">
        <v>264990634.26651976</v>
      </c>
      <c r="BO2" s="5" t="s">
        <v>58</v>
      </c>
      <c r="BP2" s="22">
        <v>227906412.84584981</v>
      </c>
      <c r="BR2" t="s">
        <v>1940</v>
      </c>
      <c r="BS2" s="22">
        <v>285724166.66666669</v>
      </c>
      <c r="BU2" s="5" t="s">
        <v>549</v>
      </c>
      <c r="BV2" s="15">
        <v>626189534.375</v>
      </c>
      <c r="BW2" t="str" cm="1">
        <f t="array" ref="BW2">_xlfn.IFS($BV$2&gt;=1000000000,"Rp "&amp;TEXT($BV$2/1000000000,"0.0")&amp;" M",$BV$2&gt;=1000000,"Rp "&amp;TEXT($BV$2/1000000,"0.0") &amp; " Jt", $BV$2&lt;1000000,"Rp "&amp;TEXT($BV$2,"#,##0"))</f>
        <v>Rp 626.2 Jt</v>
      </c>
      <c r="BY2" s="5" t="s">
        <v>160</v>
      </c>
      <c r="BZ2" s="22">
        <v>1751354869.981061</v>
      </c>
      <c r="CA2" t="str" cm="1">
        <f t="array" ref="CA2">_xlfn.IFS($BZ$2&gt;=1000000000,"Rp "&amp;TEXT($BZ$2/1000000000,"0.0")&amp;" M",$BZ$2&gt;=1000000,"Rp "&amp;TEXT($BZ$2/1000000,"0.0") &amp; " Jt", $BZ$2&lt;1000000,"Rp "&amp;TEXT($BZ$2,"#,##0"))</f>
        <v>Rp 1.8 M</v>
      </c>
    </row>
    <row r="3" spans="2:79" x14ac:dyDescent="0.35">
      <c r="B3" s="11">
        <v>2023</v>
      </c>
      <c r="C3" s="11" t="s">
        <v>2013</v>
      </c>
      <c r="D3" s="11" t="s">
        <v>26</v>
      </c>
      <c r="E3" s="11" t="s">
        <v>23</v>
      </c>
      <c r="F3" s="11" t="s">
        <v>160</v>
      </c>
      <c r="G3" s="23">
        <v>2395000</v>
      </c>
      <c r="K3" s="17"/>
      <c r="M3" t="s">
        <v>2013</v>
      </c>
      <c r="N3">
        <v>1</v>
      </c>
      <c r="Z3" s="18" t="s">
        <v>2047</v>
      </c>
      <c r="AA3" s="18"/>
      <c r="AB3" s="19">
        <f>IF(ISNA(AB$2), NA(),
  IF($S$2="Multiple",
    SUMIFS(data[[sales]:[sales]], data[[year]:[year]], AB$2, data[[region]:[region]], IF($P$2="Multiple", "*", $P$2), data[[segment]:[segment]], IF($Q$2="Multiple", "*", $Q$2), data[[category]:[category]], IF($R$2="Multiple", "*", $R$2)),
  IF($U$2="Multiple",
    SUMIFS(data[[sales]:[sales]], data[[year]:[year]], $S$2, data[[month_num]:[month_num]], AB$1, data[[region]:[region]], IF($P$2="Multiple", "*", $P$2), data[[segment]:[segment]], IF($Q$2="Multiple", "*", $Q$2), data[[category]:[category]], IF($R$2="Multiple", "*", $R$2)),
    SUMIFS(data[[sales]:[sales]], data[[year]:[year]], $S$2, data[[month_num]:[month_num]], $U$2, data[[day]:[day]], AB$1, data[[region]:[region]], IF($P$2="Multiple", "*", $P$2), data[[segment]:[segment]], IF($Q$2="Multiple", "*", $Q$2), data[[category]:[category]], IF($R$2="Multiple", "*", $R$2))
  ))
)</f>
        <v>1236340025.6956933</v>
      </c>
      <c r="AC3" s="19">
        <f>IF(ISNA(AC$2), NA(),
  IF($S$2="Multiple",
    SUMIFS(data[[sales]:[sales]], data[[year]:[year]], AC$2, data[[region]:[region]], IF($P$2="Multiple", "*", $P$2), data[[segment]:[segment]], IF($Q$2="Multiple", "*", $Q$2), data[[category]:[category]], IF($R$2="Multiple", "*", $R$2)),
  IF($U$2="Multiple",
    SUMIFS(data[[sales]:[sales]], data[[year]:[year]], $S$2, data[[month_num]:[month_num]], AC$1, data[[region]:[region]], IF($P$2="Multiple", "*", $P$2), data[[segment]:[segment]], IF($Q$2="Multiple", "*", $Q$2), data[[category]:[category]], IF($R$2="Multiple", "*", $R$2)),
    SUMIFS(data[[sales]:[sales]], data[[year]:[year]], $S$2, data[[month_num]:[month_num]], $U$2, data[[day]:[day]], AC$1, data[[region]:[region]], IF($P$2="Multiple", "*", $P$2), data[[segment]:[segment]], IF($Q$2="Multiple", "*", $Q$2), data[[category]:[category]], IF($R$2="Multiple", "*", $R$2))
  ))
)</f>
        <v>1136595550.0323079</v>
      </c>
      <c r="AD3" s="19">
        <f>IF(ISNA(AD$2), NA(),
  IF($S$2="Multiple",
    SUMIFS(data[[sales]:[sales]], data[[year]:[year]], AD$2, data[[region]:[region]], IF($P$2="Multiple", "*", $P$2), data[[segment]:[segment]], IF($Q$2="Multiple", "*", $Q$2), data[[category]:[category]], IF($R$2="Multiple", "*", $R$2)),
  IF($U$2="Multiple",
    SUMIFS(data[[sales]:[sales]], data[[year]:[year]], $S$2, data[[month_num]:[month_num]], AD$1, data[[region]:[region]], IF($P$2="Multiple", "*", $P$2), data[[segment]:[segment]], IF($Q$2="Multiple", "*", $Q$2), data[[category]:[category]], IF($R$2="Multiple", "*", $R$2)),
    SUMIFS(data[[sales]:[sales]], data[[year]:[year]], $S$2, data[[month_num]:[month_num]], $U$2, data[[day]:[day]], AD$1, data[[region]:[region]], IF($P$2="Multiple", "*", $P$2), data[[segment]:[segment]], IF($Q$2="Multiple", "*", $Q$2), data[[category]:[category]], IF($R$2="Multiple", "*", $R$2))
  ))
)</f>
        <v>1110757795.4769125</v>
      </c>
      <c r="AE3" s="19">
        <f>IF(ISNA(AE$2), NA(),
  IF($S$2="Multiple",
    SUMIFS(data[[sales]:[sales]], data[[year]:[year]], AE$2, data[[region]:[region]], IF($P$2="Multiple", "*", $P$2), data[[segment]:[segment]], IF($Q$2="Multiple", "*", $Q$2), data[[category]:[category]], IF($R$2="Multiple", "*", $R$2)),
  IF($U$2="Multiple",
    SUMIFS(data[[sales]:[sales]], data[[year]:[year]], $S$2, data[[month_num]:[month_num]], AE$1, data[[region]:[region]], IF($P$2="Multiple", "*", $P$2), data[[segment]:[segment]], IF($Q$2="Multiple", "*", $Q$2), data[[category]:[category]], IF($R$2="Multiple", "*", $R$2)),
    SUMIFS(data[[sales]:[sales]], data[[year]:[year]], $S$2, data[[month_num]:[month_num]], $U$2, data[[day]:[day]], AE$1, data[[region]:[region]], IF($P$2="Multiple", "*", $P$2), data[[segment]:[segment]], IF($Q$2="Multiple", "*", $Q$2), data[[category]:[category]], IF($R$2="Multiple", "*", $R$2))
  ))
)</f>
        <v>759409094.61389697</v>
      </c>
      <c r="AF3" s="19" t="e">
        <f>IF(ISNA(AF$2), NA(),
  IF($S$2="Multiple",
    SUMIFS(data[[sales]:[sales]], data[[year]:[year]], AF$2, data[[region]:[region]], IF($P$2="Multiple", "*", $P$2), data[[segment]:[segment]], IF($Q$2="Multiple", "*", $Q$2), data[[category]:[category]], IF($R$2="Multiple", "*", $R$2)),
  IF($U$2="Multiple",
    SUMIFS(data[[sales]:[sales]], data[[year]:[year]], $S$2, data[[month_num]:[month_num]], AF$1, data[[region]:[region]], IF($P$2="Multiple", "*", $P$2), data[[segment]:[segment]], IF($Q$2="Multiple", "*", $Q$2), data[[category]:[category]], IF($R$2="Multiple", "*", $R$2)),
    SUMIFS(data[[sales]:[sales]], data[[year]:[year]], $S$2, data[[month_num]:[month_num]], $U$2, data[[day]:[day]], AF$1, data[[region]:[region]], IF($P$2="Multiple", "*", $P$2), data[[segment]:[segment]], IF($Q$2="Multiple", "*", $Q$2), data[[category]:[category]], IF($R$2="Multiple", "*", $R$2))
  ))
)</f>
        <v>#N/A</v>
      </c>
      <c r="AG3" s="19" t="e">
        <f>IF(ISNA(AG$2), NA(),
  IF($S$2="Multiple",
    SUMIFS(data[[sales]:[sales]], data[[year]:[year]], AG$2, data[[region]:[region]], IF($P$2="Multiple", "*", $P$2), data[[segment]:[segment]], IF($Q$2="Multiple", "*", $Q$2), data[[category]:[category]], IF($R$2="Multiple", "*", $R$2)),
  IF($U$2="Multiple",
    SUMIFS(data[[sales]:[sales]], data[[year]:[year]], $S$2, data[[month_num]:[month_num]], AG$1, data[[region]:[region]], IF($P$2="Multiple", "*", $P$2), data[[segment]:[segment]], IF($Q$2="Multiple", "*", $Q$2), data[[category]:[category]], IF($R$2="Multiple", "*", $R$2)),
    SUMIFS(data[[sales]:[sales]], data[[year]:[year]], $S$2, data[[month_num]:[month_num]], $U$2, data[[day]:[day]], AG$1, data[[region]:[region]], IF($P$2="Multiple", "*", $P$2), data[[segment]:[segment]], IF($Q$2="Multiple", "*", $Q$2), data[[category]:[category]], IF($R$2="Multiple", "*", $R$2))
  ))
)</f>
        <v>#N/A</v>
      </c>
      <c r="AH3" s="19" t="e">
        <f>IF(ISNA(AH$2), NA(),
  IF($S$2="Multiple",
    SUMIFS(data[[sales]:[sales]], data[[year]:[year]], AH$2, data[[region]:[region]], IF($P$2="Multiple", "*", $P$2), data[[segment]:[segment]], IF($Q$2="Multiple", "*", $Q$2), data[[category]:[category]], IF($R$2="Multiple", "*", $R$2)),
  IF($U$2="Multiple",
    SUMIFS(data[[sales]:[sales]], data[[year]:[year]], $S$2, data[[month_num]:[month_num]], AH$1, data[[region]:[region]], IF($P$2="Multiple", "*", $P$2), data[[segment]:[segment]], IF($Q$2="Multiple", "*", $Q$2), data[[category]:[category]], IF($R$2="Multiple", "*", $R$2)),
    SUMIFS(data[[sales]:[sales]], data[[year]:[year]], $S$2, data[[month_num]:[month_num]], $U$2, data[[day]:[day]], AH$1, data[[region]:[region]], IF($P$2="Multiple", "*", $P$2), data[[segment]:[segment]], IF($Q$2="Multiple", "*", $Q$2), data[[category]:[category]], IF($R$2="Multiple", "*", $R$2))
  ))
)</f>
        <v>#N/A</v>
      </c>
      <c r="AI3" s="19" t="e">
        <f>IF(ISNA(AI$2), NA(),
  IF($S$2="Multiple",
    SUMIFS(data[[sales]:[sales]], data[[year]:[year]], AI$2, data[[region]:[region]], IF($P$2="Multiple", "*", $P$2), data[[segment]:[segment]], IF($Q$2="Multiple", "*", $Q$2), data[[category]:[category]], IF($R$2="Multiple", "*", $R$2)),
  IF($U$2="Multiple",
    SUMIFS(data[[sales]:[sales]], data[[year]:[year]], $S$2, data[[month_num]:[month_num]], AI$1, data[[region]:[region]], IF($P$2="Multiple", "*", $P$2), data[[segment]:[segment]], IF($Q$2="Multiple", "*", $Q$2), data[[category]:[category]], IF($R$2="Multiple", "*", $R$2)),
    SUMIFS(data[[sales]:[sales]], data[[year]:[year]], $S$2, data[[month_num]:[month_num]], $U$2, data[[day]:[day]], AI$1, data[[region]:[region]], IF($P$2="Multiple", "*", $P$2), data[[segment]:[segment]], IF($Q$2="Multiple", "*", $Q$2), data[[category]:[category]], IF($R$2="Multiple", "*", $R$2))
  ))
)</f>
        <v>#N/A</v>
      </c>
      <c r="AJ3" s="19" t="e">
        <f>IF(ISNA(AJ$2), NA(),
  IF($S$2="Multiple",
    SUMIFS(data[[sales]:[sales]], data[[year]:[year]], AJ$2, data[[region]:[region]], IF($P$2="Multiple", "*", $P$2), data[[segment]:[segment]], IF($Q$2="Multiple", "*", $Q$2), data[[category]:[category]], IF($R$2="Multiple", "*", $R$2)),
  IF($U$2="Multiple",
    SUMIFS(data[[sales]:[sales]], data[[year]:[year]], $S$2, data[[month_num]:[month_num]], AJ$1, data[[region]:[region]], IF($P$2="Multiple", "*", $P$2), data[[segment]:[segment]], IF($Q$2="Multiple", "*", $Q$2), data[[category]:[category]], IF($R$2="Multiple", "*", $R$2)),
    SUMIFS(data[[sales]:[sales]], data[[year]:[year]], $S$2, data[[month_num]:[month_num]], $U$2, data[[day]:[day]], AJ$1, data[[region]:[region]], IF($P$2="Multiple", "*", $P$2), data[[segment]:[segment]], IF($Q$2="Multiple", "*", $Q$2), data[[category]:[category]], IF($R$2="Multiple", "*", $R$2))
  ))
)</f>
        <v>#N/A</v>
      </c>
      <c r="AK3" s="19" t="e">
        <f>IF(ISNA(AK$2), NA(),
  IF($S$2="Multiple",
    SUMIFS(data[[sales]:[sales]], data[[year]:[year]], AK$2, data[[region]:[region]], IF($P$2="Multiple", "*", $P$2), data[[segment]:[segment]], IF($Q$2="Multiple", "*", $Q$2), data[[category]:[category]], IF($R$2="Multiple", "*", $R$2)),
  IF($U$2="Multiple",
    SUMIFS(data[[sales]:[sales]], data[[year]:[year]], $S$2, data[[month_num]:[month_num]], AK$1, data[[region]:[region]], IF($P$2="Multiple", "*", $P$2), data[[segment]:[segment]], IF($Q$2="Multiple", "*", $Q$2), data[[category]:[category]], IF($R$2="Multiple", "*", $R$2)),
    SUMIFS(data[[sales]:[sales]], data[[year]:[year]], $S$2, data[[month_num]:[month_num]], $U$2, data[[day]:[day]], AK$1, data[[region]:[region]], IF($P$2="Multiple", "*", $P$2), data[[segment]:[segment]], IF($Q$2="Multiple", "*", $Q$2), data[[category]:[category]], IF($R$2="Multiple", "*", $R$2))
  ))
)</f>
        <v>#N/A</v>
      </c>
      <c r="AL3" s="19" t="e">
        <f>IF(ISNA(AL$2), NA(),
  IF($S$2="Multiple",
    SUMIFS(data[[sales]:[sales]], data[[year]:[year]], AL$2, data[[region]:[region]], IF($P$2="Multiple", "*", $P$2), data[[segment]:[segment]], IF($Q$2="Multiple", "*", $Q$2), data[[category]:[category]], IF($R$2="Multiple", "*", $R$2)),
  IF($U$2="Multiple",
    SUMIFS(data[[sales]:[sales]], data[[year]:[year]], $S$2, data[[month_num]:[month_num]], AL$1, data[[region]:[region]], IF($P$2="Multiple", "*", $P$2), data[[segment]:[segment]], IF($Q$2="Multiple", "*", $Q$2), data[[category]:[category]], IF($R$2="Multiple", "*", $R$2)),
    SUMIFS(data[[sales]:[sales]], data[[year]:[year]], $S$2, data[[month_num]:[month_num]], $U$2, data[[day]:[day]], AL$1, data[[region]:[region]], IF($P$2="Multiple", "*", $P$2), data[[segment]:[segment]], IF($Q$2="Multiple", "*", $Q$2), data[[category]:[category]], IF($R$2="Multiple", "*", $R$2))
  ))
)</f>
        <v>#N/A</v>
      </c>
      <c r="AM3" s="19" t="e">
        <f>IF(ISNA(AM$2), NA(),
  IF($S$2="Multiple",
    SUMIFS(data[[sales]:[sales]], data[[year]:[year]], AM$2, data[[region]:[region]], IF($P$2="Multiple", "*", $P$2), data[[segment]:[segment]], IF($Q$2="Multiple", "*", $Q$2), data[[category]:[category]], IF($R$2="Multiple", "*", $R$2)),
  IF($U$2="Multiple",
    SUMIFS(data[[sales]:[sales]], data[[year]:[year]], $S$2, data[[month_num]:[month_num]], AM$1, data[[region]:[region]], IF($P$2="Multiple", "*", $P$2), data[[segment]:[segment]], IF($Q$2="Multiple", "*", $Q$2), data[[category]:[category]], IF($R$2="Multiple", "*", $R$2)),
    SUMIFS(data[[sales]:[sales]], data[[year]:[year]], $S$2, data[[month_num]:[month_num]], $U$2, data[[day]:[day]], AM$1, data[[region]:[region]], IF($P$2="Multiple", "*", $P$2), data[[segment]:[segment]], IF($Q$2="Multiple", "*", $Q$2), data[[category]:[category]], IF($R$2="Multiple", "*", $R$2))
  ))
)</f>
        <v>#N/A</v>
      </c>
      <c r="AN3" s="19" t="e">
        <f>IF(ISNA(AN$2), NA(),
  IF($S$2="Multiple",
    SUMIFS(data[[sales]:[sales]], data[[year]:[year]], AN$2, data[[region]:[region]], IF($P$2="Multiple", "*", $P$2), data[[segment]:[segment]], IF($Q$2="Multiple", "*", $Q$2), data[[category]:[category]], IF($R$2="Multiple", "*", $R$2)),
  IF($U$2="Multiple",
    SUMIFS(data[[sales]:[sales]], data[[year]:[year]], $S$2, data[[month_num]:[month_num]], AN$1, data[[region]:[region]], IF($P$2="Multiple", "*", $P$2), data[[segment]:[segment]], IF($Q$2="Multiple", "*", $Q$2), data[[category]:[category]], IF($R$2="Multiple", "*", $R$2)),
    SUMIFS(data[[sales]:[sales]], data[[year]:[year]], $S$2, data[[month_num]:[month_num]], $U$2, data[[day]:[day]], AN$1, data[[region]:[region]], IF($P$2="Multiple", "*", $P$2), data[[segment]:[segment]], IF($Q$2="Multiple", "*", $Q$2), data[[category]:[category]], IF($R$2="Multiple", "*", $R$2))
  ))
)</f>
        <v>#N/A</v>
      </c>
      <c r="AO3" s="19" t="e">
        <f>IF(ISNA(AO$2), NA(),
  IF($S$2="Multiple",
    SUMIFS(data[[sales]:[sales]], data[[year]:[year]], AO$2, data[[region]:[region]], IF($P$2="Multiple", "*", $P$2), data[[segment]:[segment]], IF($Q$2="Multiple", "*", $Q$2), data[[category]:[category]], IF($R$2="Multiple", "*", $R$2)),
  IF($U$2="Multiple",
    SUMIFS(data[[sales]:[sales]], data[[year]:[year]], $S$2, data[[month_num]:[month_num]], AO$1, data[[region]:[region]], IF($P$2="Multiple", "*", $P$2), data[[segment]:[segment]], IF($Q$2="Multiple", "*", $Q$2), data[[category]:[category]], IF($R$2="Multiple", "*", $R$2)),
    SUMIFS(data[[sales]:[sales]], data[[year]:[year]], $S$2, data[[month_num]:[month_num]], $U$2, data[[day]:[day]], AO$1, data[[region]:[region]], IF($P$2="Multiple", "*", $P$2), data[[segment]:[segment]], IF($Q$2="Multiple", "*", $Q$2), data[[category]:[category]], IF($R$2="Multiple", "*", $R$2))
  ))
)</f>
        <v>#N/A</v>
      </c>
      <c r="AP3" s="19" t="e">
        <f>IF(ISNA(AP$2), NA(),
  IF($S$2="Multiple",
    SUMIFS(data[[sales]:[sales]], data[[year]:[year]], AP$2, data[[region]:[region]], IF($P$2="Multiple", "*", $P$2), data[[segment]:[segment]], IF($Q$2="Multiple", "*", $Q$2), data[[category]:[category]], IF($R$2="Multiple", "*", $R$2)),
  IF($U$2="Multiple",
    SUMIFS(data[[sales]:[sales]], data[[year]:[year]], $S$2, data[[month_num]:[month_num]], AP$1, data[[region]:[region]], IF($P$2="Multiple", "*", $P$2), data[[segment]:[segment]], IF($Q$2="Multiple", "*", $Q$2), data[[category]:[category]], IF($R$2="Multiple", "*", $R$2)),
    SUMIFS(data[[sales]:[sales]], data[[year]:[year]], $S$2, data[[month_num]:[month_num]], $U$2, data[[day]:[day]], AP$1, data[[region]:[region]], IF($P$2="Multiple", "*", $P$2), data[[segment]:[segment]], IF($Q$2="Multiple", "*", $Q$2), data[[category]:[category]], IF($R$2="Multiple", "*", $R$2))
  ))
)</f>
        <v>#N/A</v>
      </c>
      <c r="AQ3" s="19" t="e">
        <f>IF(ISNA(AQ$2), NA(),
  IF($S$2="Multiple",
    SUMIFS(data[[sales]:[sales]], data[[year]:[year]], AQ$2, data[[region]:[region]], IF($P$2="Multiple", "*", $P$2), data[[segment]:[segment]], IF($Q$2="Multiple", "*", $Q$2), data[[category]:[category]], IF($R$2="Multiple", "*", $R$2)),
  IF($U$2="Multiple",
    SUMIFS(data[[sales]:[sales]], data[[year]:[year]], $S$2, data[[month_num]:[month_num]], AQ$1, data[[region]:[region]], IF($P$2="Multiple", "*", $P$2), data[[segment]:[segment]], IF($Q$2="Multiple", "*", $Q$2), data[[category]:[category]], IF($R$2="Multiple", "*", $R$2)),
    SUMIFS(data[[sales]:[sales]], data[[year]:[year]], $S$2, data[[month_num]:[month_num]], $U$2, data[[day]:[day]], AQ$1, data[[region]:[region]], IF($P$2="Multiple", "*", $P$2), data[[segment]:[segment]], IF($Q$2="Multiple", "*", $Q$2), data[[category]:[category]], IF($R$2="Multiple", "*", $R$2))
  ))
)</f>
        <v>#N/A</v>
      </c>
      <c r="AR3" s="19" t="e">
        <f>IF(ISNA(AR$2), NA(),
  IF($S$2="Multiple",
    SUMIFS(data[[sales]:[sales]], data[[year]:[year]], AR$2, data[[region]:[region]], IF($P$2="Multiple", "*", $P$2), data[[segment]:[segment]], IF($Q$2="Multiple", "*", $Q$2), data[[category]:[category]], IF($R$2="Multiple", "*", $R$2)),
  IF($U$2="Multiple",
    SUMIFS(data[[sales]:[sales]], data[[year]:[year]], $S$2, data[[month_num]:[month_num]], AR$1, data[[region]:[region]], IF($P$2="Multiple", "*", $P$2), data[[segment]:[segment]], IF($Q$2="Multiple", "*", $Q$2), data[[category]:[category]], IF($R$2="Multiple", "*", $R$2)),
    SUMIFS(data[[sales]:[sales]], data[[year]:[year]], $S$2, data[[month_num]:[month_num]], $U$2, data[[day]:[day]], AR$1, data[[region]:[region]], IF($P$2="Multiple", "*", $P$2), data[[segment]:[segment]], IF($Q$2="Multiple", "*", $Q$2), data[[category]:[category]], IF($R$2="Multiple", "*", $R$2))
  ))
)</f>
        <v>#N/A</v>
      </c>
      <c r="AS3" s="19" t="e">
        <f>IF(ISNA(AS$2), NA(),
  IF($S$2="Multiple",
    SUMIFS(data[[sales]:[sales]], data[[year]:[year]], AS$2, data[[region]:[region]], IF($P$2="Multiple", "*", $P$2), data[[segment]:[segment]], IF($Q$2="Multiple", "*", $Q$2), data[[category]:[category]], IF($R$2="Multiple", "*", $R$2)),
  IF($U$2="Multiple",
    SUMIFS(data[[sales]:[sales]], data[[year]:[year]], $S$2, data[[month_num]:[month_num]], AS$1, data[[region]:[region]], IF($P$2="Multiple", "*", $P$2), data[[segment]:[segment]], IF($Q$2="Multiple", "*", $Q$2), data[[category]:[category]], IF($R$2="Multiple", "*", $R$2)),
    SUMIFS(data[[sales]:[sales]], data[[year]:[year]], $S$2, data[[month_num]:[month_num]], $U$2, data[[day]:[day]], AS$1, data[[region]:[region]], IF($P$2="Multiple", "*", $P$2), data[[segment]:[segment]], IF($Q$2="Multiple", "*", $Q$2), data[[category]:[category]], IF($R$2="Multiple", "*", $R$2))
  ))
)</f>
        <v>#N/A</v>
      </c>
      <c r="AT3" s="19" t="e">
        <f>IF(ISNA(AT$2), NA(),
  IF($S$2="Multiple",
    SUMIFS(data[[sales]:[sales]], data[[year]:[year]], AT$2, data[[region]:[region]], IF($P$2="Multiple", "*", $P$2), data[[segment]:[segment]], IF($Q$2="Multiple", "*", $Q$2), data[[category]:[category]], IF($R$2="Multiple", "*", $R$2)),
  IF($U$2="Multiple",
    SUMIFS(data[[sales]:[sales]], data[[year]:[year]], $S$2, data[[month_num]:[month_num]], AT$1, data[[region]:[region]], IF($P$2="Multiple", "*", $P$2), data[[segment]:[segment]], IF($Q$2="Multiple", "*", $Q$2), data[[category]:[category]], IF($R$2="Multiple", "*", $R$2)),
    SUMIFS(data[[sales]:[sales]], data[[year]:[year]], $S$2, data[[month_num]:[month_num]], $U$2, data[[day]:[day]], AT$1, data[[region]:[region]], IF($P$2="Multiple", "*", $P$2), data[[segment]:[segment]], IF($Q$2="Multiple", "*", $Q$2), data[[category]:[category]], IF($R$2="Multiple", "*", $R$2))
  ))
)</f>
        <v>#N/A</v>
      </c>
      <c r="AU3" s="19" t="e">
        <f>IF(ISNA(AU$2), NA(),
  IF($S$2="Multiple",
    SUMIFS(data[[sales]:[sales]], data[[year]:[year]], AU$2, data[[region]:[region]], IF($P$2="Multiple", "*", $P$2), data[[segment]:[segment]], IF($Q$2="Multiple", "*", $Q$2), data[[category]:[category]], IF($R$2="Multiple", "*", $R$2)),
  IF($U$2="Multiple",
    SUMIFS(data[[sales]:[sales]], data[[year]:[year]], $S$2, data[[month_num]:[month_num]], AU$1, data[[region]:[region]], IF($P$2="Multiple", "*", $P$2), data[[segment]:[segment]], IF($Q$2="Multiple", "*", $Q$2), data[[category]:[category]], IF($R$2="Multiple", "*", $R$2)),
    SUMIFS(data[[sales]:[sales]], data[[year]:[year]], $S$2, data[[month_num]:[month_num]], $U$2, data[[day]:[day]], AU$1, data[[region]:[region]], IF($P$2="Multiple", "*", $P$2), data[[segment]:[segment]], IF($Q$2="Multiple", "*", $Q$2), data[[category]:[category]], IF($R$2="Multiple", "*", $R$2))
  ))
)</f>
        <v>#N/A</v>
      </c>
      <c r="AV3" s="19" t="e">
        <f>IF(ISNA(AV$2), NA(),
  IF($S$2="Multiple",
    SUMIFS(data[[sales]:[sales]], data[[year]:[year]], AV$2, data[[region]:[region]], IF($P$2="Multiple", "*", $P$2), data[[segment]:[segment]], IF($Q$2="Multiple", "*", $Q$2), data[[category]:[category]], IF($R$2="Multiple", "*", $R$2)),
  IF($U$2="Multiple",
    SUMIFS(data[[sales]:[sales]], data[[year]:[year]], $S$2, data[[month_num]:[month_num]], AV$1, data[[region]:[region]], IF($P$2="Multiple", "*", $P$2), data[[segment]:[segment]], IF($Q$2="Multiple", "*", $Q$2), data[[category]:[category]], IF($R$2="Multiple", "*", $R$2)),
    SUMIFS(data[[sales]:[sales]], data[[year]:[year]], $S$2, data[[month_num]:[month_num]], $U$2, data[[day]:[day]], AV$1, data[[region]:[region]], IF($P$2="Multiple", "*", $P$2), data[[segment]:[segment]], IF($Q$2="Multiple", "*", $Q$2), data[[category]:[category]], IF($R$2="Multiple", "*", $R$2))
  ))
)</f>
        <v>#N/A</v>
      </c>
      <c r="AW3" s="19" t="e">
        <f>IF(ISNA(AW$2), NA(),
  IF($S$2="Multiple",
    SUMIFS(data[[sales]:[sales]], data[[year]:[year]], AW$2, data[[region]:[region]], IF($P$2="Multiple", "*", $P$2), data[[segment]:[segment]], IF($Q$2="Multiple", "*", $Q$2), data[[category]:[category]], IF($R$2="Multiple", "*", $R$2)),
  IF($U$2="Multiple",
    SUMIFS(data[[sales]:[sales]], data[[year]:[year]], $S$2, data[[month_num]:[month_num]], AW$1, data[[region]:[region]], IF($P$2="Multiple", "*", $P$2), data[[segment]:[segment]], IF($Q$2="Multiple", "*", $Q$2), data[[category]:[category]], IF($R$2="Multiple", "*", $R$2)),
    SUMIFS(data[[sales]:[sales]], data[[year]:[year]], $S$2, data[[month_num]:[month_num]], $U$2, data[[day]:[day]], AW$1, data[[region]:[region]], IF($P$2="Multiple", "*", $P$2), data[[segment]:[segment]], IF($Q$2="Multiple", "*", $Q$2), data[[category]:[category]], IF($R$2="Multiple", "*", $R$2))
  ))
)</f>
        <v>#N/A</v>
      </c>
      <c r="AX3" s="19" t="e">
        <f>IF(ISNA(AX$2), NA(),
  IF($S$2="Multiple",
    SUMIFS(data[[sales]:[sales]], data[[year]:[year]], AX$2, data[[region]:[region]], IF($P$2="Multiple", "*", $P$2), data[[segment]:[segment]], IF($Q$2="Multiple", "*", $Q$2), data[[category]:[category]], IF($R$2="Multiple", "*", $R$2)),
  IF($U$2="Multiple",
    SUMIFS(data[[sales]:[sales]], data[[year]:[year]], $S$2, data[[month_num]:[month_num]], AX$1, data[[region]:[region]], IF($P$2="Multiple", "*", $P$2), data[[segment]:[segment]], IF($Q$2="Multiple", "*", $Q$2), data[[category]:[category]], IF($R$2="Multiple", "*", $R$2)),
    SUMIFS(data[[sales]:[sales]], data[[year]:[year]], $S$2, data[[month_num]:[month_num]], $U$2, data[[day]:[day]], AX$1, data[[region]:[region]], IF($P$2="Multiple", "*", $P$2), data[[segment]:[segment]], IF($Q$2="Multiple", "*", $Q$2), data[[category]:[category]], IF($R$2="Multiple", "*", $R$2))
  ))
)</f>
        <v>#N/A</v>
      </c>
      <c r="AY3" s="19" t="e">
        <f>IF(ISNA(AY$2), NA(),
  IF($S$2="Multiple",
    SUMIFS(data[[sales]:[sales]], data[[year]:[year]], AY$2, data[[region]:[region]], IF($P$2="Multiple", "*", $P$2), data[[segment]:[segment]], IF($Q$2="Multiple", "*", $Q$2), data[[category]:[category]], IF($R$2="Multiple", "*", $R$2)),
  IF($U$2="Multiple",
    SUMIFS(data[[sales]:[sales]], data[[year]:[year]], $S$2, data[[month_num]:[month_num]], AY$1, data[[region]:[region]], IF($P$2="Multiple", "*", $P$2), data[[segment]:[segment]], IF($Q$2="Multiple", "*", $Q$2), data[[category]:[category]], IF($R$2="Multiple", "*", $R$2)),
    SUMIFS(data[[sales]:[sales]], data[[year]:[year]], $S$2, data[[month_num]:[month_num]], $U$2, data[[day]:[day]], AY$1, data[[region]:[region]], IF($P$2="Multiple", "*", $P$2), data[[segment]:[segment]], IF($Q$2="Multiple", "*", $Q$2), data[[category]:[category]], IF($R$2="Multiple", "*", $R$2))
  ))
)</f>
        <v>#N/A</v>
      </c>
      <c r="AZ3" s="19" t="e">
        <f>IF(ISNA(AZ$2), NA(),
  IF($S$2="Multiple",
    SUMIFS(data[[sales]:[sales]], data[[year]:[year]], AZ$2, data[[region]:[region]], IF($P$2="Multiple", "*", $P$2), data[[segment]:[segment]], IF($Q$2="Multiple", "*", $Q$2), data[[category]:[category]], IF($R$2="Multiple", "*", $R$2)),
  IF($U$2="Multiple",
    SUMIFS(data[[sales]:[sales]], data[[year]:[year]], $S$2, data[[month_num]:[month_num]], AZ$1, data[[region]:[region]], IF($P$2="Multiple", "*", $P$2), data[[segment]:[segment]], IF($Q$2="Multiple", "*", $Q$2), data[[category]:[category]], IF($R$2="Multiple", "*", $R$2)),
    SUMIFS(data[[sales]:[sales]], data[[year]:[year]], $S$2, data[[month_num]:[month_num]], $U$2, data[[day]:[day]], AZ$1, data[[region]:[region]], IF($P$2="Multiple", "*", $P$2), data[[segment]:[segment]], IF($Q$2="Multiple", "*", $Q$2), data[[category]:[category]], IF($R$2="Multiple", "*", $R$2))
  ))
)</f>
        <v>#N/A</v>
      </c>
      <c r="BA3" s="19" t="e">
        <f>IF(ISNA(BA$2), NA(),
  IF($S$2="Multiple",
    SUMIFS(data[[sales]:[sales]], data[[year]:[year]], BA$2, data[[region]:[region]], IF($P$2="Multiple", "*", $P$2), data[[segment]:[segment]], IF($Q$2="Multiple", "*", $Q$2), data[[category]:[category]], IF($R$2="Multiple", "*", $R$2)),
  IF($U$2="Multiple",
    SUMIFS(data[[sales]:[sales]], data[[year]:[year]], $S$2, data[[month_num]:[month_num]], BA$1, data[[region]:[region]], IF($P$2="Multiple", "*", $P$2), data[[segment]:[segment]], IF($Q$2="Multiple", "*", $Q$2), data[[category]:[category]], IF($R$2="Multiple", "*", $R$2)),
    SUMIFS(data[[sales]:[sales]], data[[year]:[year]], $S$2, data[[month_num]:[month_num]], $U$2, data[[day]:[day]], BA$1, data[[region]:[region]], IF($P$2="Multiple", "*", $P$2), data[[segment]:[segment]], IF($Q$2="Multiple", "*", $Q$2), data[[category]:[category]], IF($R$2="Multiple", "*", $R$2))
  ))
)</f>
        <v>#N/A</v>
      </c>
      <c r="BB3" s="19" t="e">
        <f>IF(ISNA(BB$2), NA(),
  IF($S$2="Multiple",
    SUMIFS(data[[sales]:[sales]], data[[year]:[year]], BB$2, data[[region]:[region]], IF($P$2="Multiple", "*", $P$2), data[[segment]:[segment]], IF($Q$2="Multiple", "*", $Q$2), data[[category]:[category]], IF($R$2="Multiple", "*", $R$2)),
  IF($U$2="Multiple",
    SUMIFS(data[[sales]:[sales]], data[[year]:[year]], $S$2, data[[month_num]:[month_num]], BB$1, data[[region]:[region]], IF($P$2="Multiple", "*", $P$2), data[[segment]:[segment]], IF($Q$2="Multiple", "*", $Q$2), data[[category]:[category]], IF($R$2="Multiple", "*", $R$2)),
    SUMIFS(data[[sales]:[sales]], data[[year]:[year]], $S$2, data[[month_num]:[month_num]], $U$2, data[[day]:[day]], BB$1, data[[region]:[region]], IF($P$2="Multiple", "*", $P$2), data[[segment]:[segment]], IF($Q$2="Multiple", "*", $Q$2), data[[category]:[category]], IF($R$2="Multiple", "*", $R$2))
  ))
)</f>
        <v>#N/A</v>
      </c>
      <c r="BC3" s="19" t="e">
        <f>IF(ISNA(BC$2), NA(),
  IF($S$2="Multiple",
    SUMIFS(data[[sales]:[sales]], data[[year]:[year]], BC$2, data[[region]:[region]], IF($P$2="Multiple", "*", $P$2), data[[segment]:[segment]], IF($Q$2="Multiple", "*", $Q$2), data[[category]:[category]], IF($R$2="Multiple", "*", $R$2)),
  IF($U$2="Multiple",
    SUMIFS(data[[sales]:[sales]], data[[year]:[year]], $S$2, data[[month_num]:[month_num]], BC$1, data[[region]:[region]], IF($P$2="Multiple", "*", $P$2), data[[segment]:[segment]], IF($Q$2="Multiple", "*", $Q$2), data[[category]:[category]], IF($R$2="Multiple", "*", $R$2)),
    SUMIFS(data[[sales]:[sales]], data[[year]:[year]], $S$2, data[[month_num]:[month_num]], $U$2, data[[day]:[day]], BC$1, data[[region]:[region]], IF($P$2="Multiple", "*", $P$2), data[[segment]:[segment]], IF($Q$2="Multiple", "*", $Q$2), data[[category]:[category]], IF($R$2="Multiple", "*", $R$2))
  ))
)</f>
        <v>#N/A</v>
      </c>
      <c r="BD3" s="19" t="e">
        <f>IF(ISNA(BD$2), NA(),
  IF($S$2="Multiple",
    SUMIFS(data[[sales]:[sales]], data[[year]:[year]], BD$2, data[[region]:[region]], IF($P$2="Multiple", "*", $P$2), data[[segment]:[segment]], IF($Q$2="Multiple", "*", $Q$2), data[[category]:[category]], IF($R$2="Multiple", "*", $R$2)),
  IF($U$2="Multiple",
    SUMIFS(data[[sales]:[sales]], data[[year]:[year]], $S$2, data[[month_num]:[month_num]], BD$1, data[[region]:[region]], IF($P$2="Multiple", "*", $P$2), data[[segment]:[segment]], IF($Q$2="Multiple", "*", $Q$2), data[[category]:[category]], IF($R$2="Multiple", "*", $R$2)),
    SUMIFS(data[[sales]:[sales]], data[[year]:[year]], $S$2, data[[month_num]:[month_num]], $U$2, data[[day]:[day]], BD$1, data[[region]:[region]], IF($P$2="Multiple", "*", $P$2), data[[segment]:[segment]], IF($Q$2="Multiple", "*", $Q$2), data[[category]:[category]], IF($R$2="Multiple", "*", $R$2))
  ))
)</f>
        <v>#N/A</v>
      </c>
      <c r="BE3" s="19" t="e">
        <f>IF(ISNA(BE$2), NA(),
  IF($S$2="Multiple",
    SUMIFS(data[[sales]:[sales]], data[[year]:[year]], BE$2, data[[region]:[region]], IF($P$2="Multiple", "*", $P$2), data[[segment]:[segment]], IF($Q$2="Multiple", "*", $Q$2), data[[category]:[category]], IF($R$2="Multiple", "*", $R$2)),
  IF($U$2="Multiple",
    SUMIFS(data[[sales]:[sales]], data[[year]:[year]], $S$2, data[[month_num]:[month_num]], BE$1, data[[region]:[region]], IF($P$2="Multiple", "*", $P$2), data[[segment]:[segment]], IF($Q$2="Multiple", "*", $Q$2), data[[category]:[category]], IF($R$2="Multiple", "*", $R$2)),
    SUMIFS(data[[sales]:[sales]], data[[year]:[year]], $S$2, data[[month_num]:[month_num]], $U$2, data[[day]:[day]], BE$1, data[[region]:[region]], IF($P$2="Multiple", "*", $P$2), data[[segment]:[segment]], IF($Q$2="Multiple", "*", $Q$2), data[[category]:[category]], IF($R$2="Multiple", "*", $R$2))
  ))
)</f>
        <v>#N/A</v>
      </c>
      <c r="BF3" s="19" t="e">
        <f>IF(ISNA(BF$2), NA(),
  IF($S$2="Multiple",
    SUMIFS(data[[sales]:[sales]], data[[year]:[year]], BF$2, data[[region]:[region]], IF($P$2="Multiple", "*", $P$2), data[[segment]:[segment]], IF($Q$2="Multiple", "*", $Q$2), data[[category]:[category]], IF($R$2="Multiple", "*", $R$2)),
  IF($U$2="Multiple",
    SUMIFS(data[[sales]:[sales]], data[[year]:[year]], $S$2, data[[month_num]:[month_num]], BF$1, data[[region]:[region]], IF($P$2="Multiple", "*", $P$2), data[[segment]:[segment]], IF($Q$2="Multiple", "*", $Q$2), data[[category]:[category]], IF($R$2="Multiple", "*", $R$2)),
    SUMIFS(data[[sales]:[sales]], data[[year]:[year]], $S$2, data[[month_num]:[month_num]], $U$2, data[[day]:[day]], BF$1, data[[region]:[region]], IF($P$2="Multiple", "*", $P$2), data[[segment]:[segment]], IF($Q$2="Multiple", "*", $Q$2), data[[category]:[category]], IF($R$2="Multiple", "*", $R$2))
  ))
)</f>
        <v>#N/A</v>
      </c>
      <c r="BI3" s="5" t="s">
        <v>20</v>
      </c>
      <c r="BJ3" s="22">
        <v>350404770.69966114</v>
      </c>
      <c r="BL3" s="5" t="s">
        <v>37</v>
      </c>
      <c r="BM3" s="4">
        <v>371532409.36841244</v>
      </c>
      <c r="BO3" s="5" t="s">
        <v>28</v>
      </c>
      <c r="BP3" s="22">
        <v>605441090.58864248</v>
      </c>
      <c r="BR3" t="s">
        <v>1084</v>
      </c>
      <c r="BS3" s="22">
        <v>325417952.54237288</v>
      </c>
      <c r="BY3" s="5" t="s">
        <v>465</v>
      </c>
      <c r="BZ3" s="22">
        <v>1658474441.9040997</v>
      </c>
    </row>
    <row r="4" spans="2:79" x14ac:dyDescent="0.35">
      <c r="B4" s="11"/>
      <c r="C4" s="11"/>
      <c r="D4" s="11"/>
      <c r="E4" s="11" t="s">
        <v>28</v>
      </c>
      <c r="F4" s="11" t="s">
        <v>20</v>
      </c>
      <c r="G4" s="23">
        <v>2020000</v>
      </c>
      <c r="K4" s="17"/>
      <c r="M4" t="s">
        <v>2014</v>
      </c>
      <c r="N4">
        <v>2</v>
      </c>
      <c r="Z4" s="18" t="s">
        <v>2048</v>
      </c>
      <c r="AA4" s="18"/>
      <c r="AB4" s="19" t="e">
        <f>IF(OR(ISNA(AB$2), $S$2="Multiple"), NA(),
  IF($U$2="Multiple",
    SUMIFS(data[[sales]:[sales]], data[[year]:[year]], $S$2-1, data[[month_num]:[month_num]], AB$1, data[[region]:[region]], IF($P$2="Multiple", "*", $P$2), data[[segment]:[segment]], IF($Q$2="Multiple", "*", $Q$2), data[[category]:[category]], IF($R$2="Multiple", "*", $R$2)),
    SUMIFS(data[[sales]:[sales]], data[[year]:[year]], $V$2, data[[month_num]:[month_num]], $W$2, data[[day]:[day]], AB$1, data[[region]:[region]], IF($P$2="Multiple", "*", $P$2), data[[segment]:[segment]], IF($Q$2="Multiple", "*", $Q$2), data[[category]:[category]], IF($R$2="Multiple", "*", $R$2))
  )
)</f>
        <v>#N/A</v>
      </c>
      <c r="AC4" s="19" t="e">
        <f>IF(OR(ISNA(AC$2), $S$2="Multiple"), NA(),
  IF($U$2="Multiple",
    SUMIFS(data[[sales]:[sales]], data[[year]:[year]], $S$2-1, data[[month_num]:[month_num]], AC$1, data[[region]:[region]], IF($P$2="Multiple", "*", $P$2), data[[segment]:[segment]], IF($Q$2="Multiple", "*", $Q$2), data[[category]:[category]], IF($R$2="Multiple", "*", $R$2)),
    SUMIFS(data[[sales]:[sales]], data[[year]:[year]], $V$2, data[[month_num]:[month_num]], $W$2, data[[day]:[day]], AC$1, data[[region]:[region]], IF($P$2="Multiple", "*", $P$2), data[[segment]:[segment]], IF($Q$2="Multiple", "*", $Q$2), data[[category]:[category]], IF($R$2="Multiple", "*", $R$2))
  )
)</f>
        <v>#N/A</v>
      </c>
      <c r="AD4" s="19" t="e">
        <f>IF(OR(ISNA(AD$2), $S$2="Multiple"), NA(),
  IF($U$2="Multiple",
    SUMIFS(data[[sales]:[sales]], data[[year]:[year]], $S$2-1, data[[month_num]:[month_num]], AD$1, data[[region]:[region]], IF($P$2="Multiple", "*", $P$2), data[[segment]:[segment]], IF($Q$2="Multiple", "*", $Q$2), data[[category]:[category]], IF($R$2="Multiple", "*", $R$2)),
    SUMIFS(data[[sales]:[sales]], data[[year]:[year]], $V$2, data[[month_num]:[month_num]], $W$2, data[[day]:[day]], AD$1, data[[region]:[region]], IF($P$2="Multiple", "*", $P$2), data[[segment]:[segment]], IF($Q$2="Multiple", "*", $Q$2), data[[category]:[category]], IF($R$2="Multiple", "*", $R$2))
  )
)</f>
        <v>#N/A</v>
      </c>
      <c r="AE4" s="19" t="e">
        <f>IF(OR(ISNA(AE$2), $S$2="Multiple"), NA(),
  IF($U$2="Multiple",
    SUMIFS(data[[sales]:[sales]], data[[year]:[year]], $S$2-1, data[[month_num]:[month_num]], AE$1, data[[region]:[region]], IF($P$2="Multiple", "*", $P$2), data[[segment]:[segment]], IF($Q$2="Multiple", "*", $Q$2), data[[category]:[category]], IF($R$2="Multiple", "*", $R$2)),
    SUMIFS(data[[sales]:[sales]], data[[year]:[year]], $V$2, data[[month_num]:[month_num]], $W$2, data[[day]:[day]], AE$1, data[[region]:[region]], IF($P$2="Multiple", "*", $P$2), data[[segment]:[segment]], IF($Q$2="Multiple", "*", $Q$2), data[[category]:[category]], IF($R$2="Multiple", "*", $R$2))
  )
)</f>
        <v>#N/A</v>
      </c>
      <c r="AF4" s="19" t="e">
        <f>IF(OR(ISNA(AF$2), $S$2="Multiple"), NA(),
  IF($U$2="Multiple",
    SUMIFS(data[[sales]:[sales]], data[[year]:[year]], $S$2-1, data[[month_num]:[month_num]], AF$1, data[[region]:[region]], IF($P$2="Multiple", "*", $P$2), data[[segment]:[segment]], IF($Q$2="Multiple", "*", $Q$2), data[[category]:[category]], IF($R$2="Multiple", "*", $R$2)),
    SUMIFS(data[[sales]:[sales]], data[[year]:[year]], $V$2, data[[month_num]:[month_num]], $W$2, data[[day]:[day]], AF$1, data[[region]:[region]], IF($P$2="Multiple", "*", $P$2), data[[segment]:[segment]], IF($Q$2="Multiple", "*", $Q$2), data[[category]:[category]], IF($R$2="Multiple", "*", $R$2))
  )
)</f>
        <v>#N/A</v>
      </c>
      <c r="AG4" s="19" t="e">
        <f>IF(OR(ISNA(AG$2), $S$2="Multiple"), NA(),
  IF($U$2="Multiple",
    SUMIFS(data[[sales]:[sales]], data[[year]:[year]], $S$2-1, data[[month_num]:[month_num]], AG$1, data[[region]:[region]], IF($P$2="Multiple", "*", $P$2), data[[segment]:[segment]], IF($Q$2="Multiple", "*", $Q$2), data[[category]:[category]], IF($R$2="Multiple", "*", $R$2)),
    SUMIFS(data[[sales]:[sales]], data[[year]:[year]], $V$2, data[[month_num]:[month_num]], $W$2, data[[day]:[day]], AG$1, data[[region]:[region]], IF($P$2="Multiple", "*", $P$2), data[[segment]:[segment]], IF($Q$2="Multiple", "*", $Q$2), data[[category]:[category]], IF($R$2="Multiple", "*", $R$2))
  )
)</f>
        <v>#N/A</v>
      </c>
      <c r="AH4" s="19" t="e">
        <f>IF(OR(ISNA(AH$2), $S$2="Multiple"), NA(),
  IF($U$2="Multiple",
    SUMIFS(data[[sales]:[sales]], data[[year]:[year]], $S$2-1, data[[month_num]:[month_num]], AH$1, data[[region]:[region]], IF($P$2="Multiple", "*", $P$2), data[[segment]:[segment]], IF($Q$2="Multiple", "*", $Q$2), data[[category]:[category]], IF($R$2="Multiple", "*", $R$2)),
    SUMIFS(data[[sales]:[sales]], data[[year]:[year]], $V$2, data[[month_num]:[month_num]], $W$2, data[[day]:[day]], AH$1, data[[region]:[region]], IF($P$2="Multiple", "*", $P$2), data[[segment]:[segment]], IF($Q$2="Multiple", "*", $Q$2), data[[category]:[category]], IF($R$2="Multiple", "*", $R$2))
  )
)</f>
        <v>#N/A</v>
      </c>
      <c r="AI4" s="19" t="e">
        <f>IF(OR(ISNA(AI$2), $S$2="Multiple"), NA(),
  IF($U$2="Multiple",
    SUMIFS(data[[sales]:[sales]], data[[year]:[year]], $S$2-1, data[[month_num]:[month_num]], AI$1, data[[region]:[region]], IF($P$2="Multiple", "*", $P$2), data[[segment]:[segment]], IF($Q$2="Multiple", "*", $Q$2), data[[category]:[category]], IF($R$2="Multiple", "*", $R$2)),
    SUMIFS(data[[sales]:[sales]], data[[year]:[year]], $V$2, data[[month_num]:[month_num]], $W$2, data[[day]:[day]], AI$1, data[[region]:[region]], IF($P$2="Multiple", "*", $P$2), data[[segment]:[segment]], IF($Q$2="Multiple", "*", $Q$2), data[[category]:[category]], IF($R$2="Multiple", "*", $R$2))
  )
)</f>
        <v>#N/A</v>
      </c>
      <c r="AJ4" s="19" t="e">
        <f>IF(OR(ISNA(AJ$2), $S$2="Multiple"), NA(),
  IF($U$2="Multiple",
    SUMIFS(data[[sales]:[sales]], data[[year]:[year]], $S$2-1, data[[month_num]:[month_num]], AJ$1, data[[region]:[region]], IF($P$2="Multiple", "*", $P$2), data[[segment]:[segment]], IF($Q$2="Multiple", "*", $Q$2), data[[category]:[category]], IF($R$2="Multiple", "*", $R$2)),
    SUMIFS(data[[sales]:[sales]], data[[year]:[year]], $V$2, data[[month_num]:[month_num]], $W$2, data[[day]:[day]], AJ$1, data[[region]:[region]], IF($P$2="Multiple", "*", $P$2), data[[segment]:[segment]], IF($Q$2="Multiple", "*", $Q$2), data[[category]:[category]], IF($R$2="Multiple", "*", $R$2))
  )
)</f>
        <v>#N/A</v>
      </c>
      <c r="AK4" s="19" t="e">
        <f>IF(OR(ISNA(AK$2), $S$2="Multiple"), NA(),
  IF($U$2="Multiple",
    SUMIFS(data[[sales]:[sales]], data[[year]:[year]], $S$2-1, data[[month_num]:[month_num]], AK$1, data[[region]:[region]], IF($P$2="Multiple", "*", $P$2), data[[segment]:[segment]], IF($Q$2="Multiple", "*", $Q$2), data[[category]:[category]], IF($R$2="Multiple", "*", $R$2)),
    SUMIFS(data[[sales]:[sales]], data[[year]:[year]], $V$2, data[[month_num]:[month_num]], $W$2, data[[day]:[day]], AK$1, data[[region]:[region]], IF($P$2="Multiple", "*", $P$2), data[[segment]:[segment]], IF($Q$2="Multiple", "*", $Q$2), data[[category]:[category]], IF($R$2="Multiple", "*", $R$2))
  )
)</f>
        <v>#N/A</v>
      </c>
      <c r="AL4" s="19" t="e">
        <f>IF(OR(ISNA(AL$2), $S$2="Multiple"), NA(),
  IF($U$2="Multiple",
    SUMIFS(data[[sales]:[sales]], data[[year]:[year]], $S$2-1, data[[month_num]:[month_num]], AL$1, data[[region]:[region]], IF($P$2="Multiple", "*", $P$2), data[[segment]:[segment]], IF($Q$2="Multiple", "*", $Q$2), data[[category]:[category]], IF($R$2="Multiple", "*", $R$2)),
    SUMIFS(data[[sales]:[sales]], data[[year]:[year]], $V$2, data[[month_num]:[month_num]], $W$2, data[[day]:[day]], AL$1, data[[region]:[region]], IF($P$2="Multiple", "*", $P$2), data[[segment]:[segment]], IF($Q$2="Multiple", "*", $Q$2), data[[category]:[category]], IF($R$2="Multiple", "*", $R$2))
  )
)</f>
        <v>#N/A</v>
      </c>
      <c r="AM4" s="19" t="e">
        <f>IF(OR(ISNA(AM$2), $S$2="Multiple"), NA(),
  IF($U$2="Multiple",
    SUMIFS(data[[sales]:[sales]], data[[year]:[year]], $S$2-1, data[[month_num]:[month_num]], AM$1, data[[region]:[region]], IF($P$2="Multiple", "*", $P$2), data[[segment]:[segment]], IF($Q$2="Multiple", "*", $Q$2), data[[category]:[category]], IF($R$2="Multiple", "*", $R$2)),
    SUMIFS(data[[sales]:[sales]], data[[year]:[year]], $V$2, data[[month_num]:[month_num]], $W$2, data[[day]:[day]], AM$1, data[[region]:[region]], IF($P$2="Multiple", "*", $P$2), data[[segment]:[segment]], IF($Q$2="Multiple", "*", $Q$2), data[[category]:[category]], IF($R$2="Multiple", "*", $R$2))
  )
)</f>
        <v>#N/A</v>
      </c>
      <c r="AN4" s="19" t="e">
        <f>IF(OR(ISNA(AN$2), $S$2="Multiple"), NA(),
  IF($U$2="Multiple",
    SUMIFS(data[[sales]:[sales]], data[[year]:[year]], $S$2-1, data[[month_num]:[month_num]], AN$1, data[[region]:[region]], IF($P$2="Multiple", "*", $P$2), data[[segment]:[segment]], IF($Q$2="Multiple", "*", $Q$2), data[[category]:[category]], IF($R$2="Multiple", "*", $R$2)),
    SUMIFS(data[[sales]:[sales]], data[[year]:[year]], $V$2, data[[month_num]:[month_num]], $W$2, data[[day]:[day]], AN$1, data[[region]:[region]], IF($P$2="Multiple", "*", $P$2), data[[segment]:[segment]], IF($Q$2="Multiple", "*", $Q$2), data[[category]:[category]], IF($R$2="Multiple", "*", $R$2))
  )
)</f>
        <v>#N/A</v>
      </c>
      <c r="AO4" s="19" t="e">
        <f>IF(OR(ISNA(AO$2), $S$2="Multiple"), NA(),
  IF($U$2="Multiple",
    SUMIFS(data[[sales]:[sales]], data[[year]:[year]], $S$2-1, data[[month_num]:[month_num]], AO$1, data[[region]:[region]], IF($P$2="Multiple", "*", $P$2), data[[segment]:[segment]], IF($Q$2="Multiple", "*", $Q$2), data[[category]:[category]], IF($R$2="Multiple", "*", $R$2)),
    SUMIFS(data[[sales]:[sales]], data[[year]:[year]], $V$2, data[[month_num]:[month_num]], $W$2, data[[day]:[day]], AO$1, data[[region]:[region]], IF($P$2="Multiple", "*", $P$2), data[[segment]:[segment]], IF($Q$2="Multiple", "*", $Q$2), data[[category]:[category]], IF($R$2="Multiple", "*", $R$2))
  )
)</f>
        <v>#N/A</v>
      </c>
      <c r="AP4" s="19" t="e">
        <f>IF(OR(ISNA(AP$2), $S$2="Multiple"), NA(),
  IF($U$2="Multiple",
    SUMIFS(data[[sales]:[sales]], data[[year]:[year]], $S$2-1, data[[month_num]:[month_num]], AP$1, data[[region]:[region]], IF($P$2="Multiple", "*", $P$2), data[[segment]:[segment]], IF($Q$2="Multiple", "*", $Q$2), data[[category]:[category]], IF($R$2="Multiple", "*", $R$2)),
    SUMIFS(data[[sales]:[sales]], data[[year]:[year]], $V$2, data[[month_num]:[month_num]], $W$2, data[[day]:[day]], AP$1, data[[region]:[region]], IF($P$2="Multiple", "*", $P$2), data[[segment]:[segment]], IF($Q$2="Multiple", "*", $Q$2), data[[category]:[category]], IF($R$2="Multiple", "*", $R$2))
  )
)</f>
        <v>#N/A</v>
      </c>
      <c r="AQ4" s="19" t="e">
        <f>IF(OR(ISNA(AQ$2), $S$2="Multiple"), NA(),
  IF($U$2="Multiple",
    SUMIFS(data[[sales]:[sales]], data[[year]:[year]], $S$2-1, data[[month_num]:[month_num]], AQ$1, data[[region]:[region]], IF($P$2="Multiple", "*", $P$2), data[[segment]:[segment]], IF($Q$2="Multiple", "*", $Q$2), data[[category]:[category]], IF($R$2="Multiple", "*", $R$2)),
    SUMIFS(data[[sales]:[sales]], data[[year]:[year]], $V$2, data[[month_num]:[month_num]], $W$2, data[[day]:[day]], AQ$1, data[[region]:[region]], IF($P$2="Multiple", "*", $P$2), data[[segment]:[segment]], IF($Q$2="Multiple", "*", $Q$2), data[[category]:[category]], IF($R$2="Multiple", "*", $R$2))
  )
)</f>
        <v>#N/A</v>
      </c>
      <c r="AR4" s="19" t="e">
        <f>IF(OR(ISNA(AR$2), $S$2="Multiple"), NA(),
  IF($U$2="Multiple",
    SUMIFS(data[[sales]:[sales]], data[[year]:[year]], $S$2-1, data[[month_num]:[month_num]], AR$1, data[[region]:[region]], IF($P$2="Multiple", "*", $P$2), data[[segment]:[segment]], IF($Q$2="Multiple", "*", $Q$2), data[[category]:[category]], IF($R$2="Multiple", "*", $R$2)),
    SUMIFS(data[[sales]:[sales]], data[[year]:[year]], $V$2, data[[month_num]:[month_num]], $W$2, data[[day]:[day]], AR$1, data[[region]:[region]], IF($P$2="Multiple", "*", $P$2), data[[segment]:[segment]], IF($Q$2="Multiple", "*", $Q$2), data[[category]:[category]], IF($R$2="Multiple", "*", $R$2))
  )
)</f>
        <v>#N/A</v>
      </c>
      <c r="AS4" s="19" t="e">
        <f>IF(OR(ISNA(AS$2), $S$2="Multiple"), NA(),
  IF($U$2="Multiple",
    SUMIFS(data[[sales]:[sales]], data[[year]:[year]], $S$2-1, data[[month_num]:[month_num]], AS$1, data[[region]:[region]], IF($P$2="Multiple", "*", $P$2), data[[segment]:[segment]], IF($Q$2="Multiple", "*", $Q$2), data[[category]:[category]], IF($R$2="Multiple", "*", $R$2)),
    SUMIFS(data[[sales]:[sales]], data[[year]:[year]], $V$2, data[[month_num]:[month_num]], $W$2, data[[day]:[day]], AS$1, data[[region]:[region]], IF($P$2="Multiple", "*", $P$2), data[[segment]:[segment]], IF($Q$2="Multiple", "*", $Q$2), data[[category]:[category]], IF($R$2="Multiple", "*", $R$2))
  )
)</f>
        <v>#N/A</v>
      </c>
      <c r="AT4" s="19" t="e">
        <f>IF(OR(ISNA(AT$2), $S$2="Multiple"), NA(),
  IF($U$2="Multiple",
    SUMIFS(data[[sales]:[sales]], data[[year]:[year]], $S$2-1, data[[month_num]:[month_num]], AT$1, data[[region]:[region]], IF($P$2="Multiple", "*", $P$2), data[[segment]:[segment]], IF($Q$2="Multiple", "*", $Q$2), data[[category]:[category]], IF($R$2="Multiple", "*", $R$2)),
    SUMIFS(data[[sales]:[sales]], data[[year]:[year]], $V$2, data[[month_num]:[month_num]], $W$2, data[[day]:[day]], AT$1, data[[region]:[region]], IF($P$2="Multiple", "*", $P$2), data[[segment]:[segment]], IF($Q$2="Multiple", "*", $Q$2), data[[category]:[category]], IF($R$2="Multiple", "*", $R$2))
  )
)</f>
        <v>#N/A</v>
      </c>
      <c r="AU4" s="19" t="e">
        <f>IF(OR(ISNA(AU$2), $S$2="Multiple"), NA(),
  IF($U$2="Multiple",
    SUMIFS(data[[sales]:[sales]], data[[year]:[year]], $S$2-1, data[[month_num]:[month_num]], AU$1, data[[region]:[region]], IF($P$2="Multiple", "*", $P$2), data[[segment]:[segment]], IF($Q$2="Multiple", "*", $Q$2), data[[category]:[category]], IF($R$2="Multiple", "*", $R$2)),
    SUMIFS(data[[sales]:[sales]], data[[year]:[year]], $V$2, data[[month_num]:[month_num]], $W$2, data[[day]:[day]], AU$1, data[[region]:[region]], IF($P$2="Multiple", "*", $P$2), data[[segment]:[segment]], IF($Q$2="Multiple", "*", $Q$2), data[[category]:[category]], IF($R$2="Multiple", "*", $R$2))
  )
)</f>
        <v>#N/A</v>
      </c>
      <c r="AV4" s="19" t="e">
        <f>IF(OR(ISNA(AV$2), $S$2="Multiple"), NA(),
  IF($U$2="Multiple",
    SUMIFS(data[[sales]:[sales]], data[[year]:[year]], $S$2-1, data[[month_num]:[month_num]], AV$1, data[[region]:[region]], IF($P$2="Multiple", "*", $P$2), data[[segment]:[segment]], IF($Q$2="Multiple", "*", $Q$2), data[[category]:[category]], IF($R$2="Multiple", "*", $R$2)),
    SUMIFS(data[[sales]:[sales]], data[[year]:[year]], $V$2, data[[month_num]:[month_num]], $W$2, data[[day]:[day]], AV$1, data[[region]:[region]], IF($P$2="Multiple", "*", $P$2), data[[segment]:[segment]], IF($Q$2="Multiple", "*", $Q$2), data[[category]:[category]], IF($R$2="Multiple", "*", $R$2))
  )
)</f>
        <v>#N/A</v>
      </c>
      <c r="AW4" s="19" t="e">
        <f>IF(OR(ISNA(AW$2), $S$2="Multiple"), NA(),
  IF($U$2="Multiple",
    SUMIFS(data[[sales]:[sales]], data[[year]:[year]], $S$2-1, data[[month_num]:[month_num]], AW$1, data[[region]:[region]], IF($P$2="Multiple", "*", $P$2), data[[segment]:[segment]], IF($Q$2="Multiple", "*", $Q$2), data[[category]:[category]], IF($R$2="Multiple", "*", $R$2)),
    SUMIFS(data[[sales]:[sales]], data[[year]:[year]], $V$2, data[[month_num]:[month_num]], $W$2, data[[day]:[day]], AW$1, data[[region]:[region]], IF($P$2="Multiple", "*", $P$2), data[[segment]:[segment]], IF($Q$2="Multiple", "*", $Q$2), data[[category]:[category]], IF($R$2="Multiple", "*", $R$2))
  )
)</f>
        <v>#N/A</v>
      </c>
      <c r="AX4" s="19" t="e">
        <f>IF(OR(ISNA(AX$2), $S$2="Multiple"), NA(),
  IF($U$2="Multiple",
    SUMIFS(data[[sales]:[sales]], data[[year]:[year]], $S$2-1, data[[month_num]:[month_num]], AX$1, data[[region]:[region]], IF($P$2="Multiple", "*", $P$2), data[[segment]:[segment]], IF($Q$2="Multiple", "*", $Q$2), data[[category]:[category]], IF($R$2="Multiple", "*", $R$2)),
    SUMIFS(data[[sales]:[sales]], data[[year]:[year]], $V$2, data[[month_num]:[month_num]], $W$2, data[[day]:[day]], AX$1, data[[region]:[region]], IF($P$2="Multiple", "*", $P$2), data[[segment]:[segment]], IF($Q$2="Multiple", "*", $Q$2), data[[category]:[category]], IF($R$2="Multiple", "*", $R$2))
  )
)</f>
        <v>#N/A</v>
      </c>
      <c r="AY4" s="19" t="e">
        <f>IF(OR(ISNA(AY$2), $S$2="Multiple"), NA(),
  IF($U$2="Multiple",
    SUMIFS(data[[sales]:[sales]], data[[year]:[year]], $S$2-1, data[[month_num]:[month_num]], AY$1, data[[region]:[region]], IF($P$2="Multiple", "*", $P$2), data[[segment]:[segment]], IF($Q$2="Multiple", "*", $Q$2), data[[category]:[category]], IF($R$2="Multiple", "*", $R$2)),
    SUMIFS(data[[sales]:[sales]], data[[year]:[year]], $V$2, data[[month_num]:[month_num]], $W$2, data[[day]:[day]], AY$1, data[[region]:[region]], IF($P$2="Multiple", "*", $P$2), data[[segment]:[segment]], IF($Q$2="Multiple", "*", $Q$2), data[[category]:[category]], IF($R$2="Multiple", "*", $R$2))
  )
)</f>
        <v>#N/A</v>
      </c>
      <c r="AZ4" s="19" t="e">
        <f>IF(OR(ISNA(AZ$2), $S$2="Multiple"), NA(),
  IF($U$2="Multiple",
    SUMIFS(data[[sales]:[sales]], data[[year]:[year]], $S$2-1, data[[month_num]:[month_num]], AZ$1, data[[region]:[region]], IF($P$2="Multiple", "*", $P$2), data[[segment]:[segment]], IF($Q$2="Multiple", "*", $Q$2), data[[category]:[category]], IF($R$2="Multiple", "*", $R$2)),
    SUMIFS(data[[sales]:[sales]], data[[year]:[year]], $V$2, data[[month_num]:[month_num]], $W$2, data[[day]:[day]], AZ$1, data[[region]:[region]], IF($P$2="Multiple", "*", $P$2), data[[segment]:[segment]], IF($Q$2="Multiple", "*", $Q$2), data[[category]:[category]], IF($R$2="Multiple", "*", $R$2))
  )
)</f>
        <v>#N/A</v>
      </c>
      <c r="BA4" s="19" t="e">
        <f>IF(OR(ISNA(BA$2), $S$2="Multiple"), NA(),
  IF($U$2="Multiple",
    SUMIFS(data[[sales]:[sales]], data[[year]:[year]], $S$2-1, data[[month_num]:[month_num]], BA$1, data[[region]:[region]], IF($P$2="Multiple", "*", $P$2), data[[segment]:[segment]], IF($Q$2="Multiple", "*", $Q$2), data[[category]:[category]], IF($R$2="Multiple", "*", $R$2)),
    SUMIFS(data[[sales]:[sales]], data[[year]:[year]], $V$2, data[[month_num]:[month_num]], $W$2, data[[day]:[day]], BA$1, data[[region]:[region]], IF($P$2="Multiple", "*", $P$2), data[[segment]:[segment]], IF($Q$2="Multiple", "*", $Q$2), data[[category]:[category]], IF($R$2="Multiple", "*", $R$2))
  )
)</f>
        <v>#N/A</v>
      </c>
      <c r="BB4" s="19" t="e">
        <f>IF(OR(ISNA(BB$2), $S$2="Multiple"), NA(),
  IF($U$2="Multiple",
    SUMIFS(data[[sales]:[sales]], data[[year]:[year]], $S$2-1, data[[month_num]:[month_num]], BB$1, data[[region]:[region]], IF($P$2="Multiple", "*", $P$2), data[[segment]:[segment]], IF($Q$2="Multiple", "*", $Q$2), data[[category]:[category]], IF($R$2="Multiple", "*", $R$2)),
    SUMIFS(data[[sales]:[sales]], data[[year]:[year]], $V$2, data[[month_num]:[month_num]], $W$2, data[[day]:[day]], BB$1, data[[region]:[region]], IF($P$2="Multiple", "*", $P$2), data[[segment]:[segment]], IF($Q$2="Multiple", "*", $Q$2), data[[category]:[category]], IF($R$2="Multiple", "*", $R$2))
  )
)</f>
        <v>#N/A</v>
      </c>
      <c r="BC4" s="19" t="e">
        <f>IF(OR(ISNA(BC$2), $S$2="Multiple"), NA(),
  IF($U$2="Multiple",
    SUMIFS(data[[sales]:[sales]], data[[year]:[year]], $S$2-1, data[[month_num]:[month_num]], BC$1, data[[region]:[region]], IF($P$2="Multiple", "*", $P$2), data[[segment]:[segment]], IF($Q$2="Multiple", "*", $Q$2), data[[category]:[category]], IF($R$2="Multiple", "*", $R$2)),
    SUMIFS(data[[sales]:[sales]], data[[year]:[year]], $V$2, data[[month_num]:[month_num]], $W$2, data[[day]:[day]], BC$1, data[[region]:[region]], IF($P$2="Multiple", "*", $P$2), data[[segment]:[segment]], IF($Q$2="Multiple", "*", $Q$2), data[[category]:[category]], IF($R$2="Multiple", "*", $R$2))
  )
)</f>
        <v>#N/A</v>
      </c>
      <c r="BD4" s="19" t="e">
        <f>IF(OR(ISNA(BD$2), $S$2="Multiple"), NA(),
  IF($U$2="Multiple",
    SUMIFS(data[[sales]:[sales]], data[[year]:[year]], $S$2-1, data[[month_num]:[month_num]], BD$1, data[[region]:[region]], IF($P$2="Multiple", "*", $P$2), data[[segment]:[segment]], IF($Q$2="Multiple", "*", $Q$2), data[[category]:[category]], IF($R$2="Multiple", "*", $R$2)),
    SUMIFS(data[[sales]:[sales]], data[[year]:[year]], $V$2, data[[month_num]:[month_num]], $W$2, data[[day]:[day]], BD$1, data[[region]:[region]], IF($P$2="Multiple", "*", $P$2), data[[segment]:[segment]], IF($Q$2="Multiple", "*", $Q$2), data[[category]:[category]], IF($R$2="Multiple", "*", $R$2))
  )
)</f>
        <v>#N/A</v>
      </c>
      <c r="BE4" s="19" t="e">
        <f>IF(OR(ISNA(BE$2), $S$2="Multiple"), NA(),
  IF($U$2="Multiple",
    SUMIFS(data[[sales]:[sales]], data[[year]:[year]], $S$2-1, data[[month_num]:[month_num]], BE$1, data[[region]:[region]], IF($P$2="Multiple", "*", $P$2), data[[segment]:[segment]], IF($Q$2="Multiple", "*", $Q$2), data[[category]:[category]], IF($R$2="Multiple", "*", $R$2)),
    SUMIFS(data[[sales]:[sales]], data[[year]:[year]], $V$2, data[[month_num]:[month_num]], $W$2, data[[day]:[day]], BE$1, data[[region]:[region]], IF($P$2="Multiple", "*", $P$2), data[[segment]:[segment]], IF($Q$2="Multiple", "*", $Q$2), data[[category]:[category]], IF($R$2="Multiple", "*", $R$2))
  )
)</f>
        <v>#N/A</v>
      </c>
      <c r="BF4" s="19" t="e">
        <f>IF(OR(ISNA(BF$2), $S$2="Multiple"), NA(),
  IF($U$2="Multiple",
    SUMIFS(data[[sales]:[sales]], data[[year]:[year]], $S$2-1, data[[month_num]:[month_num]], BF$1, data[[region]:[region]], IF($P$2="Multiple", "*", $P$2), data[[segment]:[segment]], IF($Q$2="Multiple", "*", $Q$2), data[[category]:[category]], IF($R$2="Multiple", "*", $R$2)),
    SUMIFS(data[[sales]:[sales]], data[[year]:[year]], $V$2, data[[month_num]:[month_num]], $W$2, data[[day]:[day]], BF$1, data[[region]:[region]], IF($P$2="Multiple", "*", $P$2), data[[segment]:[segment]], IF($Q$2="Multiple", "*", $Q$2), data[[category]:[category]], IF($R$2="Multiple", "*", $R$2))
  )
)</f>
        <v>#N/A</v>
      </c>
      <c r="BI4" s="5" t="s">
        <v>363</v>
      </c>
      <c r="BJ4" s="22">
        <v>381108858.02469134</v>
      </c>
      <c r="BL4" s="5" t="s">
        <v>50</v>
      </c>
      <c r="BM4" s="4">
        <v>598783201.37762058</v>
      </c>
      <c r="BO4" s="5" t="s">
        <v>17</v>
      </c>
      <c r="BP4" s="22">
        <v>976659628.33951211</v>
      </c>
      <c r="BR4" t="s">
        <v>1567</v>
      </c>
      <c r="BS4" s="22">
        <v>336463354.54545456</v>
      </c>
      <c r="BY4" s="5" t="s">
        <v>363</v>
      </c>
      <c r="BZ4" s="22">
        <v>381108858.02469134</v>
      </c>
    </row>
    <row r="5" spans="2:79" x14ac:dyDescent="0.35">
      <c r="B5" s="11"/>
      <c r="C5" s="11"/>
      <c r="D5" s="11" t="s">
        <v>15</v>
      </c>
      <c r="E5" s="11" t="s">
        <v>23</v>
      </c>
      <c r="F5" s="11" t="s">
        <v>160</v>
      </c>
      <c r="G5" s="23">
        <v>1245000</v>
      </c>
      <c r="K5" s="17"/>
      <c r="M5" t="s">
        <v>2015</v>
      </c>
      <c r="N5">
        <v>3</v>
      </c>
      <c r="P5" s="7" t="s">
        <v>2034</v>
      </c>
      <c r="Q5" s="7" t="s">
        <v>2035</v>
      </c>
      <c r="R5" s="7" t="s">
        <v>2036</v>
      </c>
      <c r="S5" s="7" t="s">
        <v>2037</v>
      </c>
      <c r="T5" s="7" t="s">
        <v>2038</v>
      </c>
      <c r="U5" s="7" t="s">
        <v>2039</v>
      </c>
      <c r="V5" s="7" t="s">
        <v>2040</v>
      </c>
      <c r="W5" s="7" t="s">
        <v>2041</v>
      </c>
      <c r="Z5" s="18"/>
      <c r="AA5" s="18"/>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I5" s="5" t="s">
        <v>465</v>
      </c>
      <c r="BJ5" s="22">
        <v>1658474441.9040997</v>
      </c>
      <c r="BL5" s="5" t="s">
        <v>42</v>
      </c>
      <c r="BM5" s="4">
        <v>1008706066.2163249</v>
      </c>
      <c r="BO5" s="5" t="s">
        <v>23</v>
      </c>
      <c r="BP5" s="22">
        <v>2433095334.0448055</v>
      </c>
      <c r="BR5" t="s">
        <v>464</v>
      </c>
      <c r="BS5" s="22">
        <v>594281649.99999988</v>
      </c>
      <c r="BY5" s="5" t="s">
        <v>20</v>
      </c>
      <c r="BZ5" s="4">
        <v>350404770.69966114</v>
      </c>
    </row>
    <row r="6" spans="2:79" x14ac:dyDescent="0.35">
      <c r="B6" s="11"/>
      <c r="C6" s="11"/>
      <c r="D6" s="11"/>
      <c r="E6" s="11"/>
      <c r="F6" s="11" t="s">
        <v>20</v>
      </c>
      <c r="G6" s="23">
        <v>1138900</v>
      </c>
      <c r="K6" s="17"/>
      <c r="M6" t="s">
        <v>2016</v>
      </c>
      <c r="N6">
        <v>4</v>
      </c>
      <c r="P6" s="8">
        <f>SUMIFS(data[[sales]:[sales]], data[[region]:[region]], IF($P$2="Multiple","*",$P$2), data[[segment]:[segment]], IF($Q$2="Multiple","*",$Q$2), data[[category]:[category]], IF($R$2="Multiple","*",$R$2), data[[month]:[month]], IF($T$2="Multiple","*",$T$2), data[[year]:[year]], IF($S$2="Multiple","&gt;=0", $S$2))</f>
        <v>4243102465.81881</v>
      </c>
      <c r="Q6" s="8">
        <f>SUMIFS(data[[sales]:[sales]], data[[region]:[region]], IF($P$2="Multiple","*",$P$2), data[[segment]:[segment]], IF($Q$2="Multiple","*",$Q$2), data[[category]:[category]], IF($R$2="Multiple","*",$R$2), data[[month]:[month]], IF($X$2="Multiple","*",$X$2), data[[year]:[year]], IF($V$2="Multiple",0, $V$2))</f>
        <v>0</v>
      </c>
      <c r="R6" s="8">
        <f>SUMIFS(data[[profit]:[profit]], data[[region]:[region]], IF($P$2="Multiple","*",$P$2), data[[segment]:[segment]], IF($Q$2="Multiple","*",$Q$2), data[[category]:[category]], IF($R$2="Multiple","*",$R$2), data[[month]:[month]], IF($T$2="Multiple","*",$T$2), data[[year]:[year]], IF($S$2="Multiple","&gt;=0", $S$2))</f>
        <v>2161603465.8188109</v>
      </c>
      <c r="S6" s="8">
        <f>SUMIFS(data[[profit]:[profit]], data[[region]:[region]], IF($P$2="Multiple","*",$P$2), data[[segment]:[segment]], IF($Q$2="Multiple","*",$Q$2), data[[category]:[category]], IF($R$2="Multiple","*",$R$2), data[[month]:[month]], IF($X$2="Multiple","*",$X$2), data[[year]:[year]], IF($V$2="Multiple",0,$V$2))</f>
        <v>0</v>
      </c>
      <c r="T6" s="9">
        <f>IFERROR($R$6/$P$6,0)</f>
        <v>0.50943937442756926</v>
      </c>
      <c r="U6" s="9">
        <f>IFERROR($S$6/$Q$6,0)</f>
        <v>0</v>
      </c>
      <c r="V6" s="8">
        <f>COUNTIFS(data[[region]:[region]], IF($P$2="Multiple","*",$P$2), data[[segment]:[segment]], IF($Q$2="Multiple","*",$Q$2), data[[category]:[category]], IF($R$2="Multiple","*",$R$2), data[[month]:[month]], IF($T$2="Multiple","*",$T$2), data[[year]:[year]], IF($S$2="Multiple","&gt;=0", $S$2))</f>
        <v>1769</v>
      </c>
      <c r="W6" s="8">
        <f>COUNTIFS(data[[region]:[region]], IF($P$2="Multiple","*",$P$2), data[[segment]:[segment]], IF($Q$2="Multiple","*",$Q$2), data[[category]:[category]], IF($R$2="Multiple","*",$R$2), data[[month]:[month]], IF($X$2="Multiple","*",$X$2), data[[year]:[year]], IF($V$2="Multiple",0, $V$2))</f>
        <v>0</v>
      </c>
      <c r="Z6" s="21"/>
      <c r="AA6" s="18"/>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I6" s="5" t="s">
        <v>160</v>
      </c>
      <c r="BJ6" s="22">
        <v>1751354869.981061</v>
      </c>
      <c r="BL6" s="5" t="s">
        <v>15</v>
      </c>
      <c r="BM6" s="4">
        <v>1999090154.5899336</v>
      </c>
      <c r="BR6" t="s">
        <v>549</v>
      </c>
      <c r="BS6" s="22">
        <v>626189534.375</v>
      </c>
      <c r="BY6" s="5" t="s">
        <v>754</v>
      </c>
      <c r="BZ6" s="4">
        <v>101759525.20929772</v>
      </c>
    </row>
    <row r="7" spans="2:79" x14ac:dyDescent="0.35">
      <c r="B7" s="11"/>
      <c r="C7" s="11"/>
      <c r="D7" s="11"/>
      <c r="E7" s="11"/>
      <c r="F7" s="11" t="s">
        <v>363</v>
      </c>
      <c r="G7" s="23">
        <v>633024.69135802472</v>
      </c>
      <c r="K7" s="17"/>
      <c r="M7" t="s">
        <v>2017</v>
      </c>
      <c r="N7">
        <v>5</v>
      </c>
      <c r="P7" s="10" t="str" cm="1">
        <f t="array" ref="P7">_xlfn.IFS(P6&gt;=1000000000,"Rp "&amp;TEXT(P6/1000000000,"0.0")&amp;" M",P6&gt;=1000000,"Rp "&amp;TEXT(P6/1000000,"0.0") &amp; " Jt", P6&lt;1000000,"Rp "&amp;TEXT(P6,"#,##0"))</f>
        <v>Rp 4.2 M</v>
      </c>
      <c r="Q7" s="10" t="str" cm="1">
        <f t="array" ref="Q7">_xlfn.IFS(Q6&gt;=1000000000,"Rp "&amp;TEXT(Q6/1000000000,"0.0")&amp;" M",Q6&gt;=1000000,"Rp "&amp;TEXT(Q6/1000000,"0.0") &amp; " Jt", Q6&lt;1000000,"Rp "&amp;TEXT(Q6,"#,##0"))</f>
        <v>Rp 0</v>
      </c>
      <c r="R7" s="10" t="str" cm="1">
        <f t="array" ref="R7">_xlfn.IFS(R6&gt;=1000000000,"Rp "&amp;TEXT(R6/1000000000,"0.0")&amp;" M",R6&gt;=1000000,"Rp "&amp;TEXT(R6/1000000,"0.0") &amp; " Jt", R6&lt;1000000,"Rp "&amp;TEXT(R6,"#,##0"))</f>
        <v>Rp 2.2 M</v>
      </c>
      <c r="S7" s="10" t="str" cm="1">
        <f t="array" ref="S7">_xlfn.IFS(S6&gt;=1000000000,"Rp "&amp;TEXT(S6/1000000000,"0.0")&amp;" M",S6&gt;=1000000,"Rp "&amp;TEXT(S6/1000000,"0.0") &amp; " Jt", S6&lt;1000000,"Rp "&amp;TEXT(S6,"#,##0"))</f>
        <v>Rp 0</v>
      </c>
      <c r="T7" s="10"/>
      <c r="U7" s="10"/>
      <c r="V7" s="8"/>
      <c r="W7" s="8"/>
    </row>
    <row r="8" spans="2:79" x14ac:dyDescent="0.35">
      <c r="B8" s="11"/>
      <c r="C8" s="11"/>
      <c r="D8" s="11"/>
      <c r="E8" s="11" t="s">
        <v>17</v>
      </c>
      <c r="F8" s="11" t="s">
        <v>160</v>
      </c>
      <c r="G8" s="23">
        <v>7544200</v>
      </c>
      <c r="K8" s="17"/>
      <c r="M8" t="s">
        <v>2018</v>
      </c>
      <c r="N8">
        <v>6</v>
      </c>
      <c r="P8" s="10"/>
      <c r="Q8" s="13"/>
      <c r="R8" s="10"/>
      <c r="S8" s="13"/>
      <c r="T8" s="10"/>
      <c r="U8" s="13"/>
      <c r="V8" s="10"/>
      <c r="W8" s="13"/>
    </row>
    <row r="9" spans="2:79" x14ac:dyDescent="0.35">
      <c r="B9" s="11"/>
      <c r="C9" s="11"/>
      <c r="D9" s="11"/>
      <c r="E9" s="11"/>
      <c r="F9" s="11" t="s">
        <v>465</v>
      </c>
      <c r="G9" s="23">
        <v>11713900</v>
      </c>
      <c r="K9" s="17"/>
      <c r="M9" t="s">
        <v>2019</v>
      </c>
      <c r="N9">
        <v>7</v>
      </c>
      <c r="P9" s="12">
        <f>IFERROR((P6-Q6)/Q6,0)</f>
        <v>0</v>
      </c>
      <c r="Q9" s="14" t="str">
        <f>IF($P$9&gt;0, "▲ +", "▼ ") &amp; TEXT($P$9, "0.0%") &amp; IF($T$2="Multiple", " vs last year", " vs last month")</f>
        <v>▼ 0.0% vs last year</v>
      </c>
      <c r="R9" s="16">
        <f>IFERROR((R6-S6)/S6,0)</f>
        <v>0</v>
      </c>
      <c r="S9" s="14" t="str">
        <f>IF($R$9&gt;0, "▲ +", "▼ ") &amp; TEXT($R$9, "0.0%") &amp; IF($T$2="Multiple", " vs last year", " vs last month")</f>
        <v>▼ 0.0% vs last year</v>
      </c>
      <c r="T9" s="16">
        <f>IFERROR((T6-U6)/U6,0)</f>
        <v>0</v>
      </c>
      <c r="U9" s="14" t="str">
        <f>IF($T$9&gt;0, "▲ +", "▼ ") &amp; TEXT($T$9, "0.0%") &amp; IF($T$2="Multiple", " vs last year", " vs last month")</f>
        <v>▼ 0.0% vs last year</v>
      </c>
      <c r="V9" s="16">
        <f>IFERROR((V6-W6)/W6,0)</f>
        <v>0</v>
      </c>
      <c r="W9" s="14" t="str">
        <f>IF($V$9&gt;0, "▲ +", "▼ ") &amp; TEXT($V$9, "0.0%") &amp; IF($T$2="Multiple", " vs last year", " vs last month")</f>
        <v>▼ 0.0% vs last year</v>
      </c>
    </row>
    <row r="10" spans="2:79" x14ac:dyDescent="0.35">
      <c r="B10" s="11"/>
      <c r="C10" s="11"/>
      <c r="D10" s="11"/>
      <c r="E10" s="11"/>
      <c r="F10" s="11" t="s">
        <v>20</v>
      </c>
      <c r="G10" s="23">
        <v>400000</v>
      </c>
      <c r="K10" s="17"/>
      <c r="M10" t="s">
        <v>2020</v>
      </c>
      <c r="N10">
        <v>8</v>
      </c>
    </row>
    <row r="11" spans="2:79" x14ac:dyDescent="0.35">
      <c r="B11" s="11"/>
      <c r="C11" s="11"/>
      <c r="D11" s="11"/>
      <c r="E11" s="11" t="s">
        <v>28</v>
      </c>
      <c r="F11" s="11" t="s">
        <v>754</v>
      </c>
      <c r="G11" s="23">
        <v>1459200</v>
      </c>
      <c r="K11" s="17"/>
      <c r="M11" t="s">
        <v>2021</v>
      </c>
      <c r="N11">
        <v>9</v>
      </c>
    </row>
    <row r="12" spans="2:79" x14ac:dyDescent="0.35">
      <c r="B12" s="11"/>
      <c r="C12" s="11"/>
      <c r="D12" s="11"/>
      <c r="E12" s="11" t="s">
        <v>58</v>
      </c>
      <c r="F12" s="11" t="s">
        <v>160</v>
      </c>
      <c r="G12" s="23">
        <v>5879000</v>
      </c>
      <c r="K12" s="17"/>
      <c r="M12" t="s">
        <v>2022</v>
      </c>
      <c r="N12">
        <v>10</v>
      </c>
      <c r="U12" s="4"/>
      <c r="V12" s="4"/>
    </row>
    <row r="13" spans="2:79" x14ac:dyDescent="0.35">
      <c r="B13" s="11"/>
      <c r="C13" s="11"/>
      <c r="D13" s="11"/>
      <c r="E13" s="11"/>
      <c r="F13" s="11" t="s">
        <v>465</v>
      </c>
      <c r="G13" s="23">
        <v>5952000</v>
      </c>
      <c r="K13" s="17"/>
      <c r="M13" t="s">
        <v>2023</v>
      </c>
      <c r="N13">
        <v>11</v>
      </c>
    </row>
    <row r="14" spans="2:79" x14ac:dyDescent="0.35">
      <c r="B14" s="11"/>
      <c r="C14" s="11"/>
      <c r="D14" s="11" t="s">
        <v>50</v>
      </c>
      <c r="E14" s="11" t="s">
        <v>23</v>
      </c>
      <c r="F14" s="11" t="s">
        <v>363</v>
      </c>
      <c r="G14" s="23">
        <v>2396700</v>
      </c>
      <c r="K14" s="17"/>
      <c r="M14" t="s">
        <v>2024</v>
      </c>
      <c r="N14">
        <v>12</v>
      </c>
    </row>
    <row r="15" spans="2:79" x14ac:dyDescent="0.35">
      <c r="B15" s="11"/>
      <c r="C15" s="11"/>
      <c r="D15" s="11"/>
      <c r="E15" s="11" t="s">
        <v>17</v>
      </c>
      <c r="F15" s="11" t="s">
        <v>754</v>
      </c>
      <c r="G15" s="23">
        <v>132000</v>
      </c>
      <c r="K15" s="17"/>
    </row>
    <row r="16" spans="2:79" x14ac:dyDescent="0.35">
      <c r="B16" s="11"/>
      <c r="C16" s="11"/>
      <c r="D16" s="11"/>
      <c r="E16" s="11"/>
      <c r="F16" s="11" t="s">
        <v>363</v>
      </c>
      <c r="G16" s="23">
        <v>369550</v>
      </c>
      <c r="K16" s="17"/>
    </row>
    <row r="17" spans="2:11" x14ac:dyDescent="0.35">
      <c r="B17" s="11"/>
      <c r="C17" s="11"/>
      <c r="D17" s="11"/>
      <c r="E17" s="11" t="s">
        <v>28</v>
      </c>
      <c r="F17" s="11" t="s">
        <v>754</v>
      </c>
      <c r="G17" s="23">
        <v>253650</v>
      </c>
      <c r="K17" s="17"/>
    </row>
    <row r="18" spans="2:11" x14ac:dyDescent="0.35">
      <c r="B18" s="11"/>
      <c r="C18" s="11"/>
      <c r="D18" s="11"/>
      <c r="E18" s="11"/>
      <c r="F18" s="11" t="s">
        <v>20</v>
      </c>
      <c r="G18" s="23">
        <v>806000</v>
      </c>
      <c r="K18" s="17"/>
    </row>
    <row r="19" spans="2:11" x14ac:dyDescent="0.35">
      <c r="B19" s="11"/>
      <c r="C19" s="11"/>
      <c r="D19" s="11"/>
      <c r="E19" s="11"/>
      <c r="F19" s="11" t="s">
        <v>363</v>
      </c>
      <c r="G19" s="23">
        <v>318000</v>
      </c>
      <c r="K19" s="17"/>
    </row>
    <row r="20" spans="2:11" x14ac:dyDescent="0.35">
      <c r="B20" s="11"/>
      <c r="C20" s="11"/>
      <c r="D20" s="11"/>
      <c r="E20" s="11" t="s">
        <v>58</v>
      </c>
      <c r="F20" s="11" t="s">
        <v>20</v>
      </c>
      <c r="G20" s="23">
        <v>302000</v>
      </c>
      <c r="K20" s="17"/>
    </row>
    <row r="21" spans="2:11" x14ac:dyDescent="0.35">
      <c r="B21" s="11"/>
      <c r="C21" s="11"/>
      <c r="D21" s="11" t="s">
        <v>37</v>
      </c>
      <c r="E21" s="11" t="s">
        <v>23</v>
      </c>
      <c r="F21" s="11" t="s">
        <v>754</v>
      </c>
      <c r="G21" s="23">
        <v>856000</v>
      </c>
      <c r="K21" s="17"/>
    </row>
    <row r="22" spans="2:11" x14ac:dyDescent="0.35">
      <c r="B22" s="11"/>
      <c r="C22" s="11"/>
      <c r="D22" s="11"/>
      <c r="E22" s="11"/>
      <c r="F22" s="11" t="s">
        <v>465</v>
      </c>
      <c r="G22" s="23">
        <v>2177000</v>
      </c>
      <c r="K22" s="17"/>
    </row>
    <row r="23" spans="2:11" x14ac:dyDescent="0.35">
      <c r="B23" s="11"/>
      <c r="C23" s="11"/>
      <c r="D23" s="11"/>
      <c r="E23" s="11" t="s">
        <v>28</v>
      </c>
      <c r="F23" s="11" t="s">
        <v>160</v>
      </c>
      <c r="G23" s="23">
        <v>6240700</v>
      </c>
      <c r="K23" s="17"/>
    </row>
    <row r="24" spans="2:11" x14ac:dyDescent="0.35">
      <c r="B24" s="11"/>
      <c r="C24" s="11"/>
      <c r="D24" s="11" t="s">
        <v>42</v>
      </c>
      <c r="E24" s="11" t="s">
        <v>23</v>
      </c>
      <c r="F24" s="11" t="s">
        <v>754</v>
      </c>
      <c r="G24" s="23">
        <v>568000</v>
      </c>
      <c r="K24" s="17"/>
    </row>
    <row r="25" spans="2:11" x14ac:dyDescent="0.35">
      <c r="B25" s="11"/>
      <c r="C25" s="11"/>
      <c r="D25" s="11"/>
      <c r="E25" s="11"/>
      <c r="F25" s="11" t="s">
        <v>465</v>
      </c>
      <c r="G25" s="23">
        <v>1101050</v>
      </c>
      <c r="K25" s="17"/>
    </row>
    <row r="26" spans="2:11" x14ac:dyDescent="0.35">
      <c r="B26" s="11"/>
      <c r="C26" s="11"/>
      <c r="D26" s="11"/>
      <c r="E26" s="11"/>
      <c r="F26" s="11" t="s">
        <v>20</v>
      </c>
      <c r="G26" s="23">
        <v>798150</v>
      </c>
      <c r="K26" s="17"/>
    </row>
    <row r="27" spans="2:11" x14ac:dyDescent="0.35">
      <c r="B27" s="11"/>
      <c r="C27" s="11"/>
      <c r="D27" s="11"/>
      <c r="E27" s="11" t="s">
        <v>17</v>
      </c>
      <c r="F27" s="11" t="s">
        <v>754</v>
      </c>
      <c r="G27" s="23">
        <v>95000</v>
      </c>
      <c r="K27" s="17"/>
    </row>
    <row r="28" spans="2:11" x14ac:dyDescent="0.35">
      <c r="B28" s="11"/>
      <c r="C28" s="11"/>
      <c r="D28" s="11"/>
      <c r="E28" s="11"/>
      <c r="F28" s="11" t="s">
        <v>160</v>
      </c>
      <c r="G28" s="23">
        <v>5901000</v>
      </c>
      <c r="K28" s="17"/>
    </row>
    <row r="29" spans="2:11" x14ac:dyDescent="0.35">
      <c r="B29" s="11"/>
      <c r="C29" s="11"/>
      <c r="D29" s="11"/>
      <c r="E29" s="11"/>
      <c r="F29" s="11" t="s">
        <v>465</v>
      </c>
      <c r="G29" s="23">
        <v>4290000</v>
      </c>
      <c r="K29" s="17"/>
    </row>
    <row r="30" spans="2:11" x14ac:dyDescent="0.35">
      <c r="B30" s="11"/>
      <c r="C30" s="11"/>
      <c r="D30" s="11"/>
      <c r="E30" s="11" t="s">
        <v>28</v>
      </c>
      <c r="F30" s="11" t="s">
        <v>160</v>
      </c>
      <c r="G30" s="23">
        <v>3351600</v>
      </c>
      <c r="K30" s="17"/>
    </row>
    <row r="31" spans="2:11" x14ac:dyDescent="0.35">
      <c r="B31" s="11"/>
      <c r="C31" s="11"/>
      <c r="D31" s="11"/>
      <c r="E31" s="11"/>
      <c r="F31" s="11" t="s">
        <v>363</v>
      </c>
      <c r="G31" s="23">
        <v>322000</v>
      </c>
      <c r="K31" s="17"/>
    </row>
    <row r="32" spans="2:11" x14ac:dyDescent="0.35">
      <c r="B32" s="11"/>
      <c r="C32" s="11"/>
      <c r="D32" s="11"/>
      <c r="E32" s="11" t="s">
        <v>58</v>
      </c>
      <c r="F32" s="11" t="s">
        <v>363</v>
      </c>
      <c r="G32" s="23">
        <v>520000</v>
      </c>
      <c r="K32" s="17"/>
    </row>
    <row r="33" spans="2:11" x14ac:dyDescent="0.35">
      <c r="B33" s="11"/>
      <c r="C33" s="11" t="s">
        <v>2014</v>
      </c>
      <c r="D33" s="11" t="s">
        <v>26</v>
      </c>
      <c r="E33" s="11" t="s">
        <v>23</v>
      </c>
      <c r="F33" s="11" t="s">
        <v>465</v>
      </c>
      <c r="G33" s="23">
        <v>1043100</v>
      </c>
      <c r="K33" s="17"/>
    </row>
    <row r="34" spans="2:11" x14ac:dyDescent="0.35">
      <c r="B34" s="11"/>
      <c r="C34" s="11"/>
      <c r="D34" s="11"/>
      <c r="E34" s="11" t="s">
        <v>28</v>
      </c>
      <c r="F34" s="11" t="s">
        <v>20</v>
      </c>
      <c r="G34" s="23">
        <v>1178000</v>
      </c>
      <c r="K34" s="17"/>
    </row>
    <row r="35" spans="2:11" x14ac:dyDescent="0.35">
      <c r="B35" s="11"/>
      <c r="C35" s="11"/>
      <c r="D35" s="11" t="s">
        <v>15</v>
      </c>
      <c r="E35" s="11" t="s">
        <v>23</v>
      </c>
      <c r="F35" s="11" t="s">
        <v>754</v>
      </c>
      <c r="G35" s="23">
        <v>63000</v>
      </c>
      <c r="K35" s="17"/>
    </row>
    <row r="36" spans="2:11" x14ac:dyDescent="0.35">
      <c r="B36" s="11"/>
      <c r="C36" s="11"/>
      <c r="D36" s="11"/>
      <c r="E36" s="11"/>
      <c r="F36" s="11" t="s">
        <v>160</v>
      </c>
      <c r="G36" s="23">
        <v>3492303.0303030303</v>
      </c>
      <c r="K36" s="17"/>
    </row>
    <row r="37" spans="2:11" x14ac:dyDescent="0.35">
      <c r="B37" s="11"/>
      <c r="C37" s="11"/>
      <c r="D37" s="11"/>
      <c r="E37" s="11"/>
      <c r="F37" s="11" t="s">
        <v>465</v>
      </c>
      <c r="G37" s="23">
        <v>26276850</v>
      </c>
      <c r="K37" s="17"/>
    </row>
    <row r="38" spans="2:11" x14ac:dyDescent="0.35">
      <c r="B38" s="11"/>
      <c r="C38" s="11"/>
      <c r="D38" s="11"/>
      <c r="E38" s="11"/>
      <c r="F38" s="11" t="s">
        <v>20</v>
      </c>
      <c r="G38" s="23">
        <v>3049000</v>
      </c>
      <c r="K38" s="17"/>
    </row>
    <row r="39" spans="2:11" x14ac:dyDescent="0.35">
      <c r="B39" s="11"/>
      <c r="C39" s="11"/>
      <c r="D39" s="11"/>
      <c r="E39" s="11"/>
      <c r="F39" s="11" t="s">
        <v>363</v>
      </c>
      <c r="G39" s="23">
        <v>860700</v>
      </c>
      <c r="K39" s="17"/>
    </row>
    <row r="40" spans="2:11" x14ac:dyDescent="0.35">
      <c r="B40" s="11"/>
      <c r="C40" s="11"/>
      <c r="D40" s="11"/>
      <c r="E40" s="11" t="s">
        <v>17</v>
      </c>
      <c r="F40" s="11" t="s">
        <v>754</v>
      </c>
      <c r="G40" s="23">
        <v>290000</v>
      </c>
      <c r="K40" s="17"/>
    </row>
    <row r="41" spans="2:11" x14ac:dyDescent="0.35">
      <c r="B41" s="11"/>
      <c r="C41" s="11"/>
      <c r="D41" s="11"/>
      <c r="E41" s="11"/>
      <c r="F41" s="11" t="s">
        <v>160</v>
      </c>
      <c r="G41" s="23">
        <v>6194000</v>
      </c>
      <c r="K41" s="17"/>
    </row>
    <row r="42" spans="2:11" x14ac:dyDescent="0.35">
      <c r="B42" s="11"/>
      <c r="C42" s="11"/>
      <c r="D42" s="11"/>
      <c r="E42" s="11"/>
      <c r="F42" s="11" t="s">
        <v>465</v>
      </c>
      <c r="G42" s="23">
        <v>8469000</v>
      </c>
      <c r="K42" s="17"/>
    </row>
    <row r="43" spans="2:11" x14ac:dyDescent="0.35">
      <c r="B43" s="11"/>
      <c r="C43" s="11"/>
      <c r="D43" s="11"/>
      <c r="E43" s="11"/>
      <c r="F43" s="11" t="s">
        <v>20</v>
      </c>
      <c r="G43" s="23">
        <v>481000</v>
      </c>
      <c r="K43" s="17"/>
    </row>
    <row r="44" spans="2:11" x14ac:dyDescent="0.35">
      <c r="B44" s="11"/>
      <c r="C44" s="11"/>
      <c r="D44" s="11"/>
      <c r="E44" s="11"/>
      <c r="F44" s="11" t="s">
        <v>363</v>
      </c>
      <c r="G44" s="23">
        <v>204000</v>
      </c>
      <c r="K44" s="17"/>
    </row>
    <row r="45" spans="2:11" x14ac:dyDescent="0.35">
      <c r="B45" s="11"/>
      <c r="C45" s="11"/>
      <c r="D45" s="11"/>
      <c r="E45" s="11" t="s">
        <v>28</v>
      </c>
      <c r="F45" s="11" t="s">
        <v>160</v>
      </c>
      <c r="G45" s="23">
        <v>2086000</v>
      </c>
      <c r="K45" s="17"/>
    </row>
    <row r="46" spans="2:11" x14ac:dyDescent="0.35">
      <c r="B46" s="11"/>
      <c r="C46" s="11"/>
      <c r="D46" s="11"/>
      <c r="E46" s="11"/>
      <c r="F46" s="11" t="s">
        <v>465</v>
      </c>
      <c r="G46" s="23">
        <v>4510000</v>
      </c>
      <c r="K46" s="17"/>
    </row>
    <row r="47" spans="2:11" x14ac:dyDescent="0.35">
      <c r="B47" s="11"/>
      <c r="C47" s="11"/>
      <c r="D47" s="11"/>
      <c r="E47" s="11" t="s">
        <v>58</v>
      </c>
      <c r="F47" s="11" t="s">
        <v>465</v>
      </c>
      <c r="G47" s="23">
        <v>5919000</v>
      </c>
      <c r="K47" s="17"/>
    </row>
    <row r="48" spans="2:11" x14ac:dyDescent="0.35">
      <c r="B48" s="11"/>
      <c r="C48" s="11"/>
      <c r="D48" s="11" t="s">
        <v>50</v>
      </c>
      <c r="E48" s="11" t="s">
        <v>23</v>
      </c>
      <c r="F48" s="11" t="s">
        <v>754</v>
      </c>
      <c r="G48" s="23">
        <v>714000</v>
      </c>
      <c r="K48" s="17"/>
    </row>
    <row r="49" spans="2:11" x14ac:dyDescent="0.35">
      <c r="B49" s="11"/>
      <c r="C49" s="11"/>
      <c r="D49" s="11"/>
      <c r="E49" s="11" t="s">
        <v>17</v>
      </c>
      <c r="F49" s="11" t="s">
        <v>160</v>
      </c>
      <c r="G49" s="23">
        <v>3637800</v>
      </c>
      <c r="K49" s="17"/>
    </row>
    <row r="50" spans="2:11" x14ac:dyDescent="0.35">
      <c r="B50" s="11"/>
      <c r="C50" s="11"/>
      <c r="D50" s="11"/>
      <c r="E50" s="11"/>
      <c r="F50" s="11" t="s">
        <v>363</v>
      </c>
      <c r="G50" s="23">
        <v>356000</v>
      </c>
      <c r="K50" s="17"/>
    </row>
    <row r="51" spans="2:11" x14ac:dyDescent="0.35">
      <c r="B51" s="11"/>
      <c r="C51" s="11"/>
      <c r="D51" s="11"/>
      <c r="E51" s="11" t="s">
        <v>28</v>
      </c>
      <c r="F51" s="11" t="s">
        <v>754</v>
      </c>
      <c r="G51" s="23">
        <v>420000</v>
      </c>
      <c r="K51" s="17"/>
    </row>
    <row r="52" spans="2:11" x14ac:dyDescent="0.35">
      <c r="B52" s="11"/>
      <c r="C52" s="11"/>
      <c r="D52" s="11" t="s">
        <v>37</v>
      </c>
      <c r="E52" s="11" t="s">
        <v>23</v>
      </c>
      <c r="F52" s="11" t="s">
        <v>20</v>
      </c>
      <c r="G52" s="23">
        <v>217550</v>
      </c>
      <c r="K52" s="17"/>
    </row>
    <row r="53" spans="2:11" x14ac:dyDescent="0.35">
      <c r="B53" s="11"/>
      <c r="C53" s="11"/>
      <c r="D53" s="11"/>
      <c r="E53" s="11" t="s">
        <v>17</v>
      </c>
      <c r="F53" s="11" t="s">
        <v>465</v>
      </c>
      <c r="G53" s="23">
        <v>975000</v>
      </c>
      <c r="K53" s="17"/>
    </row>
    <row r="54" spans="2:11" x14ac:dyDescent="0.35">
      <c r="B54" s="11"/>
      <c r="C54" s="11"/>
      <c r="D54" s="11" t="s">
        <v>42</v>
      </c>
      <c r="E54" s="11" t="s">
        <v>23</v>
      </c>
      <c r="F54" s="11" t="s">
        <v>754</v>
      </c>
      <c r="G54" s="23">
        <v>1151000</v>
      </c>
      <c r="K54" s="17"/>
    </row>
    <row r="55" spans="2:11" x14ac:dyDescent="0.35">
      <c r="B55" s="11"/>
      <c r="C55" s="11"/>
      <c r="D55" s="11"/>
      <c r="E55" s="11"/>
      <c r="F55" s="11" t="s">
        <v>465</v>
      </c>
      <c r="G55" s="23">
        <v>1849000</v>
      </c>
      <c r="K55" s="17"/>
    </row>
    <row r="56" spans="2:11" x14ac:dyDescent="0.35">
      <c r="B56" s="11"/>
      <c r="C56" s="11"/>
      <c r="D56" s="11"/>
      <c r="E56" s="11"/>
      <c r="F56" s="11" t="s">
        <v>363</v>
      </c>
      <c r="G56" s="23">
        <v>368000</v>
      </c>
      <c r="K56" s="17"/>
    </row>
    <row r="57" spans="2:11" x14ac:dyDescent="0.35">
      <c r="B57" s="11"/>
      <c r="C57" s="11"/>
      <c r="D57" s="11"/>
      <c r="E57" s="11" t="s">
        <v>17</v>
      </c>
      <c r="F57" s="11" t="s">
        <v>754</v>
      </c>
      <c r="G57" s="23">
        <v>434150</v>
      </c>
      <c r="K57" s="17"/>
    </row>
    <row r="58" spans="2:11" x14ac:dyDescent="0.35">
      <c r="B58" s="11"/>
      <c r="C58" s="11"/>
      <c r="D58" s="11"/>
      <c r="E58" s="11"/>
      <c r="F58" s="11" t="s">
        <v>20</v>
      </c>
      <c r="G58" s="23">
        <v>1241850</v>
      </c>
      <c r="K58" s="17"/>
    </row>
    <row r="59" spans="2:11" x14ac:dyDescent="0.35">
      <c r="B59" s="11"/>
      <c r="C59" s="11"/>
      <c r="D59" s="11"/>
      <c r="E59" s="11" t="s">
        <v>58</v>
      </c>
      <c r="F59" s="11" t="s">
        <v>754</v>
      </c>
      <c r="G59" s="23">
        <v>191750</v>
      </c>
      <c r="K59" s="17"/>
    </row>
    <row r="60" spans="2:11" x14ac:dyDescent="0.35">
      <c r="B60" s="11"/>
      <c r="C60" s="11" t="s">
        <v>2015</v>
      </c>
      <c r="D60" s="11" t="s">
        <v>26</v>
      </c>
      <c r="E60" s="11" t="s">
        <v>23</v>
      </c>
      <c r="F60" s="11" t="s">
        <v>465</v>
      </c>
      <c r="G60" s="23">
        <v>11946500</v>
      </c>
      <c r="K60" s="17"/>
    </row>
    <row r="61" spans="2:11" x14ac:dyDescent="0.35">
      <c r="B61" s="11"/>
      <c r="C61" s="11"/>
      <c r="D61" s="11"/>
      <c r="E61" s="11"/>
      <c r="F61" s="11" t="s">
        <v>363</v>
      </c>
      <c r="G61" s="23">
        <v>99000</v>
      </c>
      <c r="K61" s="17"/>
    </row>
    <row r="62" spans="2:11" x14ac:dyDescent="0.35">
      <c r="B62" s="11"/>
      <c r="C62" s="11"/>
      <c r="D62" s="11"/>
      <c r="E62" s="11" t="s">
        <v>17</v>
      </c>
      <c r="F62" s="11" t="s">
        <v>465</v>
      </c>
      <c r="G62" s="23">
        <v>543000</v>
      </c>
      <c r="K62" s="17"/>
    </row>
    <row r="63" spans="2:11" x14ac:dyDescent="0.35">
      <c r="B63" s="11"/>
      <c r="C63" s="11"/>
      <c r="D63" s="11"/>
      <c r="E63" s="11" t="s">
        <v>28</v>
      </c>
      <c r="F63" s="11" t="s">
        <v>754</v>
      </c>
      <c r="G63" s="23">
        <v>428000</v>
      </c>
      <c r="K63" s="17"/>
    </row>
    <row r="64" spans="2:11" x14ac:dyDescent="0.35">
      <c r="B64" s="11"/>
      <c r="C64" s="11"/>
      <c r="D64" s="11" t="s">
        <v>15</v>
      </c>
      <c r="E64" s="11" t="s">
        <v>23</v>
      </c>
      <c r="F64" s="11" t="s">
        <v>754</v>
      </c>
      <c r="G64" s="23">
        <v>298300</v>
      </c>
      <c r="K64" s="17"/>
    </row>
    <row r="65" spans="2:11" x14ac:dyDescent="0.35">
      <c r="B65" s="11"/>
      <c r="C65" s="11"/>
      <c r="D65" s="11"/>
      <c r="E65" s="11"/>
      <c r="F65" s="11" t="s">
        <v>160</v>
      </c>
      <c r="G65" s="23">
        <v>17497000</v>
      </c>
      <c r="K65" s="17"/>
    </row>
    <row r="66" spans="2:11" x14ac:dyDescent="0.35">
      <c r="B66" s="11"/>
      <c r="C66" s="11"/>
      <c r="D66" s="11"/>
      <c r="E66" s="11"/>
      <c r="F66" s="11" t="s">
        <v>465</v>
      </c>
      <c r="G66" s="23">
        <v>6341000</v>
      </c>
      <c r="K66" s="17"/>
    </row>
    <row r="67" spans="2:11" x14ac:dyDescent="0.35">
      <c r="B67" s="11"/>
      <c r="C67" s="11"/>
      <c r="D67" s="11"/>
      <c r="E67" s="11"/>
      <c r="F67" s="11" t="s">
        <v>20</v>
      </c>
      <c r="G67" s="23">
        <v>2888000</v>
      </c>
      <c r="K67" s="17"/>
    </row>
    <row r="68" spans="2:11" x14ac:dyDescent="0.35">
      <c r="B68" s="11"/>
      <c r="C68" s="11"/>
      <c r="D68" s="11"/>
      <c r="E68" s="11" t="s">
        <v>17</v>
      </c>
      <c r="F68" s="11" t="s">
        <v>754</v>
      </c>
      <c r="G68" s="23">
        <v>300850</v>
      </c>
      <c r="K68" s="17"/>
    </row>
    <row r="69" spans="2:11" x14ac:dyDescent="0.35">
      <c r="B69" s="11"/>
      <c r="C69" s="11"/>
      <c r="D69" s="11"/>
      <c r="E69" s="11"/>
      <c r="F69" s="11" t="s">
        <v>160</v>
      </c>
      <c r="G69" s="23">
        <v>2098000</v>
      </c>
      <c r="K69" s="17"/>
    </row>
    <row r="70" spans="2:11" x14ac:dyDescent="0.35">
      <c r="B70" s="11"/>
      <c r="C70" s="11"/>
      <c r="D70" s="11"/>
      <c r="E70" s="11"/>
      <c r="F70" s="11" t="s">
        <v>20</v>
      </c>
      <c r="G70" s="23">
        <v>732000</v>
      </c>
      <c r="K70" s="17"/>
    </row>
    <row r="71" spans="2:11" x14ac:dyDescent="0.35">
      <c r="B71" s="11"/>
      <c r="C71" s="11"/>
      <c r="D71" s="11"/>
      <c r="E71" s="11" t="s">
        <v>28</v>
      </c>
      <c r="F71" s="11" t="s">
        <v>465</v>
      </c>
      <c r="G71" s="23">
        <v>2787300</v>
      </c>
      <c r="K71" s="17"/>
    </row>
    <row r="72" spans="2:11" x14ac:dyDescent="0.35">
      <c r="B72" s="11"/>
      <c r="C72" s="11"/>
      <c r="D72" s="11"/>
      <c r="E72" s="11"/>
      <c r="F72" s="11" t="s">
        <v>363</v>
      </c>
      <c r="G72" s="23">
        <v>1530000</v>
      </c>
      <c r="K72" s="17"/>
    </row>
    <row r="73" spans="2:11" x14ac:dyDescent="0.35">
      <c r="B73" s="11"/>
      <c r="C73" s="11"/>
      <c r="D73" s="11" t="s">
        <v>50</v>
      </c>
      <c r="E73" s="11" t="s">
        <v>23</v>
      </c>
      <c r="F73" s="11" t="s">
        <v>465</v>
      </c>
      <c r="G73" s="23">
        <v>5568000</v>
      </c>
      <c r="K73" s="17"/>
    </row>
    <row r="74" spans="2:11" x14ac:dyDescent="0.35">
      <c r="B74" s="11"/>
      <c r="C74" s="11"/>
      <c r="D74" s="11"/>
      <c r="E74" s="11"/>
      <c r="F74" s="11" t="s">
        <v>363</v>
      </c>
      <c r="G74" s="23">
        <v>401000</v>
      </c>
      <c r="K74" s="17"/>
    </row>
    <row r="75" spans="2:11" x14ac:dyDescent="0.35">
      <c r="B75" s="11"/>
      <c r="C75" s="11"/>
      <c r="D75" s="11"/>
      <c r="E75" s="11" t="s">
        <v>58</v>
      </c>
      <c r="F75" s="11" t="s">
        <v>465</v>
      </c>
      <c r="G75" s="23">
        <v>2358000</v>
      </c>
      <c r="K75" s="17"/>
    </row>
    <row r="76" spans="2:11" x14ac:dyDescent="0.35">
      <c r="B76" s="11"/>
      <c r="C76" s="11"/>
      <c r="D76" s="11" t="s">
        <v>37</v>
      </c>
      <c r="E76" s="11" t="s">
        <v>23</v>
      </c>
      <c r="F76" s="11" t="s">
        <v>20</v>
      </c>
      <c r="G76" s="23">
        <v>1352000</v>
      </c>
      <c r="K76" s="17"/>
    </row>
    <row r="77" spans="2:11" x14ac:dyDescent="0.35">
      <c r="B77" s="11"/>
      <c r="C77" s="11"/>
      <c r="D77" s="11"/>
      <c r="E77" s="11" t="s">
        <v>17</v>
      </c>
      <c r="F77" s="11" t="s">
        <v>20</v>
      </c>
      <c r="G77" s="23">
        <v>501600</v>
      </c>
      <c r="K77" s="17"/>
    </row>
    <row r="78" spans="2:11" x14ac:dyDescent="0.35">
      <c r="B78" s="11"/>
      <c r="C78" s="11"/>
      <c r="D78" s="11"/>
      <c r="E78" s="11" t="s">
        <v>58</v>
      </c>
      <c r="F78" s="11" t="s">
        <v>465</v>
      </c>
      <c r="G78" s="23">
        <v>4500000</v>
      </c>
      <c r="K78" s="17"/>
    </row>
    <row r="79" spans="2:11" x14ac:dyDescent="0.35">
      <c r="B79" s="11"/>
      <c r="C79" s="11"/>
      <c r="D79" s="11" t="s">
        <v>42</v>
      </c>
      <c r="E79" s="11" t="s">
        <v>23</v>
      </c>
      <c r="F79" s="11" t="s">
        <v>754</v>
      </c>
      <c r="G79" s="23">
        <v>486000</v>
      </c>
      <c r="K79" s="17"/>
    </row>
    <row r="80" spans="2:11" x14ac:dyDescent="0.35">
      <c r="B80" s="11"/>
      <c r="C80" s="11"/>
      <c r="D80" s="11"/>
      <c r="E80" s="11"/>
      <c r="F80" s="11" t="s">
        <v>465</v>
      </c>
      <c r="G80" s="23">
        <v>7291000</v>
      </c>
      <c r="K80" s="17"/>
    </row>
    <row r="81" spans="2:11" x14ac:dyDescent="0.35">
      <c r="B81" s="11"/>
      <c r="C81" s="11"/>
      <c r="D81" s="11"/>
      <c r="E81" s="11"/>
      <c r="F81" s="11" t="s">
        <v>20</v>
      </c>
      <c r="G81" s="23">
        <v>3820000</v>
      </c>
      <c r="K81" s="17"/>
    </row>
    <row r="82" spans="2:11" x14ac:dyDescent="0.35">
      <c r="B82" s="11"/>
      <c r="C82" s="11"/>
      <c r="D82" s="11"/>
      <c r="E82" s="11"/>
      <c r="F82" s="11" t="s">
        <v>363</v>
      </c>
      <c r="G82" s="23">
        <v>769500</v>
      </c>
      <c r="K82" s="17"/>
    </row>
    <row r="83" spans="2:11" x14ac:dyDescent="0.35">
      <c r="B83" s="11"/>
      <c r="C83" s="11"/>
      <c r="D83" s="11"/>
      <c r="E83" s="11" t="s">
        <v>17</v>
      </c>
      <c r="F83" s="11" t="s">
        <v>160</v>
      </c>
      <c r="G83" s="23">
        <v>18176000</v>
      </c>
      <c r="K83" s="17"/>
    </row>
    <row r="84" spans="2:11" x14ac:dyDescent="0.35">
      <c r="B84" s="11"/>
      <c r="C84" s="11"/>
      <c r="D84" s="11"/>
      <c r="E84" s="11"/>
      <c r="F84" s="11" t="s">
        <v>465</v>
      </c>
      <c r="G84" s="23">
        <v>4816000</v>
      </c>
      <c r="K84" s="17"/>
    </row>
    <row r="85" spans="2:11" x14ac:dyDescent="0.35">
      <c r="B85" s="11"/>
      <c r="C85" s="11"/>
      <c r="D85" s="11"/>
      <c r="E85" s="11"/>
      <c r="F85" s="11" t="s">
        <v>20</v>
      </c>
      <c r="G85" s="23">
        <v>481000</v>
      </c>
      <c r="K85" s="17"/>
    </row>
    <row r="86" spans="2:11" x14ac:dyDescent="0.35">
      <c r="B86" s="11"/>
      <c r="C86" s="11"/>
      <c r="D86" s="11"/>
      <c r="E86" s="11" t="s">
        <v>28</v>
      </c>
      <c r="F86" s="11" t="s">
        <v>465</v>
      </c>
      <c r="G86" s="23">
        <v>516000</v>
      </c>
      <c r="K86" s="17"/>
    </row>
    <row r="87" spans="2:11" x14ac:dyDescent="0.35">
      <c r="B87" s="11"/>
      <c r="C87" s="11"/>
      <c r="D87" s="11"/>
      <c r="E87" s="11"/>
      <c r="F87" s="11" t="s">
        <v>363</v>
      </c>
      <c r="G87" s="23">
        <v>7060000</v>
      </c>
      <c r="K87" s="17"/>
    </row>
    <row r="88" spans="2:11" x14ac:dyDescent="0.35">
      <c r="B88" s="11"/>
      <c r="C88" s="11" t="s">
        <v>2016</v>
      </c>
      <c r="D88" s="11" t="s">
        <v>26</v>
      </c>
      <c r="E88" s="11" t="s">
        <v>23</v>
      </c>
      <c r="F88" s="11" t="s">
        <v>754</v>
      </c>
      <c r="G88" s="23">
        <v>118000</v>
      </c>
      <c r="K88" s="17"/>
    </row>
    <row r="89" spans="2:11" x14ac:dyDescent="0.35">
      <c r="B89" s="11"/>
      <c r="C89" s="11"/>
      <c r="D89" s="11"/>
      <c r="E89" s="11" t="s">
        <v>17</v>
      </c>
      <c r="F89" s="11" t="s">
        <v>754</v>
      </c>
      <c r="G89" s="23">
        <v>279000</v>
      </c>
      <c r="K89" s="17"/>
    </row>
    <row r="90" spans="2:11" x14ac:dyDescent="0.35">
      <c r="B90" s="11"/>
      <c r="C90" s="11"/>
      <c r="D90" s="11"/>
      <c r="E90" s="11" t="s">
        <v>28</v>
      </c>
      <c r="F90" s="11" t="s">
        <v>754</v>
      </c>
      <c r="G90" s="23">
        <v>177000</v>
      </c>
      <c r="K90" s="17"/>
    </row>
    <row r="91" spans="2:11" x14ac:dyDescent="0.35">
      <c r="B91" s="11"/>
      <c r="C91" s="11"/>
      <c r="D91" s="11" t="s">
        <v>15</v>
      </c>
      <c r="E91" s="11" t="s">
        <v>23</v>
      </c>
      <c r="F91" s="11" t="s">
        <v>754</v>
      </c>
      <c r="G91" s="23">
        <v>417000</v>
      </c>
      <c r="K91" s="17"/>
    </row>
    <row r="92" spans="2:11" x14ac:dyDescent="0.35">
      <c r="B92" s="11"/>
      <c r="C92" s="11"/>
      <c r="D92" s="11"/>
      <c r="E92" s="11"/>
      <c r="F92" s="11" t="s">
        <v>160</v>
      </c>
      <c r="G92" s="23">
        <v>5288000</v>
      </c>
      <c r="K92" s="17"/>
    </row>
    <row r="93" spans="2:11" x14ac:dyDescent="0.35">
      <c r="B93" s="11"/>
      <c r="C93" s="11"/>
      <c r="D93" s="11"/>
      <c r="E93" s="11"/>
      <c r="F93" s="11" t="s">
        <v>465</v>
      </c>
      <c r="G93" s="23">
        <v>9224000</v>
      </c>
      <c r="K93" s="17"/>
    </row>
    <row r="94" spans="2:11" x14ac:dyDescent="0.35">
      <c r="B94" s="11"/>
      <c r="C94" s="11"/>
      <c r="D94" s="11"/>
      <c r="E94" s="11"/>
      <c r="F94" s="11" t="s">
        <v>20</v>
      </c>
      <c r="G94" s="23">
        <v>2277600</v>
      </c>
      <c r="K94" s="17"/>
    </row>
    <row r="95" spans="2:11" x14ac:dyDescent="0.35">
      <c r="B95" s="11"/>
      <c r="C95" s="11"/>
      <c r="D95" s="11"/>
      <c r="E95" s="11" t="s">
        <v>17</v>
      </c>
      <c r="F95" s="11" t="s">
        <v>754</v>
      </c>
      <c r="G95" s="23">
        <v>66000</v>
      </c>
      <c r="K95" s="17"/>
    </row>
    <row r="96" spans="2:11" x14ac:dyDescent="0.35">
      <c r="B96" s="11"/>
      <c r="C96" s="11"/>
      <c r="D96" s="11"/>
      <c r="E96" s="11"/>
      <c r="F96" s="11" t="s">
        <v>465</v>
      </c>
      <c r="G96" s="23">
        <v>4766000</v>
      </c>
      <c r="K96" s="17"/>
    </row>
    <row r="97" spans="2:11" x14ac:dyDescent="0.35">
      <c r="B97" s="11"/>
      <c r="C97" s="11"/>
      <c r="D97" s="11"/>
      <c r="E97" s="11"/>
      <c r="F97" s="11" t="s">
        <v>363</v>
      </c>
      <c r="G97" s="23">
        <v>7672000</v>
      </c>
      <c r="K97" s="17"/>
    </row>
    <row r="98" spans="2:11" x14ac:dyDescent="0.35">
      <c r="B98" s="11"/>
      <c r="C98" s="11"/>
      <c r="D98" s="11"/>
      <c r="E98" s="11" t="s">
        <v>28</v>
      </c>
      <c r="F98" s="11" t="s">
        <v>160</v>
      </c>
      <c r="G98" s="23">
        <v>2647000</v>
      </c>
      <c r="K98" s="17"/>
    </row>
    <row r="99" spans="2:11" x14ac:dyDescent="0.35">
      <c r="B99" s="11"/>
      <c r="C99" s="11"/>
      <c r="D99" s="11"/>
      <c r="E99" s="11"/>
      <c r="F99" s="11" t="s">
        <v>363</v>
      </c>
      <c r="G99" s="23">
        <v>720000</v>
      </c>
      <c r="K99" s="17"/>
    </row>
    <row r="100" spans="2:11" x14ac:dyDescent="0.35">
      <c r="B100" s="11"/>
      <c r="C100" s="11"/>
      <c r="D100" s="11" t="s">
        <v>50</v>
      </c>
      <c r="E100" s="11" t="s">
        <v>23</v>
      </c>
      <c r="F100" s="11" t="s">
        <v>465</v>
      </c>
      <c r="G100" s="23">
        <v>2636000</v>
      </c>
      <c r="K100" s="17"/>
    </row>
    <row r="101" spans="2:11" x14ac:dyDescent="0.35">
      <c r="B101" s="11"/>
      <c r="C101" s="11"/>
      <c r="D101" s="11"/>
      <c r="E101" s="11"/>
      <c r="F101" s="11" t="s">
        <v>20</v>
      </c>
      <c r="G101" s="23">
        <v>819850</v>
      </c>
      <c r="K101" s="17"/>
    </row>
    <row r="102" spans="2:11" x14ac:dyDescent="0.35">
      <c r="B102" s="11"/>
      <c r="C102" s="11"/>
      <c r="D102" s="11"/>
      <c r="E102" s="11" t="s">
        <v>17</v>
      </c>
      <c r="F102" s="11" t="s">
        <v>20</v>
      </c>
      <c r="G102" s="23">
        <v>1443000</v>
      </c>
      <c r="K102" s="17"/>
    </row>
    <row r="103" spans="2:11" x14ac:dyDescent="0.35">
      <c r="B103" s="11"/>
      <c r="C103" s="11"/>
      <c r="D103" s="11" t="s">
        <v>37</v>
      </c>
      <c r="E103" s="11" t="s">
        <v>23</v>
      </c>
      <c r="F103" s="11" t="s">
        <v>754</v>
      </c>
      <c r="G103" s="23">
        <v>338000</v>
      </c>
      <c r="K103" s="17"/>
    </row>
    <row r="104" spans="2:11" x14ac:dyDescent="0.35">
      <c r="B104" s="11"/>
      <c r="C104" s="11"/>
      <c r="D104" s="11"/>
      <c r="E104" s="11" t="s">
        <v>17</v>
      </c>
      <c r="F104" s="11" t="s">
        <v>754</v>
      </c>
      <c r="G104" s="23">
        <v>102000</v>
      </c>
      <c r="K104" s="17"/>
    </row>
    <row r="105" spans="2:11" x14ac:dyDescent="0.35">
      <c r="B105" s="11"/>
      <c r="C105" s="11"/>
      <c r="D105" s="11"/>
      <c r="E105" s="11"/>
      <c r="F105" s="11" t="s">
        <v>160</v>
      </c>
      <c r="G105" s="23">
        <v>5588000</v>
      </c>
      <c r="K105" s="17"/>
    </row>
    <row r="106" spans="2:11" x14ac:dyDescent="0.35">
      <c r="B106" s="11"/>
      <c r="C106" s="11"/>
      <c r="D106" s="11"/>
      <c r="E106" s="11"/>
      <c r="F106" s="11" t="s">
        <v>20</v>
      </c>
      <c r="G106" s="23">
        <v>1245000</v>
      </c>
      <c r="K106" s="17"/>
    </row>
    <row r="107" spans="2:11" x14ac:dyDescent="0.35">
      <c r="B107" s="11"/>
      <c r="C107" s="11"/>
      <c r="D107" s="11"/>
      <c r="E107" s="11"/>
      <c r="F107" s="11" t="s">
        <v>363</v>
      </c>
      <c r="G107" s="23">
        <v>10220750</v>
      </c>
      <c r="K107" s="17"/>
    </row>
    <row r="108" spans="2:11" x14ac:dyDescent="0.35">
      <c r="B108" s="11"/>
      <c r="C108" s="11"/>
      <c r="D108" s="11"/>
      <c r="E108" s="11" t="s">
        <v>28</v>
      </c>
      <c r="F108" s="11" t="s">
        <v>160</v>
      </c>
      <c r="G108" s="23">
        <v>4838200</v>
      </c>
      <c r="K108" s="17"/>
    </row>
    <row r="109" spans="2:11" x14ac:dyDescent="0.35">
      <c r="B109" s="11"/>
      <c r="C109" s="11"/>
      <c r="D109" s="11" t="s">
        <v>42</v>
      </c>
      <c r="E109" s="11" t="s">
        <v>23</v>
      </c>
      <c r="F109" s="11" t="s">
        <v>160</v>
      </c>
      <c r="G109" s="23">
        <v>12175500</v>
      </c>
      <c r="K109" s="17"/>
    </row>
    <row r="110" spans="2:11" x14ac:dyDescent="0.35">
      <c r="B110" s="11"/>
      <c r="C110" s="11"/>
      <c r="D110" s="11"/>
      <c r="E110" s="11"/>
      <c r="F110" s="11" t="s">
        <v>465</v>
      </c>
      <c r="G110" s="23">
        <v>6185900</v>
      </c>
      <c r="K110" s="17"/>
    </row>
    <row r="111" spans="2:11" x14ac:dyDescent="0.35">
      <c r="B111" s="11"/>
      <c r="C111" s="11"/>
      <c r="D111" s="11"/>
      <c r="E111" s="11"/>
      <c r="F111" s="11" t="s">
        <v>20</v>
      </c>
      <c r="G111" s="23">
        <v>501000</v>
      </c>
      <c r="K111" s="17"/>
    </row>
    <row r="112" spans="2:11" x14ac:dyDescent="0.35">
      <c r="B112" s="11"/>
      <c r="C112" s="11"/>
      <c r="D112" s="11"/>
      <c r="E112" s="11"/>
      <c r="F112" s="11" t="s">
        <v>363</v>
      </c>
      <c r="G112" s="23">
        <v>2890666.6666666665</v>
      </c>
      <c r="K112" s="17"/>
    </row>
    <row r="113" spans="2:11" x14ac:dyDescent="0.35">
      <c r="B113" s="11"/>
      <c r="C113" s="11"/>
      <c r="D113" s="11"/>
      <c r="E113" s="11" t="s">
        <v>17</v>
      </c>
      <c r="F113" s="11" t="s">
        <v>754</v>
      </c>
      <c r="G113" s="23">
        <v>500000</v>
      </c>
      <c r="K113" s="17"/>
    </row>
    <row r="114" spans="2:11" x14ac:dyDescent="0.35">
      <c r="B114" s="11"/>
      <c r="C114" s="11"/>
      <c r="D114" s="11"/>
      <c r="E114" s="11"/>
      <c r="F114" s="11" t="s">
        <v>20</v>
      </c>
      <c r="G114" s="23">
        <v>2814000</v>
      </c>
    </row>
    <row r="115" spans="2:11" x14ac:dyDescent="0.35">
      <c r="B115" s="11"/>
      <c r="C115" s="11"/>
      <c r="D115" s="11"/>
      <c r="E115" s="11" t="s">
        <v>28</v>
      </c>
      <c r="F115" s="11" t="s">
        <v>160</v>
      </c>
      <c r="G115" s="23">
        <v>17407800</v>
      </c>
    </row>
    <row r="116" spans="2:11" x14ac:dyDescent="0.35">
      <c r="B116" s="11"/>
      <c r="C116" s="11"/>
      <c r="D116" s="11"/>
      <c r="E116" s="11" t="s">
        <v>58</v>
      </c>
      <c r="F116" s="11" t="s">
        <v>160</v>
      </c>
      <c r="G116" s="23">
        <v>6286145.4545454551</v>
      </c>
    </row>
    <row r="117" spans="2:11" x14ac:dyDescent="0.35">
      <c r="B117" s="11"/>
      <c r="C117" s="11" t="s">
        <v>2017</v>
      </c>
      <c r="D117" s="11" t="s">
        <v>26</v>
      </c>
      <c r="E117" s="11" t="s">
        <v>17</v>
      </c>
      <c r="F117" s="11" t="s">
        <v>363</v>
      </c>
      <c r="G117" s="23">
        <v>5234400</v>
      </c>
    </row>
    <row r="118" spans="2:11" x14ac:dyDescent="0.35">
      <c r="B118" s="11"/>
      <c r="C118" s="11"/>
      <c r="D118" s="11" t="s">
        <v>15</v>
      </c>
      <c r="E118" s="11" t="s">
        <v>23</v>
      </c>
      <c r="F118" s="11" t="s">
        <v>754</v>
      </c>
      <c r="G118" s="23">
        <v>263950</v>
      </c>
    </row>
    <row r="119" spans="2:11" x14ac:dyDescent="0.35">
      <c r="B119" s="11"/>
      <c r="C119" s="11"/>
      <c r="D119" s="11"/>
      <c r="E119" s="11"/>
      <c r="F119" s="11" t="s">
        <v>160</v>
      </c>
      <c r="G119" s="23">
        <v>20669200</v>
      </c>
    </row>
    <row r="120" spans="2:11" x14ac:dyDescent="0.35">
      <c r="B120" s="11"/>
      <c r="C120" s="11"/>
      <c r="D120" s="11"/>
      <c r="E120" s="11"/>
      <c r="F120" s="11" t="s">
        <v>465</v>
      </c>
      <c r="G120" s="23">
        <v>4948100</v>
      </c>
    </row>
    <row r="121" spans="2:11" x14ac:dyDescent="0.35">
      <c r="B121" s="11"/>
      <c r="C121" s="11"/>
      <c r="D121" s="11"/>
      <c r="E121" s="11"/>
      <c r="F121" s="11" t="s">
        <v>363</v>
      </c>
      <c r="G121" s="23">
        <v>1462100</v>
      </c>
    </row>
    <row r="122" spans="2:11" x14ac:dyDescent="0.35">
      <c r="B122" s="11"/>
      <c r="C122" s="11"/>
      <c r="D122" s="11"/>
      <c r="E122" s="11" t="s">
        <v>17</v>
      </c>
      <c r="F122" s="11" t="s">
        <v>754</v>
      </c>
      <c r="G122" s="23">
        <v>878000</v>
      </c>
    </row>
    <row r="123" spans="2:11" x14ac:dyDescent="0.35">
      <c r="B123" s="11"/>
      <c r="C123" s="11"/>
      <c r="D123" s="11"/>
      <c r="E123" s="11"/>
      <c r="F123" s="11" t="s">
        <v>465</v>
      </c>
      <c r="G123" s="23">
        <v>12085203.389830507</v>
      </c>
    </row>
    <row r="124" spans="2:11" x14ac:dyDescent="0.35">
      <c r="B124" s="11"/>
      <c r="C124" s="11"/>
      <c r="D124" s="11"/>
      <c r="E124" s="11" t="s">
        <v>28</v>
      </c>
      <c r="F124" s="11" t="s">
        <v>20</v>
      </c>
      <c r="G124" s="23">
        <v>499000</v>
      </c>
    </row>
    <row r="125" spans="2:11" x14ac:dyDescent="0.35">
      <c r="B125" s="11"/>
      <c r="C125" s="11"/>
      <c r="D125" s="11"/>
      <c r="E125" s="11" t="s">
        <v>58</v>
      </c>
      <c r="F125" s="11" t="s">
        <v>160</v>
      </c>
      <c r="G125" s="23">
        <v>921000</v>
      </c>
    </row>
    <row r="126" spans="2:11" x14ac:dyDescent="0.35">
      <c r="B126" s="11"/>
      <c r="C126" s="11"/>
      <c r="D126" s="11" t="s">
        <v>50</v>
      </c>
      <c r="E126" s="11" t="s">
        <v>23</v>
      </c>
      <c r="F126" s="11" t="s">
        <v>160</v>
      </c>
      <c r="G126" s="23">
        <v>14592200</v>
      </c>
    </row>
    <row r="127" spans="2:11" x14ac:dyDescent="0.35">
      <c r="B127" s="11"/>
      <c r="C127" s="11"/>
      <c r="D127" s="11"/>
      <c r="E127" s="11"/>
      <c r="F127" s="11" t="s">
        <v>465</v>
      </c>
      <c r="G127" s="23">
        <v>3956000</v>
      </c>
    </row>
    <row r="128" spans="2:11" x14ac:dyDescent="0.35">
      <c r="B128" s="11"/>
      <c r="C128" s="11"/>
      <c r="D128" s="11"/>
      <c r="E128" s="11"/>
      <c r="F128" s="11" t="s">
        <v>363</v>
      </c>
      <c r="G128" s="23">
        <v>314450</v>
      </c>
    </row>
    <row r="129" spans="2:7" x14ac:dyDescent="0.35">
      <c r="B129" s="11"/>
      <c r="C129" s="11"/>
      <c r="D129" s="11"/>
      <c r="E129" s="11" t="s">
        <v>28</v>
      </c>
      <c r="F129" s="11" t="s">
        <v>754</v>
      </c>
      <c r="G129" s="23">
        <v>95000</v>
      </c>
    </row>
    <row r="130" spans="2:7" x14ac:dyDescent="0.35">
      <c r="B130" s="11"/>
      <c r="C130" s="11"/>
      <c r="D130" s="11"/>
      <c r="E130" s="11"/>
      <c r="F130" s="11" t="s">
        <v>465</v>
      </c>
      <c r="G130" s="23">
        <v>5330521.7391304346</v>
      </c>
    </row>
    <row r="131" spans="2:7" x14ac:dyDescent="0.35">
      <c r="B131" s="11"/>
      <c r="C131" s="11"/>
      <c r="D131" s="11" t="s">
        <v>37</v>
      </c>
      <c r="E131" s="11" t="s">
        <v>23</v>
      </c>
      <c r="F131" s="11" t="s">
        <v>754</v>
      </c>
      <c r="G131" s="23">
        <v>89000</v>
      </c>
    </row>
    <row r="132" spans="2:7" x14ac:dyDescent="0.35">
      <c r="B132" s="11"/>
      <c r="C132" s="11"/>
      <c r="D132" s="11"/>
      <c r="E132" s="11"/>
      <c r="F132" s="11" t="s">
        <v>160</v>
      </c>
      <c r="G132" s="23">
        <v>3079000</v>
      </c>
    </row>
    <row r="133" spans="2:7" x14ac:dyDescent="0.35">
      <c r="B133" s="11"/>
      <c r="C133" s="11"/>
      <c r="D133" s="11"/>
      <c r="E133" s="11"/>
      <c r="F133" s="11" t="s">
        <v>465</v>
      </c>
      <c r="G133" s="23">
        <v>1280000</v>
      </c>
    </row>
    <row r="134" spans="2:7" x14ac:dyDescent="0.35">
      <c r="B134" s="11"/>
      <c r="C134" s="11"/>
      <c r="D134" s="11"/>
      <c r="E134" s="11"/>
      <c r="F134" s="11" t="s">
        <v>20</v>
      </c>
      <c r="G134" s="23">
        <v>1341000</v>
      </c>
    </row>
    <row r="135" spans="2:7" x14ac:dyDescent="0.35">
      <c r="B135" s="11"/>
      <c r="C135" s="11"/>
      <c r="D135" s="11" t="s">
        <v>42</v>
      </c>
      <c r="E135" s="11" t="s">
        <v>23</v>
      </c>
      <c r="F135" s="11" t="s">
        <v>160</v>
      </c>
      <c r="G135" s="23">
        <v>7508000</v>
      </c>
    </row>
    <row r="136" spans="2:7" x14ac:dyDescent="0.35">
      <c r="B136" s="11"/>
      <c r="C136" s="11"/>
      <c r="D136" s="11"/>
      <c r="E136" s="11"/>
      <c r="F136" s="11" t="s">
        <v>465</v>
      </c>
      <c r="G136" s="23">
        <v>5443500</v>
      </c>
    </row>
    <row r="137" spans="2:7" x14ac:dyDescent="0.35">
      <c r="B137" s="11"/>
      <c r="C137" s="11"/>
      <c r="D137" s="11"/>
      <c r="E137" s="11"/>
      <c r="F137" s="11" t="s">
        <v>20</v>
      </c>
      <c r="G137" s="23">
        <v>499000</v>
      </c>
    </row>
    <row r="138" spans="2:7" x14ac:dyDescent="0.35">
      <c r="B138" s="11"/>
      <c r="C138" s="11"/>
      <c r="D138" s="11"/>
      <c r="E138" s="11" t="s">
        <v>17</v>
      </c>
      <c r="F138" s="11" t="s">
        <v>754</v>
      </c>
      <c r="G138" s="23">
        <v>143000</v>
      </c>
    </row>
    <row r="139" spans="2:7" x14ac:dyDescent="0.35">
      <c r="B139" s="11"/>
      <c r="C139" s="11"/>
      <c r="D139" s="11"/>
      <c r="E139" s="11"/>
      <c r="F139" s="11" t="s">
        <v>465</v>
      </c>
      <c r="G139" s="23">
        <v>37478900</v>
      </c>
    </row>
    <row r="140" spans="2:7" x14ac:dyDescent="0.35">
      <c r="B140" s="11"/>
      <c r="C140" s="11"/>
      <c r="D140" s="11"/>
      <c r="E140" s="11"/>
      <c r="F140" s="11" t="s">
        <v>20</v>
      </c>
      <c r="G140" s="23">
        <v>358000</v>
      </c>
    </row>
    <row r="141" spans="2:7" x14ac:dyDescent="0.35">
      <c r="B141" s="11"/>
      <c r="C141" s="11"/>
      <c r="D141" s="11"/>
      <c r="E141" s="11" t="s">
        <v>28</v>
      </c>
      <c r="F141" s="11" t="s">
        <v>160</v>
      </c>
      <c r="G141" s="23">
        <v>11062800</v>
      </c>
    </row>
    <row r="142" spans="2:7" x14ac:dyDescent="0.35">
      <c r="B142" s="11"/>
      <c r="C142" s="11"/>
      <c r="D142" s="11"/>
      <c r="E142" s="11"/>
      <c r="F142" s="11" t="s">
        <v>465</v>
      </c>
      <c r="G142" s="23">
        <v>8871000</v>
      </c>
    </row>
    <row r="143" spans="2:7" x14ac:dyDescent="0.35">
      <c r="B143" s="11"/>
      <c r="C143" s="11"/>
      <c r="D143" s="11"/>
      <c r="E143" s="11"/>
      <c r="F143" s="11" t="s">
        <v>363</v>
      </c>
      <c r="G143" s="23">
        <v>10509000</v>
      </c>
    </row>
    <row r="144" spans="2:7" x14ac:dyDescent="0.35">
      <c r="B144" s="11"/>
      <c r="C144" s="11"/>
      <c r="D144" s="11"/>
      <c r="E144" s="11" t="s">
        <v>58</v>
      </c>
      <c r="F144" s="11" t="s">
        <v>754</v>
      </c>
      <c r="G144" s="23">
        <v>447000</v>
      </c>
    </row>
    <row r="145" spans="2:7" x14ac:dyDescent="0.35">
      <c r="B145" s="11"/>
      <c r="C145" s="11" t="s">
        <v>2018</v>
      </c>
      <c r="D145" s="11" t="s">
        <v>26</v>
      </c>
      <c r="E145" s="11" t="s">
        <v>23</v>
      </c>
      <c r="F145" s="11" t="s">
        <v>754</v>
      </c>
      <c r="G145" s="23">
        <v>150384.61538461538</v>
      </c>
    </row>
    <row r="146" spans="2:7" x14ac:dyDescent="0.35">
      <c r="B146" s="11"/>
      <c r="C146" s="11"/>
      <c r="D146" s="11"/>
      <c r="E146" s="11"/>
      <c r="F146" s="11" t="s">
        <v>363</v>
      </c>
      <c r="G146" s="23">
        <v>254000</v>
      </c>
    </row>
    <row r="147" spans="2:7" x14ac:dyDescent="0.35">
      <c r="B147" s="11"/>
      <c r="C147" s="11"/>
      <c r="D147" s="11"/>
      <c r="E147" s="11" t="s">
        <v>17</v>
      </c>
      <c r="F147" s="11" t="s">
        <v>160</v>
      </c>
      <c r="G147" s="23">
        <v>3269700</v>
      </c>
    </row>
    <row r="148" spans="2:7" x14ac:dyDescent="0.35">
      <c r="B148" s="11"/>
      <c r="C148" s="11"/>
      <c r="D148" s="11"/>
      <c r="E148" s="11" t="s">
        <v>58</v>
      </c>
      <c r="F148" s="11" t="s">
        <v>754</v>
      </c>
      <c r="G148" s="23">
        <v>232000</v>
      </c>
    </row>
    <row r="149" spans="2:7" x14ac:dyDescent="0.35">
      <c r="B149" s="11"/>
      <c r="C149" s="11"/>
      <c r="D149" s="11" t="s">
        <v>15</v>
      </c>
      <c r="E149" s="11" t="s">
        <v>23</v>
      </c>
      <c r="F149" s="11" t="s">
        <v>754</v>
      </c>
      <c r="G149" s="23">
        <v>514000</v>
      </c>
    </row>
    <row r="150" spans="2:7" x14ac:dyDescent="0.35">
      <c r="B150" s="11"/>
      <c r="C150" s="11"/>
      <c r="D150" s="11"/>
      <c r="E150" s="11"/>
      <c r="F150" s="11" t="s">
        <v>160</v>
      </c>
      <c r="G150" s="23">
        <v>6941000</v>
      </c>
    </row>
    <row r="151" spans="2:7" x14ac:dyDescent="0.35">
      <c r="B151" s="11"/>
      <c r="C151" s="11"/>
      <c r="D151" s="11"/>
      <c r="E151" s="11"/>
      <c r="F151" s="11" t="s">
        <v>465</v>
      </c>
      <c r="G151" s="23">
        <v>4153000</v>
      </c>
    </row>
    <row r="152" spans="2:7" x14ac:dyDescent="0.35">
      <c r="B152" s="11"/>
      <c r="C152" s="11"/>
      <c r="D152" s="11"/>
      <c r="E152" s="11"/>
      <c r="F152" s="11" t="s">
        <v>20</v>
      </c>
      <c r="G152" s="23">
        <v>1736650</v>
      </c>
    </row>
    <row r="153" spans="2:7" x14ac:dyDescent="0.35">
      <c r="B153" s="11"/>
      <c r="C153" s="11"/>
      <c r="D153" s="11"/>
      <c r="E153" s="11"/>
      <c r="F153" s="11" t="s">
        <v>363</v>
      </c>
      <c r="G153" s="23">
        <v>5943000</v>
      </c>
    </row>
    <row r="154" spans="2:7" x14ac:dyDescent="0.35">
      <c r="B154" s="11"/>
      <c r="C154" s="11"/>
      <c r="D154" s="11"/>
      <c r="E154" s="11" t="s">
        <v>17</v>
      </c>
      <c r="F154" s="11" t="s">
        <v>754</v>
      </c>
      <c r="G154" s="23">
        <v>61000</v>
      </c>
    </row>
    <row r="155" spans="2:7" x14ac:dyDescent="0.35">
      <c r="B155" s="11"/>
      <c r="C155" s="11"/>
      <c r="D155" s="11"/>
      <c r="E155" s="11"/>
      <c r="F155" s="11" t="s">
        <v>20</v>
      </c>
      <c r="G155" s="23">
        <v>2175850</v>
      </c>
    </row>
    <row r="156" spans="2:7" x14ac:dyDescent="0.35">
      <c r="B156" s="11"/>
      <c r="C156" s="11"/>
      <c r="D156" s="11"/>
      <c r="E156" s="11"/>
      <c r="F156" s="11" t="s">
        <v>363</v>
      </c>
      <c r="G156" s="23">
        <v>931000</v>
      </c>
    </row>
    <row r="157" spans="2:7" x14ac:dyDescent="0.35">
      <c r="B157" s="11"/>
      <c r="C157" s="11"/>
      <c r="D157" s="11"/>
      <c r="E157" s="11" t="s">
        <v>28</v>
      </c>
      <c r="F157" s="11" t="s">
        <v>363</v>
      </c>
      <c r="G157" s="23">
        <v>5821000</v>
      </c>
    </row>
    <row r="158" spans="2:7" x14ac:dyDescent="0.35">
      <c r="B158" s="11"/>
      <c r="C158" s="11"/>
      <c r="D158" s="11"/>
      <c r="E158" s="11" t="s">
        <v>58</v>
      </c>
      <c r="F158" s="11" t="s">
        <v>160</v>
      </c>
      <c r="G158" s="23">
        <v>9345000</v>
      </c>
    </row>
    <row r="159" spans="2:7" x14ac:dyDescent="0.35">
      <c r="B159" s="11"/>
      <c r="C159" s="11"/>
      <c r="D159" s="11" t="s">
        <v>50</v>
      </c>
      <c r="E159" s="11" t="s">
        <v>23</v>
      </c>
      <c r="F159" s="11" t="s">
        <v>160</v>
      </c>
      <c r="G159" s="23">
        <v>3117000</v>
      </c>
    </row>
    <row r="160" spans="2:7" x14ac:dyDescent="0.35">
      <c r="B160" s="11"/>
      <c r="C160" s="11"/>
      <c r="D160" s="11"/>
      <c r="E160" s="11"/>
      <c r="F160" s="11" t="s">
        <v>363</v>
      </c>
      <c r="G160" s="23">
        <v>1068750</v>
      </c>
    </row>
    <row r="161" spans="2:7" x14ac:dyDescent="0.35">
      <c r="B161" s="11"/>
      <c r="C161" s="11"/>
      <c r="D161" s="11"/>
      <c r="E161" s="11" t="s">
        <v>17</v>
      </c>
      <c r="F161" s="11" t="s">
        <v>160</v>
      </c>
      <c r="G161" s="23">
        <v>4484000</v>
      </c>
    </row>
    <row r="162" spans="2:7" x14ac:dyDescent="0.35">
      <c r="B162" s="11"/>
      <c r="C162" s="11"/>
      <c r="D162" s="11"/>
      <c r="E162" s="11"/>
      <c r="F162" s="11" t="s">
        <v>465</v>
      </c>
      <c r="G162" s="23">
        <v>2425000</v>
      </c>
    </row>
    <row r="163" spans="2:7" x14ac:dyDescent="0.35">
      <c r="B163" s="11"/>
      <c r="C163" s="11"/>
      <c r="D163" s="11"/>
      <c r="E163" s="11" t="s">
        <v>58</v>
      </c>
      <c r="F163" s="11" t="s">
        <v>754</v>
      </c>
      <c r="G163" s="23">
        <v>321000</v>
      </c>
    </row>
    <row r="164" spans="2:7" x14ac:dyDescent="0.35">
      <c r="B164" s="11"/>
      <c r="C164" s="11"/>
      <c r="D164" s="11"/>
      <c r="E164" s="11"/>
      <c r="F164" s="11" t="s">
        <v>20</v>
      </c>
      <c r="G164" s="23">
        <v>927000</v>
      </c>
    </row>
    <row r="165" spans="2:7" x14ac:dyDescent="0.35">
      <c r="B165" s="11"/>
      <c r="C165" s="11"/>
      <c r="D165" s="11" t="s">
        <v>37</v>
      </c>
      <c r="E165" s="11" t="s">
        <v>23</v>
      </c>
      <c r="F165" s="11" t="s">
        <v>754</v>
      </c>
      <c r="G165" s="23">
        <v>324000</v>
      </c>
    </row>
    <row r="166" spans="2:7" x14ac:dyDescent="0.35">
      <c r="B166" s="11"/>
      <c r="C166" s="11"/>
      <c r="D166" s="11"/>
      <c r="E166" s="11" t="s">
        <v>17</v>
      </c>
      <c r="F166" s="11" t="s">
        <v>754</v>
      </c>
      <c r="G166" s="23">
        <v>65000</v>
      </c>
    </row>
    <row r="167" spans="2:7" x14ac:dyDescent="0.35">
      <c r="B167" s="11"/>
      <c r="C167" s="11"/>
      <c r="D167" s="11"/>
      <c r="E167" s="11"/>
      <c r="F167" s="11" t="s">
        <v>465</v>
      </c>
      <c r="G167" s="23">
        <v>1373000</v>
      </c>
    </row>
    <row r="168" spans="2:7" x14ac:dyDescent="0.35">
      <c r="B168" s="11"/>
      <c r="C168" s="11"/>
      <c r="D168" s="11"/>
      <c r="E168" s="11"/>
      <c r="F168" s="11" t="s">
        <v>363</v>
      </c>
      <c r="G168" s="23">
        <v>9903600</v>
      </c>
    </row>
    <row r="169" spans="2:7" x14ac:dyDescent="0.35">
      <c r="B169" s="11"/>
      <c r="C169" s="11"/>
      <c r="D169" s="11"/>
      <c r="E169" s="11" t="s">
        <v>28</v>
      </c>
      <c r="F169" s="11" t="s">
        <v>20</v>
      </c>
      <c r="G169" s="23">
        <v>1190000</v>
      </c>
    </row>
    <row r="170" spans="2:7" x14ac:dyDescent="0.35">
      <c r="B170" s="11"/>
      <c r="C170" s="11"/>
      <c r="D170" s="11"/>
      <c r="E170" s="11"/>
      <c r="F170" s="11" t="s">
        <v>363</v>
      </c>
      <c r="G170" s="23">
        <v>81000</v>
      </c>
    </row>
    <row r="171" spans="2:7" x14ac:dyDescent="0.35">
      <c r="B171" s="11"/>
      <c r="C171" s="11"/>
      <c r="D171" s="11" t="s">
        <v>42</v>
      </c>
      <c r="E171" s="11" t="s">
        <v>23</v>
      </c>
      <c r="F171" s="11" t="s">
        <v>754</v>
      </c>
      <c r="G171" s="23">
        <v>768000</v>
      </c>
    </row>
    <row r="172" spans="2:7" x14ac:dyDescent="0.35">
      <c r="B172" s="11"/>
      <c r="C172" s="11"/>
      <c r="D172" s="11"/>
      <c r="E172" s="11"/>
      <c r="F172" s="11" t="s">
        <v>465</v>
      </c>
      <c r="G172" s="23">
        <v>18693600</v>
      </c>
    </row>
    <row r="173" spans="2:7" x14ac:dyDescent="0.35">
      <c r="B173" s="11"/>
      <c r="C173" s="11"/>
      <c r="D173" s="11"/>
      <c r="E173" s="11"/>
      <c r="F173" s="11" t="s">
        <v>363</v>
      </c>
      <c r="G173" s="23">
        <v>2433000</v>
      </c>
    </row>
    <row r="174" spans="2:7" x14ac:dyDescent="0.35">
      <c r="B174" s="11"/>
      <c r="C174" s="11"/>
      <c r="D174" s="11"/>
      <c r="E174" s="11" t="s">
        <v>17</v>
      </c>
      <c r="F174" s="11" t="s">
        <v>160</v>
      </c>
      <c r="G174" s="23">
        <v>14436000</v>
      </c>
    </row>
    <row r="175" spans="2:7" x14ac:dyDescent="0.35">
      <c r="B175" s="11"/>
      <c r="C175" s="11"/>
      <c r="D175" s="11"/>
      <c r="E175" s="11" t="s">
        <v>28</v>
      </c>
      <c r="F175" s="11" t="s">
        <v>160</v>
      </c>
      <c r="G175" s="23">
        <v>3580000</v>
      </c>
    </row>
    <row r="176" spans="2:7" x14ac:dyDescent="0.35">
      <c r="B176" s="11"/>
      <c r="C176" s="11"/>
      <c r="D176" s="11"/>
      <c r="E176" s="11"/>
      <c r="F176" s="11" t="s">
        <v>20</v>
      </c>
      <c r="G176" s="23">
        <v>434000</v>
      </c>
    </row>
    <row r="177" spans="2:7" x14ac:dyDescent="0.35">
      <c r="B177" s="11"/>
      <c r="C177" s="11"/>
      <c r="D177" s="11"/>
      <c r="E177" s="11"/>
      <c r="F177" s="11" t="s">
        <v>363</v>
      </c>
      <c r="G177" s="23">
        <v>352000</v>
      </c>
    </row>
    <row r="178" spans="2:7" x14ac:dyDescent="0.35">
      <c r="B178" s="11"/>
      <c r="C178" s="11" t="s">
        <v>2019</v>
      </c>
      <c r="D178" s="11" t="s">
        <v>26</v>
      </c>
      <c r="E178" s="11" t="s">
        <v>23</v>
      </c>
      <c r="F178" s="11" t="s">
        <v>754</v>
      </c>
      <c r="G178" s="23">
        <v>381900</v>
      </c>
    </row>
    <row r="179" spans="2:7" x14ac:dyDescent="0.35">
      <c r="B179" s="11"/>
      <c r="C179" s="11"/>
      <c r="D179" s="11"/>
      <c r="E179" s="11" t="s">
        <v>17</v>
      </c>
      <c r="F179" s="11" t="s">
        <v>363</v>
      </c>
      <c r="G179" s="23">
        <v>5115600</v>
      </c>
    </row>
    <row r="180" spans="2:7" x14ac:dyDescent="0.35">
      <c r="B180" s="11"/>
      <c r="C180" s="11"/>
      <c r="D180" s="11" t="s">
        <v>15</v>
      </c>
      <c r="E180" s="11" t="s">
        <v>23</v>
      </c>
      <c r="F180" s="11" t="s">
        <v>754</v>
      </c>
      <c r="G180" s="23">
        <v>207000</v>
      </c>
    </row>
    <row r="181" spans="2:7" x14ac:dyDescent="0.35">
      <c r="B181" s="11"/>
      <c r="C181" s="11"/>
      <c r="D181" s="11"/>
      <c r="E181" s="11"/>
      <c r="F181" s="11" t="s">
        <v>160</v>
      </c>
      <c r="G181" s="23">
        <v>2789000</v>
      </c>
    </row>
    <row r="182" spans="2:7" x14ac:dyDescent="0.35">
      <c r="B182" s="11"/>
      <c r="C182" s="11"/>
      <c r="D182" s="11"/>
      <c r="E182" s="11"/>
      <c r="F182" s="11" t="s">
        <v>465</v>
      </c>
      <c r="G182" s="23">
        <v>25960000</v>
      </c>
    </row>
    <row r="183" spans="2:7" x14ac:dyDescent="0.35">
      <c r="B183" s="11"/>
      <c r="C183" s="11"/>
      <c r="D183" s="11"/>
      <c r="E183" s="11"/>
      <c r="F183" s="11" t="s">
        <v>20</v>
      </c>
      <c r="G183" s="23">
        <v>4134000</v>
      </c>
    </row>
    <row r="184" spans="2:7" x14ac:dyDescent="0.35">
      <c r="B184" s="11"/>
      <c r="C184" s="11"/>
      <c r="D184" s="11"/>
      <c r="E184" s="11"/>
      <c r="F184" s="11" t="s">
        <v>363</v>
      </c>
      <c r="G184" s="23">
        <v>12209650</v>
      </c>
    </row>
    <row r="185" spans="2:7" x14ac:dyDescent="0.35">
      <c r="B185" s="11"/>
      <c r="C185" s="11"/>
      <c r="D185" s="11"/>
      <c r="E185" s="11" t="s">
        <v>17</v>
      </c>
      <c r="F185" s="11" t="s">
        <v>754</v>
      </c>
      <c r="G185" s="23">
        <v>1060000</v>
      </c>
    </row>
    <row r="186" spans="2:7" x14ac:dyDescent="0.35">
      <c r="B186" s="11"/>
      <c r="C186" s="11"/>
      <c r="D186" s="11"/>
      <c r="E186" s="11"/>
      <c r="F186" s="11" t="s">
        <v>465</v>
      </c>
      <c r="G186" s="23">
        <v>16984000</v>
      </c>
    </row>
    <row r="187" spans="2:7" x14ac:dyDescent="0.35">
      <c r="B187" s="11"/>
      <c r="C187" s="11"/>
      <c r="D187" s="11"/>
      <c r="E187" s="11"/>
      <c r="F187" s="11" t="s">
        <v>20</v>
      </c>
      <c r="G187" s="23">
        <v>2781000</v>
      </c>
    </row>
    <row r="188" spans="2:7" x14ac:dyDescent="0.35">
      <c r="B188" s="11"/>
      <c r="C188" s="11"/>
      <c r="D188" s="11"/>
      <c r="E188" s="11"/>
      <c r="F188" s="11" t="s">
        <v>363</v>
      </c>
      <c r="G188" s="23">
        <v>346000</v>
      </c>
    </row>
    <row r="189" spans="2:7" x14ac:dyDescent="0.35">
      <c r="B189" s="11"/>
      <c r="C189" s="11"/>
      <c r="D189" s="11"/>
      <c r="E189" s="11" t="s">
        <v>28</v>
      </c>
      <c r="F189" s="11" t="s">
        <v>754</v>
      </c>
      <c r="G189" s="23">
        <v>717800</v>
      </c>
    </row>
    <row r="190" spans="2:7" x14ac:dyDescent="0.35">
      <c r="B190" s="11"/>
      <c r="C190" s="11"/>
      <c r="D190" s="11" t="s">
        <v>50</v>
      </c>
      <c r="E190" s="11" t="s">
        <v>23</v>
      </c>
      <c r="F190" s="11" t="s">
        <v>754</v>
      </c>
      <c r="G190" s="23">
        <v>285650</v>
      </c>
    </row>
    <row r="191" spans="2:7" x14ac:dyDescent="0.35">
      <c r="B191" s="11"/>
      <c r="C191" s="11"/>
      <c r="D191" s="11"/>
      <c r="E191" s="11"/>
      <c r="F191" s="11" t="s">
        <v>160</v>
      </c>
      <c r="G191" s="23">
        <v>6060000</v>
      </c>
    </row>
    <row r="192" spans="2:7" x14ac:dyDescent="0.35">
      <c r="B192" s="11"/>
      <c r="C192" s="11"/>
      <c r="D192" s="11"/>
      <c r="E192" s="11"/>
      <c r="F192" s="11" t="s">
        <v>465</v>
      </c>
      <c r="G192" s="23">
        <v>6578400</v>
      </c>
    </row>
    <row r="193" spans="2:7" x14ac:dyDescent="0.35">
      <c r="B193" s="11"/>
      <c r="C193" s="11"/>
      <c r="D193" s="11"/>
      <c r="E193" s="11"/>
      <c r="F193" s="11" t="s">
        <v>20</v>
      </c>
      <c r="G193" s="23">
        <v>1638000</v>
      </c>
    </row>
    <row r="194" spans="2:7" x14ac:dyDescent="0.35">
      <c r="B194" s="11"/>
      <c r="C194" s="11"/>
      <c r="D194" s="11"/>
      <c r="E194" s="11"/>
      <c r="F194" s="11" t="s">
        <v>363</v>
      </c>
      <c r="G194" s="23">
        <v>2476000</v>
      </c>
    </row>
    <row r="195" spans="2:7" x14ac:dyDescent="0.35">
      <c r="B195" s="11"/>
      <c r="C195" s="11"/>
      <c r="D195" s="11"/>
      <c r="E195" s="11" t="s">
        <v>17</v>
      </c>
      <c r="F195" s="11" t="s">
        <v>754</v>
      </c>
      <c r="G195" s="23">
        <v>184000</v>
      </c>
    </row>
    <row r="196" spans="2:7" x14ac:dyDescent="0.35">
      <c r="B196" s="11"/>
      <c r="C196" s="11"/>
      <c r="D196" s="11"/>
      <c r="E196" s="11" t="s">
        <v>58</v>
      </c>
      <c r="F196" s="11" t="s">
        <v>160</v>
      </c>
      <c r="G196" s="23">
        <v>1106000</v>
      </c>
    </row>
    <row r="197" spans="2:7" x14ac:dyDescent="0.35">
      <c r="B197" s="11"/>
      <c r="C197" s="11"/>
      <c r="D197" s="11" t="s">
        <v>37</v>
      </c>
      <c r="E197" s="11" t="s">
        <v>23</v>
      </c>
      <c r="F197" s="11" t="s">
        <v>754</v>
      </c>
      <c r="G197" s="23">
        <v>512000</v>
      </c>
    </row>
    <row r="198" spans="2:7" x14ac:dyDescent="0.35">
      <c r="B198" s="11"/>
      <c r="C198" s="11"/>
      <c r="D198" s="11"/>
      <c r="E198" s="11"/>
      <c r="F198" s="11" t="s">
        <v>465</v>
      </c>
      <c r="G198" s="23">
        <v>4062000</v>
      </c>
    </row>
    <row r="199" spans="2:7" x14ac:dyDescent="0.35">
      <c r="B199" s="11"/>
      <c r="C199" s="11"/>
      <c r="D199" s="11"/>
      <c r="E199" s="11"/>
      <c r="F199" s="11" t="s">
        <v>363</v>
      </c>
      <c r="G199" s="23">
        <v>475200</v>
      </c>
    </row>
    <row r="200" spans="2:7" x14ac:dyDescent="0.35">
      <c r="B200" s="11"/>
      <c r="C200" s="11"/>
      <c r="D200" s="11"/>
      <c r="E200" s="11" t="s">
        <v>17</v>
      </c>
      <c r="F200" s="11" t="s">
        <v>20</v>
      </c>
      <c r="G200" s="23">
        <v>1245465.5172413792</v>
      </c>
    </row>
    <row r="201" spans="2:7" x14ac:dyDescent="0.35">
      <c r="B201" s="11"/>
      <c r="C201" s="11"/>
      <c r="D201" s="11"/>
      <c r="E201" s="11"/>
      <c r="F201" s="11" t="s">
        <v>363</v>
      </c>
      <c r="G201" s="23">
        <v>167000</v>
      </c>
    </row>
    <row r="202" spans="2:7" x14ac:dyDescent="0.35">
      <c r="B202" s="11"/>
      <c r="C202" s="11"/>
      <c r="D202" s="11"/>
      <c r="E202" s="11" t="s">
        <v>28</v>
      </c>
      <c r="F202" s="11" t="s">
        <v>465</v>
      </c>
      <c r="G202" s="23">
        <v>5899400</v>
      </c>
    </row>
    <row r="203" spans="2:7" x14ac:dyDescent="0.35">
      <c r="B203" s="11"/>
      <c r="C203" s="11"/>
      <c r="D203" s="11"/>
      <c r="E203" s="11"/>
      <c r="F203" s="11" t="s">
        <v>20</v>
      </c>
      <c r="G203" s="23">
        <v>327000</v>
      </c>
    </row>
    <row r="204" spans="2:7" x14ac:dyDescent="0.35">
      <c r="B204" s="11"/>
      <c r="C204" s="11"/>
      <c r="D204" s="11"/>
      <c r="E204" s="11" t="s">
        <v>58</v>
      </c>
      <c r="F204" s="11" t="s">
        <v>160</v>
      </c>
      <c r="G204" s="23">
        <v>3059950</v>
      </c>
    </row>
    <row r="205" spans="2:7" x14ac:dyDescent="0.35">
      <c r="B205" s="11"/>
      <c r="C205" s="11"/>
      <c r="D205" s="11"/>
      <c r="E205" s="11"/>
      <c r="F205" s="11" t="s">
        <v>465</v>
      </c>
      <c r="G205" s="23">
        <v>1049000</v>
      </c>
    </row>
    <row r="206" spans="2:7" x14ac:dyDescent="0.35">
      <c r="B206" s="11"/>
      <c r="C206" s="11"/>
      <c r="D206" s="11" t="s">
        <v>42</v>
      </c>
      <c r="E206" s="11" t="s">
        <v>23</v>
      </c>
      <c r="F206" s="11" t="s">
        <v>754</v>
      </c>
      <c r="G206" s="23">
        <v>195700</v>
      </c>
    </row>
    <row r="207" spans="2:7" x14ac:dyDescent="0.35">
      <c r="B207" s="11"/>
      <c r="C207" s="11"/>
      <c r="D207" s="11"/>
      <c r="E207" s="11"/>
      <c r="F207" s="11" t="s">
        <v>160</v>
      </c>
      <c r="G207" s="23">
        <v>5714700</v>
      </c>
    </row>
    <row r="208" spans="2:7" x14ac:dyDescent="0.35">
      <c r="B208" s="11"/>
      <c r="C208" s="11"/>
      <c r="D208" s="11"/>
      <c r="E208" s="11"/>
      <c r="F208" s="11" t="s">
        <v>465</v>
      </c>
      <c r="G208" s="23">
        <v>983081.96721311472</v>
      </c>
    </row>
    <row r="209" spans="2:7" x14ac:dyDescent="0.35">
      <c r="B209" s="11"/>
      <c r="C209" s="11"/>
      <c r="D209" s="11"/>
      <c r="E209" s="11"/>
      <c r="F209" s="11" t="s">
        <v>20</v>
      </c>
      <c r="G209" s="23">
        <v>434000</v>
      </c>
    </row>
    <row r="210" spans="2:7" x14ac:dyDescent="0.35">
      <c r="B210" s="11"/>
      <c r="C210" s="11"/>
      <c r="D210" s="11"/>
      <c r="E210" s="11"/>
      <c r="F210" s="11" t="s">
        <v>363</v>
      </c>
      <c r="G210" s="23">
        <v>2491250</v>
      </c>
    </row>
    <row r="211" spans="2:7" x14ac:dyDescent="0.35">
      <c r="B211" s="11"/>
      <c r="C211" s="11"/>
      <c r="D211" s="11"/>
      <c r="E211" s="11" t="s">
        <v>28</v>
      </c>
      <c r="F211" s="11" t="s">
        <v>465</v>
      </c>
      <c r="G211" s="23">
        <v>2904000</v>
      </c>
    </row>
    <row r="212" spans="2:7" x14ac:dyDescent="0.35">
      <c r="B212" s="11"/>
      <c r="C212" s="11" t="s">
        <v>2020</v>
      </c>
      <c r="D212" s="11" t="s">
        <v>26</v>
      </c>
      <c r="E212" s="11" t="s">
        <v>23</v>
      </c>
      <c r="F212" s="11" t="s">
        <v>754</v>
      </c>
      <c r="G212" s="23">
        <v>492000</v>
      </c>
    </row>
    <row r="213" spans="2:7" x14ac:dyDescent="0.35">
      <c r="B213" s="11"/>
      <c r="C213" s="11"/>
      <c r="D213" s="11"/>
      <c r="E213" s="11"/>
      <c r="F213" s="11" t="s">
        <v>160</v>
      </c>
      <c r="G213" s="23">
        <v>5897600</v>
      </c>
    </row>
    <row r="214" spans="2:7" x14ac:dyDescent="0.35">
      <c r="B214" s="11"/>
      <c r="C214" s="11"/>
      <c r="D214" s="11"/>
      <c r="E214" s="11" t="s">
        <v>17</v>
      </c>
      <c r="F214" s="11" t="s">
        <v>160</v>
      </c>
      <c r="G214" s="23">
        <v>8318000</v>
      </c>
    </row>
    <row r="215" spans="2:7" x14ac:dyDescent="0.35">
      <c r="B215" s="11"/>
      <c r="C215" s="11"/>
      <c r="D215" s="11" t="s">
        <v>15</v>
      </c>
      <c r="E215" s="11" t="s">
        <v>23</v>
      </c>
      <c r="F215" s="11" t="s">
        <v>754</v>
      </c>
      <c r="G215" s="23">
        <v>255150</v>
      </c>
    </row>
    <row r="216" spans="2:7" x14ac:dyDescent="0.35">
      <c r="B216" s="11"/>
      <c r="C216" s="11"/>
      <c r="D216" s="11"/>
      <c r="E216" s="11"/>
      <c r="F216" s="11" t="s">
        <v>160</v>
      </c>
      <c r="G216" s="23">
        <v>10853000</v>
      </c>
    </row>
    <row r="217" spans="2:7" x14ac:dyDescent="0.35">
      <c r="B217" s="11"/>
      <c r="C217" s="11"/>
      <c r="D217" s="11"/>
      <c r="E217" s="11"/>
      <c r="F217" s="11" t="s">
        <v>465</v>
      </c>
      <c r="G217" s="23">
        <v>17418900</v>
      </c>
    </row>
    <row r="218" spans="2:7" x14ac:dyDescent="0.35">
      <c r="B218" s="11"/>
      <c r="C218" s="11"/>
      <c r="D218" s="11"/>
      <c r="E218" s="11"/>
      <c r="F218" s="11" t="s">
        <v>20</v>
      </c>
      <c r="G218" s="23">
        <v>458850</v>
      </c>
    </row>
    <row r="219" spans="2:7" x14ac:dyDescent="0.35">
      <c r="B219" s="11"/>
      <c r="C219" s="11"/>
      <c r="D219" s="11"/>
      <c r="E219" s="11"/>
      <c r="F219" s="11" t="s">
        <v>363</v>
      </c>
      <c r="G219" s="23">
        <v>967000</v>
      </c>
    </row>
    <row r="220" spans="2:7" x14ac:dyDescent="0.35">
      <c r="B220" s="11"/>
      <c r="C220" s="11"/>
      <c r="D220" s="11"/>
      <c r="E220" s="11" t="s">
        <v>17</v>
      </c>
      <c r="F220" s="11" t="s">
        <v>160</v>
      </c>
      <c r="G220" s="23">
        <v>2474000</v>
      </c>
    </row>
    <row r="221" spans="2:7" x14ac:dyDescent="0.35">
      <c r="B221" s="11"/>
      <c r="C221" s="11"/>
      <c r="D221" s="11"/>
      <c r="E221" s="11"/>
      <c r="F221" s="11" t="s">
        <v>465</v>
      </c>
      <c r="G221" s="23">
        <v>2694600</v>
      </c>
    </row>
    <row r="222" spans="2:7" x14ac:dyDescent="0.35">
      <c r="B222" s="11"/>
      <c r="C222" s="11"/>
      <c r="D222" s="11"/>
      <c r="E222" s="11"/>
      <c r="F222" s="11" t="s">
        <v>20</v>
      </c>
      <c r="G222" s="23">
        <v>379000</v>
      </c>
    </row>
    <row r="223" spans="2:7" x14ac:dyDescent="0.35">
      <c r="B223" s="11"/>
      <c r="C223" s="11"/>
      <c r="D223" s="11"/>
      <c r="E223" s="11" t="s">
        <v>28</v>
      </c>
      <c r="F223" s="11" t="s">
        <v>754</v>
      </c>
      <c r="G223" s="23">
        <v>467700</v>
      </c>
    </row>
    <row r="224" spans="2:7" x14ac:dyDescent="0.35">
      <c r="B224" s="11"/>
      <c r="C224" s="11"/>
      <c r="D224" s="11"/>
      <c r="E224" s="11"/>
      <c r="F224" s="11" t="s">
        <v>160</v>
      </c>
      <c r="G224" s="23">
        <v>3764000</v>
      </c>
    </row>
    <row r="225" spans="2:7" x14ac:dyDescent="0.35">
      <c r="B225" s="11"/>
      <c r="C225" s="11"/>
      <c r="D225" s="11"/>
      <c r="E225" s="11"/>
      <c r="F225" s="11" t="s">
        <v>20</v>
      </c>
      <c r="G225" s="23">
        <v>263000</v>
      </c>
    </row>
    <row r="226" spans="2:7" x14ac:dyDescent="0.35">
      <c r="B226" s="11"/>
      <c r="C226" s="11"/>
      <c r="D226" s="11"/>
      <c r="E226" s="11" t="s">
        <v>58</v>
      </c>
      <c r="F226" s="11" t="s">
        <v>160</v>
      </c>
      <c r="G226" s="23">
        <v>3892850</v>
      </c>
    </row>
    <row r="227" spans="2:7" x14ac:dyDescent="0.35">
      <c r="B227" s="11"/>
      <c r="C227" s="11"/>
      <c r="D227" s="11" t="s">
        <v>50</v>
      </c>
      <c r="E227" s="11" t="s">
        <v>23</v>
      </c>
      <c r="F227" s="11" t="s">
        <v>160</v>
      </c>
      <c r="G227" s="23">
        <v>6828000</v>
      </c>
    </row>
    <row r="228" spans="2:7" x14ac:dyDescent="0.35">
      <c r="B228" s="11"/>
      <c r="C228" s="11"/>
      <c r="D228" s="11"/>
      <c r="E228" s="11"/>
      <c r="F228" s="11" t="s">
        <v>465</v>
      </c>
      <c r="G228" s="23">
        <v>711000</v>
      </c>
    </row>
    <row r="229" spans="2:7" x14ac:dyDescent="0.35">
      <c r="B229" s="11"/>
      <c r="C229" s="11"/>
      <c r="D229" s="11"/>
      <c r="E229" s="11"/>
      <c r="F229" s="11" t="s">
        <v>20</v>
      </c>
      <c r="G229" s="23">
        <v>1104000</v>
      </c>
    </row>
    <row r="230" spans="2:7" x14ac:dyDescent="0.35">
      <c r="B230" s="11"/>
      <c r="C230" s="11"/>
      <c r="D230" s="11"/>
      <c r="E230" s="11" t="s">
        <v>17</v>
      </c>
      <c r="F230" s="11" t="s">
        <v>363</v>
      </c>
      <c r="G230" s="23">
        <v>140000</v>
      </c>
    </row>
    <row r="231" spans="2:7" x14ac:dyDescent="0.35">
      <c r="B231" s="11"/>
      <c r="C231" s="11"/>
      <c r="D231" s="11" t="s">
        <v>37</v>
      </c>
      <c r="E231" s="11" t="s">
        <v>23</v>
      </c>
      <c r="F231" s="11" t="s">
        <v>754</v>
      </c>
      <c r="G231" s="23">
        <v>80000</v>
      </c>
    </row>
    <row r="232" spans="2:7" x14ac:dyDescent="0.35">
      <c r="B232" s="11"/>
      <c r="C232" s="11"/>
      <c r="D232" s="11"/>
      <c r="E232" s="11"/>
      <c r="F232" s="11" t="s">
        <v>160</v>
      </c>
      <c r="G232" s="23">
        <v>1177000</v>
      </c>
    </row>
    <row r="233" spans="2:7" x14ac:dyDescent="0.35">
      <c r="B233" s="11"/>
      <c r="C233" s="11"/>
      <c r="D233" s="11"/>
      <c r="E233" s="11" t="s">
        <v>17</v>
      </c>
      <c r="F233" s="11" t="s">
        <v>160</v>
      </c>
      <c r="G233" s="23">
        <v>2994000</v>
      </c>
    </row>
    <row r="234" spans="2:7" x14ac:dyDescent="0.35">
      <c r="B234" s="11"/>
      <c r="C234" s="11"/>
      <c r="D234" s="11" t="s">
        <v>42</v>
      </c>
      <c r="E234" s="11" t="s">
        <v>23</v>
      </c>
      <c r="F234" s="11" t="s">
        <v>160</v>
      </c>
      <c r="G234" s="23">
        <v>2034900</v>
      </c>
    </row>
    <row r="235" spans="2:7" x14ac:dyDescent="0.35">
      <c r="B235" s="11"/>
      <c r="C235" s="11"/>
      <c r="D235" s="11"/>
      <c r="E235" s="11"/>
      <c r="F235" s="11" t="s">
        <v>20</v>
      </c>
      <c r="G235" s="23">
        <v>1544400</v>
      </c>
    </row>
    <row r="236" spans="2:7" x14ac:dyDescent="0.35">
      <c r="B236" s="11"/>
      <c r="C236" s="11"/>
      <c r="D236" s="11"/>
      <c r="E236" s="11" t="s">
        <v>17</v>
      </c>
      <c r="F236" s="11" t="s">
        <v>754</v>
      </c>
      <c r="G236" s="23">
        <v>582000</v>
      </c>
    </row>
    <row r="237" spans="2:7" x14ac:dyDescent="0.35">
      <c r="B237" s="11"/>
      <c r="C237" s="11"/>
      <c r="D237" s="11"/>
      <c r="E237" s="11"/>
      <c r="F237" s="11" t="s">
        <v>465</v>
      </c>
      <c r="G237" s="23">
        <v>17485200</v>
      </c>
    </row>
    <row r="238" spans="2:7" x14ac:dyDescent="0.35">
      <c r="B238" s="11"/>
      <c r="C238" s="11"/>
      <c r="D238" s="11"/>
      <c r="E238" s="11"/>
      <c r="F238" s="11" t="s">
        <v>20</v>
      </c>
      <c r="G238" s="23">
        <v>235000</v>
      </c>
    </row>
    <row r="239" spans="2:7" x14ac:dyDescent="0.35">
      <c r="B239" s="11"/>
      <c r="C239" s="11"/>
      <c r="D239" s="11"/>
      <c r="E239" s="11"/>
      <c r="F239" s="11" t="s">
        <v>363</v>
      </c>
      <c r="G239" s="23">
        <v>306000</v>
      </c>
    </row>
    <row r="240" spans="2:7" x14ac:dyDescent="0.35">
      <c r="B240" s="11"/>
      <c r="C240" s="11"/>
      <c r="D240" s="11"/>
      <c r="E240" s="11" t="s">
        <v>28</v>
      </c>
      <c r="F240" s="11" t="s">
        <v>20</v>
      </c>
      <c r="G240" s="23">
        <v>2568000</v>
      </c>
    </row>
    <row r="241" spans="2:7" x14ac:dyDescent="0.35">
      <c r="B241" s="11"/>
      <c r="C241" s="11" t="s">
        <v>2021</v>
      </c>
      <c r="D241" s="11" t="s">
        <v>26</v>
      </c>
      <c r="E241" s="11" t="s">
        <v>23</v>
      </c>
      <c r="F241" s="11" t="s">
        <v>160</v>
      </c>
      <c r="G241" s="23">
        <v>6331000</v>
      </c>
    </row>
    <row r="242" spans="2:7" x14ac:dyDescent="0.35">
      <c r="B242" s="11"/>
      <c r="C242" s="11"/>
      <c r="D242" s="11"/>
      <c r="E242" s="11"/>
      <c r="F242" s="11" t="s">
        <v>465</v>
      </c>
      <c r="G242" s="23">
        <v>4225000</v>
      </c>
    </row>
    <row r="243" spans="2:7" x14ac:dyDescent="0.35">
      <c r="B243" s="11"/>
      <c r="C243" s="11"/>
      <c r="D243" s="11"/>
      <c r="E243" s="11" t="s">
        <v>17</v>
      </c>
      <c r="F243" s="11" t="s">
        <v>465</v>
      </c>
      <c r="G243" s="23">
        <v>6176000</v>
      </c>
    </row>
    <row r="244" spans="2:7" x14ac:dyDescent="0.35">
      <c r="B244" s="11"/>
      <c r="C244" s="11"/>
      <c r="D244" s="11" t="s">
        <v>15</v>
      </c>
      <c r="E244" s="11" t="s">
        <v>23</v>
      </c>
      <c r="F244" s="11" t="s">
        <v>754</v>
      </c>
      <c r="G244" s="23">
        <v>502077.46478873235</v>
      </c>
    </row>
    <row r="245" spans="2:7" x14ac:dyDescent="0.35">
      <c r="B245" s="11"/>
      <c r="C245" s="11"/>
      <c r="D245" s="11"/>
      <c r="E245" s="11"/>
      <c r="F245" s="11" t="s">
        <v>160</v>
      </c>
      <c r="G245" s="23">
        <v>33820500</v>
      </c>
    </row>
    <row r="246" spans="2:7" x14ac:dyDescent="0.35">
      <c r="B246" s="11"/>
      <c r="C246" s="11"/>
      <c r="D246" s="11"/>
      <c r="E246" s="11"/>
      <c r="F246" s="11" t="s">
        <v>465</v>
      </c>
      <c r="G246" s="23">
        <v>13822000</v>
      </c>
    </row>
    <row r="247" spans="2:7" x14ac:dyDescent="0.35">
      <c r="B247" s="11"/>
      <c r="C247" s="11"/>
      <c r="D247" s="11"/>
      <c r="E247" s="11"/>
      <c r="F247" s="11" t="s">
        <v>363</v>
      </c>
      <c r="G247" s="23">
        <v>1675000</v>
      </c>
    </row>
    <row r="248" spans="2:7" x14ac:dyDescent="0.35">
      <c r="B248" s="11"/>
      <c r="C248" s="11"/>
      <c r="D248" s="11"/>
      <c r="E248" s="11" t="s">
        <v>17</v>
      </c>
      <c r="F248" s="11" t="s">
        <v>754</v>
      </c>
      <c r="G248" s="23">
        <v>564000</v>
      </c>
    </row>
    <row r="249" spans="2:7" x14ac:dyDescent="0.35">
      <c r="B249" s="11"/>
      <c r="C249" s="11"/>
      <c r="D249" s="11"/>
      <c r="E249" s="11"/>
      <c r="F249" s="11" t="s">
        <v>160</v>
      </c>
      <c r="G249" s="23">
        <v>2503000</v>
      </c>
    </row>
    <row r="250" spans="2:7" x14ac:dyDescent="0.35">
      <c r="B250" s="11"/>
      <c r="C250" s="11"/>
      <c r="D250" s="11"/>
      <c r="E250" s="11"/>
      <c r="F250" s="11" t="s">
        <v>465</v>
      </c>
      <c r="G250" s="23">
        <v>16371995.652173912</v>
      </c>
    </row>
    <row r="251" spans="2:7" x14ac:dyDescent="0.35">
      <c r="B251" s="11"/>
      <c r="C251" s="11"/>
      <c r="D251" s="11"/>
      <c r="E251" s="11"/>
      <c r="F251" s="11" t="s">
        <v>20</v>
      </c>
      <c r="G251" s="23">
        <v>394000</v>
      </c>
    </row>
    <row r="252" spans="2:7" x14ac:dyDescent="0.35">
      <c r="B252" s="11"/>
      <c r="C252" s="11"/>
      <c r="D252" s="11"/>
      <c r="E252" s="11"/>
      <c r="F252" s="11" t="s">
        <v>363</v>
      </c>
      <c r="G252" s="23">
        <v>86000</v>
      </c>
    </row>
    <row r="253" spans="2:7" x14ac:dyDescent="0.35">
      <c r="B253" s="11"/>
      <c r="C253" s="11"/>
      <c r="D253" s="11"/>
      <c r="E253" s="11" t="s">
        <v>28</v>
      </c>
      <c r="F253" s="11" t="s">
        <v>160</v>
      </c>
      <c r="G253" s="23">
        <v>9669000</v>
      </c>
    </row>
    <row r="254" spans="2:7" x14ac:dyDescent="0.35">
      <c r="B254" s="11"/>
      <c r="C254" s="11"/>
      <c r="D254" s="11"/>
      <c r="E254" s="11"/>
      <c r="F254" s="11" t="s">
        <v>465</v>
      </c>
      <c r="G254" s="23">
        <v>1033000</v>
      </c>
    </row>
    <row r="255" spans="2:7" x14ac:dyDescent="0.35">
      <c r="B255" s="11"/>
      <c r="C255" s="11"/>
      <c r="D255" s="11"/>
      <c r="E255" s="11"/>
      <c r="F255" s="11" t="s">
        <v>20</v>
      </c>
      <c r="G255" s="23">
        <v>1447000</v>
      </c>
    </row>
    <row r="256" spans="2:7" x14ac:dyDescent="0.35">
      <c r="B256" s="11"/>
      <c r="C256" s="11"/>
      <c r="D256" s="11" t="s">
        <v>50</v>
      </c>
      <c r="E256" s="11" t="s">
        <v>23</v>
      </c>
      <c r="F256" s="11" t="s">
        <v>465</v>
      </c>
      <c r="G256" s="23">
        <v>15025200</v>
      </c>
    </row>
    <row r="257" spans="2:7" x14ac:dyDescent="0.35">
      <c r="B257" s="11"/>
      <c r="C257" s="11"/>
      <c r="D257" s="11"/>
      <c r="E257" s="11" t="s">
        <v>17</v>
      </c>
      <c r="F257" s="11" t="s">
        <v>754</v>
      </c>
      <c r="G257" s="23">
        <v>191750</v>
      </c>
    </row>
    <row r="258" spans="2:7" x14ac:dyDescent="0.35">
      <c r="B258" s="11"/>
      <c r="C258" s="11"/>
      <c r="D258" s="11"/>
      <c r="E258" s="11" t="s">
        <v>58</v>
      </c>
      <c r="F258" s="11" t="s">
        <v>363</v>
      </c>
      <c r="G258" s="23">
        <v>615000</v>
      </c>
    </row>
    <row r="259" spans="2:7" x14ac:dyDescent="0.35">
      <c r="B259" s="11"/>
      <c r="C259" s="11"/>
      <c r="D259" s="11" t="s">
        <v>37</v>
      </c>
      <c r="E259" s="11" t="s">
        <v>17</v>
      </c>
      <c r="F259" s="11" t="s">
        <v>363</v>
      </c>
      <c r="G259" s="23">
        <v>164000</v>
      </c>
    </row>
    <row r="260" spans="2:7" x14ac:dyDescent="0.35">
      <c r="B260" s="11"/>
      <c r="C260" s="11"/>
      <c r="D260" s="11" t="s">
        <v>42</v>
      </c>
      <c r="E260" s="11" t="s">
        <v>23</v>
      </c>
      <c r="F260" s="11" t="s">
        <v>754</v>
      </c>
      <c r="G260" s="23">
        <v>173800</v>
      </c>
    </row>
    <row r="261" spans="2:7" x14ac:dyDescent="0.35">
      <c r="B261" s="11"/>
      <c r="C261" s="11"/>
      <c r="D261" s="11"/>
      <c r="E261" s="11"/>
      <c r="F261" s="11" t="s">
        <v>465</v>
      </c>
      <c r="G261" s="23">
        <v>33291050</v>
      </c>
    </row>
    <row r="262" spans="2:7" x14ac:dyDescent="0.35">
      <c r="B262" s="11"/>
      <c r="C262" s="11"/>
      <c r="D262" s="11"/>
      <c r="E262" s="11"/>
      <c r="F262" s="11" t="s">
        <v>20</v>
      </c>
      <c r="G262" s="23">
        <v>418000</v>
      </c>
    </row>
    <row r="263" spans="2:7" x14ac:dyDescent="0.35">
      <c r="B263" s="11"/>
      <c r="C263" s="11"/>
      <c r="D263" s="11"/>
      <c r="E263" s="11" t="s">
        <v>17</v>
      </c>
      <c r="F263" s="11" t="s">
        <v>754</v>
      </c>
      <c r="G263" s="23">
        <v>690000</v>
      </c>
    </row>
    <row r="264" spans="2:7" x14ac:dyDescent="0.35">
      <c r="B264" s="11"/>
      <c r="C264" s="11"/>
      <c r="D264" s="11"/>
      <c r="E264" s="11"/>
      <c r="F264" s="11" t="s">
        <v>20</v>
      </c>
      <c r="G264" s="23">
        <v>2624000</v>
      </c>
    </row>
    <row r="265" spans="2:7" x14ac:dyDescent="0.35">
      <c r="B265" s="11"/>
      <c r="C265" s="11"/>
      <c r="D265" s="11"/>
      <c r="E265" s="11"/>
      <c r="F265" s="11" t="s">
        <v>363</v>
      </c>
      <c r="G265" s="23">
        <v>4200000</v>
      </c>
    </row>
    <row r="266" spans="2:7" x14ac:dyDescent="0.35">
      <c r="B266" s="11"/>
      <c r="C266" s="11"/>
      <c r="D266" s="11"/>
      <c r="E266" s="11" t="s">
        <v>28</v>
      </c>
      <c r="F266" s="11" t="s">
        <v>20</v>
      </c>
      <c r="G266" s="23">
        <v>371000</v>
      </c>
    </row>
    <row r="267" spans="2:7" x14ac:dyDescent="0.35">
      <c r="B267" s="11"/>
      <c r="C267" s="11"/>
      <c r="D267" s="11"/>
      <c r="E267" s="11"/>
      <c r="F267" s="11" t="s">
        <v>363</v>
      </c>
      <c r="G267" s="23">
        <v>682000</v>
      </c>
    </row>
    <row r="268" spans="2:7" x14ac:dyDescent="0.35">
      <c r="B268" s="11"/>
      <c r="C268" s="11" t="s">
        <v>2022</v>
      </c>
      <c r="D268" s="11" t="s">
        <v>26</v>
      </c>
      <c r="E268" s="11" t="s">
        <v>23</v>
      </c>
      <c r="F268" s="11" t="s">
        <v>160</v>
      </c>
      <c r="G268" s="23">
        <v>2670000</v>
      </c>
    </row>
    <row r="269" spans="2:7" x14ac:dyDescent="0.35">
      <c r="B269" s="11"/>
      <c r="C269" s="11"/>
      <c r="D269" s="11" t="s">
        <v>15</v>
      </c>
      <c r="E269" s="11" t="s">
        <v>23</v>
      </c>
      <c r="F269" s="11" t="s">
        <v>160</v>
      </c>
      <c r="G269" s="23">
        <v>2699000</v>
      </c>
    </row>
    <row r="270" spans="2:7" x14ac:dyDescent="0.35">
      <c r="B270" s="11"/>
      <c r="C270" s="11"/>
      <c r="D270" s="11"/>
      <c r="E270" s="11"/>
      <c r="F270" s="11" t="s">
        <v>465</v>
      </c>
      <c r="G270" s="23">
        <v>18243000</v>
      </c>
    </row>
    <row r="271" spans="2:7" x14ac:dyDescent="0.35">
      <c r="B271" s="11"/>
      <c r="C271" s="11"/>
      <c r="D271" s="11"/>
      <c r="E271" s="11"/>
      <c r="F271" s="11" t="s">
        <v>363</v>
      </c>
      <c r="G271" s="23">
        <v>166000</v>
      </c>
    </row>
    <row r="272" spans="2:7" x14ac:dyDescent="0.35">
      <c r="B272" s="11"/>
      <c r="C272" s="11"/>
      <c r="D272" s="11"/>
      <c r="E272" s="11" t="s">
        <v>17</v>
      </c>
      <c r="F272" s="11" t="s">
        <v>754</v>
      </c>
      <c r="G272" s="23">
        <v>207100</v>
      </c>
    </row>
    <row r="273" spans="2:7" x14ac:dyDescent="0.35">
      <c r="B273" s="11"/>
      <c r="C273" s="11"/>
      <c r="D273" s="11"/>
      <c r="E273" s="11"/>
      <c r="F273" s="11" t="s">
        <v>160</v>
      </c>
      <c r="G273" s="23">
        <v>3530400</v>
      </c>
    </row>
    <row r="274" spans="2:7" x14ac:dyDescent="0.35">
      <c r="B274" s="11"/>
      <c r="C274" s="11"/>
      <c r="D274" s="11"/>
      <c r="E274" s="11"/>
      <c r="F274" s="11" t="s">
        <v>465</v>
      </c>
      <c r="G274" s="23">
        <v>1636000</v>
      </c>
    </row>
    <row r="275" spans="2:7" x14ac:dyDescent="0.35">
      <c r="B275" s="11"/>
      <c r="C275" s="11"/>
      <c r="D275" s="11"/>
      <c r="E275" s="11" t="s">
        <v>28</v>
      </c>
      <c r="F275" s="11" t="s">
        <v>20</v>
      </c>
      <c r="G275" s="23">
        <v>1050000</v>
      </c>
    </row>
    <row r="276" spans="2:7" x14ac:dyDescent="0.35">
      <c r="B276" s="11"/>
      <c r="C276" s="11"/>
      <c r="D276" s="11"/>
      <c r="E276" s="11"/>
      <c r="F276" s="11" t="s">
        <v>363</v>
      </c>
      <c r="G276" s="23">
        <v>528200</v>
      </c>
    </row>
    <row r="277" spans="2:7" x14ac:dyDescent="0.35">
      <c r="B277" s="11"/>
      <c r="C277" s="11"/>
      <c r="D277" s="11" t="s">
        <v>50</v>
      </c>
      <c r="E277" s="11" t="s">
        <v>23</v>
      </c>
      <c r="F277" s="11" t="s">
        <v>754</v>
      </c>
      <c r="G277" s="23">
        <v>486000</v>
      </c>
    </row>
    <row r="278" spans="2:7" x14ac:dyDescent="0.35">
      <c r="B278" s="11"/>
      <c r="C278" s="11"/>
      <c r="D278" s="11"/>
      <c r="E278" s="11" t="s">
        <v>17</v>
      </c>
      <c r="F278" s="11" t="s">
        <v>160</v>
      </c>
      <c r="G278" s="23">
        <v>3328000</v>
      </c>
    </row>
    <row r="279" spans="2:7" x14ac:dyDescent="0.35">
      <c r="B279" s="11"/>
      <c r="C279" s="11"/>
      <c r="D279" s="11"/>
      <c r="E279" s="11" t="s">
        <v>28</v>
      </c>
      <c r="F279" s="11" t="s">
        <v>363</v>
      </c>
      <c r="G279" s="23">
        <v>543000</v>
      </c>
    </row>
    <row r="280" spans="2:7" x14ac:dyDescent="0.35">
      <c r="B280" s="11"/>
      <c r="C280" s="11"/>
      <c r="D280" s="11" t="s">
        <v>37</v>
      </c>
      <c r="E280" s="11" t="s">
        <v>23</v>
      </c>
      <c r="F280" s="11" t="s">
        <v>160</v>
      </c>
      <c r="G280" s="23">
        <v>7229000</v>
      </c>
    </row>
    <row r="281" spans="2:7" x14ac:dyDescent="0.35">
      <c r="B281" s="11"/>
      <c r="C281" s="11"/>
      <c r="D281" s="11"/>
      <c r="E281" s="11" t="s">
        <v>17</v>
      </c>
      <c r="F281" s="11" t="s">
        <v>465</v>
      </c>
      <c r="G281" s="23">
        <v>2487000</v>
      </c>
    </row>
    <row r="282" spans="2:7" x14ac:dyDescent="0.35">
      <c r="B282" s="11"/>
      <c r="C282" s="11"/>
      <c r="D282" s="11"/>
      <c r="E282" s="11"/>
      <c r="F282" s="11" t="s">
        <v>20</v>
      </c>
      <c r="G282" s="23">
        <v>365000</v>
      </c>
    </row>
    <row r="283" spans="2:7" x14ac:dyDescent="0.35">
      <c r="B283" s="11"/>
      <c r="C283" s="11"/>
      <c r="D283" s="11" t="s">
        <v>42</v>
      </c>
      <c r="E283" s="11" t="s">
        <v>23</v>
      </c>
      <c r="F283" s="11" t="s">
        <v>754</v>
      </c>
      <c r="G283" s="23">
        <v>85000</v>
      </c>
    </row>
    <row r="284" spans="2:7" x14ac:dyDescent="0.35">
      <c r="B284" s="11"/>
      <c r="C284" s="11"/>
      <c r="D284" s="11"/>
      <c r="E284" s="11"/>
      <c r="F284" s="11" t="s">
        <v>465</v>
      </c>
      <c r="G284" s="23">
        <v>4361000</v>
      </c>
    </row>
    <row r="285" spans="2:7" x14ac:dyDescent="0.35">
      <c r="B285" s="11"/>
      <c r="C285" s="11"/>
      <c r="D285" s="11"/>
      <c r="E285" s="11"/>
      <c r="F285" s="11" t="s">
        <v>363</v>
      </c>
      <c r="G285" s="23">
        <v>3209000</v>
      </c>
    </row>
    <row r="286" spans="2:7" x14ac:dyDescent="0.35">
      <c r="B286" s="11"/>
      <c r="C286" s="11"/>
      <c r="D286" s="11"/>
      <c r="E286" s="11" t="s">
        <v>17</v>
      </c>
      <c r="F286" s="11" t="s">
        <v>160</v>
      </c>
      <c r="G286" s="23">
        <v>3234000</v>
      </c>
    </row>
    <row r="287" spans="2:7" x14ac:dyDescent="0.35">
      <c r="B287" s="11"/>
      <c r="C287" s="11"/>
      <c r="D287" s="11"/>
      <c r="E287" s="11"/>
      <c r="F287" s="11" t="s">
        <v>465</v>
      </c>
      <c r="G287" s="23">
        <v>2853000</v>
      </c>
    </row>
    <row r="288" spans="2:7" x14ac:dyDescent="0.35">
      <c r="B288" s="11"/>
      <c r="C288" s="11"/>
      <c r="D288" s="11"/>
      <c r="E288" s="11" t="s">
        <v>28</v>
      </c>
      <c r="F288" s="11" t="s">
        <v>363</v>
      </c>
      <c r="G288" s="23">
        <v>5569000</v>
      </c>
    </row>
    <row r="289" spans="2:7" x14ac:dyDescent="0.35">
      <c r="B289" s="11"/>
      <c r="C289" s="11"/>
      <c r="D289" s="11"/>
      <c r="E289" s="11" t="s">
        <v>58</v>
      </c>
      <c r="F289" s="11" t="s">
        <v>160</v>
      </c>
      <c r="G289" s="23">
        <v>13995000</v>
      </c>
    </row>
    <row r="290" spans="2:7" x14ac:dyDescent="0.35">
      <c r="B290" s="11"/>
      <c r="C290" s="11"/>
      <c r="D290" s="11"/>
      <c r="E290" s="11"/>
      <c r="F290" s="11" t="s">
        <v>20</v>
      </c>
      <c r="G290" s="23">
        <v>232900</v>
      </c>
    </row>
    <row r="291" spans="2:7" x14ac:dyDescent="0.35">
      <c r="B291" s="11"/>
      <c r="C291" s="11" t="s">
        <v>2023</v>
      </c>
      <c r="D291" s="11" t="s">
        <v>26</v>
      </c>
      <c r="E291" s="11" t="s">
        <v>23</v>
      </c>
      <c r="F291" s="11" t="s">
        <v>363</v>
      </c>
      <c r="G291" s="23">
        <v>611800</v>
      </c>
    </row>
    <row r="292" spans="2:7" x14ac:dyDescent="0.35">
      <c r="B292" s="11"/>
      <c r="C292" s="11"/>
      <c r="D292" s="11"/>
      <c r="E292" s="11" t="s">
        <v>28</v>
      </c>
      <c r="F292" s="11" t="s">
        <v>754</v>
      </c>
      <c r="G292" s="23">
        <v>282000</v>
      </c>
    </row>
    <row r="293" spans="2:7" x14ac:dyDescent="0.35">
      <c r="B293" s="11"/>
      <c r="C293" s="11"/>
      <c r="D293" s="11"/>
      <c r="E293" s="11"/>
      <c r="F293" s="11" t="s">
        <v>465</v>
      </c>
      <c r="G293" s="23">
        <v>10711449.152542373</v>
      </c>
    </row>
    <row r="294" spans="2:7" x14ac:dyDescent="0.35">
      <c r="B294" s="11"/>
      <c r="C294" s="11"/>
      <c r="D294" s="11" t="s">
        <v>15</v>
      </c>
      <c r="E294" s="11" t="s">
        <v>23</v>
      </c>
      <c r="F294" s="11" t="s">
        <v>754</v>
      </c>
      <c r="G294" s="23">
        <v>314000</v>
      </c>
    </row>
    <row r="295" spans="2:7" x14ac:dyDescent="0.35">
      <c r="B295" s="11"/>
      <c r="C295" s="11"/>
      <c r="D295" s="11"/>
      <c r="E295" s="11"/>
      <c r="F295" s="11" t="s">
        <v>160</v>
      </c>
      <c r="G295" s="23">
        <v>11950700</v>
      </c>
    </row>
    <row r="296" spans="2:7" x14ac:dyDescent="0.35">
      <c r="B296" s="11"/>
      <c r="C296" s="11"/>
      <c r="D296" s="11"/>
      <c r="E296" s="11"/>
      <c r="F296" s="11" t="s">
        <v>465</v>
      </c>
      <c r="G296" s="23">
        <v>10628750</v>
      </c>
    </row>
    <row r="297" spans="2:7" x14ac:dyDescent="0.35">
      <c r="B297" s="11"/>
      <c r="C297" s="11"/>
      <c r="D297" s="11"/>
      <c r="E297" s="11"/>
      <c r="F297" s="11" t="s">
        <v>20</v>
      </c>
      <c r="G297" s="23">
        <v>608000</v>
      </c>
    </row>
    <row r="298" spans="2:7" x14ac:dyDescent="0.35">
      <c r="B298" s="11"/>
      <c r="C298" s="11"/>
      <c r="D298" s="11"/>
      <c r="E298" s="11"/>
      <c r="F298" s="11" t="s">
        <v>363</v>
      </c>
      <c r="G298" s="23">
        <v>589000</v>
      </c>
    </row>
    <row r="299" spans="2:7" x14ac:dyDescent="0.35">
      <c r="B299" s="11"/>
      <c r="C299" s="11"/>
      <c r="D299" s="11"/>
      <c r="E299" s="11" t="s">
        <v>17</v>
      </c>
      <c r="F299" s="11" t="s">
        <v>160</v>
      </c>
      <c r="G299" s="23">
        <v>2898000</v>
      </c>
    </row>
    <row r="300" spans="2:7" x14ac:dyDescent="0.35">
      <c r="B300" s="11"/>
      <c r="C300" s="11"/>
      <c r="D300" s="11"/>
      <c r="E300" s="11" t="s">
        <v>28</v>
      </c>
      <c r="F300" s="11" t="s">
        <v>160</v>
      </c>
      <c r="G300" s="23">
        <v>1624000</v>
      </c>
    </row>
    <row r="301" spans="2:7" x14ac:dyDescent="0.35">
      <c r="B301" s="11"/>
      <c r="C301" s="11"/>
      <c r="D301" s="11"/>
      <c r="E301" s="11"/>
      <c r="F301" s="11" t="s">
        <v>465</v>
      </c>
      <c r="G301" s="23">
        <v>3346200</v>
      </c>
    </row>
    <row r="302" spans="2:7" x14ac:dyDescent="0.35">
      <c r="B302" s="11"/>
      <c r="C302" s="11"/>
      <c r="D302" s="11"/>
      <c r="E302" s="11"/>
      <c r="F302" s="11" t="s">
        <v>20</v>
      </c>
      <c r="G302" s="23">
        <v>1781000</v>
      </c>
    </row>
    <row r="303" spans="2:7" x14ac:dyDescent="0.35">
      <c r="B303" s="11"/>
      <c r="C303" s="11"/>
      <c r="D303" s="11"/>
      <c r="E303" s="11"/>
      <c r="F303" s="11" t="s">
        <v>363</v>
      </c>
      <c r="G303" s="23">
        <v>209000</v>
      </c>
    </row>
    <row r="304" spans="2:7" x14ac:dyDescent="0.35">
      <c r="B304" s="11"/>
      <c r="C304" s="11"/>
      <c r="D304" s="11" t="s">
        <v>50</v>
      </c>
      <c r="E304" s="11" t="s">
        <v>23</v>
      </c>
      <c r="F304" s="11" t="s">
        <v>754</v>
      </c>
      <c r="G304" s="23">
        <v>868000</v>
      </c>
    </row>
    <row r="305" spans="2:7" x14ac:dyDescent="0.35">
      <c r="B305" s="11"/>
      <c r="C305" s="11"/>
      <c r="D305" s="11"/>
      <c r="E305" s="11"/>
      <c r="F305" s="11" t="s">
        <v>160</v>
      </c>
      <c r="G305" s="23">
        <v>8375400</v>
      </c>
    </row>
    <row r="306" spans="2:7" x14ac:dyDescent="0.35">
      <c r="B306" s="11"/>
      <c r="C306" s="11"/>
      <c r="D306" s="11"/>
      <c r="E306" s="11"/>
      <c r="F306" s="11" t="s">
        <v>20</v>
      </c>
      <c r="G306" s="23">
        <v>1397800</v>
      </c>
    </row>
    <row r="307" spans="2:7" x14ac:dyDescent="0.35">
      <c r="B307" s="11"/>
      <c r="C307" s="11"/>
      <c r="D307" s="11"/>
      <c r="E307" s="11"/>
      <c r="F307" s="11" t="s">
        <v>363</v>
      </c>
      <c r="G307" s="23">
        <v>220400</v>
      </c>
    </row>
    <row r="308" spans="2:7" x14ac:dyDescent="0.35">
      <c r="B308" s="11"/>
      <c r="C308" s="11"/>
      <c r="D308" s="11"/>
      <c r="E308" s="11" t="s">
        <v>17</v>
      </c>
      <c r="F308" s="11" t="s">
        <v>754</v>
      </c>
      <c r="G308" s="23">
        <v>478000</v>
      </c>
    </row>
    <row r="309" spans="2:7" x14ac:dyDescent="0.35">
      <c r="B309" s="11"/>
      <c r="C309" s="11"/>
      <c r="D309" s="11"/>
      <c r="E309" s="11"/>
      <c r="F309" s="11" t="s">
        <v>160</v>
      </c>
      <c r="G309" s="23">
        <v>1332000</v>
      </c>
    </row>
    <row r="310" spans="2:7" x14ac:dyDescent="0.35">
      <c r="B310" s="11"/>
      <c r="C310" s="11"/>
      <c r="D310" s="11"/>
      <c r="E310" s="11"/>
      <c r="F310" s="11" t="s">
        <v>363</v>
      </c>
      <c r="G310" s="23">
        <v>5264000</v>
      </c>
    </row>
    <row r="311" spans="2:7" x14ac:dyDescent="0.35">
      <c r="B311" s="11"/>
      <c r="C311" s="11"/>
      <c r="D311" s="11"/>
      <c r="E311" s="11" t="s">
        <v>28</v>
      </c>
      <c r="F311" s="11" t="s">
        <v>160</v>
      </c>
      <c r="G311" s="23">
        <v>2885000</v>
      </c>
    </row>
    <row r="312" spans="2:7" x14ac:dyDescent="0.35">
      <c r="B312" s="11"/>
      <c r="C312" s="11"/>
      <c r="D312" s="11" t="s">
        <v>37</v>
      </c>
      <c r="E312" s="11" t="s">
        <v>23</v>
      </c>
      <c r="F312" s="11" t="s">
        <v>754</v>
      </c>
      <c r="G312" s="23">
        <v>274000</v>
      </c>
    </row>
    <row r="313" spans="2:7" x14ac:dyDescent="0.35">
      <c r="B313" s="11"/>
      <c r="C313" s="11"/>
      <c r="D313" s="11"/>
      <c r="E313" s="11"/>
      <c r="F313" s="11" t="s">
        <v>160</v>
      </c>
      <c r="G313" s="23">
        <v>12722650</v>
      </c>
    </row>
    <row r="314" spans="2:7" x14ac:dyDescent="0.35">
      <c r="B314" s="11"/>
      <c r="C314" s="11"/>
      <c r="D314" s="11"/>
      <c r="E314" s="11"/>
      <c r="F314" s="11" t="s">
        <v>20</v>
      </c>
      <c r="G314" s="23">
        <v>430000</v>
      </c>
    </row>
    <row r="315" spans="2:7" x14ac:dyDescent="0.35">
      <c r="B315" s="11"/>
      <c r="C315" s="11"/>
      <c r="D315" s="11"/>
      <c r="E315" s="11" t="s">
        <v>17</v>
      </c>
      <c r="F315" s="11" t="s">
        <v>754</v>
      </c>
      <c r="G315" s="23">
        <v>220000</v>
      </c>
    </row>
    <row r="316" spans="2:7" x14ac:dyDescent="0.35">
      <c r="B316" s="11"/>
      <c r="C316" s="11"/>
      <c r="D316" s="11"/>
      <c r="E316" s="11"/>
      <c r="F316" s="11" t="s">
        <v>20</v>
      </c>
      <c r="G316" s="23">
        <v>582000</v>
      </c>
    </row>
    <row r="317" spans="2:7" x14ac:dyDescent="0.35">
      <c r="B317" s="11"/>
      <c r="C317" s="11"/>
      <c r="D317" s="11"/>
      <c r="E317" s="11" t="s">
        <v>28</v>
      </c>
      <c r="F317" s="11" t="s">
        <v>20</v>
      </c>
      <c r="G317" s="23">
        <v>337000</v>
      </c>
    </row>
    <row r="318" spans="2:7" x14ac:dyDescent="0.35">
      <c r="B318" s="11"/>
      <c r="C318" s="11"/>
      <c r="D318" s="11" t="s">
        <v>42</v>
      </c>
      <c r="E318" s="11" t="s">
        <v>23</v>
      </c>
      <c r="F318" s="11" t="s">
        <v>160</v>
      </c>
      <c r="G318" s="23">
        <v>7403200</v>
      </c>
    </row>
    <row r="319" spans="2:7" x14ac:dyDescent="0.35">
      <c r="B319" s="11"/>
      <c r="C319" s="11"/>
      <c r="D319" s="11"/>
      <c r="E319" s="11"/>
      <c r="F319" s="11" t="s">
        <v>20</v>
      </c>
      <c r="G319" s="23">
        <v>1430700</v>
      </c>
    </row>
    <row r="320" spans="2:7" x14ac:dyDescent="0.35">
      <c r="B320" s="11"/>
      <c r="C320" s="11"/>
      <c r="D320" s="11"/>
      <c r="E320" s="11"/>
      <c r="F320" s="11" t="s">
        <v>363</v>
      </c>
      <c r="G320" s="23">
        <v>608000</v>
      </c>
    </row>
    <row r="321" spans="2:7" x14ac:dyDescent="0.35">
      <c r="B321" s="11"/>
      <c r="C321" s="11"/>
      <c r="D321" s="11"/>
      <c r="E321" s="11" t="s">
        <v>17</v>
      </c>
      <c r="F321" s="11" t="s">
        <v>160</v>
      </c>
      <c r="G321" s="23">
        <v>1354500</v>
      </c>
    </row>
    <row r="322" spans="2:7" x14ac:dyDescent="0.35">
      <c r="B322" s="11"/>
      <c r="C322" s="11"/>
      <c r="D322" s="11"/>
      <c r="E322" s="11"/>
      <c r="F322" s="11" t="s">
        <v>363</v>
      </c>
      <c r="G322" s="23">
        <v>674500</v>
      </c>
    </row>
    <row r="323" spans="2:7" x14ac:dyDescent="0.35">
      <c r="B323" s="11"/>
      <c r="C323" s="11" t="s">
        <v>2024</v>
      </c>
      <c r="D323" s="11" t="s">
        <v>26</v>
      </c>
      <c r="E323" s="11" t="s">
        <v>23</v>
      </c>
      <c r="F323" s="11" t="s">
        <v>754</v>
      </c>
      <c r="G323" s="23">
        <v>243000</v>
      </c>
    </row>
    <row r="324" spans="2:7" x14ac:dyDescent="0.35">
      <c r="B324" s="11"/>
      <c r="C324" s="11"/>
      <c r="D324" s="11"/>
      <c r="E324" s="11"/>
      <c r="F324" s="11" t="s">
        <v>160</v>
      </c>
      <c r="G324" s="23">
        <v>2350000</v>
      </c>
    </row>
    <row r="325" spans="2:7" x14ac:dyDescent="0.35">
      <c r="B325" s="11"/>
      <c r="C325" s="11"/>
      <c r="D325" s="11"/>
      <c r="E325" s="11"/>
      <c r="F325" s="11" t="s">
        <v>20</v>
      </c>
      <c r="G325" s="23">
        <v>1153000</v>
      </c>
    </row>
    <row r="326" spans="2:7" x14ac:dyDescent="0.35">
      <c r="B326" s="11"/>
      <c r="C326" s="11"/>
      <c r="D326" s="11"/>
      <c r="E326" s="11" t="s">
        <v>17</v>
      </c>
      <c r="F326" s="11" t="s">
        <v>465</v>
      </c>
      <c r="G326" s="23">
        <v>1960000</v>
      </c>
    </row>
    <row r="327" spans="2:7" x14ac:dyDescent="0.35">
      <c r="B327" s="11"/>
      <c r="C327" s="11"/>
      <c r="D327" s="11" t="s">
        <v>15</v>
      </c>
      <c r="E327" s="11" t="s">
        <v>23</v>
      </c>
      <c r="F327" s="11" t="s">
        <v>754</v>
      </c>
      <c r="G327" s="23">
        <v>943250</v>
      </c>
    </row>
    <row r="328" spans="2:7" x14ac:dyDescent="0.35">
      <c r="B328" s="11"/>
      <c r="C328" s="11"/>
      <c r="D328" s="11"/>
      <c r="E328" s="11"/>
      <c r="F328" s="11" t="s">
        <v>160</v>
      </c>
      <c r="G328" s="23">
        <v>10380500</v>
      </c>
    </row>
    <row r="329" spans="2:7" x14ac:dyDescent="0.35">
      <c r="B329" s="11"/>
      <c r="C329" s="11"/>
      <c r="D329" s="11"/>
      <c r="E329" s="11"/>
      <c r="F329" s="11" t="s">
        <v>465</v>
      </c>
      <c r="G329" s="23">
        <v>12821521.739130434</v>
      </c>
    </row>
    <row r="330" spans="2:7" x14ac:dyDescent="0.35">
      <c r="B330" s="11"/>
      <c r="C330" s="11"/>
      <c r="D330" s="11"/>
      <c r="E330" s="11"/>
      <c r="F330" s="11" t="s">
        <v>20</v>
      </c>
      <c r="G330" s="23">
        <v>452000</v>
      </c>
    </row>
    <row r="331" spans="2:7" x14ac:dyDescent="0.35">
      <c r="B331" s="11"/>
      <c r="C331" s="11"/>
      <c r="D331" s="11"/>
      <c r="E331" s="11"/>
      <c r="F331" s="11" t="s">
        <v>363</v>
      </c>
      <c r="G331" s="23">
        <v>384000</v>
      </c>
    </row>
    <row r="332" spans="2:7" x14ac:dyDescent="0.35">
      <c r="B332" s="11"/>
      <c r="C332" s="11"/>
      <c r="D332" s="11"/>
      <c r="E332" s="11" t="s">
        <v>17</v>
      </c>
      <c r="F332" s="11" t="s">
        <v>160</v>
      </c>
      <c r="G332" s="23">
        <v>2584000</v>
      </c>
    </row>
    <row r="333" spans="2:7" x14ac:dyDescent="0.35">
      <c r="B333" s="11"/>
      <c r="C333" s="11"/>
      <c r="D333" s="11"/>
      <c r="E333" s="11"/>
      <c r="F333" s="11" t="s">
        <v>465</v>
      </c>
      <c r="G333" s="23">
        <v>1390800</v>
      </c>
    </row>
    <row r="334" spans="2:7" x14ac:dyDescent="0.35">
      <c r="B334" s="11"/>
      <c r="C334" s="11"/>
      <c r="D334" s="11"/>
      <c r="E334" s="11" t="s">
        <v>28</v>
      </c>
      <c r="F334" s="11" t="s">
        <v>160</v>
      </c>
      <c r="G334" s="23">
        <v>2226000</v>
      </c>
    </row>
    <row r="335" spans="2:7" x14ac:dyDescent="0.35">
      <c r="B335" s="11"/>
      <c r="C335" s="11"/>
      <c r="D335" s="11"/>
      <c r="E335" s="11"/>
      <c r="F335" s="11" t="s">
        <v>20</v>
      </c>
      <c r="G335" s="23">
        <v>1286000</v>
      </c>
    </row>
    <row r="336" spans="2:7" x14ac:dyDescent="0.35">
      <c r="B336" s="11"/>
      <c r="C336" s="11"/>
      <c r="D336" s="11"/>
      <c r="E336" s="11" t="s">
        <v>58</v>
      </c>
      <c r="F336" s="11" t="s">
        <v>465</v>
      </c>
      <c r="G336" s="23">
        <v>3651000</v>
      </c>
    </row>
    <row r="337" spans="2:7" x14ac:dyDescent="0.35">
      <c r="B337" s="11"/>
      <c r="C337" s="11"/>
      <c r="D337" s="11"/>
      <c r="E337" s="11"/>
      <c r="F337" s="11" t="s">
        <v>20</v>
      </c>
      <c r="G337" s="23">
        <v>3496950</v>
      </c>
    </row>
    <row r="338" spans="2:7" x14ac:dyDescent="0.35">
      <c r="B338" s="11"/>
      <c r="C338" s="11"/>
      <c r="D338" s="11" t="s">
        <v>50</v>
      </c>
      <c r="E338" s="11" t="s">
        <v>23</v>
      </c>
      <c r="F338" s="11" t="s">
        <v>754</v>
      </c>
      <c r="G338" s="23">
        <v>159000</v>
      </c>
    </row>
    <row r="339" spans="2:7" x14ac:dyDescent="0.35">
      <c r="B339" s="11"/>
      <c r="C339" s="11"/>
      <c r="D339" s="11"/>
      <c r="E339" s="11"/>
      <c r="F339" s="11" t="s">
        <v>363</v>
      </c>
      <c r="G339" s="23">
        <v>4217000</v>
      </c>
    </row>
    <row r="340" spans="2:7" x14ac:dyDescent="0.35">
      <c r="B340" s="11"/>
      <c r="C340" s="11"/>
      <c r="D340" s="11"/>
      <c r="E340" s="11" t="s">
        <v>17</v>
      </c>
      <c r="F340" s="11" t="s">
        <v>754</v>
      </c>
      <c r="G340" s="23">
        <v>89000</v>
      </c>
    </row>
    <row r="341" spans="2:7" x14ac:dyDescent="0.35">
      <c r="B341" s="11"/>
      <c r="C341" s="11"/>
      <c r="D341" s="11"/>
      <c r="E341" s="11" t="s">
        <v>28</v>
      </c>
      <c r="F341" s="11" t="s">
        <v>20</v>
      </c>
      <c r="G341" s="23">
        <v>207000</v>
      </c>
    </row>
    <row r="342" spans="2:7" x14ac:dyDescent="0.35">
      <c r="B342" s="11"/>
      <c r="C342" s="11"/>
      <c r="D342" s="11" t="s">
        <v>37</v>
      </c>
      <c r="E342" s="11" t="s">
        <v>17</v>
      </c>
      <c r="F342" s="11" t="s">
        <v>363</v>
      </c>
      <c r="G342" s="23">
        <v>2552000</v>
      </c>
    </row>
    <row r="343" spans="2:7" x14ac:dyDescent="0.35">
      <c r="B343" s="11"/>
      <c r="C343" s="11"/>
      <c r="D343" s="11" t="s">
        <v>42</v>
      </c>
      <c r="E343" s="11" t="s">
        <v>23</v>
      </c>
      <c r="F343" s="11" t="s">
        <v>160</v>
      </c>
      <c r="G343" s="23">
        <v>2167000</v>
      </c>
    </row>
    <row r="344" spans="2:7" x14ac:dyDescent="0.35">
      <c r="B344" s="11"/>
      <c r="C344" s="11"/>
      <c r="D344" s="11"/>
      <c r="E344" s="11"/>
      <c r="F344" s="11" t="s">
        <v>465</v>
      </c>
      <c r="G344" s="23">
        <v>2620000</v>
      </c>
    </row>
    <row r="345" spans="2:7" x14ac:dyDescent="0.35">
      <c r="B345" s="11"/>
      <c r="C345" s="11"/>
      <c r="D345" s="11"/>
      <c r="E345" s="11"/>
      <c r="F345" s="11" t="s">
        <v>20</v>
      </c>
      <c r="G345" s="23">
        <v>254700</v>
      </c>
    </row>
    <row r="346" spans="2:7" x14ac:dyDescent="0.35">
      <c r="B346" s="11"/>
      <c r="C346" s="11"/>
      <c r="D346" s="11"/>
      <c r="E346" s="11"/>
      <c r="F346" s="11" t="s">
        <v>363</v>
      </c>
      <c r="G346" s="23">
        <v>1363000</v>
      </c>
    </row>
    <row r="347" spans="2:7" x14ac:dyDescent="0.35">
      <c r="B347" s="11"/>
      <c r="C347" s="11"/>
      <c r="D347" s="11"/>
      <c r="E347" s="11" t="s">
        <v>17</v>
      </c>
      <c r="F347" s="11" t="s">
        <v>754</v>
      </c>
      <c r="G347" s="23">
        <v>72384.61538461539</v>
      </c>
    </row>
    <row r="348" spans="2:7" x14ac:dyDescent="0.35">
      <c r="B348" s="11"/>
      <c r="C348" s="11"/>
      <c r="D348" s="11"/>
      <c r="E348" s="11"/>
      <c r="F348" s="11" t="s">
        <v>160</v>
      </c>
      <c r="G348" s="23">
        <v>872000</v>
      </c>
    </row>
    <row r="349" spans="2:7" x14ac:dyDescent="0.35">
      <c r="B349" s="11"/>
      <c r="C349" s="11"/>
      <c r="D349" s="11"/>
      <c r="E349" s="11"/>
      <c r="F349" s="11" t="s">
        <v>20</v>
      </c>
      <c r="G349" s="23">
        <v>320000</v>
      </c>
    </row>
    <row r="350" spans="2:7" x14ac:dyDescent="0.35">
      <c r="B350" s="11"/>
      <c r="C350" s="11"/>
      <c r="D350" s="11"/>
      <c r="E350" s="11" t="s">
        <v>28</v>
      </c>
      <c r="F350" s="11" t="s">
        <v>465</v>
      </c>
      <c r="G350" s="23">
        <v>1896000</v>
      </c>
    </row>
    <row r="351" spans="2:7" x14ac:dyDescent="0.35">
      <c r="B351" s="11"/>
      <c r="C351" s="11"/>
      <c r="D351" s="11"/>
      <c r="E351" s="11" t="s">
        <v>58</v>
      </c>
      <c r="F351" s="11" t="s">
        <v>754</v>
      </c>
      <c r="G351" s="23">
        <v>186000</v>
      </c>
    </row>
    <row r="352" spans="2:7" x14ac:dyDescent="0.35">
      <c r="B352" s="11">
        <v>2024</v>
      </c>
      <c r="C352" s="11" t="s">
        <v>2013</v>
      </c>
      <c r="D352" s="11" t="s">
        <v>26</v>
      </c>
      <c r="E352" s="11" t="s">
        <v>23</v>
      </c>
      <c r="F352" s="11" t="s">
        <v>465</v>
      </c>
      <c r="G352" s="23">
        <v>3445000</v>
      </c>
    </row>
    <row r="353" spans="2:7" x14ac:dyDescent="0.35">
      <c r="B353" s="11"/>
      <c r="C353" s="11"/>
      <c r="D353" s="11"/>
      <c r="E353" s="11"/>
      <c r="F353" s="11" t="s">
        <v>20</v>
      </c>
      <c r="G353" s="23">
        <v>960000</v>
      </c>
    </row>
    <row r="354" spans="2:7" x14ac:dyDescent="0.35">
      <c r="B354" s="11"/>
      <c r="C354" s="11"/>
      <c r="D354" s="11"/>
      <c r="E354" s="11"/>
      <c r="F354" s="11" t="s">
        <v>363</v>
      </c>
      <c r="G354" s="23">
        <v>144000</v>
      </c>
    </row>
    <row r="355" spans="2:7" x14ac:dyDescent="0.35">
      <c r="B355" s="11"/>
      <c r="C355" s="11"/>
      <c r="D355" s="11"/>
      <c r="E355" s="11" t="s">
        <v>17</v>
      </c>
      <c r="F355" s="11" t="s">
        <v>754</v>
      </c>
      <c r="G355" s="23">
        <v>532000</v>
      </c>
    </row>
    <row r="356" spans="2:7" x14ac:dyDescent="0.35">
      <c r="B356" s="11"/>
      <c r="C356" s="11"/>
      <c r="D356" s="11" t="s">
        <v>15</v>
      </c>
      <c r="E356" s="11" t="s">
        <v>23</v>
      </c>
      <c r="F356" s="11" t="s">
        <v>754</v>
      </c>
      <c r="G356" s="23">
        <v>665000</v>
      </c>
    </row>
    <row r="357" spans="2:7" x14ac:dyDescent="0.35">
      <c r="B357" s="11"/>
      <c r="C357" s="11"/>
      <c r="D357" s="11"/>
      <c r="E357" s="11"/>
      <c r="F357" s="11" t="s">
        <v>465</v>
      </c>
      <c r="G357" s="23">
        <v>3935000</v>
      </c>
    </row>
    <row r="358" spans="2:7" x14ac:dyDescent="0.35">
      <c r="B358" s="11"/>
      <c r="C358" s="11"/>
      <c r="D358" s="11"/>
      <c r="E358" s="11"/>
      <c r="F358" s="11" t="s">
        <v>20</v>
      </c>
      <c r="G358" s="23">
        <v>2893300</v>
      </c>
    </row>
    <row r="359" spans="2:7" x14ac:dyDescent="0.35">
      <c r="B359" s="11"/>
      <c r="C359" s="11"/>
      <c r="D359" s="11"/>
      <c r="E359" s="11"/>
      <c r="F359" s="11" t="s">
        <v>363</v>
      </c>
      <c r="G359" s="23">
        <v>2517900</v>
      </c>
    </row>
    <row r="360" spans="2:7" x14ac:dyDescent="0.35">
      <c r="B360" s="11"/>
      <c r="C360" s="11"/>
      <c r="D360" s="11"/>
      <c r="E360" s="11" t="s">
        <v>17</v>
      </c>
      <c r="F360" s="11" t="s">
        <v>160</v>
      </c>
      <c r="G360" s="23">
        <v>4494000</v>
      </c>
    </row>
    <row r="361" spans="2:7" x14ac:dyDescent="0.35">
      <c r="B361" s="11"/>
      <c r="C361" s="11"/>
      <c r="D361" s="11"/>
      <c r="E361" s="11"/>
      <c r="F361" s="11" t="s">
        <v>465</v>
      </c>
      <c r="G361" s="23">
        <v>27445000</v>
      </c>
    </row>
    <row r="362" spans="2:7" x14ac:dyDescent="0.35">
      <c r="B362" s="11"/>
      <c r="C362" s="11"/>
      <c r="D362" s="11"/>
      <c r="E362" s="11"/>
      <c r="F362" s="11" t="s">
        <v>363</v>
      </c>
      <c r="G362" s="23">
        <v>1092600</v>
      </c>
    </row>
    <row r="363" spans="2:7" x14ac:dyDescent="0.35">
      <c r="B363" s="11"/>
      <c r="C363" s="11"/>
      <c r="D363" s="11"/>
      <c r="E363" s="11" t="s">
        <v>28</v>
      </c>
      <c r="F363" s="11" t="s">
        <v>160</v>
      </c>
      <c r="G363" s="23">
        <v>8151000</v>
      </c>
    </row>
    <row r="364" spans="2:7" x14ac:dyDescent="0.35">
      <c r="B364" s="11"/>
      <c r="C364" s="11"/>
      <c r="D364" s="11"/>
      <c r="E364" s="11"/>
      <c r="F364" s="11" t="s">
        <v>465</v>
      </c>
      <c r="G364" s="23">
        <v>9492000</v>
      </c>
    </row>
    <row r="365" spans="2:7" x14ac:dyDescent="0.35">
      <c r="B365" s="11"/>
      <c r="C365" s="11"/>
      <c r="D365" s="11" t="s">
        <v>50</v>
      </c>
      <c r="E365" s="11" t="s">
        <v>23</v>
      </c>
      <c r="F365" s="11" t="s">
        <v>160</v>
      </c>
      <c r="G365" s="23">
        <v>3619000</v>
      </c>
    </row>
    <row r="366" spans="2:7" x14ac:dyDescent="0.35">
      <c r="B366" s="11"/>
      <c r="C366" s="11"/>
      <c r="D366" s="11"/>
      <c r="E366" s="11"/>
      <c r="F366" s="11" t="s">
        <v>20</v>
      </c>
      <c r="G366" s="23">
        <v>774000</v>
      </c>
    </row>
    <row r="367" spans="2:7" x14ac:dyDescent="0.35">
      <c r="B367" s="11"/>
      <c r="C367" s="11"/>
      <c r="D367" s="11"/>
      <c r="E367" s="11"/>
      <c r="F367" s="11" t="s">
        <v>363</v>
      </c>
      <c r="G367" s="23">
        <v>91000</v>
      </c>
    </row>
    <row r="368" spans="2:7" x14ac:dyDescent="0.35">
      <c r="B368" s="11"/>
      <c r="C368" s="11"/>
      <c r="D368" s="11"/>
      <c r="E368" s="11" t="s">
        <v>28</v>
      </c>
      <c r="F368" s="11" t="s">
        <v>754</v>
      </c>
      <c r="G368" s="23">
        <v>259000</v>
      </c>
    </row>
    <row r="369" spans="2:7" x14ac:dyDescent="0.35">
      <c r="B369" s="11"/>
      <c r="C369" s="11"/>
      <c r="D369" s="11" t="s">
        <v>37</v>
      </c>
      <c r="E369" s="11" t="s">
        <v>23</v>
      </c>
      <c r="F369" s="11" t="s">
        <v>20</v>
      </c>
      <c r="G369" s="23">
        <v>732930</v>
      </c>
    </row>
    <row r="370" spans="2:7" x14ac:dyDescent="0.35">
      <c r="B370" s="11"/>
      <c r="C370" s="11"/>
      <c r="D370" s="11"/>
      <c r="E370" s="11" t="s">
        <v>28</v>
      </c>
      <c r="F370" s="11" t="s">
        <v>465</v>
      </c>
      <c r="G370" s="23">
        <v>2706000</v>
      </c>
    </row>
    <row r="371" spans="2:7" x14ac:dyDescent="0.35">
      <c r="B371" s="11"/>
      <c r="C371" s="11"/>
      <c r="D371" s="11"/>
      <c r="E371" s="11"/>
      <c r="F371" s="11" t="s">
        <v>20</v>
      </c>
      <c r="G371" s="23">
        <v>274000</v>
      </c>
    </row>
    <row r="372" spans="2:7" x14ac:dyDescent="0.35">
      <c r="B372" s="11"/>
      <c r="C372" s="11"/>
      <c r="D372" s="11" t="s">
        <v>42</v>
      </c>
      <c r="E372" s="11" t="s">
        <v>23</v>
      </c>
      <c r="F372" s="11" t="s">
        <v>754</v>
      </c>
      <c r="G372" s="23">
        <v>274000</v>
      </c>
    </row>
    <row r="373" spans="2:7" x14ac:dyDescent="0.35">
      <c r="B373" s="11"/>
      <c r="C373" s="11"/>
      <c r="D373" s="11"/>
      <c r="E373" s="11"/>
      <c r="F373" s="11" t="s">
        <v>160</v>
      </c>
      <c r="G373" s="23">
        <v>3718000</v>
      </c>
    </row>
    <row r="374" spans="2:7" x14ac:dyDescent="0.35">
      <c r="B374" s="11"/>
      <c r="C374" s="11"/>
      <c r="D374" s="11"/>
      <c r="E374" s="11"/>
      <c r="F374" s="11" t="s">
        <v>465</v>
      </c>
      <c r="G374" s="23">
        <v>20942650</v>
      </c>
    </row>
    <row r="375" spans="2:7" x14ac:dyDescent="0.35">
      <c r="B375" s="11"/>
      <c r="C375" s="11"/>
      <c r="D375" s="11"/>
      <c r="E375" s="11" t="s">
        <v>17</v>
      </c>
      <c r="F375" s="11" t="s">
        <v>20</v>
      </c>
      <c r="G375" s="23">
        <v>1450000</v>
      </c>
    </row>
    <row r="376" spans="2:7" x14ac:dyDescent="0.35">
      <c r="B376" s="11"/>
      <c r="C376" s="11"/>
      <c r="D376" s="11"/>
      <c r="E376" s="11" t="s">
        <v>28</v>
      </c>
      <c r="F376" s="11" t="s">
        <v>160</v>
      </c>
      <c r="G376" s="23">
        <v>1445000</v>
      </c>
    </row>
    <row r="377" spans="2:7" x14ac:dyDescent="0.35">
      <c r="B377" s="11"/>
      <c r="C377" s="11"/>
      <c r="D377" s="11"/>
      <c r="E377" s="11"/>
      <c r="F377" s="11" t="s">
        <v>465</v>
      </c>
      <c r="G377" s="23">
        <v>3606000</v>
      </c>
    </row>
    <row r="378" spans="2:7" x14ac:dyDescent="0.35">
      <c r="B378" s="11"/>
      <c r="C378" s="11" t="s">
        <v>2014</v>
      </c>
      <c r="D378" s="11" t="s">
        <v>26</v>
      </c>
      <c r="E378" s="11" t="s">
        <v>23</v>
      </c>
      <c r="F378" s="11" t="s">
        <v>465</v>
      </c>
      <c r="G378" s="23">
        <v>2313900</v>
      </c>
    </row>
    <row r="379" spans="2:7" x14ac:dyDescent="0.35">
      <c r="B379" s="11"/>
      <c r="C379" s="11"/>
      <c r="D379" s="11" t="s">
        <v>15</v>
      </c>
      <c r="E379" s="11" t="s">
        <v>23</v>
      </c>
      <c r="F379" s="11" t="s">
        <v>160</v>
      </c>
      <c r="G379" s="23">
        <v>4101000</v>
      </c>
    </row>
    <row r="380" spans="2:7" x14ac:dyDescent="0.35">
      <c r="B380" s="11"/>
      <c r="C380" s="11"/>
      <c r="D380" s="11"/>
      <c r="E380" s="11"/>
      <c r="F380" s="11" t="s">
        <v>465</v>
      </c>
      <c r="G380" s="23">
        <v>9128000</v>
      </c>
    </row>
    <row r="381" spans="2:7" x14ac:dyDescent="0.35">
      <c r="B381" s="11"/>
      <c r="C381" s="11"/>
      <c r="D381" s="11"/>
      <c r="E381" s="11"/>
      <c r="F381" s="11" t="s">
        <v>20</v>
      </c>
      <c r="G381" s="23">
        <v>2490931.0344827585</v>
      </c>
    </row>
    <row r="382" spans="2:7" x14ac:dyDescent="0.35">
      <c r="B382" s="11"/>
      <c r="C382" s="11"/>
      <c r="D382" s="11"/>
      <c r="E382" s="11"/>
      <c r="F382" s="11" t="s">
        <v>363</v>
      </c>
      <c r="G382" s="23">
        <v>11338000</v>
      </c>
    </row>
    <row r="383" spans="2:7" x14ac:dyDescent="0.35">
      <c r="B383" s="11"/>
      <c r="C383" s="11"/>
      <c r="D383" s="11"/>
      <c r="E383" s="11" t="s">
        <v>17</v>
      </c>
      <c r="F383" s="11" t="s">
        <v>465</v>
      </c>
      <c r="G383" s="23">
        <v>6189000</v>
      </c>
    </row>
    <row r="384" spans="2:7" x14ac:dyDescent="0.35">
      <c r="B384" s="11"/>
      <c r="C384" s="11"/>
      <c r="D384" s="11"/>
      <c r="E384" s="11"/>
      <c r="F384" s="11" t="s">
        <v>363</v>
      </c>
      <c r="G384" s="23">
        <v>161000</v>
      </c>
    </row>
    <row r="385" spans="2:7" x14ac:dyDescent="0.35">
      <c r="B385" s="11"/>
      <c r="C385" s="11"/>
      <c r="D385" s="11"/>
      <c r="E385" s="11" t="s">
        <v>28</v>
      </c>
      <c r="F385" s="11" t="s">
        <v>754</v>
      </c>
      <c r="G385" s="23">
        <v>910000</v>
      </c>
    </row>
    <row r="386" spans="2:7" x14ac:dyDescent="0.35">
      <c r="B386" s="11"/>
      <c r="C386" s="11"/>
      <c r="D386" s="11"/>
      <c r="E386" s="11"/>
      <c r="F386" s="11" t="s">
        <v>20</v>
      </c>
      <c r="G386" s="23">
        <v>1177200</v>
      </c>
    </row>
    <row r="387" spans="2:7" x14ac:dyDescent="0.35">
      <c r="B387" s="11"/>
      <c r="C387" s="11"/>
      <c r="D387" s="11"/>
      <c r="E387" s="11" t="s">
        <v>58</v>
      </c>
      <c r="F387" s="11" t="s">
        <v>465</v>
      </c>
      <c r="G387" s="23">
        <v>2260050</v>
      </c>
    </row>
    <row r="388" spans="2:7" x14ac:dyDescent="0.35">
      <c r="B388" s="11"/>
      <c r="C388" s="11"/>
      <c r="D388" s="11" t="s">
        <v>50</v>
      </c>
      <c r="E388" s="11" t="s">
        <v>23</v>
      </c>
      <c r="F388" s="11" t="s">
        <v>754</v>
      </c>
      <c r="G388" s="23">
        <v>243200</v>
      </c>
    </row>
    <row r="389" spans="2:7" x14ac:dyDescent="0.35">
      <c r="B389" s="11"/>
      <c r="C389" s="11"/>
      <c r="D389" s="11"/>
      <c r="E389" s="11"/>
      <c r="F389" s="11" t="s">
        <v>160</v>
      </c>
      <c r="G389" s="23">
        <v>6924300</v>
      </c>
    </row>
    <row r="390" spans="2:7" x14ac:dyDescent="0.35">
      <c r="B390" s="11"/>
      <c r="C390" s="11"/>
      <c r="D390" s="11"/>
      <c r="E390" s="11"/>
      <c r="F390" s="11" t="s">
        <v>465</v>
      </c>
      <c r="G390" s="23">
        <v>6969450</v>
      </c>
    </row>
    <row r="391" spans="2:7" x14ac:dyDescent="0.35">
      <c r="B391" s="11"/>
      <c r="C391" s="11"/>
      <c r="D391" s="11"/>
      <c r="E391" s="11"/>
      <c r="F391" s="11" t="s">
        <v>363</v>
      </c>
      <c r="G391" s="23">
        <v>919000</v>
      </c>
    </row>
    <row r="392" spans="2:7" x14ac:dyDescent="0.35">
      <c r="B392" s="11"/>
      <c r="C392" s="11"/>
      <c r="D392" s="11" t="s">
        <v>37</v>
      </c>
      <c r="E392" s="11" t="s">
        <v>23</v>
      </c>
      <c r="F392" s="11" t="s">
        <v>20</v>
      </c>
      <c r="G392" s="23">
        <v>4485000</v>
      </c>
    </row>
    <row r="393" spans="2:7" x14ac:dyDescent="0.35">
      <c r="B393" s="11"/>
      <c r="C393" s="11"/>
      <c r="D393" s="11"/>
      <c r="E393" s="11"/>
      <c r="F393" s="11" t="s">
        <v>363</v>
      </c>
      <c r="G393" s="23">
        <v>107000</v>
      </c>
    </row>
    <row r="394" spans="2:7" x14ac:dyDescent="0.35">
      <c r="B394" s="11"/>
      <c r="C394" s="11"/>
      <c r="D394" s="11"/>
      <c r="E394" s="11" t="s">
        <v>17</v>
      </c>
      <c r="F394" s="11" t="s">
        <v>754</v>
      </c>
      <c r="G394" s="23">
        <v>116000</v>
      </c>
    </row>
    <row r="395" spans="2:7" x14ac:dyDescent="0.35">
      <c r="B395" s="11"/>
      <c r="C395" s="11"/>
      <c r="D395" s="11" t="s">
        <v>42</v>
      </c>
      <c r="E395" s="11" t="s">
        <v>23</v>
      </c>
      <c r="F395" s="11" t="s">
        <v>160</v>
      </c>
      <c r="G395" s="23">
        <v>7657200</v>
      </c>
    </row>
    <row r="396" spans="2:7" x14ac:dyDescent="0.35">
      <c r="B396" s="11"/>
      <c r="C396" s="11"/>
      <c r="D396" s="11"/>
      <c r="E396" s="11"/>
      <c r="F396" s="11" t="s">
        <v>465</v>
      </c>
      <c r="G396" s="23">
        <v>20775000</v>
      </c>
    </row>
    <row r="397" spans="2:7" x14ac:dyDescent="0.35">
      <c r="B397" s="11"/>
      <c r="C397" s="11"/>
      <c r="D397" s="11"/>
      <c r="E397" s="11"/>
      <c r="F397" s="11" t="s">
        <v>363</v>
      </c>
      <c r="G397" s="23">
        <v>439100</v>
      </c>
    </row>
    <row r="398" spans="2:7" x14ac:dyDescent="0.35">
      <c r="B398" s="11"/>
      <c r="C398" s="11"/>
      <c r="D398" s="11"/>
      <c r="E398" s="11" t="s">
        <v>17</v>
      </c>
      <c r="F398" s="11" t="s">
        <v>754</v>
      </c>
      <c r="G398" s="23">
        <v>54000</v>
      </c>
    </row>
    <row r="399" spans="2:7" x14ac:dyDescent="0.35">
      <c r="B399" s="11"/>
      <c r="C399" s="11"/>
      <c r="D399" s="11"/>
      <c r="E399" s="11"/>
      <c r="F399" s="11" t="s">
        <v>465</v>
      </c>
      <c r="G399" s="23">
        <v>877000</v>
      </c>
    </row>
    <row r="400" spans="2:7" x14ac:dyDescent="0.35">
      <c r="B400" s="11"/>
      <c r="C400" s="11"/>
      <c r="D400" s="11"/>
      <c r="E400" s="11" t="s">
        <v>28</v>
      </c>
      <c r="F400" s="11" t="s">
        <v>754</v>
      </c>
      <c r="G400" s="23">
        <v>593000</v>
      </c>
    </row>
    <row r="401" spans="2:7" x14ac:dyDescent="0.35">
      <c r="B401" s="11"/>
      <c r="C401" s="11"/>
      <c r="D401" s="11"/>
      <c r="E401" s="11" t="s">
        <v>58</v>
      </c>
      <c r="F401" s="11" t="s">
        <v>465</v>
      </c>
      <c r="G401" s="23">
        <v>1280000</v>
      </c>
    </row>
    <row r="402" spans="2:7" x14ac:dyDescent="0.35">
      <c r="B402" s="11"/>
      <c r="C402" s="11" t="s">
        <v>2015</v>
      </c>
      <c r="D402" s="11" t="s">
        <v>26</v>
      </c>
      <c r="E402" s="11" t="s">
        <v>23</v>
      </c>
      <c r="F402" s="11" t="s">
        <v>754</v>
      </c>
      <c r="G402" s="23">
        <v>58000</v>
      </c>
    </row>
    <row r="403" spans="2:7" x14ac:dyDescent="0.35">
      <c r="B403" s="11"/>
      <c r="C403" s="11"/>
      <c r="D403" s="11"/>
      <c r="E403" s="11"/>
      <c r="F403" s="11" t="s">
        <v>465</v>
      </c>
      <c r="G403" s="23">
        <v>4091000</v>
      </c>
    </row>
    <row r="404" spans="2:7" x14ac:dyDescent="0.35">
      <c r="B404" s="11"/>
      <c r="C404" s="11"/>
      <c r="D404" s="11"/>
      <c r="E404" s="11"/>
      <c r="F404" s="11" t="s">
        <v>20</v>
      </c>
      <c r="G404" s="23">
        <v>1245465.5172413792</v>
      </c>
    </row>
    <row r="405" spans="2:7" x14ac:dyDescent="0.35">
      <c r="B405" s="11"/>
      <c r="C405" s="11"/>
      <c r="D405" s="11"/>
      <c r="E405" s="11" t="s">
        <v>17</v>
      </c>
      <c r="F405" s="11" t="s">
        <v>363</v>
      </c>
      <c r="G405" s="23">
        <v>236000</v>
      </c>
    </row>
    <row r="406" spans="2:7" x14ac:dyDescent="0.35">
      <c r="B406" s="11"/>
      <c r="C406" s="11"/>
      <c r="D406" s="11"/>
      <c r="E406" s="11" t="s">
        <v>28</v>
      </c>
      <c r="F406" s="11" t="s">
        <v>20</v>
      </c>
      <c r="G406" s="23">
        <v>1248000</v>
      </c>
    </row>
    <row r="407" spans="2:7" x14ac:dyDescent="0.35">
      <c r="B407" s="11"/>
      <c r="C407" s="11"/>
      <c r="D407" s="11" t="s">
        <v>15</v>
      </c>
      <c r="E407" s="11" t="s">
        <v>23</v>
      </c>
      <c r="F407" s="11" t="s">
        <v>754</v>
      </c>
      <c r="G407" s="23">
        <v>855000</v>
      </c>
    </row>
    <row r="408" spans="2:7" x14ac:dyDescent="0.35">
      <c r="B408" s="11"/>
      <c r="C408" s="11"/>
      <c r="D408" s="11"/>
      <c r="E408" s="11"/>
      <c r="F408" s="11" t="s">
        <v>160</v>
      </c>
      <c r="G408" s="23">
        <v>4600666.666666666</v>
      </c>
    </row>
    <row r="409" spans="2:7" x14ac:dyDescent="0.35">
      <c r="B409" s="11"/>
      <c r="C409" s="11"/>
      <c r="D409" s="11"/>
      <c r="E409" s="11"/>
      <c r="F409" s="11" t="s">
        <v>465</v>
      </c>
      <c r="G409" s="23">
        <v>7029000</v>
      </c>
    </row>
    <row r="410" spans="2:7" x14ac:dyDescent="0.35">
      <c r="B410" s="11"/>
      <c r="C410" s="11"/>
      <c r="D410" s="11"/>
      <c r="E410" s="11"/>
      <c r="F410" s="11" t="s">
        <v>20</v>
      </c>
      <c r="G410" s="23">
        <v>2715871.4285714286</v>
      </c>
    </row>
    <row r="411" spans="2:7" x14ac:dyDescent="0.35">
      <c r="B411" s="11"/>
      <c r="C411" s="11"/>
      <c r="D411" s="11"/>
      <c r="E411" s="11"/>
      <c r="F411" s="11" t="s">
        <v>363</v>
      </c>
      <c r="G411" s="23">
        <v>351900</v>
      </c>
    </row>
    <row r="412" spans="2:7" x14ac:dyDescent="0.35">
      <c r="B412" s="11"/>
      <c r="C412" s="11"/>
      <c r="D412" s="11"/>
      <c r="E412" s="11" t="s">
        <v>17</v>
      </c>
      <c r="F412" s="11" t="s">
        <v>754</v>
      </c>
      <c r="G412" s="23">
        <v>87000</v>
      </c>
    </row>
    <row r="413" spans="2:7" x14ac:dyDescent="0.35">
      <c r="B413" s="11"/>
      <c r="C413" s="11"/>
      <c r="D413" s="11"/>
      <c r="E413" s="11"/>
      <c r="F413" s="11" t="s">
        <v>160</v>
      </c>
      <c r="G413" s="23">
        <v>1296250</v>
      </c>
    </row>
    <row r="414" spans="2:7" x14ac:dyDescent="0.35">
      <c r="B414" s="11"/>
      <c r="C414" s="11"/>
      <c r="D414" s="11"/>
      <c r="E414" s="11"/>
      <c r="F414" s="11" t="s">
        <v>465</v>
      </c>
      <c r="G414" s="23">
        <v>774350</v>
      </c>
    </row>
    <row r="415" spans="2:7" x14ac:dyDescent="0.35">
      <c r="B415" s="11"/>
      <c r="C415" s="11"/>
      <c r="D415" s="11"/>
      <c r="E415" s="11"/>
      <c r="F415" s="11" t="s">
        <v>20</v>
      </c>
      <c r="G415" s="23">
        <v>453000</v>
      </c>
    </row>
    <row r="416" spans="2:7" x14ac:dyDescent="0.35">
      <c r="B416" s="11"/>
      <c r="C416" s="11"/>
      <c r="D416" s="11"/>
      <c r="E416" s="11"/>
      <c r="F416" s="11" t="s">
        <v>363</v>
      </c>
      <c r="G416" s="23">
        <v>9035000</v>
      </c>
    </row>
    <row r="417" spans="2:7" x14ac:dyDescent="0.35">
      <c r="B417" s="11"/>
      <c r="C417" s="11"/>
      <c r="D417" s="11"/>
      <c r="E417" s="11" t="s">
        <v>28</v>
      </c>
      <c r="F417" s="11" t="s">
        <v>754</v>
      </c>
      <c r="G417" s="23">
        <v>382000</v>
      </c>
    </row>
    <row r="418" spans="2:7" x14ac:dyDescent="0.35">
      <c r="B418" s="11"/>
      <c r="C418" s="11"/>
      <c r="D418" s="11"/>
      <c r="E418" s="11"/>
      <c r="F418" s="11" t="s">
        <v>465</v>
      </c>
      <c r="G418" s="23">
        <v>4830000</v>
      </c>
    </row>
    <row r="419" spans="2:7" x14ac:dyDescent="0.35">
      <c r="B419" s="11"/>
      <c r="C419" s="11"/>
      <c r="D419" s="11"/>
      <c r="E419" s="11"/>
      <c r="F419" s="11" t="s">
        <v>20</v>
      </c>
      <c r="G419" s="23">
        <v>1232000</v>
      </c>
    </row>
    <row r="420" spans="2:7" x14ac:dyDescent="0.35">
      <c r="B420" s="11"/>
      <c r="C420" s="11"/>
      <c r="D420" s="11"/>
      <c r="E420" s="11" t="s">
        <v>58</v>
      </c>
      <c r="F420" s="11" t="s">
        <v>363</v>
      </c>
      <c r="G420" s="23">
        <v>598000</v>
      </c>
    </row>
    <row r="421" spans="2:7" x14ac:dyDescent="0.35">
      <c r="B421" s="11"/>
      <c r="C421" s="11"/>
      <c r="D421" s="11" t="s">
        <v>50</v>
      </c>
      <c r="E421" s="11" t="s">
        <v>23</v>
      </c>
      <c r="F421" s="11" t="s">
        <v>20</v>
      </c>
      <c r="G421" s="23">
        <v>746000</v>
      </c>
    </row>
    <row r="422" spans="2:7" x14ac:dyDescent="0.35">
      <c r="B422" s="11"/>
      <c r="C422" s="11"/>
      <c r="D422" s="11"/>
      <c r="E422" s="11"/>
      <c r="F422" s="11" t="s">
        <v>363</v>
      </c>
      <c r="G422" s="23">
        <v>599550</v>
      </c>
    </row>
    <row r="423" spans="2:7" x14ac:dyDescent="0.35">
      <c r="B423" s="11"/>
      <c r="C423" s="11"/>
      <c r="D423" s="11"/>
      <c r="E423" s="11" t="s">
        <v>17</v>
      </c>
      <c r="F423" s="11" t="s">
        <v>465</v>
      </c>
      <c r="G423" s="23">
        <v>3768000</v>
      </c>
    </row>
    <row r="424" spans="2:7" x14ac:dyDescent="0.35">
      <c r="B424" s="11"/>
      <c r="C424" s="11"/>
      <c r="D424" s="11"/>
      <c r="E424" s="11" t="s">
        <v>28</v>
      </c>
      <c r="F424" s="11" t="s">
        <v>465</v>
      </c>
      <c r="G424" s="23">
        <v>1100700</v>
      </c>
    </row>
    <row r="425" spans="2:7" x14ac:dyDescent="0.35">
      <c r="B425" s="11"/>
      <c r="C425" s="11"/>
      <c r="D425" s="11"/>
      <c r="E425" s="11" t="s">
        <v>58</v>
      </c>
      <c r="F425" s="11" t="s">
        <v>363</v>
      </c>
      <c r="G425" s="23">
        <v>362950</v>
      </c>
    </row>
    <row r="426" spans="2:7" x14ac:dyDescent="0.35">
      <c r="B426" s="11"/>
      <c r="C426" s="11"/>
      <c r="D426" s="11" t="s">
        <v>37</v>
      </c>
      <c r="E426" s="11" t="s">
        <v>23</v>
      </c>
      <c r="F426" s="11" t="s">
        <v>160</v>
      </c>
      <c r="G426" s="23">
        <v>28485000</v>
      </c>
    </row>
    <row r="427" spans="2:7" x14ac:dyDescent="0.35">
      <c r="B427" s="11"/>
      <c r="C427" s="11"/>
      <c r="D427" s="11"/>
      <c r="E427" s="11" t="s">
        <v>17</v>
      </c>
      <c r="F427" s="11" t="s">
        <v>754</v>
      </c>
      <c r="G427" s="23">
        <v>51000</v>
      </c>
    </row>
    <row r="428" spans="2:7" x14ac:dyDescent="0.35">
      <c r="B428" s="11"/>
      <c r="C428" s="11"/>
      <c r="D428" s="11"/>
      <c r="E428" s="11"/>
      <c r="F428" s="11" t="s">
        <v>160</v>
      </c>
      <c r="G428" s="23">
        <v>2680000</v>
      </c>
    </row>
    <row r="429" spans="2:7" x14ac:dyDescent="0.35">
      <c r="B429" s="11"/>
      <c r="C429" s="11"/>
      <c r="D429" s="11"/>
      <c r="E429" s="11"/>
      <c r="F429" s="11" t="s">
        <v>20</v>
      </c>
      <c r="G429" s="23">
        <v>1171000</v>
      </c>
    </row>
    <row r="430" spans="2:7" x14ac:dyDescent="0.35">
      <c r="B430" s="11"/>
      <c r="C430" s="11"/>
      <c r="D430" s="11" t="s">
        <v>42</v>
      </c>
      <c r="E430" s="11" t="s">
        <v>23</v>
      </c>
      <c r="F430" s="11" t="s">
        <v>754</v>
      </c>
      <c r="G430" s="23">
        <v>315400</v>
      </c>
    </row>
    <row r="431" spans="2:7" x14ac:dyDescent="0.35">
      <c r="B431" s="11"/>
      <c r="C431" s="11"/>
      <c r="D431" s="11"/>
      <c r="E431" s="11"/>
      <c r="F431" s="11" t="s">
        <v>465</v>
      </c>
      <c r="G431" s="23">
        <v>3930000</v>
      </c>
    </row>
    <row r="432" spans="2:7" x14ac:dyDescent="0.35">
      <c r="B432" s="11"/>
      <c r="C432" s="11"/>
      <c r="D432" s="11"/>
      <c r="E432" s="11"/>
      <c r="F432" s="11" t="s">
        <v>20</v>
      </c>
      <c r="G432" s="23">
        <v>285000</v>
      </c>
    </row>
    <row r="433" spans="2:7" x14ac:dyDescent="0.35">
      <c r="B433" s="11"/>
      <c r="C433" s="11"/>
      <c r="D433" s="11"/>
      <c r="E433" s="11"/>
      <c r="F433" s="11" t="s">
        <v>363</v>
      </c>
      <c r="G433" s="23">
        <v>895000</v>
      </c>
    </row>
    <row r="434" spans="2:7" x14ac:dyDescent="0.35">
      <c r="B434" s="11"/>
      <c r="C434" s="11"/>
      <c r="D434" s="11"/>
      <c r="E434" s="11" t="s">
        <v>28</v>
      </c>
      <c r="F434" s="11" t="s">
        <v>160</v>
      </c>
      <c r="G434" s="23">
        <v>1850450</v>
      </c>
    </row>
    <row r="435" spans="2:7" x14ac:dyDescent="0.35">
      <c r="B435" s="11"/>
      <c r="C435" s="11"/>
      <c r="D435" s="11"/>
      <c r="E435" s="11"/>
      <c r="F435" s="11" t="s">
        <v>363</v>
      </c>
      <c r="G435" s="23">
        <v>580000</v>
      </c>
    </row>
    <row r="436" spans="2:7" x14ac:dyDescent="0.35">
      <c r="B436" s="11"/>
      <c r="C436" s="11" t="s">
        <v>2016</v>
      </c>
      <c r="D436" s="11" t="s">
        <v>26</v>
      </c>
      <c r="E436" s="11" t="s">
        <v>23</v>
      </c>
      <c r="F436" s="11" t="s">
        <v>754</v>
      </c>
      <c r="G436" s="23">
        <v>710000</v>
      </c>
    </row>
    <row r="437" spans="2:7" x14ac:dyDescent="0.35">
      <c r="B437" s="11"/>
      <c r="C437" s="11"/>
      <c r="D437" s="11"/>
      <c r="E437" s="11"/>
      <c r="F437" s="11" t="s">
        <v>465</v>
      </c>
      <c r="G437" s="23">
        <v>2390000</v>
      </c>
    </row>
    <row r="438" spans="2:7" x14ac:dyDescent="0.35">
      <c r="B438" s="11"/>
      <c r="C438" s="11"/>
      <c r="D438" s="11"/>
      <c r="E438" s="11"/>
      <c r="F438" s="11" t="s">
        <v>20</v>
      </c>
      <c r="G438" s="23">
        <v>1239000</v>
      </c>
    </row>
    <row r="439" spans="2:7" x14ac:dyDescent="0.35">
      <c r="B439" s="11"/>
      <c r="C439" s="11"/>
      <c r="D439" s="11"/>
      <c r="E439" s="11" t="s">
        <v>17</v>
      </c>
      <c r="F439" s="11" t="s">
        <v>465</v>
      </c>
      <c r="G439" s="23">
        <v>844000</v>
      </c>
    </row>
    <row r="440" spans="2:7" x14ac:dyDescent="0.35">
      <c r="B440" s="11"/>
      <c r="C440" s="11"/>
      <c r="D440" s="11"/>
      <c r="E440" s="11" t="s">
        <v>28</v>
      </c>
      <c r="F440" s="11" t="s">
        <v>363</v>
      </c>
      <c r="G440" s="23">
        <v>3116000</v>
      </c>
    </row>
    <row r="441" spans="2:7" x14ac:dyDescent="0.35">
      <c r="B441" s="11"/>
      <c r="C441" s="11"/>
      <c r="D441" s="11" t="s">
        <v>15</v>
      </c>
      <c r="E441" s="11" t="s">
        <v>23</v>
      </c>
      <c r="F441" s="11" t="s">
        <v>754</v>
      </c>
      <c r="G441" s="23">
        <v>177838.73239436618</v>
      </c>
    </row>
    <row r="442" spans="2:7" x14ac:dyDescent="0.35">
      <c r="B442" s="11"/>
      <c r="C442" s="11"/>
      <c r="D442" s="11"/>
      <c r="E442" s="11"/>
      <c r="F442" s="11" t="s">
        <v>160</v>
      </c>
      <c r="G442" s="23">
        <v>12171600</v>
      </c>
    </row>
    <row r="443" spans="2:7" x14ac:dyDescent="0.35">
      <c r="B443" s="11"/>
      <c r="C443" s="11"/>
      <c r="D443" s="11"/>
      <c r="E443" s="11"/>
      <c r="F443" s="11" t="s">
        <v>465</v>
      </c>
      <c r="G443" s="23">
        <v>3174000</v>
      </c>
    </row>
    <row r="444" spans="2:7" x14ac:dyDescent="0.35">
      <c r="B444" s="11"/>
      <c r="C444" s="11"/>
      <c r="D444" s="11"/>
      <c r="E444" s="11"/>
      <c r="F444" s="11" t="s">
        <v>20</v>
      </c>
      <c r="G444" s="23">
        <v>9130550</v>
      </c>
    </row>
    <row r="445" spans="2:7" x14ac:dyDescent="0.35">
      <c r="B445" s="11"/>
      <c r="C445" s="11"/>
      <c r="D445" s="11"/>
      <c r="E445" s="11"/>
      <c r="F445" s="11" t="s">
        <v>363</v>
      </c>
      <c r="G445" s="23">
        <v>1571400</v>
      </c>
    </row>
    <row r="446" spans="2:7" x14ac:dyDescent="0.35">
      <c r="B446" s="11"/>
      <c r="C446" s="11"/>
      <c r="D446" s="11"/>
      <c r="E446" s="11" t="s">
        <v>17</v>
      </c>
      <c r="F446" s="11" t="s">
        <v>754</v>
      </c>
      <c r="G446" s="23">
        <v>516000</v>
      </c>
    </row>
    <row r="447" spans="2:7" x14ac:dyDescent="0.35">
      <c r="B447" s="11"/>
      <c r="C447" s="11"/>
      <c r="D447" s="11"/>
      <c r="E447" s="11"/>
      <c r="F447" s="11" t="s">
        <v>160</v>
      </c>
      <c r="G447" s="23">
        <v>25318250</v>
      </c>
    </row>
    <row r="448" spans="2:7" x14ac:dyDescent="0.35">
      <c r="B448" s="11"/>
      <c r="C448" s="11"/>
      <c r="D448" s="11"/>
      <c r="E448" s="11"/>
      <c r="F448" s="11" t="s">
        <v>20</v>
      </c>
      <c r="G448" s="23">
        <v>396000</v>
      </c>
    </row>
    <row r="449" spans="2:7" x14ac:dyDescent="0.35">
      <c r="B449" s="11"/>
      <c r="C449" s="11"/>
      <c r="D449" s="11"/>
      <c r="E449" s="11" t="s">
        <v>28</v>
      </c>
      <c r="F449" s="11" t="s">
        <v>754</v>
      </c>
      <c r="G449" s="23">
        <v>696000</v>
      </c>
    </row>
    <row r="450" spans="2:7" x14ac:dyDescent="0.35">
      <c r="B450" s="11"/>
      <c r="C450" s="11"/>
      <c r="D450" s="11"/>
      <c r="E450" s="11"/>
      <c r="F450" s="11" t="s">
        <v>160</v>
      </c>
      <c r="G450" s="23">
        <v>4050000</v>
      </c>
    </row>
    <row r="451" spans="2:7" x14ac:dyDescent="0.35">
      <c r="B451" s="11"/>
      <c r="C451" s="11"/>
      <c r="D451" s="11"/>
      <c r="E451" s="11"/>
      <c r="F451" s="11" t="s">
        <v>465</v>
      </c>
      <c r="G451" s="23">
        <v>2684000</v>
      </c>
    </row>
    <row r="452" spans="2:7" x14ac:dyDescent="0.35">
      <c r="B452" s="11"/>
      <c r="C452" s="11"/>
      <c r="D452" s="11" t="s">
        <v>50</v>
      </c>
      <c r="E452" s="11" t="s">
        <v>23</v>
      </c>
      <c r="F452" s="11" t="s">
        <v>465</v>
      </c>
      <c r="G452" s="23">
        <v>1192000</v>
      </c>
    </row>
    <row r="453" spans="2:7" x14ac:dyDescent="0.35">
      <c r="B453" s="11"/>
      <c r="C453" s="11"/>
      <c r="D453" s="11"/>
      <c r="E453" s="11"/>
      <c r="F453" s="11" t="s">
        <v>20</v>
      </c>
      <c r="G453" s="23">
        <v>899000</v>
      </c>
    </row>
    <row r="454" spans="2:7" x14ac:dyDescent="0.35">
      <c r="B454" s="11"/>
      <c r="C454" s="11"/>
      <c r="D454" s="11"/>
      <c r="E454" s="11" t="s">
        <v>17</v>
      </c>
      <c r="F454" s="11" t="s">
        <v>465</v>
      </c>
      <c r="G454" s="23">
        <v>1740000</v>
      </c>
    </row>
    <row r="455" spans="2:7" x14ac:dyDescent="0.35">
      <c r="B455" s="11"/>
      <c r="C455" s="11"/>
      <c r="D455" s="11"/>
      <c r="E455" s="11" t="s">
        <v>28</v>
      </c>
      <c r="F455" s="11" t="s">
        <v>160</v>
      </c>
      <c r="G455" s="23">
        <v>3721000</v>
      </c>
    </row>
    <row r="456" spans="2:7" x14ac:dyDescent="0.35">
      <c r="B456" s="11"/>
      <c r="C456" s="11"/>
      <c r="D456" s="11" t="s">
        <v>37</v>
      </c>
      <c r="E456" s="11" t="s">
        <v>17</v>
      </c>
      <c r="F456" s="11" t="s">
        <v>20</v>
      </c>
      <c r="G456" s="23">
        <v>451250</v>
      </c>
    </row>
    <row r="457" spans="2:7" x14ac:dyDescent="0.35">
      <c r="B457" s="11"/>
      <c r="C457" s="11"/>
      <c r="D457" s="11" t="s">
        <v>42</v>
      </c>
      <c r="E457" s="11" t="s">
        <v>23</v>
      </c>
      <c r="F457" s="11" t="s">
        <v>754</v>
      </c>
      <c r="G457" s="23">
        <v>247000</v>
      </c>
    </row>
    <row r="458" spans="2:7" x14ac:dyDescent="0.35">
      <c r="B458" s="11"/>
      <c r="C458" s="11"/>
      <c r="D458" s="11"/>
      <c r="E458" s="11"/>
      <c r="F458" s="11" t="s">
        <v>20</v>
      </c>
      <c r="G458" s="23">
        <v>1943000</v>
      </c>
    </row>
    <row r="459" spans="2:7" x14ac:dyDescent="0.35">
      <c r="B459" s="11"/>
      <c r="C459" s="11"/>
      <c r="D459" s="11"/>
      <c r="E459" s="11" t="s">
        <v>17</v>
      </c>
      <c r="F459" s="11" t="s">
        <v>754</v>
      </c>
      <c r="G459" s="23">
        <v>52000</v>
      </c>
    </row>
    <row r="460" spans="2:7" x14ac:dyDescent="0.35">
      <c r="B460" s="11"/>
      <c r="C460" s="11" t="s">
        <v>2017</v>
      </c>
      <c r="D460" s="11" t="s">
        <v>26</v>
      </c>
      <c r="E460" s="11" t="s">
        <v>28</v>
      </c>
      <c r="F460" s="11" t="s">
        <v>754</v>
      </c>
      <c r="G460" s="23">
        <v>132000</v>
      </c>
    </row>
    <row r="461" spans="2:7" x14ac:dyDescent="0.35">
      <c r="B461" s="11"/>
      <c r="C461" s="11"/>
      <c r="D461" s="11" t="s">
        <v>15</v>
      </c>
      <c r="E461" s="11" t="s">
        <v>23</v>
      </c>
      <c r="F461" s="11" t="s">
        <v>754</v>
      </c>
      <c r="G461" s="23">
        <v>257000</v>
      </c>
    </row>
    <row r="462" spans="2:7" x14ac:dyDescent="0.35">
      <c r="B462" s="11"/>
      <c r="C462" s="11"/>
      <c r="D462" s="11"/>
      <c r="E462" s="11"/>
      <c r="F462" s="11" t="s">
        <v>160</v>
      </c>
      <c r="G462" s="23">
        <v>41633000</v>
      </c>
    </row>
    <row r="463" spans="2:7" x14ac:dyDescent="0.35">
      <c r="B463" s="11"/>
      <c r="C463" s="11"/>
      <c r="D463" s="11"/>
      <c r="E463" s="11"/>
      <c r="F463" s="11" t="s">
        <v>465</v>
      </c>
      <c r="G463" s="23">
        <v>12496200</v>
      </c>
    </row>
    <row r="464" spans="2:7" x14ac:dyDescent="0.35">
      <c r="B464" s="11"/>
      <c r="C464" s="11"/>
      <c r="D464" s="11"/>
      <c r="E464" s="11"/>
      <c r="F464" s="11" t="s">
        <v>20</v>
      </c>
      <c r="G464" s="23">
        <v>1814000</v>
      </c>
    </row>
    <row r="465" spans="2:7" x14ac:dyDescent="0.35">
      <c r="B465" s="11"/>
      <c r="C465" s="11"/>
      <c r="D465" s="11"/>
      <c r="E465" s="11"/>
      <c r="F465" s="11" t="s">
        <v>363</v>
      </c>
      <c r="G465" s="23">
        <v>4211000</v>
      </c>
    </row>
    <row r="466" spans="2:7" x14ac:dyDescent="0.35">
      <c r="B466" s="11"/>
      <c r="C466" s="11"/>
      <c r="D466" s="11"/>
      <c r="E466" s="11" t="s">
        <v>17</v>
      </c>
      <c r="F466" s="11" t="s">
        <v>160</v>
      </c>
      <c r="G466" s="23">
        <v>8002800</v>
      </c>
    </row>
    <row r="467" spans="2:7" x14ac:dyDescent="0.35">
      <c r="B467" s="11"/>
      <c r="C467" s="11"/>
      <c r="D467" s="11"/>
      <c r="E467" s="11"/>
      <c r="F467" s="11" t="s">
        <v>465</v>
      </c>
      <c r="G467" s="23">
        <v>2385000</v>
      </c>
    </row>
    <row r="468" spans="2:7" x14ac:dyDescent="0.35">
      <c r="B468" s="11"/>
      <c r="C468" s="11"/>
      <c r="D468" s="11"/>
      <c r="E468" s="11"/>
      <c r="F468" s="11" t="s">
        <v>20</v>
      </c>
      <c r="G468" s="23">
        <v>1549000</v>
      </c>
    </row>
    <row r="469" spans="2:7" x14ac:dyDescent="0.35">
      <c r="B469" s="11"/>
      <c r="C469" s="11"/>
      <c r="D469" s="11"/>
      <c r="E469" s="11" t="s">
        <v>28</v>
      </c>
      <c r="F469" s="11" t="s">
        <v>754</v>
      </c>
      <c r="G469" s="23">
        <v>472000</v>
      </c>
    </row>
    <row r="470" spans="2:7" x14ac:dyDescent="0.35">
      <c r="B470" s="11"/>
      <c r="C470" s="11"/>
      <c r="D470" s="11"/>
      <c r="E470" s="11"/>
      <c r="F470" s="11" t="s">
        <v>160</v>
      </c>
      <c r="G470" s="23">
        <v>2625800</v>
      </c>
    </row>
    <row r="471" spans="2:7" x14ac:dyDescent="0.35">
      <c r="B471" s="11"/>
      <c r="C471" s="11"/>
      <c r="D471" s="11"/>
      <c r="E471" s="11"/>
      <c r="F471" s="11" t="s">
        <v>465</v>
      </c>
      <c r="G471" s="23">
        <v>11194000</v>
      </c>
    </row>
    <row r="472" spans="2:7" x14ac:dyDescent="0.35">
      <c r="B472" s="11"/>
      <c r="C472" s="11"/>
      <c r="D472" s="11"/>
      <c r="E472" s="11"/>
      <c r="F472" s="11" t="s">
        <v>20</v>
      </c>
      <c r="G472" s="23">
        <v>339300</v>
      </c>
    </row>
    <row r="473" spans="2:7" x14ac:dyDescent="0.35">
      <c r="B473" s="11"/>
      <c r="C473" s="11"/>
      <c r="D473" s="11" t="s">
        <v>50</v>
      </c>
      <c r="E473" s="11" t="s">
        <v>23</v>
      </c>
      <c r="F473" s="11" t="s">
        <v>20</v>
      </c>
      <c r="G473" s="23">
        <v>872000</v>
      </c>
    </row>
    <row r="474" spans="2:7" x14ac:dyDescent="0.35">
      <c r="B474" s="11"/>
      <c r="C474" s="11"/>
      <c r="D474" s="11"/>
      <c r="E474" s="11"/>
      <c r="F474" s="11" t="s">
        <v>363</v>
      </c>
      <c r="G474" s="23">
        <v>165300</v>
      </c>
    </row>
    <row r="475" spans="2:7" x14ac:dyDescent="0.35">
      <c r="B475" s="11"/>
      <c r="C475" s="11"/>
      <c r="D475" s="11"/>
      <c r="E475" s="11" t="s">
        <v>17</v>
      </c>
      <c r="F475" s="11" t="s">
        <v>754</v>
      </c>
      <c r="G475" s="23">
        <v>271000</v>
      </c>
    </row>
    <row r="476" spans="2:7" x14ac:dyDescent="0.35">
      <c r="B476" s="11"/>
      <c r="C476" s="11"/>
      <c r="D476" s="11"/>
      <c r="E476" s="11"/>
      <c r="F476" s="11" t="s">
        <v>160</v>
      </c>
      <c r="G476" s="23">
        <v>3699000</v>
      </c>
    </row>
    <row r="477" spans="2:7" x14ac:dyDescent="0.35">
      <c r="B477" s="11"/>
      <c r="C477" s="11"/>
      <c r="D477" s="11"/>
      <c r="E477" s="11"/>
      <c r="F477" s="11" t="s">
        <v>20</v>
      </c>
      <c r="G477" s="23">
        <v>1484000</v>
      </c>
    </row>
    <row r="478" spans="2:7" x14ac:dyDescent="0.35">
      <c r="B478" s="11"/>
      <c r="C478" s="11"/>
      <c r="D478" s="11"/>
      <c r="E478" s="11"/>
      <c r="F478" s="11" t="s">
        <v>363</v>
      </c>
      <c r="G478" s="23">
        <v>372000</v>
      </c>
    </row>
    <row r="479" spans="2:7" x14ac:dyDescent="0.35">
      <c r="B479" s="11"/>
      <c r="C479" s="11"/>
      <c r="D479" s="11"/>
      <c r="E479" s="11" t="s">
        <v>28</v>
      </c>
      <c r="F479" s="11" t="s">
        <v>754</v>
      </c>
      <c r="G479" s="23">
        <v>455000</v>
      </c>
    </row>
    <row r="480" spans="2:7" x14ac:dyDescent="0.35">
      <c r="B480" s="11"/>
      <c r="C480" s="11"/>
      <c r="D480" s="11" t="s">
        <v>37</v>
      </c>
      <c r="E480" s="11" t="s">
        <v>23</v>
      </c>
      <c r="F480" s="11" t="s">
        <v>754</v>
      </c>
      <c r="G480" s="23">
        <v>284000</v>
      </c>
    </row>
    <row r="481" spans="2:7" x14ac:dyDescent="0.35">
      <c r="B481" s="11"/>
      <c r="C481" s="11"/>
      <c r="D481" s="11"/>
      <c r="E481" s="11"/>
      <c r="F481" s="11" t="s">
        <v>160</v>
      </c>
      <c r="G481" s="23">
        <v>924000</v>
      </c>
    </row>
    <row r="482" spans="2:7" x14ac:dyDescent="0.35">
      <c r="B482" s="11"/>
      <c r="C482" s="11"/>
      <c r="D482" s="11"/>
      <c r="E482" s="11"/>
      <c r="F482" s="11" t="s">
        <v>20</v>
      </c>
      <c r="G482" s="23">
        <v>3342700</v>
      </c>
    </row>
    <row r="483" spans="2:7" x14ac:dyDescent="0.35">
      <c r="B483" s="11"/>
      <c r="C483" s="11"/>
      <c r="D483" s="11"/>
      <c r="E483" s="11" t="s">
        <v>17</v>
      </c>
      <c r="F483" s="11" t="s">
        <v>20</v>
      </c>
      <c r="G483" s="23">
        <v>1709600</v>
      </c>
    </row>
    <row r="484" spans="2:7" x14ac:dyDescent="0.35">
      <c r="B484" s="11"/>
      <c r="C484" s="11"/>
      <c r="D484" s="11"/>
      <c r="E484" s="11" t="s">
        <v>28</v>
      </c>
      <c r="F484" s="11" t="s">
        <v>363</v>
      </c>
      <c r="G484" s="23">
        <v>512000</v>
      </c>
    </row>
    <row r="485" spans="2:7" x14ac:dyDescent="0.35">
      <c r="B485" s="11"/>
      <c r="C485" s="11"/>
      <c r="D485" s="11" t="s">
        <v>42</v>
      </c>
      <c r="E485" s="11" t="s">
        <v>23</v>
      </c>
      <c r="F485" s="11" t="s">
        <v>754</v>
      </c>
      <c r="G485" s="23">
        <v>243000</v>
      </c>
    </row>
    <row r="486" spans="2:7" x14ac:dyDescent="0.35">
      <c r="B486" s="11"/>
      <c r="C486" s="11"/>
      <c r="D486" s="11"/>
      <c r="E486" s="11"/>
      <c r="F486" s="11" t="s">
        <v>465</v>
      </c>
      <c r="G486" s="23">
        <v>8260000</v>
      </c>
    </row>
    <row r="487" spans="2:7" x14ac:dyDescent="0.35">
      <c r="B487" s="11"/>
      <c r="C487" s="11"/>
      <c r="D487" s="11"/>
      <c r="E487" s="11"/>
      <c r="F487" s="11" t="s">
        <v>20</v>
      </c>
      <c r="G487" s="23">
        <v>343000</v>
      </c>
    </row>
    <row r="488" spans="2:7" x14ac:dyDescent="0.35">
      <c r="B488" s="11"/>
      <c r="C488" s="11"/>
      <c r="D488" s="11"/>
      <c r="E488" s="11" t="s">
        <v>17</v>
      </c>
      <c r="F488" s="11" t="s">
        <v>465</v>
      </c>
      <c r="G488" s="23">
        <v>7626000</v>
      </c>
    </row>
    <row r="489" spans="2:7" x14ac:dyDescent="0.35">
      <c r="B489" s="11"/>
      <c r="C489" s="11"/>
      <c r="D489" s="11"/>
      <c r="E489" s="11"/>
      <c r="F489" s="11" t="s">
        <v>363</v>
      </c>
      <c r="G489" s="23">
        <v>356000</v>
      </c>
    </row>
    <row r="490" spans="2:7" x14ac:dyDescent="0.35">
      <c r="B490" s="11"/>
      <c r="C490" s="11"/>
      <c r="D490" s="11"/>
      <c r="E490" s="11" t="s">
        <v>28</v>
      </c>
      <c r="F490" s="11" t="s">
        <v>160</v>
      </c>
      <c r="G490" s="23">
        <v>7673000</v>
      </c>
    </row>
    <row r="491" spans="2:7" x14ac:dyDescent="0.35">
      <c r="B491" s="11"/>
      <c r="C491" s="11" t="s">
        <v>2018</v>
      </c>
      <c r="D491" s="11" t="s">
        <v>26</v>
      </c>
      <c r="E491" s="11" t="s">
        <v>23</v>
      </c>
      <c r="F491" s="11" t="s">
        <v>20</v>
      </c>
      <c r="G491" s="23">
        <v>1160357.1428571427</v>
      </c>
    </row>
    <row r="492" spans="2:7" x14ac:dyDescent="0.35">
      <c r="B492" s="11"/>
      <c r="C492" s="11"/>
      <c r="D492" s="11"/>
      <c r="E492" s="11" t="s">
        <v>28</v>
      </c>
      <c r="F492" s="11" t="s">
        <v>465</v>
      </c>
      <c r="G492" s="23">
        <v>9338500</v>
      </c>
    </row>
    <row r="493" spans="2:7" x14ac:dyDescent="0.35">
      <c r="B493" s="11"/>
      <c r="C493" s="11"/>
      <c r="D493" s="11" t="s">
        <v>15</v>
      </c>
      <c r="E493" s="11" t="s">
        <v>23</v>
      </c>
      <c r="F493" s="11" t="s">
        <v>754</v>
      </c>
      <c r="G493" s="23">
        <v>787000</v>
      </c>
    </row>
    <row r="494" spans="2:7" x14ac:dyDescent="0.35">
      <c r="B494" s="11"/>
      <c r="C494" s="11"/>
      <c r="D494" s="11"/>
      <c r="E494" s="11"/>
      <c r="F494" s="11" t="s">
        <v>160</v>
      </c>
      <c r="G494" s="23">
        <v>31806736.363636363</v>
      </c>
    </row>
    <row r="495" spans="2:7" x14ac:dyDescent="0.35">
      <c r="B495" s="11"/>
      <c r="C495" s="11"/>
      <c r="D495" s="11"/>
      <c r="E495" s="11"/>
      <c r="F495" s="11" t="s">
        <v>465</v>
      </c>
      <c r="G495" s="23">
        <v>2140000</v>
      </c>
    </row>
    <row r="496" spans="2:7" x14ac:dyDescent="0.35">
      <c r="B496" s="11"/>
      <c r="C496" s="11"/>
      <c r="D496" s="11"/>
      <c r="E496" s="11"/>
      <c r="F496" s="11" t="s">
        <v>20</v>
      </c>
      <c r="G496" s="23">
        <v>328000</v>
      </c>
    </row>
    <row r="497" spans="2:7" x14ac:dyDescent="0.35">
      <c r="B497" s="11"/>
      <c r="C497" s="11"/>
      <c r="D497" s="11"/>
      <c r="E497" s="11"/>
      <c r="F497" s="11" t="s">
        <v>363</v>
      </c>
      <c r="G497" s="23">
        <v>5408024.6913580243</v>
      </c>
    </row>
    <row r="498" spans="2:7" x14ac:dyDescent="0.35">
      <c r="B498" s="11"/>
      <c r="C498" s="11"/>
      <c r="D498" s="11"/>
      <c r="E498" s="11" t="s">
        <v>17</v>
      </c>
      <c r="F498" s="11" t="s">
        <v>754</v>
      </c>
      <c r="G498" s="23">
        <v>1428000</v>
      </c>
    </row>
    <row r="499" spans="2:7" x14ac:dyDescent="0.35">
      <c r="B499" s="11"/>
      <c r="C499" s="11"/>
      <c r="D499" s="11"/>
      <c r="E499" s="11"/>
      <c r="F499" s="11" t="s">
        <v>160</v>
      </c>
      <c r="G499" s="23">
        <v>3213000</v>
      </c>
    </row>
    <row r="500" spans="2:7" x14ac:dyDescent="0.35">
      <c r="B500" s="11"/>
      <c r="C500" s="11"/>
      <c r="D500" s="11"/>
      <c r="E500" s="11"/>
      <c r="F500" s="11" t="s">
        <v>465</v>
      </c>
      <c r="G500" s="23">
        <v>701100</v>
      </c>
    </row>
    <row r="501" spans="2:7" x14ac:dyDescent="0.35">
      <c r="B501" s="11"/>
      <c r="C501" s="11"/>
      <c r="D501" s="11"/>
      <c r="E501" s="11"/>
      <c r="F501" s="11" t="s">
        <v>20</v>
      </c>
      <c r="G501" s="23">
        <v>879785.71428571432</v>
      </c>
    </row>
    <row r="502" spans="2:7" x14ac:dyDescent="0.35">
      <c r="B502" s="11"/>
      <c r="C502" s="11"/>
      <c r="D502" s="11"/>
      <c r="E502" s="11"/>
      <c r="F502" s="11" t="s">
        <v>363</v>
      </c>
      <c r="G502" s="23">
        <v>2849000</v>
      </c>
    </row>
    <row r="503" spans="2:7" x14ac:dyDescent="0.35">
      <c r="B503" s="11"/>
      <c r="C503" s="11"/>
      <c r="D503" s="11"/>
      <c r="E503" s="11" t="s">
        <v>28</v>
      </c>
      <c r="F503" s="11" t="s">
        <v>160</v>
      </c>
      <c r="G503" s="23">
        <v>1210400</v>
      </c>
    </row>
    <row r="504" spans="2:7" x14ac:dyDescent="0.35">
      <c r="B504" s="11"/>
      <c r="C504" s="11"/>
      <c r="D504" s="11"/>
      <c r="E504" s="11"/>
      <c r="F504" s="11" t="s">
        <v>465</v>
      </c>
      <c r="G504" s="23">
        <v>2665000</v>
      </c>
    </row>
    <row r="505" spans="2:7" x14ac:dyDescent="0.35">
      <c r="B505" s="11"/>
      <c r="C505" s="11"/>
      <c r="D505" s="11"/>
      <c r="E505" s="11"/>
      <c r="F505" s="11" t="s">
        <v>20</v>
      </c>
      <c r="G505" s="23">
        <v>1990000</v>
      </c>
    </row>
    <row r="506" spans="2:7" x14ac:dyDescent="0.35">
      <c r="B506" s="11"/>
      <c r="C506" s="11"/>
      <c r="D506" s="11"/>
      <c r="E506" s="11" t="s">
        <v>58</v>
      </c>
      <c r="F506" s="11" t="s">
        <v>465</v>
      </c>
      <c r="G506" s="23">
        <v>3962000</v>
      </c>
    </row>
    <row r="507" spans="2:7" x14ac:dyDescent="0.35">
      <c r="B507" s="11"/>
      <c r="C507" s="11"/>
      <c r="D507" s="11" t="s">
        <v>50</v>
      </c>
      <c r="E507" s="11" t="s">
        <v>23</v>
      </c>
      <c r="F507" s="11" t="s">
        <v>160</v>
      </c>
      <c r="G507" s="23">
        <v>20691000</v>
      </c>
    </row>
    <row r="508" spans="2:7" x14ac:dyDescent="0.35">
      <c r="B508" s="11"/>
      <c r="C508" s="11"/>
      <c r="D508" s="11"/>
      <c r="E508" s="11"/>
      <c r="F508" s="11" t="s">
        <v>465</v>
      </c>
      <c r="G508" s="23">
        <v>846000</v>
      </c>
    </row>
    <row r="509" spans="2:7" x14ac:dyDescent="0.35">
      <c r="B509" s="11"/>
      <c r="C509" s="11"/>
      <c r="D509" s="11"/>
      <c r="E509" s="11"/>
      <c r="F509" s="11" t="s">
        <v>20</v>
      </c>
      <c r="G509" s="23">
        <v>1640000</v>
      </c>
    </row>
    <row r="510" spans="2:7" x14ac:dyDescent="0.35">
      <c r="B510" s="11"/>
      <c r="C510" s="11"/>
      <c r="D510" s="11"/>
      <c r="E510" s="11" t="s">
        <v>17</v>
      </c>
      <c r="F510" s="11" t="s">
        <v>160</v>
      </c>
      <c r="G510" s="23">
        <v>2344600</v>
      </c>
    </row>
    <row r="511" spans="2:7" x14ac:dyDescent="0.35">
      <c r="B511" s="11"/>
      <c r="C511" s="11"/>
      <c r="D511" s="11"/>
      <c r="E511" s="11" t="s">
        <v>28</v>
      </c>
      <c r="F511" s="11" t="s">
        <v>160</v>
      </c>
      <c r="G511" s="23">
        <v>2180000</v>
      </c>
    </row>
    <row r="512" spans="2:7" x14ac:dyDescent="0.35">
      <c r="B512" s="11"/>
      <c r="C512" s="11"/>
      <c r="D512" s="11" t="s">
        <v>37</v>
      </c>
      <c r="E512" s="11" t="s">
        <v>23</v>
      </c>
      <c r="F512" s="11" t="s">
        <v>363</v>
      </c>
      <c r="G512" s="23">
        <v>535000</v>
      </c>
    </row>
    <row r="513" spans="2:7" x14ac:dyDescent="0.35">
      <c r="B513" s="11"/>
      <c r="C513" s="11"/>
      <c r="D513" s="11"/>
      <c r="E513" s="11" t="s">
        <v>28</v>
      </c>
      <c r="F513" s="11" t="s">
        <v>363</v>
      </c>
      <c r="G513" s="23">
        <v>103000</v>
      </c>
    </row>
    <row r="514" spans="2:7" x14ac:dyDescent="0.35">
      <c r="B514" s="11"/>
      <c r="C514" s="11"/>
      <c r="D514" s="11" t="s">
        <v>42</v>
      </c>
      <c r="E514" s="11" t="s">
        <v>23</v>
      </c>
      <c r="F514" s="11" t="s">
        <v>754</v>
      </c>
      <c r="G514" s="23">
        <v>365000</v>
      </c>
    </row>
    <row r="515" spans="2:7" x14ac:dyDescent="0.35">
      <c r="B515" s="11"/>
      <c r="C515" s="11"/>
      <c r="D515" s="11"/>
      <c r="E515" s="11"/>
      <c r="F515" s="11" t="s">
        <v>465</v>
      </c>
      <c r="G515" s="23">
        <v>1179000</v>
      </c>
    </row>
    <row r="516" spans="2:7" x14ac:dyDescent="0.35">
      <c r="B516" s="11"/>
      <c r="C516" s="11"/>
      <c r="D516" s="11"/>
      <c r="E516" s="11"/>
      <c r="F516" s="11" t="s">
        <v>20</v>
      </c>
      <c r="G516" s="23">
        <v>1637000</v>
      </c>
    </row>
    <row r="517" spans="2:7" x14ac:dyDescent="0.35">
      <c r="B517" s="11"/>
      <c r="C517" s="11"/>
      <c r="D517" s="11"/>
      <c r="E517" s="11"/>
      <c r="F517" s="11" t="s">
        <v>363</v>
      </c>
      <c r="G517" s="23">
        <v>840000</v>
      </c>
    </row>
    <row r="518" spans="2:7" x14ac:dyDescent="0.35">
      <c r="B518" s="11"/>
      <c r="C518" s="11"/>
      <c r="D518" s="11"/>
      <c r="E518" s="11" t="s">
        <v>17</v>
      </c>
      <c r="F518" s="11" t="s">
        <v>465</v>
      </c>
      <c r="G518" s="23">
        <v>13775400</v>
      </c>
    </row>
    <row r="519" spans="2:7" x14ac:dyDescent="0.35">
      <c r="B519" s="11"/>
      <c r="C519" s="11"/>
      <c r="D519" s="11"/>
      <c r="E519" s="11"/>
      <c r="F519" s="11" t="s">
        <v>20</v>
      </c>
      <c r="G519" s="23">
        <v>441900</v>
      </c>
    </row>
    <row r="520" spans="2:7" x14ac:dyDescent="0.35">
      <c r="B520" s="11"/>
      <c r="C520" s="11" t="s">
        <v>2019</v>
      </c>
      <c r="D520" s="11" t="s">
        <v>26</v>
      </c>
      <c r="E520" s="11" t="s">
        <v>23</v>
      </c>
      <c r="F520" s="11" t="s">
        <v>754</v>
      </c>
      <c r="G520" s="23">
        <v>297000</v>
      </c>
    </row>
    <row r="521" spans="2:7" x14ac:dyDescent="0.35">
      <c r="B521" s="11"/>
      <c r="C521" s="11"/>
      <c r="D521" s="11"/>
      <c r="E521" s="11"/>
      <c r="F521" s="11" t="s">
        <v>465</v>
      </c>
      <c r="G521" s="23">
        <v>4584000</v>
      </c>
    </row>
    <row r="522" spans="2:7" x14ac:dyDescent="0.35">
      <c r="B522" s="11"/>
      <c r="C522" s="11"/>
      <c r="D522" s="11"/>
      <c r="E522" s="11"/>
      <c r="F522" s="11" t="s">
        <v>363</v>
      </c>
      <c r="G522" s="23">
        <v>565000</v>
      </c>
    </row>
    <row r="523" spans="2:7" x14ac:dyDescent="0.35">
      <c r="B523" s="11"/>
      <c r="C523" s="11"/>
      <c r="D523" s="11"/>
      <c r="E523" s="11" t="s">
        <v>17</v>
      </c>
      <c r="F523" s="11" t="s">
        <v>20</v>
      </c>
      <c r="G523" s="23">
        <v>1086000</v>
      </c>
    </row>
    <row r="524" spans="2:7" x14ac:dyDescent="0.35">
      <c r="B524" s="11"/>
      <c r="C524" s="11"/>
      <c r="D524" s="11"/>
      <c r="E524" s="11" t="s">
        <v>28</v>
      </c>
      <c r="F524" s="11" t="s">
        <v>363</v>
      </c>
      <c r="G524" s="23">
        <v>585900</v>
      </c>
    </row>
    <row r="525" spans="2:7" x14ac:dyDescent="0.35">
      <c r="B525" s="11"/>
      <c r="C525" s="11"/>
      <c r="D525" s="11" t="s">
        <v>15</v>
      </c>
      <c r="E525" s="11" t="s">
        <v>23</v>
      </c>
      <c r="F525" s="11" t="s">
        <v>754</v>
      </c>
      <c r="G525" s="23">
        <v>160000</v>
      </c>
    </row>
    <row r="526" spans="2:7" x14ac:dyDescent="0.35">
      <c r="B526" s="11"/>
      <c r="C526" s="11"/>
      <c r="D526" s="11"/>
      <c r="E526" s="11"/>
      <c r="F526" s="11" t="s">
        <v>160</v>
      </c>
      <c r="G526" s="23">
        <v>4899700</v>
      </c>
    </row>
    <row r="527" spans="2:7" x14ac:dyDescent="0.35">
      <c r="B527" s="11"/>
      <c r="C527" s="11"/>
      <c r="D527" s="11"/>
      <c r="E527" s="11"/>
      <c r="F527" s="11" t="s">
        <v>465</v>
      </c>
      <c r="G527" s="23">
        <v>11994000</v>
      </c>
    </row>
    <row r="528" spans="2:7" x14ac:dyDescent="0.35">
      <c r="B528" s="11"/>
      <c r="C528" s="11"/>
      <c r="D528" s="11"/>
      <c r="E528" s="11"/>
      <c r="F528" s="11" t="s">
        <v>20</v>
      </c>
      <c r="G528" s="23">
        <v>2580000</v>
      </c>
    </row>
    <row r="529" spans="2:7" x14ac:dyDescent="0.35">
      <c r="B529" s="11"/>
      <c r="C529" s="11"/>
      <c r="D529" s="11"/>
      <c r="E529" s="11"/>
      <c r="F529" s="11" t="s">
        <v>363</v>
      </c>
      <c r="G529" s="23">
        <v>571000</v>
      </c>
    </row>
    <row r="530" spans="2:7" x14ac:dyDescent="0.35">
      <c r="B530" s="11"/>
      <c r="C530" s="11"/>
      <c r="D530" s="11"/>
      <c r="E530" s="11" t="s">
        <v>17</v>
      </c>
      <c r="F530" s="11" t="s">
        <v>363</v>
      </c>
      <c r="G530" s="23">
        <v>900000</v>
      </c>
    </row>
    <row r="531" spans="2:7" x14ac:dyDescent="0.35">
      <c r="B531" s="11"/>
      <c r="C531" s="11"/>
      <c r="D531" s="11"/>
      <c r="E531" s="11" t="s">
        <v>28</v>
      </c>
      <c r="F531" s="11" t="s">
        <v>160</v>
      </c>
      <c r="G531" s="23">
        <v>3975000</v>
      </c>
    </row>
    <row r="532" spans="2:7" x14ac:dyDescent="0.35">
      <c r="B532" s="11"/>
      <c r="C532" s="11"/>
      <c r="D532" s="11"/>
      <c r="E532" s="11"/>
      <c r="F532" s="11" t="s">
        <v>465</v>
      </c>
      <c r="G532" s="23">
        <v>1654100</v>
      </c>
    </row>
    <row r="533" spans="2:7" x14ac:dyDescent="0.35">
      <c r="B533" s="11"/>
      <c r="C533" s="11"/>
      <c r="D533" s="11"/>
      <c r="E533" s="11" t="s">
        <v>58</v>
      </c>
      <c r="F533" s="11" t="s">
        <v>754</v>
      </c>
      <c r="G533" s="23">
        <v>308000</v>
      </c>
    </row>
    <row r="534" spans="2:7" x14ac:dyDescent="0.35">
      <c r="B534" s="11"/>
      <c r="C534" s="11"/>
      <c r="D534" s="11" t="s">
        <v>50</v>
      </c>
      <c r="E534" s="11" t="s">
        <v>23</v>
      </c>
      <c r="F534" s="11" t="s">
        <v>160</v>
      </c>
      <c r="G534" s="23">
        <v>1700500</v>
      </c>
    </row>
    <row r="535" spans="2:7" x14ac:dyDescent="0.35">
      <c r="B535" s="11"/>
      <c r="C535" s="11"/>
      <c r="D535" s="11"/>
      <c r="E535" s="11"/>
      <c r="F535" s="11" t="s">
        <v>363</v>
      </c>
      <c r="G535" s="23">
        <v>5870000</v>
      </c>
    </row>
    <row r="536" spans="2:7" x14ac:dyDescent="0.35">
      <c r="B536" s="11"/>
      <c r="C536" s="11"/>
      <c r="D536" s="11"/>
      <c r="E536" s="11" t="s">
        <v>17</v>
      </c>
      <c r="F536" s="11" t="s">
        <v>160</v>
      </c>
      <c r="G536" s="23">
        <v>5012000</v>
      </c>
    </row>
    <row r="537" spans="2:7" x14ac:dyDescent="0.35">
      <c r="B537" s="11"/>
      <c r="C537" s="11"/>
      <c r="D537" s="11"/>
      <c r="E537" s="11" t="s">
        <v>58</v>
      </c>
      <c r="F537" s="11" t="s">
        <v>754</v>
      </c>
      <c r="G537" s="23">
        <v>1382100</v>
      </c>
    </row>
    <row r="538" spans="2:7" x14ac:dyDescent="0.35">
      <c r="B538" s="11"/>
      <c r="C538" s="11"/>
      <c r="D538" s="11" t="s">
        <v>37</v>
      </c>
      <c r="E538" s="11" t="s">
        <v>23</v>
      </c>
      <c r="F538" s="11" t="s">
        <v>20</v>
      </c>
      <c r="G538" s="23">
        <v>460000</v>
      </c>
    </row>
    <row r="539" spans="2:7" x14ac:dyDescent="0.35">
      <c r="B539" s="11"/>
      <c r="C539" s="11"/>
      <c r="D539" s="11"/>
      <c r="E539" s="11" t="s">
        <v>17</v>
      </c>
      <c r="F539" s="11" t="s">
        <v>20</v>
      </c>
      <c r="G539" s="23">
        <v>798000</v>
      </c>
    </row>
    <row r="540" spans="2:7" x14ac:dyDescent="0.35">
      <c r="B540" s="11"/>
      <c r="C540" s="11"/>
      <c r="D540" s="11"/>
      <c r="E540" s="11" t="s">
        <v>28</v>
      </c>
      <c r="F540" s="11" t="s">
        <v>754</v>
      </c>
      <c r="G540" s="23">
        <v>250200</v>
      </c>
    </row>
    <row r="541" spans="2:7" x14ac:dyDescent="0.35">
      <c r="B541" s="11"/>
      <c r="C541" s="11"/>
      <c r="D541" s="11" t="s">
        <v>42</v>
      </c>
      <c r="E541" s="11" t="s">
        <v>23</v>
      </c>
      <c r="F541" s="11" t="s">
        <v>754</v>
      </c>
      <c r="G541" s="23">
        <v>288000</v>
      </c>
    </row>
    <row r="542" spans="2:7" x14ac:dyDescent="0.35">
      <c r="B542" s="11"/>
      <c r="C542" s="11"/>
      <c r="D542" s="11"/>
      <c r="E542" s="11"/>
      <c r="F542" s="11" t="s">
        <v>160</v>
      </c>
      <c r="G542" s="23">
        <v>3894000</v>
      </c>
    </row>
    <row r="543" spans="2:7" x14ac:dyDescent="0.35">
      <c r="B543" s="11"/>
      <c r="C543" s="11"/>
      <c r="D543" s="11"/>
      <c r="E543" s="11"/>
      <c r="F543" s="11" t="s">
        <v>363</v>
      </c>
      <c r="G543" s="23">
        <v>608000</v>
      </c>
    </row>
    <row r="544" spans="2:7" x14ac:dyDescent="0.35">
      <c r="B544" s="11"/>
      <c r="C544" s="11"/>
      <c r="D544" s="11"/>
      <c r="E544" s="11" t="s">
        <v>17</v>
      </c>
      <c r="F544" s="11" t="s">
        <v>363</v>
      </c>
      <c r="G544" s="23">
        <v>566000</v>
      </c>
    </row>
    <row r="545" spans="2:7" x14ac:dyDescent="0.35">
      <c r="B545" s="11"/>
      <c r="C545" s="11" t="s">
        <v>2020</v>
      </c>
      <c r="D545" s="11" t="s">
        <v>26</v>
      </c>
      <c r="E545" s="11" t="s">
        <v>23</v>
      </c>
      <c r="F545" s="11" t="s">
        <v>465</v>
      </c>
      <c r="G545" s="23">
        <v>6356000</v>
      </c>
    </row>
    <row r="546" spans="2:7" x14ac:dyDescent="0.35">
      <c r="B546" s="11"/>
      <c r="C546" s="11"/>
      <c r="D546" s="11"/>
      <c r="E546" s="11"/>
      <c r="F546" s="11" t="s">
        <v>20</v>
      </c>
      <c r="G546" s="23">
        <v>431000</v>
      </c>
    </row>
    <row r="547" spans="2:7" x14ac:dyDescent="0.35">
      <c r="B547" s="11"/>
      <c r="C547" s="11"/>
      <c r="D547" s="11"/>
      <c r="E547" s="11" t="s">
        <v>17</v>
      </c>
      <c r="F547" s="11" t="s">
        <v>465</v>
      </c>
      <c r="G547" s="23">
        <v>3594000</v>
      </c>
    </row>
    <row r="548" spans="2:7" x14ac:dyDescent="0.35">
      <c r="B548" s="11"/>
      <c r="C548" s="11"/>
      <c r="D548" s="11"/>
      <c r="E548" s="11"/>
      <c r="F548" s="11" t="s">
        <v>363</v>
      </c>
      <c r="G548" s="23">
        <v>97000</v>
      </c>
    </row>
    <row r="549" spans="2:7" x14ac:dyDescent="0.35">
      <c r="B549" s="11"/>
      <c r="C549" s="11"/>
      <c r="D549" s="11"/>
      <c r="E549" s="11" t="s">
        <v>28</v>
      </c>
      <c r="F549" s="11" t="s">
        <v>363</v>
      </c>
      <c r="G549" s="23">
        <v>332000</v>
      </c>
    </row>
    <row r="550" spans="2:7" x14ac:dyDescent="0.35">
      <c r="B550" s="11"/>
      <c r="C550" s="11"/>
      <c r="D550" s="11" t="s">
        <v>15</v>
      </c>
      <c r="E550" s="11" t="s">
        <v>23</v>
      </c>
      <c r="F550" s="11" t="s">
        <v>754</v>
      </c>
      <c r="G550" s="23">
        <v>1359000</v>
      </c>
    </row>
    <row r="551" spans="2:7" x14ac:dyDescent="0.35">
      <c r="B551" s="11"/>
      <c r="C551" s="11"/>
      <c r="D551" s="11"/>
      <c r="E551" s="11"/>
      <c r="F551" s="11" t="s">
        <v>160</v>
      </c>
      <c r="G551" s="23">
        <v>16857000</v>
      </c>
    </row>
    <row r="552" spans="2:7" x14ac:dyDescent="0.35">
      <c r="B552" s="11"/>
      <c r="C552" s="11"/>
      <c r="D552" s="11"/>
      <c r="E552" s="11"/>
      <c r="F552" s="11" t="s">
        <v>465</v>
      </c>
      <c r="G552" s="23">
        <v>7443000</v>
      </c>
    </row>
    <row r="553" spans="2:7" x14ac:dyDescent="0.35">
      <c r="B553" s="11"/>
      <c r="C553" s="11"/>
      <c r="D553" s="11"/>
      <c r="E553" s="11"/>
      <c r="F553" s="11" t="s">
        <v>20</v>
      </c>
      <c r="G553" s="23">
        <v>1008000</v>
      </c>
    </row>
    <row r="554" spans="2:7" x14ac:dyDescent="0.35">
      <c r="B554" s="11"/>
      <c r="C554" s="11"/>
      <c r="D554" s="11"/>
      <c r="E554" s="11" t="s">
        <v>17</v>
      </c>
      <c r="F554" s="11" t="s">
        <v>754</v>
      </c>
      <c r="G554" s="23">
        <v>667000</v>
      </c>
    </row>
    <row r="555" spans="2:7" x14ac:dyDescent="0.35">
      <c r="B555" s="11"/>
      <c r="C555" s="11"/>
      <c r="D555" s="11"/>
      <c r="E555" s="11"/>
      <c r="F555" s="11" t="s">
        <v>160</v>
      </c>
      <c r="G555" s="23">
        <v>2754000</v>
      </c>
    </row>
    <row r="556" spans="2:7" x14ac:dyDescent="0.35">
      <c r="B556" s="11"/>
      <c r="C556" s="11"/>
      <c r="D556" s="11"/>
      <c r="E556" s="11"/>
      <c r="F556" s="11" t="s">
        <v>465</v>
      </c>
      <c r="G556" s="23">
        <v>10523750</v>
      </c>
    </row>
    <row r="557" spans="2:7" x14ac:dyDescent="0.35">
      <c r="B557" s="11"/>
      <c r="C557" s="11"/>
      <c r="D557" s="11"/>
      <c r="E557" s="11" t="s">
        <v>28</v>
      </c>
      <c r="F557" s="11" t="s">
        <v>160</v>
      </c>
      <c r="G557" s="23">
        <v>1295800</v>
      </c>
    </row>
    <row r="558" spans="2:7" x14ac:dyDescent="0.35">
      <c r="B558" s="11"/>
      <c r="C558" s="11"/>
      <c r="D558" s="11"/>
      <c r="E558" s="11" t="s">
        <v>58</v>
      </c>
      <c r="F558" s="11" t="s">
        <v>160</v>
      </c>
      <c r="G558" s="23">
        <v>4884000</v>
      </c>
    </row>
    <row r="559" spans="2:7" x14ac:dyDescent="0.35">
      <c r="B559" s="11"/>
      <c r="C559" s="11"/>
      <c r="D559" s="11"/>
      <c r="E559" s="11"/>
      <c r="F559" s="11" t="s">
        <v>465</v>
      </c>
      <c r="G559" s="23">
        <v>6734000</v>
      </c>
    </row>
    <row r="560" spans="2:7" x14ac:dyDescent="0.35">
      <c r="B560" s="11"/>
      <c r="C560" s="11"/>
      <c r="D560" s="11"/>
      <c r="E560" s="11"/>
      <c r="F560" s="11" t="s">
        <v>363</v>
      </c>
      <c r="G560" s="23">
        <v>167000</v>
      </c>
    </row>
    <row r="561" spans="2:7" x14ac:dyDescent="0.35">
      <c r="B561" s="11"/>
      <c r="C561" s="11"/>
      <c r="D561" s="11" t="s">
        <v>50</v>
      </c>
      <c r="E561" s="11" t="s">
        <v>23</v>
      </c>
      <c r="F561" s="11" t="s">
        <v>160</v>
      </c>
      <c r="G561" s="23">
        <v>1339000</v>
      </c>
    </row>
    <row r="562" spans="2:7" x14ac:dyDescent="0.35">
      <c r="B562" s="11"/>
      <c r="C562" s="11"/>
      <c r="D562" s="11"/>
      <c r="E562" s="11"/>
      <c r="F562" s="11" t="s">
        <v>465</v>
      </c>
      <c r="G562" s="23">
        <v>6070000</v>
      </c>
    </row>
    <row r="563" spans="2:7" x14ac:dyDescent="0.35">
      <c r="B563" s="11"/>
      <c r="C563" s="11"/>
      <c r="D563" s="11"/>
      <c r="E563" s="11"/>
      <c r="F563" s="11" t="s">
        <v>363</v>
      </c>
      <c r="G563" s="23">
        <v>2925000</v>
      </c>
    </row>
    <row r="564" spans="2:7" x14ac:dyDescent="0.35">
      <c r="B564" s="11"/>
      <c r="C564" s="11"/>
      <c r="D564" s="11"/>
      <c r="E564" s="11" t="s">
        <v>17</v>
      </c>
      <c r="F564" s="11" t="s">
        <v>160</v>
      </c>
      <c r="G564" s="23">
        <v>19257800</v>
      </c>
    </row>
    <row r="565" spans="2:7" x14ac:dyDescent="0.35">
      <c r="B565" s="11"/>
      <c r="C565" s="11"/>
      <c r="D565" s="11"/>
      <c r="E565" s="11" t="s">
        <v>28</v>
      </c>
      <c r="F565" s="11" t="s">
        <v>363</v>
      </c>
      <c r="G565" s="23">
        <v>3768000</v>
      </c>
    </row>
    <row r="566" spans="2:7" x14ac:dyDescent="0.35">
      <c r="B566" s="11"/>
      <c r="C566" s="11"/>
      <c r="D566" s="11" t="s">
        <v>37</v>
      </c>
      <c r="E566" s="11" t="s">
        <v>23</v>
      </c>
      <c r="F566" s="11" t="s">
        <v>20</v>
      </c>
      <c r="G566" s="23">
        <v>3220000</v>
      </c>
    </row>
    <row r="567" spans="2:7" x14ac:dyDescent="0.35">
      <c r="B567" s="11"/>
      <c r="C567" s="11"/>
      <c r="D567" s="11"/>
      <c r="E567" s="11" t="s">
        <v>28</v>
      </c>
      <c r="F567" s="11" t="s">
        <v>754</v>
      </c>
      <c r="G567" s="23">
        <v>115000</v>
      </c>
    </row>
    <row r="568" spans="2:7" x14ac:dyDescent="0.35">
      <c r="B568" s="11"/>
      <c r="C568" s="11"/>
      <c r="D568" s="11" t="s">
        <v>42</v>
      </c>
      <c r="E568" s="11" t="s">
        <v>23</v>
      </c>
      <c r="F568" s="11" t="s">
        <v>754</v>
      </c>
      <c r="G568" s="23">
        <v>146750</v>
      </c>
    </row>
    <row r="569" spans="2:7" x14ac:dyDescent="0.35">
      <c r="B569" s="11"/>
      <c r="C569" s="11"/>
      <c r="D569" s="11"/>
      <c r="E569" s="11"/>
      <c r="F569" s="11" t="s">
        <v>160</v>
      </c>
      <c r="G569" s="23">
        <v>1405050</v>
      </c>
    </row>
    <row r="570" spans="2:7" x14ac:dyDescent="0.35">
      <c r="B570" s="11"/>
      <c r="C570" s="11"/>
      <c r="D570" s="11"/>
      <c r="E570" s="11"/>
      <c r="F570" s="11" t="s">
        <v>465</v>
      </c>
      <c r="G570" s="23">
        <v>9152000</v>
      </c>
    </row>
    <row r="571" spans="2:7" x14ac:dyDescent="0.35">
      <c r="B571" s="11"/>
      <c r="C571" s="11"/>
      <c r="D571" s="11"/>
      <c r="E571" s="11"/>
      <c r="F571" s="11" t="s">
        <v>20</v>
      </c>
      <c r="G571" s="23">
        <v>1148550</v>
      </c>
    </row>
    <row r="572" spans="2:7" x14ac:dyDescent="0.35">
      <c r="B572" s="11"/>
      <c r="C572" s="11"/>
      <c r="D572" s="11"/>
      <c r="E572" s="11"/>
      <c r="F572" s="11" t="s">
        <v>363</v>
      </c>
      <c r="G572" s="23">
        <v>770000</v>
      </c>
    </row>
    <row r="573" spans="2:7" x14ac:dyDescent="0.35">
      <c r="B573" s="11"/>
      <c r="C573" s="11"/>
      <c r="D573" s="11"/>
      <c r="E573" s="11" t="s">
        <v>28</v>
      </c>
      <c r="F573" s="11" t="s">
        <v>754</v>
      </c>
      <c r="G573" s="23">
        <v>1158000</v>
      </c>
    </row>
    <row r="574" spans="2:7" x14ac:dyDescent="0.35">
      <c r="B574" s="11"/>
      <c r="C574" s="11" t="s">
        <v>2021</v>
      </c>
      <c r="D574" s="11" t="s">
        <v>26</v>
      </c>
      <c r="E574" s="11" t="s">
        <v>23</v>
      </c>
      <c r="F574" s="11" t="s">
        <v>754</v>
      </c>
      <c r="G574" s="23">
        <v>95000</v>
      </c>
    </row>
    <row r="575" spans="2:7" x14ac:dyDescent="0.35">
      <c r="B575" s="11"/>
      <c r="C575" s="11"/>
      <c r="D575" s="11"/>
      <c r="E575" s="11"/>
      <c r="F575" s="11" t="s">
        <v>465</v>
      </c>
      <c r="G575" s="23">
        <v>4389000</v>
      </c>
    </row>
    <row r="576" spans="2:7" x14ac:dyDescent="0.35">
      <c r="B576" s="11"/>
      <c r="C576" s="11"/>
      <c r="D576" s="11"/>
      <c r="E576" s="11"/>
      <c r="F576" s="11" t="s">
        <v>363</v>
      </c>
      <c r="G576" s="23">
        <v>682592.59259259258</v>
      </c>
    </row>
    <row r="577" spans="2:7" x14ac:dyDescent="0.35">
      <c r="B577" s="11"/>
      <c r="C577" s="11"/>
      <c r="D577" s="11" t="s">
        <v>15</v>
      </c>
      <c r="E577" s="11" t="s">
        <v>23</v>
      </c>
      <c r="F577" s="11" t="s">
        <v>754</v>
      </c>
      <c r="G577" s="23">
        <v>425650</v>
      </c>
    </row>
    <row r="578" spans="2:7" x14ac:dyDescent="0.35">
      <c r="B578" s="11"/>
      <c r="C578" s="11"/>
      <c r="D578" s="11"/>
      <c r="E578" s="11"/>
      <c r="F578" s="11" t="s">
        <v>160</v>
      </c>
      <c r="G578" s="23">
        <v>9287000</v>
      </c>
    </row>
    <row r="579" spans="2:7" x14ac:dyDescent="0.35">
      <c r="B579" s="11"/>
      <c r="C579" s="11"/>
      <c r="D579" s="11"/>
      <c r="E579" s="11"/>
      <c r="F579" s="11" t="s">
        <v>465</v>
      </c>
      <c r="G579" s="23">
        <v>23733000</v>
      </c>
    </row>
    <row r="580" spans="2:7" x14ac:dyDescent="0.35">
      <c r="B580" s="11"/>
      <c r="C580" s="11"/>
      <c r="D580" s="11"/>
      <c r="E580" s="11"/>
      <c r="F580" s="11" t="s">
        <v>20</v>
      </c>
      <c r="G580" s="23">
        <v>1694183.3333333333</v>
      </c>
    </row>
    <row r="581" spans="2:7" x14ac:dyDescent="0.35">
      <c r="B581" s="11"/>
      <c r="C581" s="11"/>
      <c r="D581" s="11"/>
      <c r="E581" s="11"/>
      <c r="F581" s="11" t="s">
        <v>363</v>
      </c>
      <c r="G581" s="23">
        <v>8426500</v>
      </c>
    </row>
    <row r="582" spans="2:7" x14ac:dyDescent="0.35">
      <c r="B582" s="11"/>
      <c r="C582" s="11"/>
      <c r="D582" s="11"/>
      <c r="E582" s="11" t="s">
        <v>17</v>
      </c>
      <c r="F582" s="11" t="s">
        <v>754</v>
      </c>
      <c r="G582" s="23">
        <v>169100</v>
      </c>
    </row>
    <row r="583" spans="2:7" x14ac:dyDescent="0.35">
      <c r="B583" s="11"/>
      <c r="C583" s="11"/>
      <c r="D583" s="11"/>
      <c r="E583" s="11"/>
      <c r="F583" s="11" t="s">
        <v>465</v>
      </c>
      <c r="G583" s="23">
        <v>5330521.7391304346</v>
      </c>
    </row>
    <row r="584" spans="2:7" x14ac:dyDescent="0.35">
      <c r="B584" s="11"/>
      <c r="C584" s="11"/>
      <c r="D584" s="11"/>
      <c r="E584" s="11" t="s">
        <v>28</v>
      </c>
      <c r="F584" s="11" t="s">
        <v>465</v>
      </c>
      <c r="G584" s="23">
        <v>1191000</v>
      </c>
    </row>
    <row r="585" spans="2:7" x14ac:dyDescent="0.35">
      <c r="B585" s="11"/>
      <c r="C585" s="11"/>
      <c r="D585" s="11" t="s">
        <v>50</v>
      </c>
      <c r="E585" s="11" t="s">
        <v>23</v>
      </c>
      <c r="F585" s="11" t="s">
        <v>160</v>
      </c>
      <c r="G585" s="23">
        <v>939000</v>
      </c>
    </row>
    <row r="586" spans="2:7" x14ac:dyDescent="0.35">
      <c r="B586" s="11"/>
      <c r="C586" s="11"/>
      <c r="D586" s="11"/>
      <c r="E586" s="11"/>
      <c r="F586" s="11" t="s">
        <v>465</v>
      </c>
      <c r="G586" s="23">
        <v>5106000</v>
      </c>
    </row>
    <row r="587" spans="2:7" x14ac:dyDescent="0.35">
      <c r="B587" s="11"/>
      <c r="C587" s="11"/>
      <c r="D587" s="11"/>
      <c r="E587" s="11"/>
      <c r="F587" s="11" t="s">
        <v>20</v>
      </c>
      <c r="G587" s="23">
        <v>1860000</v>
      </c>
    </row>
    <row r="588" spans="2:7" x14ac:dyDescent="0.35">
      <c r="B588" s="11"/>
      <c r="C588" s="11"/>
      <c r="D588" s="11"/>
      <c r="E588" s="11"/>
      <c r="F588" s="11" t="s">
        <v>363</v>
      </c>
      <c r="G588" s="23">
        <v>2774000</v>
      </c>
    </row>
    <row r="589" spans="2:7" x14ac:dyDescent="0.35">
      <c r="B589" s="11"/>
      <c r="C589" s="11"/>
      <c r="D589" s="11"/>
      <c r="E589" s="11" t="s">
        <v>17</v>
      </c>
      <c r="F589" s="11" t="s">
        <v>160</v>
      </c>
      <c r="G589" s="23">
        <v>2125000</v>
      </c>
    </row>
    <row r="590" spans="2:7" x14ac:dyDescent="0.35">
      <c r="B590" s="11"/>
      <c r="C590" s="11"/>
      <c r="D590" s="11"/>
      <c r="E590" s="11"/>
      <c r="F590" s="11" t="s">
        <v>465</v>
      </c>
      <c r="G590" s="23">
        <v>6138000</v>
      </c>
    </row>
    <row r="591" spans="2:7" x14ac:dyDescent="0.35">
      <c r="B591" s="11"/>
      <c r="C591" s="11"/>
      <c r="D591" s="11"/>
      <c r="E591" s="11" t="s">
        <v>28</v>
      </c>
      <c r="F591" s="11" t="s">
        <v>160</v>
      </c>
      <c r="G591" s="23">
        <v>917000</v>
      </c>
    </row>
    <row r="592" spans="2:7" x14ac:dyDescent="0.35">
      <c r="B592" s="11"/>
      <c r="C592" s="11"/>
      <c r="D592" s="11"/>
      <c r="E592" s="11"/>
      <c r="F592" s="11" t="s">
        <v>465</v>
      </c>
      <c r="G592" s="23">
        <v>4390200</v>
      </c>
    </row>
    <row r="593" spans="2:7" x14ac:dyDescent="0.35">
      <c r="B593" s="11"/>
      <c r="C593" s="11"/>
      <c r="D593" s="11" t="s">
        <v>37</v>
      </c>
      <c r="E593" s="11" t="s">
        <v>23</v>
      </c>
      <c r="F593" s="11" t="s">
        <v>754</v>
      </c>
      <c r="G593" s="23">
        <v>239200</v>
      </c>
    </row>
    <row r="594" spans="2:7" x14ac:dyDescent="0.35">
      <c r="B594" s="11"/>
      <c r="C594" s="11"/>
      <c r="D594" s="11"/>
      <c r="E594" s="11"/>
      <c r="F594" s="11" t="s">
        <v>160</v>
      </c>
      <c r="G594" s="23">
        <v>3420000</v>
      </c>
    </row>
    <row r="595" spans="2:7" x14ac:dyDescent="0.35">
      <c r="B595" s="11"/>
      <c r="C595" s="11"/>
      <c r="D595" s="11"/>
      <c r="E595" s="11"/>
      <c r="F595" s="11" t="s">
        <v>465</v>
      </c>
      <c r="G595" s="23">
        <v>2166950</v>
      </c>
    </row>
    <row r="596" spans="2:7" x14ac:dyDescent="0.35">
      <c r="B596" s="11"/>
      <c r="C596" s="11"/>
      <c r="D596" s="11"/>
      <c r="E596" s="11"/>
      <c r="F596" s="11" t="s">
        <v>20</v>
      </c>
      <c r="G596" s="23">
        <v>1246400</v>
      </c>
    </row>
    <row r="597" spans="2:7" x14ac:dyDescent="0.35">
      <c r="B597" s="11"/>
      <c r="C597" s="11"/>
      <c r="D597" s="11"/>
      <c r="E597" s="11" t="s">
        <v>28</v>
      </c>
      <c r="F597" s="11" t="s">
        <v>363</v>
      </c>
      <c r="G597" s="23">
        <v>394000</v>
      </c>
    </row>
    <row r="598" spans="2:7" x14ac:dyDescent="0.35">
      <c r="B598" s="11"/>
      <c r="C598" s="11"/>
      <c r="D598" s="11" t="s">
        <v>42</v>
      </c>
      <c r="E598" s="11" t="s">
        <v>23</v>
      </c>
      <c r="F598" s="11" t="s">
        <v>465</v>
      </c>
      <c r="G598" s="23">
        <v>2921000</v>
      </c>
    </row>
    <row r="599" spans="2:7" x14ac:dyDescent="0.35">
      <c r="B599" s="11"/>
      <c r="C599" s="11"/>
      <c r="D599" s="11"/>
      <c r="E599" s="11"/>
      <c r="F599" s="11" t="s">
        <v>20</v>
      </c>
      <c r="G599" s="23">
        <v>847000</v>
      </c>
    </row>
    <row r="600" spans="2:7" x14ac:dyDescent="0.35">
      <c r="B600" s="11"/>
      <c r="C600" s="11"/>
      <c r="D600" s="11"/>
      <c r="E600" s="11"/>
      <c r="F600" s="11" t="s">
        <v>363</v>
      </c>
      <c r="G600" s="23">
        <v>291550</v>
      </c>
    </row>
    <row r="601" spans="2:7" x14ac:dyDescent="0.35">
      <c r="B601" s="11"/>
      <c r="C601" s="11"/>
      <c r="D601" s="11"/>
      <c r="E601" s="11" t="s">
        <v>17</v>
      </c>
      <c r="F601" s="11" t="s">
        <v>160</v>
      </c>
      <c r="G601" s="23">
        <v>8335200</v>
      </c>
    </row>
    <row r="602" spans="2:7" x14ac:dyDescent="0.35">
      <c r="B602" s="11"/>
      <c r="C602" s="11"/>
      <c r="D602" s="11"/>
      <c r="E602" s="11"/>
      <c r="F602" s="11" t="s">
        <v>20</v>
      </c>
      <c r="G602" s="23">
        <v>259200</v>
      </c>
    </row>
    <row r="603" spans="2:7" x14ac:dyDescent="0.35">
      <c r="B603" s="11"/>
      <c r="C603" s="11"/>
      <c r="D603" s="11"/>
      <c r="E603" s="11" t="s">
        <v>28</v>
      </c>
      <c r="F603" s="11" t="s">
        <v>160</v>
      </c>
      <c r="G603" s="23">
        <v>2822000</v>
      </c>
    </row>
    <row r="604" spans="2:7" x14ac:dyDescent="0.35">
      <c r="B604" s="11"/>
      <c r="C604" s="11"/>
      <c r="D604" s="11"/>
      <c r="E604" s="11" t="s">
        <v>58</v>
      </c>
      <c r="F604" s="11" t="s">
        <v>160</v>
      </c>
      <c r="G604" s="23">
        <v>7820000</v>
      </c>
    </row>
    <row r="605" spans="2:7" x14ac:dyDescent="0.35">
      <c r="B605" s="11"/>
      <c r="C605" s="11" t="s">
        <v>2022</v>
      </c>
      <c r="D605" s="11" t="s">
        <v>26</v>
      </c>
      <c r="E605" s="11" t="s">
        <v>17</v>
      </c>
      <c r="F605" s="11" t="s">
        <v>363</v>
      </c>
      <c r="G605" s="23">
        <v>440000</v>
      </c>
    </row>
    <row r="606" spans="2:7" x14ac:dyDescent="0.35">
      <c r="B606" s="11"/>
      <c r="C606" s="11"/>
      <c r="D606" s="11" t="s">
        <v>15</v>
      </c>
      <c r="E606" s="11" t="s">
        <v>23</v>
      </c>
      <c r="F606" s="11" t="s">
        <v>754</v>
      </c>
      <c r="G606" s="23">
        <v>575000</v>
      </c>
    </row>
    <row r="607" spans="2:7" x14ac:dyDescent="0.35">
      <c r="B607" s="11"/>
      <c r="C607" s="11"/>
      <c r="D607" s="11"/>
      <c r="E607" s="11"/>
      <c r="F607" s="11" t="s">
        <v>160</v>
      </c>
      <c r="G607" s="23">
        <v>13820000</v>
      </c>
    </row>
    <row r="608" spans="2:7" x14ac:dyDescent="0.35">
      <c r="B608" s="11"/>
      <c r="C608" s="11"/>
      <c r="D608" s="11"/>
      <c r="E608" s="11"/>
      <c r="F608" s="11" t="s">
        <v>465</v>
      </c>
      <c r="G608" s="23">
        <v>4899300</v>
      </c>
    </row>
    <row r="609" spans="2:7" x14ac:dyDescent="0.35">
      <c r="B609" s="11"/>
      <c r="C609" s="11"/>
      <c r="D609" s="11"/>
      <c r="E609" s="11" t="s">
        <v>17</v>
      </c>
      <c r="F609" s="11" t="s">
        <v>754</v>
      </c>
      <c r="G609" s="23">
        <v>169000</v>
      </c>
    </row>
    <row r="610" spans="2:7" x14ac:dyDescent="0.35">
      <c r="B610" s="11"/>
      <c r="C610" s="11"/>
      <c r="D610" s="11"/>
      <c r="E610" s="11"/>
      <c r="F610" s="11" t="s">
        <v>160</v>
      </c>
      <c r="G610" s="23">
        <v>2609000</v>
      </c>
    </row>
    <row r="611" spans="2:7" x14ac:dyDescent="0.35">
      <c r="B611" s="11"/>
      <c r="C611" s="11"/>
      <c r="D611" s="11"/>
      <c r="E611" s="11"/>
      <c r="F611" s="11" t="s">
        <v>465</v>
      </c>
      <c r="G611" s="23">
        <v>3641000</v>
      </c>
    </row>
    <row r="612" spans="2:7" x14ac:dyDescent="0.35">
      <c r="B612" s="11"/>
      <c r="C612" s="11"/>
      <c r="D612" s="11"/>
      <c r="E612" s="11" t="s">
        <v>28</v>
      </c>
      <c r="F612" s="11" t="s">
        <v>465</v>
      </c>
      <c r="G612" s="23">
        <v>3997000</v>
      </c>
    </row>
    <row r="613" spans="2:7" x14ac:dyDescent="0.35">
      <c r="B613" s="11"/>
      <c r="C613" s="11"/>
      <c r="D613" s="11"/>
      <c r="E613" s="11"/>
      <c r="F613" s="11" t="s">
        <v>20</v>
      </c>
      <c r="G613" s="23">
        <v>732000</v>
      </c>
    </row>
    <row r="614" spans="2:7" x14ac:dyDescent="0.35">
      <c r="B614" s="11"/>
      <c r="C614" s="11"/>
      <c r="D614" s="11" t="s">
        <v>50</v>
      </c>
      <c r="E614" s="11" t="s">
        <v>23</v>
      </c>
      <c r="F614" s="11" t="s">
        <v>160</v>
      </c>
      <c r="G614" s="23">
        <v>6315600</v>
      </c>
    </row>
    <row r="615" spans="2:7" x14ac:dyDescent="0.35">
      <c r="B615" s="11"/>
      <c r="C615" s="11"/>
      <c r="D615" s="11"/>
      <c r="E615" s="11"/>
      <c r="F615" s="11" t="s">
        <v>465</v>
      </c>
      <c r="G615" s="23">
        <v>649000</v>
      </c>
    </row>
    <row r="616" spans="2:7" x14ac:dyDescent="0.35">
      <c r="B616" s="11"/>
      <c r="C616" s="11"/>
      <c r="D616" s="11"/>
      <c r="E616" s="11"/>
      <c r="F616" s="11" t="s">
        <v>20</v>
      </c>
      <c r="G616" s="23">
        <v>1261000</v>
      </c>
    </row>
    <row r="617" spans="2:7" x14ac:dyDescent="0.35">
      <c r="B617" s="11"/>
      <c r="C617" s="11"/>
      <c r="D617" s="11"/>
      <c r="E617" s="11"/>
      <c r="F617" s="11" t="s">
        <v>363</v>
      </c>
      <c r="G617" s="23">
        <v>6580850</v>
      </c>
    </row>
    <row r="618" spans="2:7" x14ac:dyDescent="0.35">
      <c r="B618" s="11"/>
      <c r="C618" s="11"/>
      <c r="D618" s="11"/>
      <c r="E618" s="11" t="s">
        <v>17</v>
      </c>
      <c r="F618" s="11" t="s">
        <v>754</v>
      </c>
      <c r="G618" s="23">
        <v>275400</v>
      </c>
    </row>
    <row r="619" spans="2:7" x14ac:dyDescent="0.35">
      <c r="B619" s="11"/>
      <c r="C619" s="11"/>
      <c r="D619" s="11"/>
      <c r="E619" s="11"/>
      <c r="F619" s="11" t="s">
        <v>465</v>
      </c>
      <c r="G619" s="23">
        <v>1721000</v>
      </c>
    </row>
    <row r="620" spans="2:7" x14ac:dyDescent="0.35">
      <c r="B620" s="11"/>
      <c r="C620" s="11"/>
      <c r="D620" s="11"/>
      <c r="E620" s="11"/>
      <c r="F620" s="11" t="s">
        <v>20</v>
      </c>
      <c r="G620" s="23">
        <v>317300</v>
      </c>
    </row>
    <row r="621" spans="2:7" x14ac:dyDescent="0.35">
      <c r="B621" s="11"/>
      <c r="C621" s="11"/>
      <c r="D621" s="11"/>
      <c r="E621" s="11"/>
      <c r="F621" s="11" t="s">
        <v>363</v>
      </c>
      <c r="G621" s="23">
        <v>1180000</v>
      </c>
    </row>
    <row r="622" spans="2:7" x14ac:dyDescent="0.35">
      <c r="B622" s="11"/>
      <c r="C622" s="11"/>
      <c r="D622" s="11"/>
      <c r="E622" s="11" t="s">
        <v>58</v>
      </c>
      <c r="F622" s="11" t="s">
        <v>754</v>
      </c>
      <c r="G622" s="23">
        <v>78000</v>
      </c>
    </row>
    <row r="623" spans="2:7" x14ac:dyDescent="0.35">
      <c r="B623" s="11"/>
      <c r="C623" s="11"/>
      <c r="D623" s="11"/>
      <c r="E623" s="11"/>
      <c r="F623" s="11" t="s">
        <v>465</v>
      </c>
      <c r="G623" s="23">
        <v>5506000</v>
      </c>
    </row>
    <row r="624" spans="2:7" x14ac:dyDescent="0.35">
      <c r="B624" s="11"/>
      <c r="C624" s="11"/>
      <c r="D624" s="11" t="s">
        <v>37</v>
      </c>
      <c r="E624" s="11" t="s">
        <v>23</v>
      </c>
      <c r="F624" s="11" t="s">
        <v>465</v>
      </c>
      <c r="G624" s="23">
        <v>2427250</v>
      </c>
    </row>
    <row r="625" spans="2:7" x14ac:dyDescent="0.35">
      <c r="B625" s="11"/>
      <c r="C625" s="11"/>
      <c r="D625" s="11"/>
      <c r="E625" s="11" t="s">
        <v>17</v>
      </c>
      <c r="F625" s="11" t="s">
        <v>20</v>
      </c>
      <c r="G625" s="23">
        <v>2560000</v>
      </c>
    </row>
    <row r="626" spans="2:7" x14ac:dyDescent="0.35">
      <c r="B626" s="11"/>
      <c r="C626" s="11"/>
      <c r="D626" s="11" t="s">
        <v>42</v>
      </c>
      <c r="E626" s="11" t="s">
        <v>23</v>
      </c>
      <c r="F626" s="11" t="s">
        <v>160</v>
      </c>
      <c r="G626" s="23">
        <v>1283000</v>
      </c>
    </row>
    <row r="627" spans="2:7" x14ac:dyDescent="0.35">
      <c r="B627" s="11"/>
      <c r="C627" s="11"/>
      <c r="D627" s="11"/>
      <c r="E627" s="11"/>
      <c r="F627" s="11" t="s">
        <v>465</v>
      </c>
      <c r="G627" s="23">
        <v>3257550</v>
      </c>
    </row>
    <row r="628" spans="2:7" x14ac:dyDescent="0.35">
      <c r="B628" s="11"/>
      <c r="C628" s="11"/>
      <c r="D628" s="11"/>
      <c r="E628" s="11"/>
      <c r="F628" s="11" t="s">
        <v>20</v>
      </c>
      <c r="G628" s="23">
        <v>2329400</v>
      </c>
    </row>
    <row r="629" spans="2:7" x14ac:dyDescent="0.35">
      <c r="B629" s="11"/>
      <c r="C629" s="11"/>
      <c r="D629" s="11"/>
      <c r="E629" s="11"/>
      <c r="F629" s="11" t="s">
        <v>363</v>
      </c>
      <c r="G629" s="23">
        <v>1202700</v>
      </c>
    </row>
    <row r="630" spans="2:7" x14ac:dyDescent="0.35">
      <c r="B630" s="11"/>
      <c r="C630" s="11"/>
      <c r="D630" s="11"/>
      <c r="E630" s="11" t="s">
        <v>17</v>
      </c>
      <c r="F630" s="11" t="s">
        <v>754</v>
      </c>
      <c r="G630" s="23">
        <v>291590.90909090912</v>
      </c>
    </row>
    <row r="631" spans="2:7" x14ac:dyDescent="0.35">
      <c r="B631" s="11"/>
      <c r="C631" s="11"/>
      <c r="D631" s="11"/>
      <c r="E631" s="11" t="s">
        <v>28</v>
      </c>
      <c r="F631" s="11" t="s">
        <v>754</v>
      </c>
      <c r="G631" s="23">
        <v>512000</v>
      </c>
    </row>
    <row r="632" spans="2:7" x14ac:dyDescent="0.35">
      <c r="B632" s="11"/>
      <c r="C632" s="11" t="s">
        <v>2023</v>
      </c>
      <c r="D632" s="11" t="s">
        <v>26</v>
      </c>
      <c r="E632" s="11" t="s">
        <v>23</v>
      </c>
      <c r="F632" s="11" t="s">
        <v>465</v>
      </c>
      <c r="G632" s="23">
        <v>5466000</v>
      </c>
    </row>
    <row r="633" spans="2:7" x14ac:dyDescent="0.35">
      <c r="B633" s="11"/>
      <c r="C633" s="11"/>
      <c r="D633" s="11"/>
      <c r="E633" s="11" t="s">
        <v>17</v>
      </c>
      <c r="F633" s="11" t="s">
        <v>160</v>
      </c>
      <c r="G633" s="23">
        <v>2155000</v>
      </c>
    </row>
    <row r="634" spans="2:7" x14ac:dyDescent="0.35">
      <c r="B634" s="11"/>
      <c r="C634" s="11"/>
      <c r="D634" s="11"/>
      <c r="E634" s="11"/>
      <c r="F634" s="11" t="s">
        <v>465</v>
      </c>
      <c r="G634" s="23">
        <v>6340000</v>
      </c>
    </row>
    <row r="635" spans="2:7" x14ac:dyDescent="0.35">
      <c r="B635" s="11"/>
      <c r="C635" s="11"/>
      <c r="D635" s="11" t="s">
        <v>15</v>
      </c>
      <c r="E635" s="11" t="s">
        <v>23</v>
      </c>
      <c r="F635" s="11" t="s">
        <v>754</v>
      </c>
      <c r="G635" s="23">
        <v>1280750</v>
      </c>
    </row>
    <row r="636" spans="2:7" x14ac:dyDescent="0.35">
      <c r="B636" s="11"/>
      <c r="C636" s="11"/>
      <c r="D636" s="11"/>
      <c r="E636" s="11"/>
      <c r="F636" s="11" t="s">
        <v>160</v>
      </c>
      <c r="G636" s="23">
        <v>4994600</v>
      </c>
    </row>
    <row r="637" spans="2:7" x14ac:dyDescent="0.35">
      <c r="B637" s="11"/>
      <c r="C637" s="11"/>
      <c r="D637" s="11"/>
      <c r="E637" s="11"/>
      <c r="F637" s="11" t="s">
        <v>465</v>
      </c>
      <c r="G637" s="23">
        <v>6328000</v>
      </c>
    </row>
    <row r="638" spans="2:7" x14ac:dyDescent="0.35">
      <c r="B638" s="11"/>
      <c r="C638" s="11"/>
      <c r="D638" s="11"/>
      <c r="E638" s="11"/>
      <c r="F638" s="11" t="s">
        <v>20</v>
      </c>
      <c r="G638" s="23">
        <v>4329000</v>
      </c>
    </row>
    <row r="639" spans="2:7" x14ac:dyDescent="0.35">
      <c r="B639" s="11"/>
      <c r="C639" s="11"/>
      <c r="D639" s="11"/>
      <c r="E639" s="11" t="s">
        <v>17</v>
      </c>
      <c r="F639" s="11" t="s">
        <v>160</v>
      </c>
      <c r="G639" s="23">
        <v>8976234.375</v>
      </c>
    </row>
    <row r="640" spans="2:7" x14ac:dyDescent="0.35">
      <c r="B640" s="11"/>
      <c r="C640" s="11"/>
      <c r="D640" s="11"/>
      <c r="E640" s="11"/>
      <c r="F640" s="11" t="s">
        <v>465</v>
      </c>
      <c r="G640" s="23">
        <v>17031000</v>
      </c>
    </row>
    <row r="641" spans="2:7" x14ac:dyDescent="0.35">
      <c r="B641" s="11"/>
      <c r="C641" s="11"/>
      <c r="D641" s="11"/>
      <c r="E641" s="11"/>
      <c r="F641" s="11" t="s">
        <v>20</v>
      </c>
      <c r="G641" s="23">
        <v>4456000</v>
      </c>
    </row>
    <row r="642" spans="2:7" x14ac:dyDescent="0.35">
      <c r="B642" s="11"/>
      <c r="C642" s="11"/>
      <c r="D642" s="11"/>
      <c r="E642" s="11"/>
      <c r="F642" s="11" t="s">
        <v>363</v>
      </c>
      <c r="G642" s="23">
        <v>597000</v>
      </c>
    </row>
    <row r="643" spans="2:7" x14ac:dyDescent="0.35">
      <c r="B643" s="11"/>
      <c r="C643" s="11"/>
      <c r="D643" s="11" t="s">
        <v>50</v>
      </c>
      <c r="E643" s="11" t="s">
        <v>23</v>
      </c>
      <c r="F643" s="11" t="s">
        <v>754</v>
      </c>
      <c r="G643" s="23">
        <v>362000</v>
      </c>
    </row>
    <row r="644" spans="2:7" x14ac:dyDescent="0.35">
      <c r="B644" s="11"/>
      <c r="C644" s="11"/>
      <c r="D644" s="11"/>
      <c r="E644" s="11"/>
      <c r="F644" s="11" t="s">
        <v>465</v>
      </c>
      <c r="G644" s="23">
        <v>6428000</v>
      </c>
    </row>
    <row r="645" spans="2:7" x14ac:dyDescent="0.35">
      <c r="B645" s="11"/>
      <c r="C645" s="11"/>
      <c r="D645" s="11"/>
      <c r="E645" s="11"/>
      <c r="F645" s="11" t="s">
        <v>20</v>
      </c>
      <c r="G645" s="23">
        <v>2812000</v>
      </c>
    </row>
    <row r="646" spans="2:7" x14ac:dyDescent="0.35">
      <c r="B646" s="11"/>
      <c r="C646" s="11"/>
      <c r="D646" s="11"/>
      <c r="E646" s="11"/>
      <c r="F646" s="11" t="s">
        <v>363</v>
      </c>
      <c r="G646" s="23">
        <v>2890000</v>
      </c>
    </row>
    <row r="647" spans="2:7" x14ac:dyDescent="0.35">
      <c r="B647" s="11"/>
      <c r="C647" s="11"/>
      <c r="D647" s="11"/>
      <c r="E647" s="11" t="s">
        <v>17</v>
      </c>
      <c r="F647" s="11" t="s">
        <v>363</v>
      </c>
      <c r="G647" s="23">
        <v>516000</v>
      </c>
    </row>
    <row r="648" spans="2:7" x14ac:dyDescent="0.35">
      <c r="B648" s="11"/>
      <c r="C648" s="11"/>
      <c r="D648" s="11"/>
      <c r="E648" s="11" t="s">
        <v>28</v>
      </c>
      <c r="F648" s="11" t="s">
        <v>465</v>
      </c>
      <c r="G648" s="23">
        <v>6735000</v>
      </c>
    </row>
    <row r="649" spans="2:7" x14ac:dyDescent="0.35">
      <c r="B649" s="11"/>
      <c r="C649" s="11"/>
      <c r="D649" s="11" t="s">
        <v>37</v>
      </c>
      <c r="E649" s="11" t="s">
        <v>23</v>
      </c>
      <c r="F649" s="11" t="s">
        <v>160</v>
      </c>
      <c r="G649" s="23">
        <v>2116600</v>
      </c>
    </row>
    <row r="650" spans="2:7" x14ac:dyDescent="0.35">
      <c r="B650" s="11"/>
      <c r="C650" s="11"/>
      <c r="D650" s="11"/>
      <c r="E650" s="11"/>
      <c r="F650" s="11" t="s">
        <v>363</v>
      </c>
      <c r="G650" s="23">
        <v>1300400</v>
      </c>
    </row>
    <row r="651" spans="2:7" x14ac:dyDescent="0.35">
      <c r="B651" s="11"/>
      <c r="C651" s="11"/>
      <c r="D651" s="11"/>
      <c r="E651" s="11" t="s">
        <v>17</v>
      </c>
      <c r="F651" s="11" t="s">
        <v>160</v>
      </c>
      <c r="G651" s="23">
        <v>4548000</v>
      </c>
    </row>
    <row r="652" spans="2:7" x14ac:dyDescent="0.35">
      <c r="B652" s="11"/>
      <c r="C652" s="11"/>
      <c r="D652" s="11"/>
      <c r="E652" s="11"/>
      <c r="F652" s="11" t="s">
        <v>465</v>
      </c>
      <c r="G652" s="23">
        <v>1040000</v>
      </c>
    </row>
    <row r="653" spans="2:7" x14ac:dyDescent="0.35">
      <c r="B653" s="11"/>
      <c r="C653" s="11"/>
      <c r="D653" s="11" t="s">
        <v>42</v>
      </c>
      <c r="E653" s="11" t="s">
        <v>23</v>
      </c>
      <c r="F653" s="11" t="s">
        <v>465</v>
      </c>
      <c r="G653" s="23">
        <v>7147453.125</v>
      </c>
    </row>
    <row r="654" spans="2:7" x14ac:dyDescent="0.35">
      <c r="B654" s="11"/>
      <c r="C654" s="11"/>
      <c r="D654" s="11"/>
      <c r="E654" s="11"/>
      <c r="F654" s="11" t="s">
        <v>20</v>
      </c>
      <c r="G654" s="23">
        <v>801000</v>
      </c>
    </row>
    <row r="655" spans="2:7" x14ac:dyDescent="0.35">
      <c r="B655" s="11"/>
      <c r="C655" s="11"/>
      <c r="D655" s="11"/>
      <c r="E655" s="11" t="s">
        <v>17</v>
      </c>
      <c r="F655" s="11" t="s">
        <v>20</v>
      </c>
      <c r="G655" s="23">
        <v>472000</v>
      </c>
    </row>
    <row r="656" spans="2:7" x14ac:dyDescent="0.35">
      <c r="B656" s="11"/>
      <c r="C656" s="11"/>
      <c r="D656" s="11"/>
      <c r="E656" s="11"/>
      <c r="F656" s="11" t="s">
        <v>363</v>
      </c>
      <c r="G656" s="23">
        <v>340000</v>
      </c>
    </row>
    <row r="657" spans="2:7" x14ac:dyDescent="0.35">
      <c r="B657" s="11"/>
      <c r="C657" s="11"/>
      <c r="D657" s="11"/>
      <c r="E657" s="11" t="s">
        <v>28</v>
      </c>
      <c r="F657" s="11" t="s">
        <v>754</v>
      </c>
      <c r="G657" s="23">
        <v>174000</v>
      </c>
    </row>
    <row r="658" spans="2:7" x14ac:dyDescent="0.35">
      <c r="B658" s="11"/>
      <c r="C658" s="11"/>
      <c r="D658" s="11"/>
      <c r="E658" s="11"/>
      <c r="F658" s="11" t="s">
        <v>465</v>
      </c>
      <c r="G658" s="23">
        <v>3104000</v>
      </c>
    </row>
    <row r="659" spans="2:7" x14ac:dyDescent="0.35">
      <c r="B659" s="11"/>
      <c r="C659" s="11"/>
      <c r="D659" s="11"/>
      <c r="E659" s="11"/>
      <c r="F659" s="11" t="s">
        <v>363</v>
      </c>
      <c r="G659" s="23">
        <v>562000</v>
      </c>
    </row>
    <row r="660" spans="2:7" x14ac:dyDescent="0.35">
      <c r="B660" s="11"/>
      <c r="C660" s="11" t="s">
        <v>2024</v>
      </c>
      <c r="D660" s="11" t="s">
        <v>15</v>
      </c>
      <c r="E660" s="11" t="s">
        <v>23</v>
      </c>
      <c r="F660" s="11" t="s">
        <v>754</v>
      </c>
      <c r="G660" s="23">
        <v>294450</v>
      </c>
    </row>
    <row r="661" spans="2:7" x14ac:dyDescent="0.35">
      <c r="B661" s="11"/>
      <c r="C661" s="11"/>
      <c r="D661" s="11"/>
      <c r="E661" s="11"/>
      <c r="F661" s="11" t="s">
        <v>160</v>
      </c>
      <c r="G661" s="23">
        <v>10505000</v>
      </c>
    </row>
    <row r="662" spans="2:7" x14ac:dyDescent="0.35">
      <c r="B662" s="11"/>
      <c r="C662" s="11"/>
      <c r="D662" s="11"/>
      <c r="E662" s="11"/>
      <c r="F662" s="11" t="s">
        <v>465</v>
      </c>
      <c r="G662" s="23">
        <v>5285300</v>
      </c>
    </row>
    <row r="663" spans="2:7" x14ac:dyDescent="0.35">
      <c r="B663" s="11"/>
      <c r="C663" s="11"/>
      <c r="D663" s="11"/>
      <c r="E663" s="11"/>
      <c r="F663" s="11" t="s">
        <v>20</v>
      </c>
      <c r="G663" s="23">
        <v>2240000</v>
      </c>
    </row>
    <row r="664" spans="2:7" x14ac:dyDescent="0.35">
      <c r="B664" s="11"/>
      <c r="C664" s="11"/>
      <c r="D664" s="11"/>
      <c r="E664" s="11"/>
      <c r="F664" s="11" t="s">
        <v>363</v>
      </c>
      <c r="G664" s="23">
        <v>457350</v>
      </c>
    </row>
    <row r="665" spans="2:7" x14ac:dyDescent="0.35">
      <c r="B665" s="11"/>
      <c r="C665" s="11"/>
      <c r="D665" s="11"/>
      <c r="E665" s="11" t="s">
        <v>17</v>
      </c>
      <c r="F665" s="11" t="s">
        <v>754</v>
      </c>
      <c r="G665" s="23">
        <v>582000</v>
      </c>
    </row>
    <row r="666" spans="2:7" x14ac:dyDescent="0.35">
      <c r="B666" s="11"/>
      <c r="C666" s="11"/>
      <c r="D666" s="11"/>
      <c r="E666" s="11"/>
      <c r="F666" s="11" t="s">
        <v>160</v>
      </c>
      <c r="G666" s="23">
        <v>5171666.666666666</v>
      </c>
    </row>
    <row r="667" spans="2:7" x14ac:dyDescent="0.35">
      <c r="B667" s="11"/>
      <c r="C667" s="11"/>
      <c r="D667" s="11"/>
      <c r="E667" s="11"/>
      <c r="F667" s="11" t="s">
        <v>363</v>
      </c>
      <c r="G667" s="23">
        <v>297900</v>
      </c>
    </row>
    <row r="668" spans="2:7" x14ac:dyDescent="0.35">
      <c r="B668" s="11"/>
      <c r="C668" s="11"/>
      <c r="D668" s="11"/>
      <c r="E668" s="11" t="s">
        <v>28</v>
      </c>
      <c r="F668" s="11" t="s">
        <v>160</v>
      </c>
      <c r="G668" s="23">
        <v>2433000</v>
      </c>
    </row>
    <row r="669" spans="2:7" x14ac:dyDescent="0.35">
      <c r="B669" s="11"/>
      <c r="C669" s="11"/>
      <c r="D669" s="11"/>
      <c r="E669" s="11"/>
      <c r="F669" s="11" t="s">
        <v>20</v>
      </c>
      <c r="G669" s="23">
        <v>1176300</v>
      </c>
    </row>
    <row r="670" spans="2:7" x14ac:dyDescent="0.35">
      <c r="B670" s="11"/>
      <c r="C670" s="11"/>
      <c r="D670" s="11" t="s">
        <v>50</v>
      </c>
      <c r="E670" s="11" t="s">
        <v>23</v>
      </c>
      <c r="F670" s="11" t="s">
        <v>754</v>
      </c>
      <c r="G670" s="23">
        <v>282000</v>
      </c>
    </row>
    <row r="671" spans="2:7" x14ac:dyDescent="0.35">
      <c r="B671" s="11"/>
      <c r="C671" s="11"/>
      <c r="D671" s="11"/>
      <c r="E671" s="11"/>
      <c r="F671" s="11" t="s">
        <v>160</v>
      </c>
      <c r="G671" s="23">
        <v>4396650</v>
      </c>
    </row>
    <row r="672" spans="2:7" x14ac:dyDescent="0.35">
      <c r="B672" s="11"/>
      <c r="C672" s="11"/>
      <c r="D672" s="11"/>
      <c r="E672" s="11"/>
      <c r="F672" s="11" t="s">
        <v>465</v>
      </c>
      <c r="G672" s="23">
        <v>7724400</v>
      </c>
    </row>
    <row r="673" spans="2:7" x14ac:dyDescent="0.35">
      <c r="B673" s="11"/>
      <c r="C673" s="11"/>
      <c r="D673" s="11"/>
      <c r="E673" s="11" t="s">
        <v>17</v>
      </c>
      <c r="F673" s="11" t="s">
        <v>20</v>
      </c>
      <c r="G673" s="23">
        <v>694000</v>
      </c>
    </row>
    <row r="674" spans="2:7" x14ac:dyDescent="0.35">
      <c r="B674" s="11"/>
      <c r="C674" s="11"/>
      <c r="D674" s="11"/>
      <c r="E674" s="11" t="s">
        <v>28</v>
      </c>
      <c r="F674" s="11" t="s">
        <v>465</v>
      </c>
      <c r="G674" s="23">
        <v>3966250</v>
      </c>
    </row>
    <row r="675" spans="2:7" x14ac:dyDescent="0.35">
      <c r="B675" s="11"/>
      <c r="C675" s="11"/>
      <c r="D675" s="11"/>
      <c r="E675" s="11"/>
      <c r="F675" s="11" t="s">
        <v>20</v>
      </c>
      <c r="G675" s="23">
        <v>408000</v>
      </c>
    </row>
    <row r="676" spans="2:7" x14ac:dyDescent="0.35">
      <c r="B676" s="11"/>
      <c r="C676" s="11"/>
      <c r="D676" s="11"/>
      <c r="E676" s="11" t="s">
        <v>58</v>
      </c>
      <c r="F676" s="11" t="s">
        <v>465</v>
      </c>
      <c r="G676" s="23">
        <v>1659000</v>
      </c>
    </row>
    <row r="677" spans="2:7" x14ac:dyDescent="0.35">
      <c r="B677" s="11"/>
      <c r="C677" s="11"/>
      <c r="D677" s="11" t="s">
        <v>37</v>
      </c>
      <c r="E677" s="11" t="s">
        <v>23</v>
      </c>
      <c r="F677" s="11" t="s">
        <v>160</v>
      </c>
      <c r="G677" s="23">
        <v>2570400</v>
      </c>
    </row>
    <row r="678" spans="2:7" x14ac:dyDescent="0.35">
      <c r="B678" s="11"/>
      <c r="C678" s="11"/>
      <c r="D678" s="11"/>
      <c r="E678" s="11"/>
      <c r="F678" s="11" t="s">
        <v>465</v>
      </c>
      <c r="G678" s="23">
        <v>5019900</v>
      </c>
    </row>
    <row r="679" spans="2:7" x14ac:dyDescent="0.35">
      <c r="B679" s="11"/>
      <c r="C679" s="11"/>
      <c r="D679" s="11"/>
      <c r="E679" s="11"/>
      <c r="F679" s="11" t="s">
        <v>20</v>
      </c>
      <c r="G679" s="23">
        <v>1114000</v>
      </c>
    </row>
    <row r="680" spans="2:7" x14ac:dyDescent="0.35">
      <c r="B680" s="11"/>
      <c r="C680" s="11"/>
      <c r="D680" s="11"/>
      <c r="E680" s="11"/>
      <c r="F680" s="11" t="s">
        <v>363</v>
      </c>
      <c r="G680" s="23">
        <v>212000</v>
      </c>
    </row>
    <row r="681" spans="2:7" x14ac:dyDescent="0.35">
      <c r="B681" s="11"/>
      <c r="C681" s="11"/>
      <c r="D681" s="11"/>
      <c r="E681" s="11" t="s">
        <v>17</v>
      </c>
      <c r="F681" s="11" t="s">
        <v>754</v>
      </c>
      <c r="G681" s="23">
        <v>495000</v>
      </c>
    </row>
    <row r="682" spans="2:7" x14ac:dyDescent="0.35">
      <c r="B682" s="11"/>
      <c r="C682" s="11"/>
      <c r="D682" s="11"/>
      <c r="E682" s="11" t="s">
        <v>58</v>
      </c>
      <c r="F682" s="11" t="s">
        <v>160</v>
      </c>
      <c r="G682" s="23">
        <v>1600000</v>
      </c>
    </row>
    <row r="683" spans="2:7" x14ac:dyDescent="0.35">
      <c r="B683" s="11"/>
      <c r="C683" s="11"/>
      <c r="D683" s="11" t="s">
        <v>42</v>
      </c>
      <c r="E683" s="11" t="s">
        <v>23</v>
      </c>
      <c r="F683" s="11" t="s">
        <v>754</v>
      </c>
      <c r="G683" s="23">
        <v>597000</v>
      </c>
    </row>
    <row r="684" spans="2:7" x14ac:dyDescent="0.35">
      <c r="B684" s="11"/>
      <c r="C684" s="11"/>
      <c r="D684" s="11"/>
      <c r="E684" s="11"/>
      <c r="F684" s="11" t="s">
        <v>465</v>
      </c>
      <c r="G684" s="23">
        <v>9545000</v>
      </c>
    </row>
    <row r="685" spans="2:7" x14ac:dyDescent="0.35">
      <c r="B685" s="11"/>
      <c r="C685" s="11"/>
      <c r="D685" s="11"/>
      <c r="E685" s="11"/>
      <c r="F685" s="11" t="s">
        <v>20</v>
      </c>
      <c r="G685" s="23">
        <v>1188000</v>
      </c>
    </row>
    <row r="686" spans="2:7" x14ac:dyDescent="0.35">
      <c r="B686" s="11"/>
      <c r="C686" s="11"/>
      <c r="D686" s="11"/>
      <c r="E686" s="11"/>
      <c r="F686" s="11" t="s">
        <v>363</v>
      </c>
      <c r="G686" s="23">
        <v>1119000</v>
      </c>
    </row>
    <row r="687" spans="2:7" x14ac:dyDescent="0.35">
      <c r="B687" s="11"/>
      <c r="C687" s="11"/>
      <c r="D687" s="11"/>
      <c r="E687" s="11" t="s">
        <v>17</v>
      </c>
      <c r="F687" s="11" t="s">
        <v>160</v>
      </c>
      <c r="G687" s="23">
        <v>2811050</v>
      </c>
    </row>
    <row r="688" spans="2:7" x14ac:dyDescent="0.35">
      <c r="B688" s="11"/>
      <c r="C688" s="11"/>
      <c r="D688" s="11"/>
      <c r="E688" s="11"/>
      <c r="F688" s="11" t="s">
        <v>20</v>
      </c>
      <c r="G688" s="23">
        <v>2920000</v>
      </c>
    </row>
    <row r="689" spans="2:7" x14ac:dyDescent="0.35">
      <c r="B689" s="11"/>
      <c r="C689" s="11"/>
      <c r="D689" s="11"/>
      <c r="E689" s="11"/>
      <c r="F689" s="11" t="s">
        <v>363</v>
      </c>
      <c r="G689" s="23">
        <v>684000</v>
      </c>
    </row>
    <row r="690" spans="2:7" x14ac:dyDescent="0.35">
      <c r="B690" s="11"/>
      <c r="C690" s="11"/>
      <c r="D690" s="11"/>
      <c r="E690" s="11" t="s">
        <v>28</v>
      </c>
      <c r="F690" s="11" t="s">
        <v>754</v>
      </c>
      <c r="G690" s="23">
        <v>192850</v>
      </c>
    </row>
    <row r="691" spans="2:7" x14ac:dyDescent="0.35">
      <c r="B691" s="11"/>
      <c r="C691" s="11"/>
      <c r="D691" s="11"/>
      <c r="E691" s="11" t="s">
        <v>58</v>
      </c>
      <c r="F691" s="11" t="s">
        <v>20</v>
      </c>
      <c r="G691" s="23">
        <v>938000</v>
      </c>
    </row>
    <row r="692" spans="2:7" x14ac:dyDescent="0.35">
      <c r="B692" s="11">
        <v>2025</v>
      </c>
      <c r="C692" s="11" t="s">
        <v>2013</v>
      </c>
      <c r="D692" s="11" t="s">
        <v>26</v>
      </c>
      <c r="E692" s="11" t="s">
        <v>23</v>
      </c>
      <c r="F692" s="11" t="s">
        <v>160</v>
      </c>
      <c r="G692" s="23">
        <v>7794000</v>
      </c>
    </row>
    <row r="693" spans="2:7" x14ac:dyDescent="0.35">
      <c r="B693" s="11"/>
      <c r="C693" s="11"/>
      <c r="D693" s="11"/>
      <c r="E693" s="11"/>
      <c r="F693" s="11" t="s">
        <v>363</v>
      </c>
      <c r="G693" s="23">
        <v>388000</v>
      </c>
    </row>
    <row r="694" spans="2:7" x14ac:dyDescent="0.35">
      <c r="B694" s="11"/>
      <c r="C694" s="11"/>
      <c r="D694" s="11"/>
      <c r="E694" s="11" t="s">
        <v>17</v>
      </c>
      <c r="F694" s="11" t="s">
        <v>465</v>
      </c>
      <c r="G694" s="23">
        <v>2474000</v>
      </c>
    </row>
    <row r="695" spans="2:7" x14ac:dyDescent="0.35">
      <c r="B695" s="11"/>
      <c r="C695" s="11"/>
      <c r="D695" s="11" t="s">
        <v>15</v>
      </c>
      <c r="E695" s="11" t="s">
        <v>23</v>
      </c>
      <c r="F695" s="11" t="s">
        <v>754</v>
      </c>
      <c r="G695" s="23">
        <v>653250</v>
      </c>
    </row>
    <row r="696" spans="2:7" x14ac:dyDescent="0.35">
      <c r="B696" s="11"/>
      <c r="C696" s="11"/>
      <c r="D696" s="11"/>
      <c r="E696" s="11"/>
      <c r="F696" s="11" t="s">
        <v>465</v>
      </c>
      <c r="G696" s="23">
        <v>19298000</v>
      </c>
    </row>
    <row r="697" spans="2:7" x14ac:dyDescent="0.35">
      <c r="B697" s="11"/>
      <c r="C697" s="11"/>
      <c r="D697" s="11"/>
      <c r="E697" s="11"/>
      <c r="F697" s="11" t="s">
        <v>20</v>
      </c>
      <c r="G697" s="23">
        <v>1541000</v>
      </c>
    </row>
    <row r="698" spans="2:7" x14ac:dyDescent="0.35">
      <c r="B698" s="11"/>
      <c r="C698" s="11"/>
      <c r="D698" s="11"/>
      <c r="E698" s="11"/>
      <c r="F698" s="11" t="s">
        <v>363</v>
      </c>
      <c r="G698" s="23">
        <v>154000</v>
      </c>
    </row>
    <row r="699" spans="2:7" x14ac:dyDescent="0.35">
      <c r="B699" s="11"/>
      <c r="C699" s="11"/>
      <c r="D699" s="11"/>
      <c r="E699" s="11" t="s">
        <v>17</v>
      </c>
      <c r="F699" s="11" t="s">
        <v>754</v>
      </c>
      <c r="G699" s="23">
        <v>116000</v>
      </c>
    </row>
    <row r="700" spans="2:7" x14ac:dyDescent="0.35">
      <c r="B700" s="11"/>
      <c r="C700" s="11"/>
      <c r="D700" s="11"/>
      <c r="E700" s="11"/>
      <c r="F700" s="11" t="s">
        <v>160</v>
      </c>
      <c r="G700" s="23">
        <v>10140000</v>
      </c>
    </row>
    <row r="701" spans="2:7" x14ac:dyDescent="0.35">
      <c r="B701" s="11"/>
      <c r="C701" s="11"/>
      <c r="D701" s="11"/>
      <c r="E701" s="11" t="s">
        <v>28</v>
      </c>
      <c r="F701" s="11" t="s">
        <v>160</v>
      </c>
      <c r="G701" s="23">
        <v>2736000</v>
      </c>
    </row>
    <row r="702" spans="2:7" x14ac:dyDescent="0.35">
      <c r="B702" s="11"/>
      <c r="C702" s="11"/>
      <c r="D702" s="11"/>
      <c r="E702" s="11"/>
      <c r="F702" s="11" t="s">
        <v>465</v>
      </c>
      <c r="G702" s="23">
        <v>6838000</v>
      </c>
    </row>
    <row r="703" spans="2:7" x14ac:dyDescent="0.35">
      <c r="B703" s="11"/>
      <c r="C703" s="11"/>
      <c r="D703" s="11"/>
      <c r="E703" s="11"/>
      <c r="F703" s="11" t="s">
        <v>20</v>
      </c>
      <c r="G703" s="23">
        <v>405000</v>
      </c>
    </row>
    <row r="704" spans="2:7" x14ac:dyDescent="0.35">
      <c r="B704" s="11"/>
      <c r="C704" s="11"/>
      <c r="D704" s="11"/>
      <c r="E704" s="11"/>
      <c r="F704" s="11" t="s">
        <v>363</v>
      </c>
      <c r="G704" s="23">
        <v>934000</v>
      </c>
    </row>
    <row r="705" spans="2:7" x14ac:dyDescent="0.35">
      <c r="B705" s="11"/>
      <c r="C705" s="11"/>
      <c r="D705" s="11"/>
      <c r="E705" s="11" t="s">
        <v>58</v>
      </c>
      <c r="F705" s="11" t="s">
        <v>465</v>
      </c>
      <c r="G705" s="23">
        <v>2739000</v>
      </c>
    </row>
    <row r="706" spans="2:7" x14ac:dyDescent="0.35">
      <c r="B706" s="11"/>
      <c r="C706" s="11"/>
      <c r="D706" s="11" t="s">
        <v>50</v>
      </c>
      <c r="E706" s="11" t="s">
        <v>23</v>
      </c>
      <c r="F706" s="11" t="s">
        <v>160</v>
      </c>
      <c r="G706" s="23">
        <v>2840050</v>
      </c>
    </row>
    <row r="707" spans="2:7" x14ac:dyDescent="0.35">
      <c r="B707" s="11"/>
      <c r="C707" s="11"/>
      <c r="D707" s="11"/>
      <c r="E707" s="11" t="s">
        <v>17</v>
      </c>
      <c r="F707" s="11" t="s">
        <v>465</v>
      </c>
      <c r="G707" s="23">
        <v>4147000</v>
      </c>
    </row>
    <row r="708" spans="2:7" x14ac:dyDescent="0.35">
      <c r="B708" s="11"/>
      <c r="C708" s="11"/>
      <c r="D708" s="11"/>
      <c r="E708" s="11" t="s">
        <v>28</v>
      </c>
      <c r="F708" s="11" t="s">
        <v>363</v>
      </c>
      <c r="G708" s="23">
        <v>536000</v>
      </c>
    </row>
    <row r="709" spans="2:7" x14ac:dyDescent="0.35">
      <c r="B709" s="11"/>
      <c r="C709" s="11"/>
      <c r="D709" s="11"/>
      <c r="E709" s="11" t="s">
        <v>58</v>
      </c>
      <c r="F709" s="11" t="s">
        <v>363</v>
      </c>
      <c r="G709" s="23">
        <v>153000</v>
      </c>
    </row>
    <row r="710" spans="2:7" x14ac:dyDescent="0.35">
      <c r="B710" s="11"/>
      <c r="C710" s="11"/>
      <c r="D710" s="11" t="s">
        <v>37</v>
      </c>
      <c r="E710" s="11" t="s">
        <v>23</v>
      </c>
      <c r="F710" s="11" t="s">
        <v>754</v>
      </c>
      <c r="G710" s="23">
        <v>344850</v>
      </c>
    </row>
    <row r="711" spans="2:7" x14ac:dyDescent="0.35">
      <c r="B711" s="11"/>
      <c r="C711" s="11"/>
      <c r="D711" s="11"/>
      <c r="E711" s="11"/>
      <c r="F711" s="11" t="s">
        <v>160</v>
      </c>
      <c r="G711" s="23">
        <v>1658000</v>
      </c>
    </row>
    <row r="712" spans="2:7" x14ac:dyDescent="0.35">
      <c r="B712" s="11"/>
      <c r="C712" s="11"/>
      <c r="D712" s="11"/>
      <c r="E712" s="11"/>
      <c r="F712" s="11" t="s">
        <v>363</v>
      </c>
      <c r="G712" s="23">
        <v>978049.38271604944</v>
      </c>
    </row>
    <row r="713" spans="2:7" x14ac:dyDescent="0.35">
      <c r="B713" s="11"/>
      <c r="C713" s="11"/>
      <c r="D713" s="11"/>
      <c r="E713" s="11" t="s">
        <v>17</v>
      </c>
      <c r="F713" s="11" t="s">
        <v>363</v>
      </c>
      <c r="G713" s="23">
        <v>548000</v>
      </c>
    </row>
    <row r="714" spans="2:7" x14ac:dyDescent="0.35">
      <c r="B714" s="11"/>
      <c r="C714" s="11"/>
      <c r="D714" s="11"/>
      <c r="E714" s="11" t="s">
        <v>28</v>
      </c>
      <c r="F714" s="11" t="s">
        <v>363</v>
      </c>
      <c r="G714" s="23">
        <v>408000</v>
      </c>
    </row>
    <row r="715" spans="2:7" x14ac:dyDescent="0.35">
      <c r="B715" s="11"/>
      <c r="C715" s="11"/>
      <c r="D715" s="11" t="s">
        <v>42</v>
      </c>
      <c r="E715" s="11" t="s">
        <v>23</v>
      </c>
      <c r="F715" s="11" t="s">
        <v>160</v>
      </c>
      <c r="G715" s="23">
        <v>5709000</v>
      </c>
    </row>
    <row r="716" spans="2:7" x14ac:dyDescent="0.35">
      <c r="B716" s="11"/>
      <c r="C716" s="11"/>
      <c r="D716" s="11"/>
      <c r="E716" s="11"/>
      <c r="F716" s="11" t="s">
        <v>465</v>
      </c>
      <c r="G716" s="23">
        <v>8668000</v>
      </c>
    </row>
    <row r="717" spans="2:7" x14ac:dyDescent="0.35">
      <c r="B717" s="11"/>
      <c r="C717" s="11"/>
      <c r="D717" s="11"/>
      <c r="E717" s="11"/>
      <c r="F717" s="11" t="s">
        <v>20</v>
      </c>
      <c r="G717" s="23">
        <v>9837000</v>
      </c>
    </row>
    <row r="718" spans="2:7" x14ac:dyDescent="0.35">
      <c r="B718" s="11"/>
      <c r="C718" s="11"/>
      <c r="D718" s="11"/>
      <c r="E718" s="11"/>
      <c r="F718" s="11" t="s">
        <v>363</v>
      </c>
      <c r="G718" s="23">
        <v>7239450</v>
      </c>
    </row>
    <row r="719" spans="2:7" x14ac:dyDescent="0.35">
      <c r="B719" s="11"/>
      <c r="C719" s="11"/>
      <c r="D719" s="11"/>
      <c r="E719" s="11" t="s">
        <v>17</v>
      </c>
      <c r="F719" s="11" t="s">
        <v>465</v>
      </c>
      <c r="G719" s="23">
        <v>4148000</v>
      </c>
    </row>
    <row r="720" spans="2:7" x14ac:dyDescent="0.35">
      <c r="B720" s="11"/>
      <c r="C720" s="11"/>
      <c r="D720" s="11"/>
      <c r="E720" s="11" t="s">
        <v>58</v>
      </c>
      <c r="F720" s="11" t="s">
        <v>363</v>
      </c>
      <c r="G720" s="23">
        <v>1206000</v>
      </c>
    </row>
    <row r="721" spans="2:7" x14ac:dyDescent="0.35">
      <c r="B721" s="11"/>
      <c r="C721" s="11" t="s">
        <v>2014</v>
      </c>
      <c r="D721" s="11" t="s">
        <v>26</v>
      </c>
      <c r="E721" s="11" t="s">
        <v>23</v>
      </c>
      <c r="F721" s="11" t="s">
        <v>754</v>
      </c>
      <c r="G721" s="23">
        <v>50000</v>
      </c>
    </row>
    <row r="722" spans="2:7" x14ac:dyDescent="0.35">
      <c r="B722" s="11"/>
      <c r="C722" s="11"/>
      <c r="D722" s="11"/>
      <c r="E722" s="11"/>
      <c r="F722" s="11" t="s">
        <v>465</v>
      </c>
      <c r="G722" s="23">
        <v>4540000</v>
      </c>
    </row>
    <row r="723" spans="2:7" x14ac:dyDescent="0.35">
      <c r="B723" s="11"/>
      <c r="C723" s="11"/>
      <c r="D723" s="11" t="s">
        <v>15</v>
      </c>
      <c r="E723" s="11" t="s">
        <v>23</v>
      </c>
      <c r="F723" s="11" t="s">
        <v>754</v>
      </c>
      <c r="G723" s="23">
        <v>581000</v>
      </c>
    </row>
    <row r="724" spans="2:7" x14ac:dyDescent="0.35">
      <c r="B724" s="11"/>
      <c r="C724" s="11"/>
      <c r="D724" s="11"/>
      <c r="E724" s="11"/>
      <c r="F724" s="11" t="s">
        <v>160</v>
      </c>
      <c r="G724" s="23">
        <v>15353000</v>
      </c>
    </row>
    <row r="725" spans="2:7" x14ac:dyDescent="0.35">
      <c r="B725" s="11"/>
      <c r="C725" s="11"/>
      <c r="D725" s="11"/>
      <c r="E725" s="11"/>
      <c r="F725" s="11" t="s">
        <v>465</v>
      </c>
      <c r="G725" s="23">
        <v>3994000</v>
      </c>
    </row>
    <row r="726" spans="2:7" x14ac:dyDescent="0.35">
      <c r="B726" s="11"/>
      <c r="C726" s="11"/>
      <c r="D726" s="11"/>
      <c r="E726" s="11"/>
      <c r="F726" s="11" t="s">
        <v>20</v>
      </c>
      <c r="G726" s="23">
        <v>1505250</v>
      </c>
    </row>
    <row r="727" spans="2:7" x14ac:dyDescent="0.35">
      <c r="B727" s="11"/>
      <c r="C727" s="11"/>
      <c r="D727" s="11"/>
      <c r="E727" s="11"/>
      <c r="F727" s="11" t="s">
        <v>363</v>
      </c>
      <c r="G727" s="23">
        <v>4941000</v>
      </c>
    </row>
    <row r="728" spans="2:7" x14ac:dyDescent="0.35">
      <c r="B728" s="11"/>
      <c r="C728" s="11"/>
      <c r="D728" s="11"/>
      <c r="E728" s="11" t="s">
        <v>17</v>
      </c>
      <c r="F728" s="11" t="s">
        <v>160</v>
      </c>
      <c r="G728" s="23">
        <v>3558000</v>
      </c>
    </row>
    <row r="729" spans="2:7" x14ac:dyDescent="0.35">
      <c r="B729" s="11"/>
      <c r="C729" s="11"/>
      <c r="D729" s="11"/>
      <c r="E729" s="11"/>
      <c r="F729" s="11" t="s">
        <v>363</v>
      </c>
      <c r="G729" s="23">
        <v>537000</v>
      </c>
    </row>
    <row r="730" spans="2:7" x14ac:dyDescent="0.35">
      <c r="B730" s="11"/>
      <c r="C730" s="11"/>
      <c r="D730" s="11"/>
      <c r="E730" s="11" t="s">
        <v>28</v>
      </c>
      <c r="F730" s="11" t="s">
        <v>754</v>
      </c>
      <c r="G730" s="23">
        <v>295200</v>
      </c>
    </row>
    <row r="731" spans="2:7" x14ac:dyDescent="0.35">
      <c r="B731" s="11"/>
      <c r="C731" s="11"/>
      <c r="D731" s="11" t="s">
        <v>50</v>
      </c>
      <c r="E731" s="11" t="s">
        <v>23</v>
      </c>
      <c r="F731" s="11" t="s">
        <v>160</v>
      </c>
      <c r="G731" s="23">
        <v>3417000</v>
      </c>
    </row>
    <row r="732" spans="2:7" x14ac:dyDescent="0.35">
      <c r="B732" s="11"/>
      <c r="C732" s="11"/>
      <c r="D732" s="11"/>
      <c r="E732" s="11"/>
      <c r="F732" s="11" t="s">
        <v>20</v>
      </c>
      <c r="G732" s="23">
        <v>571000</v>
      </c>
    </row>
    <row r="733" spans="2:7" x14ac:dyDescent="0.35">
      <c r="B733" s="11"/>
      <c r="C733" s="11"/>
      <c r="D733" s="11"/>
      <c r="E733" s="11"/>
      <c r="F733" s="11" t="s">
        <v>363</v>
      </c>
      <c r="G733" s="23">
        <v>856000</v>
      </c>
    </row>
    <row r="734" spans="2:7" x14ac:dyDescent="0.35">
      <c r="B734" s="11"/>
      <c r="C734" s="11"/>
      <c r="D734" s="11"/>
      <c r="E734" s="11" t="s">
        <v>17</v>
      </c>
      <c r="F734" s="11" t="s">
        <v>160</v>
      </c>
      <c r="G734" s="23">
        <v>2954000</v>
      </c>
    </row>
    <row r="735" spans="2:7" x14ac:dyDescent="0.35">
      <c r="B735" s="11"/>
      <c r="C735" s="11"/>
      <c r="D735" s="11" t="s">
        <v>37</v>
      </c>
      <c r="E735" s="11" t="s">
        <v>23</v>
      </c>
      <c r="F735" s="11" t="s">
        <v>160</v>
      </c>
      <c r="G735" s="23">
        <v>5390000</v>
      </c>
    </row>
    <row r="736" spans="2:7" x14ac:dyDescent="0.35">
      <c r="B736" s="11"/>
      <c r="C736" s="11"/>
      <c r="D736" s="11"/>
      <c r="E736" s="11"/>
      <c r="F736" s="11" t="s">
        <v>363</v>
      </c>
      <c r="G736" s="23">
        <v>189000</v>
      </c>
    </row>
    <row r="737" spans="2:7" x14ac:dyDescent="0.35">
      <c r="B737" s="11"/>
      <c r="C737" s="11"/>
      <c r="D737" s="11"/>
      <c r="E737" s="11" t="s">
        <v>17</v>
      </c>
      <c r="F737" s="11" t="s">
        <v>754</v>
      </c>
      <c r="G737" s="23">
        <v>244000</v>
      </c>
    </row>
    <row r="738" spans="2:7" x14ac:dyDescent="0.35">
      <c r="B738" s="11"/>
      <c r="C738" s="11"/>
      <c r="D738" s="11"/>
      <c r="E738" s="11" t="s">
        <v>58</v>
      </c>
      <c r="F738" s="11" t="s">
        <v>465</v>
      </c>
      <c r="G738" s="23">
        <v>3599000</v>
      </c>
    </row>
    <row r="739" spans="2:7" x14ac:dyDescent="0.35">
      <c r="B739" s="11"/>
      <c r="C739" s="11"/>
      <c r="D739" s="11" t="s">
        <v>42</v>
      </c>
      <c r="E739" s="11" t="s">
        <v>23</v>
      </c>
      <c r="F739" s="11" t="s">
        <v>160</v>
      </c>
      <c r="G739" s="23">
        <v>14934700</v>
      </c>
    </row>
    <row r="740" spans="2:7" x14ac:dyDescent="0.35">
      <c r="B740" s="11"/>
      <c r="C740" s="11"/>
      <c r="D740" s="11"/>
      <c r="E740" s="11"/>
      <c r="F740" s="11" t="s">
        <v>465</v>
      </c>
      <c r="G740" s="23">
        <v>4396000</v>
      </c>
    </row>
    <row r="741" spans="2:7" x14ac:dyDescent="0.35">
      <c r="B741" s="11"/>
      <c r="C741" s="11"/>
      <c r="D741" s="11"/>
      <c r="E741" s="11"/>
      <c r="F741" s="11" t="s">
        <v>20</v>
      </c>
      <c r="G741" s="23">
        <v>1939000</v>
      </c>
    </row>
    <row r="742" spans="2:7" x14ac:dyDescent="0.35">
      <c r="B742" s="11"/>
      <c r="C742" s="11"/>
      <c r="D742" s="11"/>
      <c r="E742" s="11"/>
      <c r="F742" s="11" t="s">
        <v>363</v>
      </c>
      <c r="G742" s="23">
        <v>539000</v>
      </c>
    </row>
    <row r="743" spans="2:7" x14ac:dyDescent="0.35">
      <c r="B743" s="11"/>
      <c r="C743" s="11"/>
      <c r="D743" s="11"/>
      <c r="E743" s="11" t="s">
        <v>17</v>
      </c>
      <c r="F743" s="11" t="s">
        <v>754</v>
      </c>
      <c r="G743" s="23">
        <v>341000</v>
      </c>
    </row>
    <row r="744" spans="2:7" x14ac:dyDescent="0.35">
      <c r="B744" s="11"/>
      <c r="C744" s="11"/>
      <c r="D744" s="11"/>
      <c r="E744" s="11"/>
      <c r="F744" s="11" t="s">
        <v>465</v>
      </c>
      <c r="G744" s="23">
        <v>1089700</v>
      </c>
    </row>
    <row r="745" spans="2:7" x14ac:dyDescent="0.35">
      <c r="B745" s="11"/>
      <c r="C745" s="11"/>
      <c r="D745" s="11"/>
      <c r="E745" s="11" t="s">
        <v>28</v>
      </c>
      <c r="F745" s="11" t="s">
        <v>20</v>
      </c>
      <c r="G745" s="23">
        <v>1161000</v>
      </c>
    </row>
    <row r="746" spans="2:7" x14ac:dyDescent="0.35">
      <c r="B746" s="11"/>
      <c r="C746" s="11" t="s">
        <v>2015</v>
      </c>
      <c r="D746" s="11" t="s">
        <v>26</v>
      </c>
      <c r="E746" s="11" t="s">
        <v>23</v>
      </c>
      <c r="F746" s="11" t="s">
        <v>754</v>
      </c>
      <c r="G746" s="23">
        <v>940000</v>
      </c>
    </row>
    <row r="747" spans="2:7" x14ac:dyDescent="0.35">
      <c r="B747" s="11"/>
      <c r="C747" s="11"/>
      <c r="D747" s="11"/>
      <c r="E747" s="11"/>
      <c r="F747" s="11" t="s">
        <v>160</v>
      </c>
      <c r="G747" s="23">
        <v>1305300</v>
      </c>
    </row>
    <row r="748" spans="2:7" x14ac:dyDescent="0.35">
      <c r="B748" s="11"/>
      <c r="C748" s="11"/>
      <c r="D748" s="11" t="s">
        <v>15</v>
      </c>
      <c r="E748" s="11" t="s">
        <v>23</v>
      </c>
      <c r="F748" s="11" t="s">
        <v>754</v>
      </c>
      <c r="G748" s="23">
        <v>601000</v>
      </c>
    </row>
    <row r="749" spans="2:7" x14ac:dyDescent="0.35">
      <c r="B749" s="11"/>
      <c r="C749" s="11"/>
      <c r="D749" s="11"/>
      <c r="E749" s="11"/>
      <c r="F749" s="11" t="s">
        <v>160</v>
      </c>
      <c r="G749" s="23">
        <v>8217000</v>
      </c>
    </row>
    <row r="750" spans="2:7" x14ac:dyDescent="0.35">
      <c r="B750" s="11"/>
      <c r="C750" s="11"/>
      <c r="D750" s="11"/>
      <c r="E750" s="11"/>
      <c r="F750" s="11" t="s">
        <v>465</v>
      </c>
      <c r="G750" s="23">
        <v>21710800</v>
      </c>
    </row>
    <row r="751" spans="2:7" x14ac:dyDescent="0.35">
      <c r="B751" s="11"/>
      <c r="C751" s="11"/>
      <c r="D751" s="11"/>
      <c r="E751" s="11"/>
      <c r="F751" s="11" t="s">
        <v>20</v>
      </c>
      <c r="G751" s="23">
        <v>1479200</v>
      </c>
    </row>
    <row r="752" spans="2:7" x14ac:dyDescent="0.35">
      <c r="B752" s="11"/>
      <c r="C752" s="11"/>
      <c r="D752" s="11"/>
      <c r="E752" s="11"/>
      <c r="F752" s="11" t="s">
        <v>363</v>
      </c>
      <c r="G752" s="23">
        <v>1137000</v>
      </c>
    </row>
    <row r="753" spans="2:7" x14ac:dyDescent="0.35">
      <c r="B753" s="11"/>
      <c r="C753" s="11"/>
      <c r="D753" s="11"/>
      <c r="E753" s="11" t="s">
        <v>17</v>
      </c>
      <c r="F753" s="11" t="s">
        <v>160</v>
      </c>
      <c r="G753" s="23">
        <v>8653000</v>
      </c>
    </row>
    <row r="754" spans="2:7" x14ac:dyDescent="0.35">
      <c r="B754" s="11"/>
      <c r="C754" s="11"/>
      <c r="D754" s="11"/>
      <c r="E754" s="11" t="s">
        <v>28</v>
      </c>
      <c r="F754" s="11" t="s">
        <v>160</v>
      </c>
      <c r="G754" s="23">
        <v>2804666.6666666665</v>
      </c>
    </row>
    <row r="755" spans="2:7" x14ac:dyDescent="0.35">
      <c r="B755" s="11"/>
      <c r="C755" s="11"/>
      <c r="D755" s="11"/>
      <c r="E755" s="11"/>
      <c r="F755" s="11" t="s">
        <v>20</v>
      </c>
      <c r="G755" s="23">
        <v>1038000</v>
      </c>
    </row>
    <row r="756" spans="2:7" x14ac:dyDescent="0.35">
      <c r="B756" s="11"/>
      <c r="C756" s="11"/>
      <c r="D756" s="11" t="s">
        <v>50</v>
      </c>
      <c r="E756" s="11" t="s">
        <v>23</v>
      </c>
      <c r="F756" s="11" t="s">
        <v>465</v>
      </c>
      <c r="G756" s="23">
        <v>1214000</v>
      </c>
    </row>
    <row r="757" spans="2:7" x14ac:dyDescent="0.35">
      <c r="B757" s="11"/>
      <c r="C757" s="11"/>
      <c r="D757" s="11"/>
      <c r="E757" s="11"/>
      <c r="F757" s="11" t="s">
        <v>363</v>
      </c>
      <c r="G757" s="23">
        <v>1865388.888888889</v>
      </c>
    </row>
    <row r="758" spans="2:7" x14ac:dyDescent="0.35">
      <c r="B758" s="11"/>
      <c r="C758" s="11"/>
      <c r="D758" s="11"/>
      <c r="E758" s="11" t="s">
        <v>58</v>
      </c>
      <c r="F758" s="11" t="s">
        <v>465</v>
      </c>
      <c r="G758" s="23">
        <v>2608200</v>
      </c>
    </row>
    <row r="759" spans="2:7" x14ac:dyDescent="0.35">
      <c r="B759" s="11"/>
      <c r="C759" s="11"/>
      <c r="D759" s="11" t="s">
        <v>37</v>
      </c>
      <c r="E759" s="11" t="s">
        <v>23</v>
      </c>
      <c r="F759" s="11" t="s">
        <v>754</v>
      </c>
      <c r="G759" s="23">
        <v>172900</v>
      </c>
    </row>
    <row r="760" spans="2:7" x14ac:dyDescent="0.35">
      <c r="B760" s="11"/>
      <c r="C760" s="11"/>
      <c r="D760" s="11"/>
      <c r="E760" s="11"/>
      <c r="F760" s="11" t="s">
        <v>20</v>
      </c>
      <c r="G760" s="23">
        <v>1556000</v>
      </c>
    </row>
    <row r="761" spans="2:7" x14ac:dyDescent="0.35">
      <c r="B761" s="11"/>
      <c r="C761" s="11"/>
      <c r="D761" s="11" t="s">
        <v>42</v>
      </c>
      <c r="E761" s="11" t="s">
        <v>23</v>
      </c>
      <c r="F761" s="11" t="s">
        <v>160</v>
      </c>
      <c r="G761" s="23">
        <v>2297000</v>
      </c>
    </row>
    <row r="762" spans="2:7" x14ac:dyDescent="0.35">
      <c r="B762" s="11"/>
      <c r="C762" s="11"/>
      <c r="D762" s="11"/>
      <c r="E762" s="11"/>
      <c r="F762" s="11" t="s">
        <v>465</v>
      </c>
      <c r="G762" s="23">
        <v>8427000</v>
      </c>
    </row>
    <row r="763" spans="2:7" x14ac:dyDescent="0.35">
      <c r="B763" s="11"/>
      <c r="C763" s="11"/>
      <c r="D763" s="11"/>
      <c r="E763" s="11"/>
      <c r="F763" s="11" t="s">
        <v>20</v>
      </c>
      <c r="G763" s="23">
        <v>422000</v>
      </c>
    </row>
    <row r="764" spans="2:7" x14ac:dyDescent="0.35">
      <c r="B764" s="11"/>
      <c r="C764" s="11"/>
      <c r="D764" s="11"/>
      <c r="E764" s="11"/>
      <c r="F764" s="11" t="s">
        <v>363</v>
      </c>
      <c r="G764" s="23">
        <v>815950</v>
      </c>
    </row>
    <row r="765" spans="2:7" x14ac:dyDescent="0.35">
      <c r="B765" s="11"/>
      <c r="C765" s="11"/>
      <c r="D765" s="11"/>
      <c r="E765" s="11" t="s">
        <v>17</v>
      </c>
      <c r="F765" s="11" t="s">
        <v>160</v>
      </c>
      <c r="G765" s="23">
        <v>819000</v>
      </c>
    </row>
    <row r="766" spans="2:7" x14ac:dyDescent="0.35">
      <c r="B766" s="11"/>
      <c r="C766" s="11"/>
      <c r="D766" s="11"/>
      <c r="E766" s="11"/>
      <c r="F766" s="11" t="s">
        <v>465</v>
      </c>
      <c r="G766" s="23">
        <v>6194950</v>
      </c>
    </row>
    <row r="767" spans="2:7" x14ac:dyDescent="0.35">
      <c r="B767" s="11"/>
      <c r="C767" s="11"/>
      <c r="D767" s="11"/>
      <c r="E767" s="11"/>
      <c r="F767" s="11" t="s">
        <v>363</v>
      </c>
      <c r="G767" s="23">
        <v>934000</v>
      </c>
    </row>
    <row r="768" spans="2:7" x14ac:dyDescent="0.35">
      <c r="B768" s="11"/>
      <c r="C768" s="11"/>
      <c r="D768" s="11"/>
      <c r="E768" s="11" t="s">
        <v>28</v>
      </c>
      <c r="F768" s="11" t="s">
        <v>363</v>
      </c>
      <c r="G768" s="23">
        <v>543600</v>
      </c>
    </row>
    <row r="769" spans="2:7" x14ac:dyDescent="0.35">
      <c r="B769" s="11"/>
      <c r="C769" s="11" t="s">
        <v>2016</v>
      </c>
      <c r="D769" s="11" t="s">
        <v>26</v>
      </c>
      <c r="E769" s="11" t="s">
        <v>23</v>
      </c>
      <c r="F769" s="11" t="s">
        <v>754</v>
      </c>
      <c r="G769" s="23">
        <v>346000</v>
      </c>
    </row>
    <row r="770" spans="2:7" x14ac:dyDescent="0.35">
      <c r="B770" s="11"/>
      <c r="C770" s="11"/>
      <c r="D770" s="11"/>
      <c r="E770" s="11"/>
      <c r="F770" s="11" t="s">
        <v>20</v>
      </c>
      <c r="G770" s="23">
        <v>1320500</v>
      </c>
    </row>
    <row r="771" spans="2:7" x14ac:dyDescent="0.35">
      <c r="B771" s="11"/>
      <c r="C771" s="11"/>
      <c r="D771" s="11"/>
      <c r="E771" s="11" t="s">
        <v>17</v>
      </c>
      <c r="F771" s="11" t="s">
        <v>160</v>
      </c>
      <c r="G771" s="23">
        <v>7419000</v>
      </c>
    </row>
    <row r="772" spans="2:7" x14ac:dyDescent="0.35">
      <c r="B772" s="11"/>
      <c r="C772" s="11"/>
      <c r="D772" s="11"/>
      <c r="E772" s="11"/>
      <c r="F772" s="11" t="s">
        <v>363</v>
      </c>
      <c r="G772" s="23">
        <v>527000</v>
      </c>
    </row>
    <row r="773" spans="2:7" x14ac:dyDescent="0.35">
      <c r="B773" s="11"/>
      <c r="C773" s="11"/>
      <c r="D773" s="11" t="s">
        <v>15</v>
      </c>
      <c r="E773" s="11" t="s">
        <v>23</v>
      </c>
      <c r="F773" s="11" t="s">
        <v>754</v>
      </c>
      <c r="G773" s="23">
        <v>226100</v>
      </c>
    </row>
    <row r="774" spans="2:7" x14ac:dyDescent="0.35">
      <c r="B774" s="11"/>
      <c r="C774" s="11"/>
      <c r="D774" s="11"/>
      <c r="E774" s="11"/>
      <c r="F774" s="11" t="s">
        <v>160</v>
      </c>
      <c r="G774" s="23">
        <v>5825950</v>
      </c>
    </row>
    <row r="775" spans="2:7" x14ac:dyDescent="0.35">
      <c r="B775" s="11"/>
      <c r="C775" s="11"/>
      <c r="D775" s="11"/>
      <c r="E775" s="11"/>
      <c r="F775" s="11" t="s">
        <v>465</v>
      </c>
      <c r="G775" s="23">
        <v>2163000</v>
      </c>
    </row>
    <row r="776" spans="2:7" x14ac:dyDescent="0.35">
      <c r="B776" s="11"/>
      <c r="C776" s="11"/>
      <c r="D776" s="11"/>
      <c r="E776" s="11"/>
      <c r="F776" s="11" t="s">
        <v>20</v>
      </c>
      <c r="G776" s="23">
        <v>1713750</v>
      </c>
    </row>
    <row r="777" spans="2:7" x14ac:dyDescent="0.35">
      <c r="B777" s="11"/>
      <c r="C777" s="11"/>
      <c r="D777" s="11"/>
      <c r="E777" s="11"/>
      <c r="F777" s="11" t="s">
        <v>363</v>
      </c>
      <c r="G777" s="23">
        <v>2200000</v>
      </c>
    </row>
    <row r="778" spans="2:7" x14ac:dyDescent="0.35">
      <c r="B778" s="11"/>
      <c r="C778" s="11"/>
      <c r="D778" s="11"/>
      <c r="E778" s="11" t="s">
        <v>17</v>
      </c>
      <c r="F778" s="11" t="s">
        <v>160</v>
      </c>
      <c r="G778" s="23">
        <v>8267000</v>
      </c>
    </row>
    <row r="779" spans="2:7" x14ac:dyDescent="0.35">
      <c r="B779" s="11"/>
      <c r="C779" s="11"/>
      <c r="D779" s="11"/>
      <c r="E779" s="11"/>
      <c r="F779" s="11" t="s">
        <v>363</v>
      </c>
      <c r="G779" s="23">
        <v>881800</v>
      </c>
    </row>
    <row r="780" spans="2:7" x14ac:dyDescent="0.35">
      <c r="B780" s="11"/>
      <c r="C780" s="11"/>
      <c r="D780" s="11"/>
      <c r="E780" s="11" t="s">
        <v>28</v>
      </c>
      <c r="F780" s="11" t="s">
        <v>754</v>
      </c>
      <c r="G780" s="23">
        <v>456000</v>
      </c>
    </row>
    <row r="781" spans="2:7" x14ac:dyDescent="0.35">
      <c r="B781" s="11"/>
      <c r="C781" s="11"/>
      <c r="D781" s="11"/>
      <c r="E781" s="11"/>
      <c r="F781" s="11" t="s">
        <v>363</v>
      </c>
      <c r="G781" s="23">
        <v>346000</v>
      </c>
    </row>
    <row r="782" spans="2:7" x14ac:dyDescent="0.35">
      <c r="B782" s="11"/>
      <c r="C782" s="11"/>
      <c r="D782" s="11"/>
      <c r="E782" s="11" t="s">
        <v>58</v>
      </c>
      <c r="F782" s="11" t="s">
        <v>754</v>
      </c>
      <c r="G782" s="23">
        <v>86000</v>
      </c>
    </row>
    <row r="783" spans="2:7" x14ac:dyDescent="0.35">
      <c r="B783" s="11"/>
      <c r="C783" s="11"/>
      <c r="D783" s="11"/>
      <c r="E783" s="11"/>
      <c r="F783" s="11" t="s">
        <v>160</v>
      </c>
      <c r="G783" s="23">
        <v>1369000</v>
      </c>
    </row>
    <row r="784" spans="2:7" x14ac:dyDescent="0.35">
      <c r="B784" s="11"/>
      <c r="C784" s="11"/>
      <c r="D784" s="11" t="s">
        <v>50</v>
      </c>
      <c r="E784" s="11" t="s">
        <v>23</v>
      </c>
      <c r="F784" s="11" t="s">
        <v>754</v>
      </c>
      <c r="G784" s="23">
        <v>776000</v>
      </c>
    </row>
    <row r="785" spans="2:7" x14ac:dyDescent="0.35">
      <c r="B785" s="11"/>
      <c r="C785" s="11"/>
      <c r="D785" s="11"/>
      <c r="E785" s="11"/>
      <c r="F785" s="11" t="s">
        <v>160</v>
      </c>
      <c r="G785" s="23">
        <v>15944000</v>
      </c>
    </row>
    <row r="786" spans="2:7" x14ac:dyDescent="0.35">
      <c r="B786" s="11"/>
      <c r="C786" s="11"/>
      <c r="D786" s="11"/>
      <c r="E786" s="11"/>
      <c r="F786" s="11" t="s">
        <v>20</v>
      </c>
      <c r="G786" s="23">
        <v>305000</v>
      </c>
    </row>
    <row r="787" spans="2:7" x14ac:dyDescent="0.35">
      <c r="B787" s="11"/>
      <c r="C787" s="11"/>
      <c r="D787" s="11"/>
      <c r="E787" s="11"/>
      <c r="F787" s="11" t="s">
        <v>363</v>
      </c>
      <c r="G787" s="23">
        <v>718000</v>
      </c>
    </row>
    <row r="788" spans="2:7" x14ac:dyDescent="0.35">
      <c r="B788" s="11"/>
      <c r="C788" s="11"/>
      <c r="D788" s="11"/>
      <c r="E788" s="11" t="s">
        <v>17</v>
      </c>
      <c r="F788" s="11" t="s">
        <v>754</v>
      </c>
      <c r="G788" s="23">
        <v>100000</v>
      </c>
    </row>
    <row r="789" spans="2:7" x14ac:dyDescent="0.35">
      <c r="B789" s="11"/>
      <c r="C789" s="11"/>
      <c r="D789" s="11"/>
      <c r="E789" s="11"/>
      <c r="F789" s="11" t="s">
        <v>465</v>
      </c>
      <c r="G789" s="23">
        <v>4370000</v>
      </c>
    </row>
    <row r="790" spans="2:7" x14ac:dyDescent="0.35">
      <c r="B790" s="11"/>
      <c r="C790" s="11"/>
      <c r="D790" s="11" t="s">
        <v>37</v>
      </c>
      <c r="E790" s="11" t="s">
        <v>23</v>
      </c>
      <c r="F790" s="11" t="s">
        <v>465</v>
      </c>
      <c r="G790" s="23">
        <v>4748181.8181818184</v>
      </c>
    </row>
    <row r="791" spans="2:7" x14ac:dyDescent="0.35">
      <c r="B791" s="11"/>
      <c r="C791" s="11"/>
      <c r="D791" s="11"/>
      <c r="E791" s="11"/>
      <c r="F791" s="11" t="s">
        <v>20</v>
      </c>
      <c r="G791" s="23">
        <v>571000</v>
      </c>
    </row>
    <row r="792" spans="2:7" x14ac:dyDescent="0.35">
      <c r="B792" s="11"/>
      <c r="C792" s="11"/>
      <c r="D792" s="11"/>
      <c r="E792" s="11" t="s">
        <v>17</v>
      </c>
      <c r="F792" s="11" t="s">
        <v>465</v>
      </c>
      <c r="G792" s="23">
        <v>5732100</v>
      </c>
    </row>
    <row r="793" spans="2:7" x14ac:dyDescent="0.35">
      <c r="B793" s="11"/>
      <c r="C793" s="11"/>
      <c r="D793" s="11" t="s">
        <v>42</v>
      </c>
      <c r="E793" s="11" t="s">
        <v>23</v>
      </c>
      <c r="F793" s="11" t="s">
        <v>754</v>
      </c>
      <c r="G793" s="23">
        <v>346590.90909090912</v>
      </c>
    </row>
    <row r="794" spans="2:7" x14ac:dyDescent="0.35">
      <c r="B794" s="11"/>
      <c r="C794" s="11"/>
      <c r="D794" s="11"/>
      <c r="E794" s="11"/>
      <c r="F794" s="11" t="s">
        <v>160</v>
      </c>
      <c r="G794" s="23">
        <v>1874000</v>
      </c>
    </row>
    <row r="795" spans="2:7" x14ac:dyDescent="0.35">
      <c r="B795" s="11"/>
      <c r="C795" s="11"/>
      <c r="D795" s="11"/>
      <c r="E795" s="11"/>
      <c r="F795" s="11" t="s">
        <v>465</v>
      </c>
      <c r="G795" s="23">
        <v>4749300</v>
      </c>
    </row>
    <row r="796" spans="2:7" x14ac:dyDescent="0.35">
      <c r="B796" s="11"/>
      <c r="C796" s="11"/>
      <c r="D796" s="11"/>
      <c r="E796" s="11"/>
      <c r="F796" s="11" t="s">
        <v>20</v>
      </c>
      <c r="G796" s="23">
        <v>1212000</v>
      </c>
    </row>
    <row r="797" spans="2:7" x14ac:dyDescent="0.35">
      <c r="B797" s="11"/>
      <c r="C797" s="11"/>
      <c r="D797" s="11"/>
      <c r="E797" s="11"/>
      <c r="F797" s="11" t="s">
        <v>363</v>
      </c>
      <c r="G797" s="23">
        <v>2131750</v>
      </c>
    </row>
    <row r="798" spans="2:7" x14ac:dyDescent="0.35">
      <c r="B798" s="11"/>
      <c r="C798" s="11"/>
      <c r="D798" s="11"/>
      <c r="E798" s="11" t="s">
        <v>17</v>
      </c>
      <c r="F798" s="11" t="s">
        <v>754</v>
      </c>
      <c r="G798" s="23">
        <v>354000</v>
      </c>
    </row>
    <row r="799" spans="2:7" x14ac:dyDescent="0.35">
      <c r="B799" s="11"/>
      <c r="C799" s="11"/>
      <c r="D799" s="11"/>
      <c r="E799" s="11"/>
      <c r="F799" s="11" t="s">
        <v>20</v>
      </c>
      <c r="G799" s="23">
        <v>320450</v>
      </c>
    </row>
    <row r="800" spans="2:7" x14ac:dyDescent="0.35">
      <c r="B800" s="11"/>
      <c r="C800" s="11"/>
      <c r="D800" s="11"/>
      <c r="E800" s="11" t="s">
        <v>28</v>
      </c>
      <c r="F800" s="11" t="s">
        <v>160</v>
      </c>
      <c r="G800" s="23">
        <v>8087000</v>
      </c>
    </row>
    <row r="801" spans="2:7" x14ac:dyDescent="0.35">
      <c r="B801" s="11"/>
      <c r="C801" s="11" t="s">
        <v>2017</v>
      </c>
      <c r="D801" s="11" t="s">
        <v>26</v>
      </c>
      <c r="E801" s="11" t="s">
        <v>23</v>
      </c>
      <c r="F801" s="11" t="s">
        <v>754</v>
      </c>
      <c r="G801" s="23">
        <v>1124000</v>
      </c>
    </row>
    <row r="802" spans="2:7" x14ac:dyDescent="0.35">
      <c r="B802" s="11"/>
      <c r="C802" s="11"/>
      <c r="D802" s="11" t="s">
        <v>15</v>
      </c>
      <c r="E802" s="11" t="s">
        <v>23</v>
      </c>
      <c r="F802" s="11" t="s">
        <v>754</v>
      </c>
      <c r="G802" s="23">
        <v>631000</v>
      </c>
    </row>
    <row r="803" spans="2:7" x14ac:dyDescent="0.35">
      <c r="B803" s="11"/>
      <c r="C803" s="11"/>
      <c r="D803" s="11"/>
      <c r="E803" s="11"/>
      <c r="F803" s="11" t="s">
        <v>160</v>
      </c>
      <c r="G803" s="23">
        <v>14061000</v>
      </c>
    </row>
    <row r="804" spans="2:7" x14ac:dyDescent="0.35">
      <c r="B804" s="11"/>
      <c r="C804" s="11"/>
      <c r="D804" s="11"/>
      <c r="E804" s="11"/>
      <c r="F804" s="11" t="s">
        <v>465</v>
      </c>
      <c r="G804" s="23">
        <v>30124000</v>
      </c>
    </row>
    <row r="805" spans="2:7" x14ac:dyDescent="0.35">
      <c r="B805" s="11"/>
      <c r="C805" s="11"/>
      <c r="D805" s="11"/>
      <c r="E805" s="11"/>
      <c r="F805" s="11" t="s">
        <v>20</v>
      </c>
      <c r="G805" s="23">
        <v>920824.16666666663</v>
      </c>
    </row>
    <row r="806" spans="2:7" x14ac:dyDescent="0.35">
      <c r="B806" s="11"/>
      <c r="C806" s="11"/>
      <c r="D806" s="11"/>
      <c r="E806" s="11"/>
      <c r="F806" s="11" t="s">
        <v>363</v>
      </c>
      <c r="G806" s="23">
        <v>794000</v>
      </c>
    </row>
    <row r="807" spans="2:7" x14ac:dyDescent="0.35">
      <c r="B807" s="11"/>
      <c r="C807" s="11"/>
      <c r="D807" s="11"/>
      <c r="E807" s="11" t="s">
        <v>17</v>
      </c>
      <c r="F807" s="11" t="s">
        <v>754</v>
      </c>
      <c r="G807" s="23">
        <v>308200</v>
      </c>
    </row>
    <row r="808" spans="2:7" x14ac:dyDescent="0.35">
      <c r="B808" s="11"/>
      <c r="C808" s="11"/>
      <c r="D808" s="11"/>
      <c r="E808" s="11"/>
      <c r="F808" s="11" t="s">
        <v>465</v>
      </c>
      <c r="G808" s="23">
        <v>3531000</v>
      </c>
    </row>
    <row r="809" spans="2:7" x14ac:dyDescent="0.35">
      <c r="B809" s="11"/>
      <c r="C809" s="11"/>
      <c r="D809" s="11"/>
      <c r="E809" s="11"/>
      <c r="F809" s="11" t="s">
        <v>363</v>
      </c>
      <c r="G809" s="23">
        <v>459000</v>
      </c>
    </row>
    <row r="810" spans="2:7" x14ac:dyDescent="0.35">
      <c r="B810" s="11"/>
      <c r="C810" s="11"/>
      <c r="D810" s="11"/>
      <c r="E810" s="11" t="s">
        <v>28</v>
      </c>
      <c r="F810" s="11" t="s">
        <v>754</v>
      </c>
      <c r="G810" s="23">
        <v>225000</v>
      </c>
    </row>
    <row r="811" spans="2:7" x14ac:dyDescent="0.35">
      <c r="B811" s="11"/>
      <c r="C811" s="11"/>
      <c r="D811" s="11"/>
      <c r="E811" s="11"/>
      <c r="F811" s="11" t="s">
        <v>160</v>
      </c>
      <c r="G811" s="23">
        <v>1270150</v>
      </c>
    </row>
    <row r="812" spans="2:7" x14ac:dyDescent="0.35">
      <c r="B812" s="11"/>
      <c r="C812" s="11"/>
      <c r="D812" s="11"/>
      <c r="E812" s="11"/>
      <c r="F812" s="11" t="s">
        <v>465</v>
      </c>
      <c r="G812" s="23">
        <v>5258000</v>
      </c>
    </row>
    <row r="813" spans="2:7" x14ac:dyDescent="0.35">
      <c r="B813" s="11"/>
      <c r="C813" s="11"/>
      <c r="D813" s="11"/>
      <c r="E813" s="11"/>
      <c r="F813" s="11" t="s">
        <v>20</v>
      </c>
      <c r="G813" s="23">
        <v>805800</v>
      </c>
    </row>
    <row r="814" spans="2:7" x14ac:dyDescent="0.35">
      <c r="B814" s="11"/>
      <c r="C814" s="11"/>
      <c r="D814" s="11"/>
      <c r="E814" s="11"/>
      <c r="F814" s="11" t="s">
        <v>363</v>
      </c>
      <c r="G814" s="23">
        <v>4848000</v>
      </c>
    </row>
    <row r="815" spans="2:7" x14ac:dyDescent="0.35">
      <c r="B815" s="11"/>
      <c r="C815" s="11"/>
      <c r="D815" s="11"/>
      <c r="E815" s="11" t="s">
        <v>58</v>
      </c>
      <c r="F815" s="11" t="s">
        <v>160</v>
      </c>
      <c r="G815" s="23">
        <v>1844500</v>
      </c>
    </row>
    <row r="816" spans="2:7" x14ac:dyDescent="0.35">
      <c r="B816" s="11"/>
      <c r="C816" s="11"/>
      <c r="D816" s="11" t="s">
        <v>50</v>
      </c>
      <c r="E816" s="11" t="s">
        <v>23</v>
      </c>
      <c r="F816" s="11" t="s">
        <v>754</v>
      </c>
      <c r="G816" s="23">
        <v>86000</v>
      </c>
    </row>
    <row r="817" spans="2:7" x14ac:dyDescent="0.35">
      <c r="B817" s="11"/>
      <c r="C817" s="11"/>
      <c r="D817" s="11"/>
      <c r="E817" s="11"/>
      <c r="F817" s="11" t="s">
        <v>20</v>
      </c>
      <c r="G817" s="23">
        <v>910000</v>
      </c>
    </row>
    <row r="818" spans="2:7" x14ac:dyDescent="0.35">
      <c r="B818" s="11"/>
      <c r="C818" s="11"/>
      <c r="D818" s="11"/>
      <c r="E818" s="11"/>
      <c r="F818" s="11" t="s">
        <v>363</v>
      </c>
      <c r="G818" s="23">
        <v>410400</v>
      </c>
    </row>
    <row r="819" spans="2:7" x14ac:dyDescent="0.35">
      <c r="B819" s="11"/>
      <c r="C819" s="11"/>
      <c r="D819" s="11"/>
      <c r="E819" s="11" t="s">
        <v>17</v>
      </c>
      <c r="F819" s="11" t="s">
        <v>754</v>
      </c>
      <c r="G819" s="23">
        <v>134000</v>
      </c>
    </row>
    <row r="820" spans="2:7" x14ac:dyDescent="0.35">
      <c r="B820" s="11"/>
      <c r="C820" s="11"/>
      <c r="D820" s="11" t="s">
        <v>37</v>
      </c>
      <c r="E820" s="11" t="s">
        <v>23</v>
      </c>
      <c r="F820" s="11" t="s">
        <v>20</v>
      </c>
      <c r="G820" s="23">
        <v>390000</v>
      </c>
    </row>
    <row r="821" spans="2:7" x14ac:dyDescent="0.35">
      <c r="B821" s="11"/>
      <c r="C821" s="11"/>
      <c r="D821" s="11"/>
      <c r="E821" s="11"/>
      <c r="F821" s="11" t="s">
        <v>363</v>
      </c>
      <c r="G821" s="23">
        <v>456000</v>
      </c>
    </row>
    <row r="822" spans="2:7" x14ac:dyDescent="0.35">
      <c r="B822" s="11"/>
      <c r="C822" s="11"/>
      <c r="D822" s="11" t="s">
        <v>42</v>
      </c>
      <c r="E822" s="11" t="s">
        <v>23</v>
      </c>
      <c r="F822" s="11" t="s">
        <v>754</v>
      </c>
      <c r="G822" s="23">
        <v>500000</v>
      </c>
    </row>
    <row r="823" spans="2:7" x14ac:dyDescent="0.35">
      <c r="B823" s="11"/>
      <c r="C823" s="11"/>
      <c r="D823" s="11"/>
      <c r="E823" s="11"/>
      <c r="F823" s="11" t="s">
        <v>160</v>
      </c>
      <c r="G823" s="23">
        <v>13279200</v>
      </c>
    </row>
    <row r="824" spans="2:7" x14ac:dyDescent="0.35">
      <c r="B824" s="11"/>
      <c r="C824" s="11"/>
      <c r="D824" s="11"/>
      <c r="E824" s="11"/>
      <c r="F824" s="11" t="s">
        <v>20</v>
      </c>
      <c r="G824" s="23">
        <v>1114000</v>
      </c>
    </row>
    <row r="825" spans="2:7" x14ac:dyDescent="0.35">
      <c r="B825" s="11"/>
      <c r="C825" s="11"/>
      <c r="D825" s="11"/>
      <c r="E825" s="11" t="s">
        <v>17</v>
      </c>
      <c r="F825" s="11" t="s">
        <v>363</v>
      </c>
      <c r="G825" s="23">
        <v>682000</v>
      </c>
    </row>
    <row r="826" spans="2:7" x14ac:dyDescent="0.35">
      <c r="B826" s="11"/>
      <c r="C826" s="11"/>
      <c r="D826" s="11"/>
      <c r="E826" s="11" t="s">
        <v>28</v>
      </c>
      <c r="F826" s="11" t="s">
        <v>160</v>
      </c>
      <c r="G826" s="23">
        <v>1831000</v>
      </c>
    </row>
    <row r="827" spans="2:7" x14ac:dyDescent="0.35">
      <c r="B827" s="11"/>
      <c r="C827" s="11"/>
      <c r="D827" s="11"/>
      <c r="E827" s="11" t="s">
        <v>58</v>
      </c>
      <c r="F827" s="11" t="s">
        <v>363</v>
      </c>
      <c r="G827" s="23">
        <v>940100</v>
      </c>
    </row>
    <row r="828" spans="2:7" x14ac:dyDescent="0.35">
      <c r="B828" s="11"/>
      <c r="C828" s="11" t="s">
        <v>2018</v>
      </c>
      <c r="D828" s="11" t="s">
        <v>26</v>
      </c>
      <c r="E828" s="11" t="s">
        <v>23</v>
      </c>
      <c r="F828" s="11" t="s">
        <v>754</v>
      </c>
      <c r="G828" s="23">
        <v>178000</v>
      </c>
    </row>
    <row r="829" spans="2:7" x14ac:dyDescent="0.35">
      <c r="B829" s="11"/>
      <c r="C829" s="11"/>
      <c r="D829" s="11" t="s">
        <v>15</v>
      </c>
      <c r="E829" s="11" t="s">
        <v>23</v>
      </c>
      <c r="F829" s="11" t="s">
        <v>754</v>
      </c>
      <c r="G829" s="23">
        <v>200000</v>
      </c>
    </row>
    <row r="830" spans="2:7" x14ac:dyDescent="0.35">
      <c r="B830" s="11"/>
      <c r="C830" s="11"/>
      <c r="D830" s="11"/>
      <c r="E830" s="11"/>
      <c r="F830" s="11" t="s">
        <v>160</v>
      </c>
      <c r="G830" s="23">
        <v>9514000</v>
      </c>
    </row>
    <row r="831" spans="2:7" x14ac:dyDescent="0.35">
      <c r="B831" s="11"/>
      <c r="C831" s="11"/>
      <c r="D831" s="11"/>
      <c r="E831" s="11"/>
      <c r="F831" s="11" t="s">
        <v>465</v>
      </c>
      <c r="G831" s="23">
        <v>6253000</v>
      </c>
    </row>
    <row r="832" spans="2:7" x14ac:dyDescent="0.35">
      <c r="B832" s="11"/>
      <c r="C832" s="11"/>
      <c r="D832" s="11"/>
      <c r="E832" s="11"/>
      <c r="F832" s="11" t="s">
        <v>20</v>
      </c>
      <c r="G832" s="23">
        <v>2498800</v>
      </c>
    </row>
    <row r="833" spans="2:7" x14ac:dyDescent="0.35">
      <c r="B833" s="11"/>
      <c r="C833" s="11"/>
      <c r="D833" s="11"/>
      <c r="E833" s="11"/>
      <c r="F833" s="11" t="s">
        <v>363</v>
      </c>
      <c r="G833" s="23">
        <v>516600</v>
      </c>
    </row>
    <row r="834" spans="2:7" x14ac:dyDescent="0.35">
      <c r="B834" s="11"/>
      <c r="C834" s="11"/>
      <c r="D834" s="11"/>
      <c r="E834" s="11" t="s">
        <v>17</v>
      </c>
      <c r="F834" s="11" t="s">
        <v>754</v>
      </c>
      <c r="G834" s="23">
        <v>418950</v>
      </c>
    </row>
    <row r="835" spans="2:7" x14ac:dyDescent="0.35">
      <c r="B835" s="11"/>
      <c r="C835" s="11"/>
      <c r="D835" s="11"/>
      <c r="E835" s="11"/>
      <c r="F835" s="11" t="s">
        <v>20</v>
      </c>
      <c r="G835" s="23">
        <v>1058000</v>
      </c>
    </row>
    <row r="836" spans="2:7" x14ac:dyDescent="0.35">
      <c r="B836" s="11"/>
      <c r="C836" s="11"/>
      <c r="D836" s="11"/>
      <c r="E836" s="11"/>
      <c r="F836" s="11" t="s">
        <v>363</v>
      </c>
      <c r="G836" s="23">
        <v>633000</v>
      </c>
    </row>
    <row r="837" spans="2:7" x14ac:dyDescent="0.35">
      <c r="B837" s="11"/>
      <c r="C837" s="11"/>
      <c r="D837" s="11"/>
      <c r="E837" s="11" t="s">
        <v>28</v>
      </c>
      <c r="F837" s="11" t="s">
        <v>754</v>
      </c>
      <c r="G837" s="23">
        <v>313000</v>
      </c>
    </row>
    <row r="838" spans="2:7" x14ac:dyDescent="0.35">
      <c r="B838" s="11"/>
      <c r="C838" s="11"/>
      <c r="D838" s="11"/>
      <c r="E838" s="11"/>
      <c r="F838" s="11" t="s">
        <v>160</v>
      </c>
      <c r="G838" s="23">
        <v>3151000</v>
      </c>
    </row>
    <row r="839" spans="2:7" x14ac:dyDescent="0.35">
      <c r="B839" s="11"/>
      <c r="C839" s="11"/>
      <c r="D839" s="11"/>
      <c r="E839" s="11"/>
      <c r="F839" s="11" t="s">
        <v>465</v>
      </c>
      <c r="G839" s="23">
        <v>7542800</v>
      </c>
    </row>
    <row r="840" spans="2:7" x14ac:dyDescent="0.35">
      <c r="B840" s="11"/>
      <c r="C840" s="11"/>
      <c r="D840" s="11" t="s">
        <v>50</v>
      </c>
      <c r="E840" s="11" t="s">
        <v>23</v>
      </c>
      <c r="F840" s="11" t="s">
        <v>754</v>
      </c>
      <c r="G840" s="23">
        <v>83000</v>
      </c>
    </row>
    <row r="841" spans="2:7" x14ac:dyDescent="0.35">
      <c r="B841" s="11"/>
      <c r="C841" s="11"/>
      <c r="D841" s="11"/>
      <c r="E841" s="11"/>
      <c r="F841" s="11" t="s">
        <v>160</v>
      </c>
      <c r="G841" s="23">
        <v>1491000</v>
      </c>
    </row>
    <row r="842" spans="2:7" x14ac:dyDescent="0.35">
      <c r="B842" s="11"/>
      <c r="C842" s="11"/>
      <c r="D842" s="11"/>
      <c r="E842" s="11"/>
      <c r="F842" s="11" t="s">
        <v>20</v>
      </c>
      <c r="G842" s="23">
        <v>1525000</v>
      </c>
    </row>
    <row r="843" spans="2:7" x14ac:dyDescent="0.35">
      <c r="B843" s="11"/>
      <c r="C843" s="11"/>
      <c r="D843" s="11"/>
      <c r="E843" s="11"/>
      <c r="F843" s="11" t="s">
        <v>363</v>
      </c>
      <c r="G843" s="23">
        <v>373000</v>
      </c>
    </row>
    <row r="844" spans="2:7" x14ac:dyDescent="0.35">
      <c r="B844" s="11"/>
      <c r="C844" s="11"/>
      <c r="D844" s="11"/>
      <c r="E844" s="11" t="s">
        <v>17</v>
      </c>
      <c r="F844" s="11" t="s">
        <v>20</v>
      </c>
      <c r="G844" s="23">
        <v>3885000</v>
      </c>
    </row>
    <row r="845" spans="2:7" x14ac:dyDescent="0.35">
      <c r="B845" s="11"/>
      <c r="C845" s="11"/>
      <c r="D845" s="11"/>
      <c r="E845" s="11"/>
      <c r="F845" s="11" t="s">
        <v>363</v>
      </c>
      <c r="G845" s="23">
        <v>210000</v>
      </c>
    </row>
    <row r="846" spans="2:7" x14ac:dyDescent="0.35">
      <c r="B846" s="11"/>
      <c r="C846" s="11"/>
      <c r="D846" s="11"/>
      <c r="E846" s="11" t="s">
        <v>58</v>
      </c>
      <c r="F846" s="11" t="s">
        <v>465</v>
      </c>
      <c r="G846" s="23">
        <v>3382000</v>
      </c>
    </row>
    <row r="847" spans="2:7" x14ac:dyDescent="0.35">
      <c r="B847" s="11"/>
      <c r="C847" s="11"/>
      <c r="D847" s="11" t="s">
        <v>37</v>
      </c>
      <c r="E847" s="11" t="s">
        <v>23</v>
      </c>
      <c r="F847" s="11" t="s">
        <v>160</v>
      </c>
      <c r="G847" s="23">
        <v>1563000</v>
      </c>
    </row>
    <row r="848" spans="2:7" x14ac:dyDescent="0.35">
      <c r="B848" s="11"/>
      <c r="C848" s="11"/>
      <c r="D848" s="11"/>
      <c r="E848" s="11"/>
      <c r="F848" s="11" t="s">
        <v>20</v>
      </c>
      <c r="G848" s="23">
        <v>1848200</v>
      </c>
    </row>
    <row r="849" spans="2:7" x14ac:dyDescent="0.35">
      <c r="B849" s="11"/>
      <c r="C849" s="11"/>
      <c r="D849" s="11"/>
      <c r="E849" s="11"/>
      <c r="F849" s="11" t="s">
        <v>363</v>
      </c>
      <c r="G849" s="23">
        <v>452000</v>
      </c>
    </row>
    <row r="850" spans="2:7" x14ac:dyDescent="0.35">
      <c r="B850" s="11"/>
      <c r="C850" s="11"/>
      <c r="D850" s="11"/>
      <c r="E850" s="11" t="s">
        <v>28</v>
      </c>
      <c r="F850" s="11" t="s">
        <v>465</v>
      </c>
      <c r="G850" s="23">
        <v>4155300</v>
      </c>
    </row>
    <row r="851" spans="2:7" x14ac:dyDescent="0.35">
      <c r="B851" s="11"/>
      <c r="C851" s="11"/>
      <c r="D851" s="11"/>
      <c r="E851" s="11" t="s">
        <v>58</v>
      </c>
      <c r="F851" s="11" t="s">
        <v>20</v>
      </c>
      <c r="G851" s="23">
        <v>1795200</v>
      </c>
    </row>
    <row r="852" spans="2:7" x14ac:dyDescent="0.35">
      <c r="B852" s="11"/>
      <c r="C852" s="11"/>
      <c r="D852" s="11" t="s">
        <v>42</v>
      </c>
      <c r="E852" s="11" t="s">
        <v>23</v>
      </c>
      <c r="F852" s="11" t="s">
        <v>160</v>
      </c>
      <c r="G852" s="23">
        <v>6039000</v>
      </c>
    </row>
    <row r="853" spans="2:7" x14ac:dyDescent="0.35">
      <c r="B853" s="11"/>
      <c r="C853" s="11"/>
      <c r="D853" s="11"/>
      <c r="E853" s="11"/>
      <c r="F853" s="11" t="s">
        <v>465</v>
      </c>
      <c r="G853" s="23">
        <v>6638560.15625</v>
      </c>
    </row>
    <row r="854" spans="2:7" x14ac:dyDescent="0.35">
      <c r="B854" s="11"/>
      <c r="C854" s="11"/>
      <c r="D854" s="11"/>
      <c r="E854" s="11"/>
      <c r="F854" s="11" t="s">
        <v>20</v>
      </c>
      <c r="G854" s="23">
        <v>6074426.2295081969</v>
      </c>
    </row>
    <row r="855" spans="2:7" x14ac:dyDescent="0.35">
      <c r="B855" s="11"/>
      <c r="C855" s="11"/>
      <c r="D855" s="11"/>
      <c r="E855" s="11"/>
      <c r="F855" s="11" t="s">
        <v>363</v>
      </c>
      <c r="G855" s="23">
        <v>955000</v>
      </c>
    </row>
    <row r="856" spans="2:7" x14ac:dyDescent="0.35">
      <c r="B856" s="11"/>
      <c r="C856" s="11"/>
      <c r="D856" s="11"/>
      <c r="E856" s="11" t="s">
        <v>17</v>
      </c>
      <c r="F856" s="11" t="s">
        <v>160</v>
      </c>
      <c r="G856" s="23">
        <v>5893000</v>
      </c>
    </row>
    <row r="857" spans="2:7" x14ac:dyDescent="0.35">
      <c r="B857" s="11"/>
      <c r="C857" s="11"/>
      <c r="D857" s="11"/>
      <c r="E857" s="11"/>
      <c r="F857" s="11" t="s">
        <v>363</v>
      </c>
      <c r="G857" s="23">
        <v>547333.33333333337</v>
      </c>
    </row>
    <row r="858" spans="2:7" x14ac:dyDescent="0.35">
      <c r="B858" s="11"/>
      <c r="C858" s="11"/>
      <c r="D858" s="11"/>
      <c r="E858" s="11" t="s">
        <v>58</v>
      </c>
      <c r="F858" s="11" t="s">
        <v>20</v>
      </c>
      <c r="G858" s="23">
        <v>1530000</v>
      </c>
    </row>
    <row r="859" spans="2:7" x14ac:dyDescent="0.35">
      <c r="B859" s="11"/>
      <c r="C859" s="11" t="s">
        <v>2019</v>
      </c>
      <c r="D859" s="11" t="s">
        <v>26</v>
      </c>
      <c r="E859" s="11" t="s">
        <v>23</v>
      </c>
      <c r="F859" s="11" t="s">
        <v>363</v>
      </c>
      <c r="G859" s="23">
        <v>7394000</v>
      </c>
    </row>
    <row r="860" spans="2:7" x14ac:dyDescent="0.35">
      <c r="B860" s="11"/>
      <c r="C860" s="11"/>
      <c r="D860" s="11"/>
      <c r="E860" s="11" t="s">
        <v>17</v>
      </c>
      <c r="F860" s="11" t="s">
        <v>754</v>
      </c>
      <c r="G860" s="23">
        <v>945250</v>
      </c>
    </row>
    <row r="861" spans="2:7" x14ac:dyDescent="0.35">
      <c r="B861" s="11"/>
      <c r="C861" s="11"/>
      <c r="D861" s="11" t="s">
        <v>15</v>
      </c>
      <c r="E861" s="11" t="s">
        <v>23</v>
      </c>
      <c r="F861" s="11" t="s">
        <v>754</v>
      </c>
      <c r="G861" s="23">
        <v>1266000</v>
      </c>
    </row>
    <row r="862" spans="2:7" x14ac:dyDescent="0.35">
      <c r="B862" s="11"/>
      <c r="C862" s="11"/>
      <c r="D862" s="11"/>
      <c r="E862" s="11"/>
      <c r="F862" s="11" t="s">
        <v>160</v>
      </c>
      <c r="G862" s="23">
        <v>11730200</v>
      </c>
    </row>
    <row r="863" spans="2:7" x14ac:dyDescent="0.35">
      <c r="B863" s="11"/>
      <c r="C863" s="11"/>
      <c r="D863" s="11"/>
      <c r="E863" s="11"/>
      <c r="F863" s="11" t="s">
        <v>465</v>
      </c>
      <c r="G863" s="23">
        <v>6210000</v>
      </c>
    </row>
    <row r="864" spans="2:7" x14ac:dyDescent="0.35">
      <c r="B864" s="11"/>
      <c r="C864" s="11"/>
      <c r="D864" s="11"/>
      <c r="E864" s="11"/>
      <c r="F864" s="11" t="s">
        <v>20</v>
      </c>
      <c r="G864" s="23">
        <v>4979000</v>
      </c>
    </row>
    <row r="865" spans="2:7" x14ac:dyDescent="0.35">
      <c r="B865" s="11"/>
      <c r="C865" s="11"/>
      <c r="D865" s="11"/>
      <c r="E865" s="11"/>
      <c r="F865" s="11" t="s">
        <v>363</v>
      </c>
      <c r="G865" s="23">
        <v>2264000</v>
      </c>
    </row>
    <row r="866" spans="2:7" x14ac:dyDescent="0.35">
      <c r="B866" s="11"/>
      <c r="C866" s="11"/>
      <c r="D866" s="11"/>
      <c r="E866" s="11" t="s">
        <v>17</v>
      </c>
      <c r="F866" s="11" t="s">
        <v>160</v>
      </c>
      <c r="G866" s="23">
        <v>4065000</v>
      </c>
    </row>
    <row r="867" spans="2:7" x14ac:dyDescent="0.35">
      <c r="B867" s="11"/>
      <c r="C867" s="11"/>
      <c r="D867" s="11"/>
      <c r="E867" s="11"/>
      <c r="F867" s="11" t="s">
        <v>465</v>
      </c>
      <c r="G867" s="23">
        <v>2922350</v>
      </c>
    </row>
    <row r="868" spans="2:7" x14ac:dyDescent="0.35">
      <c r="B868" s="11"/>
      <c r="C868" s="11"/>
      <c r="D868" s="11"/>
      <c r="E868" s="11"/>
      <c r="F868" s="11" t="s">
        <v>20</v>
      </c>
      <c r="G868" s="23">
        <v>5976000</v>
      </c>
    </row>
    <row r="869" spans="2:7" x14ac:dyDescent="0.35">
      <c r="B869" s="11"/>
      <c r="C869" s="11"/>
      <c r="D869" s="11"/>
      <c r="E869" s="11"/>
      <c r="F869" s="11" t="s">
        <v>363</v>
      </c>
      <c r="G869" s="23">
        <v>3214000</v>
      </c>
    </row>
    <row r="870" spans="2:7" x14ac:dyDescent="0.35">
      <c r="B870" s="11"/>
      <c r="C870" s="11"/>
      <c r="D870" s="11"/>
      <c r="E870" s="11" t="s">
        <v>28</v>
      </c>
      <c r="F870" s="11" t="s">
        <v>754</v>
      </c>
      <c r="G870" s="23">
        <v>1204000</v>
      </c>
    </row>
    <row r="871" spans="2:7" x14ac:dyDescent="0.35">
      <c r="B871" s="11"/>
      <c r="C871" s="11"/>
      <c r="D871" s="11"/>
      <c r="E871" s="11"/>
      <c r="F871" s="11" t="s">
        <v>20</v>
      </c>
      <c r="G871" s="23">
        <v>894000</v>
      </c>
    </row>
    <row r="872" spans="2:7" x14ac:dyDescent="0.35">
      <c r="B872" s="11"/>
      <c r="C872" s="11"/>
      <c r="D872" s="11"/>
      <c r="E872" s="11"/>
      <c r="F872" s="11" t="s">
        <v>363</v>
      </c>
      <c r="G872" s="23">
        <v>533000</v>
      </c>
    </row>
    <row r="873" spans="2:7" x14ac:dyDescent="0.35">
      <c r="B873" s="11"/>
      <c r="C873" s="11"/>
      <c r="D873" s="11" t="s">
        <v>50</v>
      </c>
      <c r="E873" s="11" t="s">
        <v>23</v>
      </c>
      <c r="F873" s="11" t="s">
        <v>754</v>
      </c>
      <c r="G873" s="23">
        <v>169150</v>
      </c>
    </row>
    <row r="874" spans="2:7" x14ac:dyDescent="0.35">
      <c r="B874" s="11"/>
      <c r="C874" s="11"/>
      <c r="D874" s="11"/>
      <c r="E874" s="11"/>
      <c r="F874" s="11" t="s">
        <v>160</v>
      </c>
      <c r="G874" s="23">
        <v>3012000</v>
      </c>
    </row>
    <row r="875" spans="2:7" x14ac:dyDescent="0.35">
      <c r="B875" s="11"/>
      <c r="C875" s="11"/>
      <c r="D875" s="11"/>
      <c r="E875" s="11"/>
      <c r="F875" s="11" t="s">
        <v>363</v>
      </c>
      <c r="G875" s="23">
        <v>274550</v>
      </c>
    </row>
    <row r="876" spans="2:7" x14ac:dyDescent="0.35">
      <c r="B876" s="11"/>
      <c r="C876" s="11"/>
      <c r="D876" s="11"/>
      <c r="E876" s="11" t="s">
        <v>17</v>
      </c>
      <c r="F876" s="11" t="s">
        <v>160</v>
      </c>
      <c r="G876" s="23">
        <v>3080000</v>
      </c>
    </row>
    <row r="877" spans="2:7" x14ac:dyDescent="0.35">
      <c r="B877" s="11"/>
      <c r="C877" s="11"/>
      <c r="D877" s="11"/>
      <c r="E877" s="11"/>
      <c r="F877" s="11" t="s">
        <v>465</v>
      </c>
      <c r="G877" s="23">
        <v>6622000</v>
      </c>
    </row>
    <row r="878" spans="2:7" x14ac:dyDescent="0.35">
      <c r="B878" s="11"/>
      <c r="C878" s="11"/>
      <c r="D878" s="11"/>
      <c r="E878" s="11" t="s">
        <v>28</v>
      </c>
      <c r="F878" s="11" t="s">
        <v>160</v>
      </c>
      <c r="G878" s="23">
        <v>5477000</v>
      </c>
    </row>
    <row r="879" spans="2:7" x14ac:dyDescent="0.35">
      <c r="B879" s="11"/>
      <c r="C879" s="11"/>
      <c r="D879" s="11"/>
      <c r="E879" s="11"/>
      <c r="F879" s="11" t="s">
        <v>465</v>
      </c>
      <c r="G879" s="23">
        <v>5405000</v>
      </c>
    </row>
    <row r="880" spans="2:7" x14ac:dyDescent="0.35">
      <c r="B880" s="11"/>
      <c r="C880" s="11"/>
      <c r="D880" s="11"/>
      <c r="E880" s="11"/>
      <c r="F880" s="11" t="s">
        <v>20</v>
      </c>
      <c r="G880" s="23">
        <v>1451000</v>
      </c>
    </row>
    <row r="881" spans="2:7" x14ac:dyDescent="0.35">
      <c r="B881" s="11"/>
      <c r="C881" s="11"/>
      <c r="D881" s="11" t="s">
        <v>37</v>
      </c>
      <c r="E881" s="11" t="s">
        <v>23</v>
      </c>
      <c r="F881" s="11" t="s">
        <v>20</v>
      </c>
      <c r="G881" s="23">
        <v>621000</v>
      </c>
    </row>
    <row r="882" spans="2:7" x14ac:dyDescent="0.35">
      <c r="B882" s="11"/>
      <c r="C882" s="11"/>
      <c r="D882" s="11"/>
      <c r="E882" s="11" t="s">
        <v>17</v>
      </c>
      <c r="F882" s="11" t="s">
        <v>465</v>
      </c>
      <c r="G882" s="23">
        <v>7372800</v>
      </c>
    </row>
    <row r="883" spans="2:7" x14ac:dyDescent="0.35">
      <c r="B883" s="11"/>
      <c r="C883" s="11"/>
      <c r="D883" s="11"/>
      <c r="E883" s="11" t="s">
        <v>28</v>
      </c>
      <c r="F883" s="11" t="s">
        <v>754</v>
      </c>
      <c r="G883" s="23">
        <v>501300</v>
      </c>
    </row>
    <row r="884" spans="2:7" x14ac:dyDescent="0.35">
      <c r="B884" s="11"/>
      <c r="C884" s="11"/>
      <c r="D884" s="11"/>
      <c r="E884" s="11" t="s">
        <v>58</v>
      </c>
      <c r="F884" s="11" t="s">
        <v>754</v>
      </c>
      <c r="G884" s="23">
        <v>107000</v>
      </c>
    </row>
    <row r="885" spans="2:7" x14ac:dyDescent="0.35">
      <c r="B885" s="11"/>
      <c r="C885" s="11"/>
      <c r="D885" s="11" t="s">
        <v>42</v>
      </c>
      <c r="E885" s="11" t="s">
        <v>23</v>
      </c>
      <c r="F885" s="11" t="s">
        <v>754</v>
      </c>
      <c r="G885" s="23">
        <v>198000</v>
      </c>
    </row>
    <row r="886" spans="2:7" x14ac:dyDescent="0.35">
      <c r="B886" s="11"/>
      <c r="C886" s="11"/>
      <c r="D886" s="11"/>
      <c r="E886" s="11"/>
      <c r="F886" s="11" t="s">
        <v>465</v>
      </c>
      <c r="G886" s="23">
        <v>17286000</v>
      </c>
    </row>
    <row r="887" spans="2:7" x14ac:dyDescent="0.35">
      <c r="B887" s="11"/>
      <c r="C887" s="11"/>
      <c r="D887" s="11"/>
      <c r="E887" s="11" t="s">
        <v>17</v>
      </c>
      <c r="F887" s="11" t="s">
        <v>160</v>
      </c>
      <c r="G887" s="23">
        <v>1241600</v>
      </c>
    </row>
    <row r="888" spans="2:7" x14ac:dyDescent="0.35">
      <c r="B888" s="11"/>
      <c r="C888" s="11"/>
      <c r="D888" s="11"/>
      <c r="E888" s="11"/>
      <c r="F888" s="11" t="s">
        <v>20</v>
      </c>
      <c r="G888" s="23">
        <v>1376000</v>
      </c>
    </row>
    <row r="889" spans="2:7" x14ac:dyDescent="0.35">
      <c r="B889" s="11"/>
      <c r="C889" s="11"/>
      <c r="D889" s="11"/>
      <c r="E889" s="11" t="s">
        <v>28</v>
      </c>
      <c r="F889" s="11" t="s">
        <v>363</v>
      </c>
      <c r="G889" s="23">
        <v>179000</v>
      </c>
    </row>
    <row r="890" spans="2:7" x14ac:dyDescent="0.35">
      <c r="B890" s="11"/>
      <c r="C890" s="11" t="s">
        <v>2020</v>
      </c>
      <c r="D890" s="11" t="s">
        <v>26</v>
      </c>
      <c r="E890" s="11" t="s">
        <v>23</v>
      </c>
      <c r="F890" s="11" t="s">
        <v>160</v>
      </c>
      <c r="G890" s="23">
        <v>3946000</v>
      </c>
    </row>
    <row r="891" spans="2:7" x14ac:dyDescent="0.35">
      <c r="B891" s="11"/>
      <c r="C891" s="11"/>
      <c r="D891" s="11"/>
      <c r="E891" s="11"/>
      <c r="F891" s="11" t="s">
        <v>20</v>
      </c>
      <c r="G891" s="23">
        <v>2760000</v>
      </c>
    </row>
    <row r="892" spans="2:7" x14ac:dyDescent="0.35">
      <c r="B892" s="11"/>
      <c r="C892" s="11"/>
      <c r="D892" s="11" t="s">
        <v>15</v>
      </c>
      <c r="E892" s="11" t="s">
        <v>23</v>
      </c>
      <c r="F892" s="11" t="s">
        <v>754</v>
      </c>
      <c r="G892" s="23">
        <v>165000</v>
      </c>
    </row>
    <row r="893" spans="2:7" x14ac:dyDescent="0.35">
      <c r="B893" s="11"/>
      <c r="C893" s="11"/>
      <c r="D893" s="11"/>
      <c r="E893" s="11"/>
      <c r="F893" s="11" t="s">
        <v>160</v>
      </c>
      <c r="G893" s="23">
        <v>2737000</v>
      </c>
    </row>
    <row r="894" spans="2:7" x14ac:dyDescent="0.35">
      <c r="B894" s="11"/>
      <c r="C894" s="11"/>
      <c r="D894" s="11"/>
      <c r="E894" s="11"/>
      <c r="F894" s="11" t="s">
        <v>465</v>
      </c>
      <c r="G894" s="23">
        <v>8136000</v>
      </c>
    </row>
    <row r="895" spans="2:7" x14ac:dyDescent="0.35">
      <c r="B895" s="11"/>
      <c r="C895" s="11"/>
      <c r="D895" s="11"/>
      <c r="E895" s="11" t="s">
        <v>17</v>
      </c>
      <c r="F895" s="11" t="s">
        <v>754</v>
      </c>
      <c r="G895" s="23">
        <v>376700</v>
      </c>
    </row>
    <row r="896" spans="2:7" x14ac:dyDescent="0.35">
      <c r="B896" s="11"/>
      <c r="C896" s="11"/>
      <c r="D896" s="11"/>
      <c r="E896" s="11"/>
      <c r="F896" s="11" t="s">
        <v>160</v>
      </c>
      <c r="G896" s="23">
        <v>9307000</v>
      </c>
    </row>
    <row r="897" spans="2:7" x14ac:dyDescent="0.35">
      <c r="B897" s="11"/>
      <c r="C897" s="11"/>
      <c r="D897" s="11"/>
      <c r="E897" s="11"/>
      <c r="F897" s="11" t="s">
        <v>20</v>
      </c>
      <c r="G897" s="23">
        <v>808000</v>
      </c>
    </row>
    <row r="898" spans="2:7" x14ac:dyDescent="0.35">
      <c r="B898" s="11"/>
      <c r="C898" s="11"/>
      <c r="D898" s="11"/>
      <c r="E898" s="11" t="s">
        <v>28</v>
      </c>
      <c r="F898" s="11" t="s">
        <v>363</v>
      </c>
      <c r="G898" s="23">
        <v>478900</v>
      </c>
    </row>
    <row r="899" spans="2:7" x14ac:dyDescent="0.35">
      <c r="B899" s="11"/>
      <c r="C899" s="11"/>
      <c r="D899" s="11" t="s">
        <v>50</v>
      </c>
      <c r="E899" s="11" t="s">
        <v>23</v>
      </c>
      <c r="F899" s="11" t="s">
        <v>754</v>
      </c>
      <c r="G899" s="23">
        <v>433000</v>
      </c>
    </row>
    <row r="900" spans="2:7" x14ac:dyDescent="0.35">
      <c r="B900" s="11"/>
      <c r="C900" s="11"/>
      <c r="D900" s="11"/>
      <c r="E900" s="11"/>
      <c r="F900" s="11" t="s">
        <v>465</v>
      </c>
      <c r="G900" s="23">
        <v>8454000</v>
      </c>
    </row>
    <row r="901" spans="2:7" x14ac:dyDescent="0.35">
      <c r="B901" s="11"/>
      <c r="C901" s="11"/>
      <c r="D901" s="11"/>
      <c r="E901" s="11"/>
      <c r="F901" s="11" t="s">
        <v>20</v>
      </c>
      <c r="G901" s="23">
        <v>912000</v>
      </c>
    </row>
    <row r="902" spans="2:7" x14ac:dyDescent="0.35">
      <c r="B902" s="11"/>
      <c r="C902" s="11"/>
      <c r="D902" s="11"/>
      <c r="E902" s="11" t="s">
        <v>17</v>
      </c>
      <c r="F902" s="11" t="s">
        <v>160</v>
      </c>
      <c r="G902" s="23">
        <v>2589100</v>
      </c>
    </row>
    <row r="903" spans="2:7" x14ac:dyDescent="0.35">
      <c r="B903" s="11"/>
      <c r="C903" s="11"/>
      <c r="D903" s="11"/>
      <c r="E903" s="11"/>
      <c r="F903" s="11" t="s">
        <v>20</v>
      </c>
      <c r="G903" s="23">
        <v>351000</v>
      </c>
    </row>
    <row r="904" spans="2:7" x14ac:dyDescent="0.35">
      <c r="B904" s="11"/>
      <c r="C904" s="11"/>
      <c r="D904" s="11"/>
      <c r="E904" s="11" t="s">
        <v>28</v>
      </c>
      <c r="F904" s="11" t="s">
        <v>754</v>
      </c>
      <c r="G904" s="23">
        <v>666900</v>
      </c>
    </row>
    <row r="905" spans="2:7" x14ac:dyDescent="0.35">
      <c r="B905" s="11"/>
      <c r="C905" s="11"/>
      <c r="D905" s="11"/>
      <c r="E905" s="11" t="s">
        <v>58</v>
      </c>
      <c r="F905" s="11" t="s">
        <v>363</v>
      </c>
      <c r="G905" s="23">
        <v>369000</v>
      </c>
    </row>
    <row r="906" spans="2:7" x14ac:dyDescent="0.35">
      <c r="B906" s="11"/>
      <c r="C906" s="11"/>
      <c r="D906" s="11" t="s">
        <v>37</v>
      </c>
      <c r="E906" s="11" t="s">
        <v>23</v>
      </c>
      <c r="F906" s="11" t="s">
        <v>754</v>
      </c>
      <c r="G906" s="23">
        <v>114000</v>
      </c>
    </row>
    <row r="907" spans="2:7" x14ac:dyDescent="0.35">
      <c r="B907" s="11"/>
      <c r="C907" s="11"/>
      <c r="D907" s="11"/>
      <c r="E907" s="11"/>
      <c r="F907" s="11" t="s">
        <v>160</v>
      </c>
      <c r="G907" s="23">
        <v>4222000</v>
      </c>
    </row>
    <row r="908" spans="2:7" x14ac:dyDescent="0.35">
      <c r="B908" s="11"/>
      <c r="C908" s="11"/>
      <c r="D908" s="11"/>
      <c r="E908" s="11" t="s">
        <v>17</v>
      </c>
      <c r="F908" s="11" t="s">
        <v>754</v>
      </c>
      <c r="G908" s="23">
        <v>653000</v>
      </c>
    </row>
    <row r="909" spans="2:7" x14ac:dyDescent="0.35">
      <c r="B909" s="11"/>
      <c r="C909" s="11"/>
      <c r="D909" s="11"/>
      <c r="E909" s="11"/>
      <c r="F909" s="11" t="s">
        <v>160</v>
      </c>
      <c r="G909" s="23">
        <v>2473000</v>
      </c>
    </row>
    <row r="910" spans="2:7" x14ac:dyDescent="0.35">
      <c r="B910" s="11"/>
      <c r="C910" s="11"/>
      <c r="D910" s="11"/>
      <c r="E910" s="11"/>
      <c r="F910" s="11" t="s">
        <v>20</v>
      </c>
      <c r="G910" s="23">
        <v>1714000</v>
      </c>
    </row>
    <row r="911" spans="2:7" x14ac:dyDescent="0.35">
      <c r="B911" s="11"/>
      <c r="C911" s="11"/>
      <c r="D911" s="11" t="s">
        <v>42</v>
      </c>
      <c r="E911" s="11" t="s">
        <v>23</v>
      </c>
      <c r="F911" s="11" t="s">
        <v>160</v>
      </c>
      <c r="G911" s="23">
        <v>1465000</v>
      </c>
    </row>
    <row r="912" spans="2:7" x14ac:dyDescent="0.35">
      <c r="B912" s="11"/>
      <c r="C912" s="11"/>
      <c r="D912" s="11"/>
      <c r="E912" s="11"/>
      <c r="F912" s="11" t="s">
        <v>20</v>
      </c>
      <c r="G912" s="23">
        <v>647700</v>
      </c>
    </row>
    <row r="913" spans="2:7" x14ac:dyDescent="0.35">
      <c r="B913" s="11"/>
      <c r="C913" s="11"/>
      <c r="D913" s="11"/>
      <c r="E913" s="11"/>
      <c r="F913" s="11" t="s">
        <v>363</v>
      </c>
      <c r="G913" s="23">
        <v>5285000</v>
      </c>
    </row>
    <row r="914" spans="2:7" x14ac:dyDescent="0.35">
      <c r="B914" s="11"/>
      <c r="C914" s="11"/>
      <c r="D914" s="11"/>
      <c r="E914" s="11" t="s">
        <v>17</v>
      </c>
      <c r="F914" s="11" t="s">
        <v>363</v>
      </c>
      <c r="G914" s="23">
        <v>118000</v>
      </c>
    </row>
    <row r="915" spans="2:7" x14ac:dyDescent="0.35">
      <c r="B915" s="11"/>
      <c r="C915" s="11" t="s">
        <v>2021</v>
      </c>
      <c r="D915" s="11" t="s">
        <v>26</v>
      </c>
      <c r="E915" s="11" t="s">
        <v>28</v>
      </c>
      <c r="F915" s="11" t="s">
        <v>20</v>
      </c>
      <c r="G915" s="23">
        <v>990000</v>
      </c>
    </row>
    <row r="916" spans="2:7" x14ac:dyDescent="0.35">
      <c r="B916" s="11"/>
      <c r="C916" s="11"/>
      <c r="D916" s="11"/>
      <c r="E916" s="11"/>
      <c r="F916" s="11" t="s">
        <v>363</v>
      </c>
      <c r="G916" s="23">
        <v>910000</v>
      </c>
    </row>
    <row r="917" spans="2:7" x14ac:dyDescent="0.35">
      <c r="B917" s="11"/>
      <c r="C917" s="11"/>
      <c r="D917" s="11"/>
      <c r="E917" s="11" t="s">
        <v>58</v>
      </c>
      <c r="F917" s="11" t="s">
        <v>363</v>
      </c>
      <c r="G917" s="23">
        <v>10329000</v>
      </c>
    </row>
    <row r="918" spans="2:7" x14ac:dyDescent="0.35">
      <c r="B918" s="11"/>
      <c r="C918" s="11"/>
      <c r="D918" s="11" t="s">
        <v>15</v>
      </c>
      <c r="E918" s="11" t="s">
        <v>23</v>
      </c>
      <c r="F918" s="11" t="s">
        <v>754</v>
      </c>
      <c r="G918" s="23">
        <v>730300</v>
      </c>
    </row>
    <row r="919" spans="2:7" x14ac:dyDescent="0.35">
      <c r="B919" s="11"/>
      <c r="C919" s="11"/>
      <c r="D919" s="11"/>
      <c r="E919" s="11"/>
      <c r="F919" s="11" t="s">
        <v>20</v>
      </c>
      <c r="G919" s="23">
        <v>1975000</v>
      </c>
    </row>
    <row r="920" spans="2:7" x14ac:dyDescent="0.35">
      <c r="B920" s="11"/>
      <c r="C920" s="11"/>
      <c r="D920" s="11"/>
      <c r="E920" s="11" t="s">
        <v>17</v>
      </c>
      <c r="F920" s="11" t="s">
        <v>754</v>
      </c>
      <c r="G920" s="23">
        <v>153000</v>
      </c>
    </row>
    <row r="921" spans="2:7" x14ac:dyDescent="0.35">
      <c r="B921" s="11"/>
      <c r="C921" s="11"/>
      <c r="D921" s="11"/>
      <c r="E921" s="11"/>
      <c r="F921" s="11" t="s">
        <v>160</v>
      </c>
      <c r="G921" s="23">
        <v>5686000</v>
      </c>
    </row>
    <row r="922" spans="2:7" x14ac:dyDescent="0.35">
      <c r="B922" s="11"/>
      <c r="C922" s="11"/>
      <c r="D922" s="11"/>
      <c r="E922" s="11" t="s">
        <v>28</v>
      </c>
      <c r="F922" s="11" t="s">
        <v>160</v>
      </c>
      <c r="G922" s="23">
        <v>17193000</v>
      </c>
    </row>
    <row r="923" spans="2:7" x14ac:dyDescent="0.35">
      <c r="B923" s="11"/>
      <c r="C923" s="11"/>
      <c r="D923" s="11"/>
      <c r="E923" s="11" t="s">
        <v>58</v>
      </c>
      <c r="F923" s="11" t="s">
        <v>160</v>
      </c>
      <c r="G923" s="23">
        <v>1223100</v>
      </c>
    </row>
    <row r="924" spans="2:7" x14ac:dyDescent="0.35">
      <c r="B924" s="11"/>
      <c r="C924" s="11"/>
      <c r="D924" s="11"/>
      <c r="E924" s="11"/>
      <c r="F924" s="11" t="s">
        <v>363</v>
      </c>
      <c r="G924" s="23">
        <v>247000</v>
      </c>
    </row>
    <row r="925" spans="2:7" x14ac:dyDescent="0.35">
      <c r="B925" s="11"/>
      <c r="C925" s="11"/>
      <c r="D925" s="11" t="s">
        <v>50</v>
      </c>
      <c r="E925" s="11" t="s">
        <v>23</v>
      </c>
      <c r="F925" s="11" t="s">
        <v>160</v>
      </c>
      <c r="G925" s="23">
        <v>2910600</v>
      </c>
    </row>
    <row r="926" spans="2:7" x14ac:dyDescent="0.35">
      <c r="B926" s="11"/>
      <c r="C926" s="11"/>
      <c r="D926" s="11"/>
      <c r="E926" s="11"/>
      <c r="F926" s="11" t="s">
        <v>20</v>
      </c>
      <c r="G926" s="23">
        <v>377000</v>
      </c>
    </row>
    <row r="927" spans="2:7" x14ac:dyDescent="0.35">
      <c r="B927" s="11"/>
      <c r="C927" s="11"/>
      <c r="D927" s="11"/>
      <c r="E927" s="11"/>
      <c r="F927" s="11" t="s">
        <v>363</v>
      </c>
      <c r="G927" s="23">
        <v>534000</v>
      </c>
    </row>
    <row r="928" spans="2:7" x14ac:dyDescent="0.35">
      <c r="B928" s="11"/>
      <c r="C928" s="11"/>
      <c r="D928" s="11"/>
      <c r="E928" s="11" t="s">
        <v>17</v>
      </c>
      <c r="F928" s="11" t="s">
        <v>754</v>
      </c>
      <c r="G928" s="23">
        <v>343000</v>
      </c>
    </row>
    <row r="929" spans="2:7" x14ac:dyDescent="0.35">
      <c r="B929" s="11"/>
      <c r="C929" s="11"/>
      <c r="D929" s="11"/>
      <c r="E929" s="11"/>
      <c r="F929" s="11" t="s">
        <v>160</v>
      </c>
      <c r="G929" s="23">
        <v>2664000</v>
      </c>
    </row>
    <row r="930" spans="2:7" x14ac:dyDescent="0.35">
      <c r="B930" s="11"/>
      <c r="C930" s="11"/>
      <c r="D930" s="11"/>
      <c r="E930" s="11"/>
      <c r="F930" s="11" t="s">
        <v>465</v>
      </c>
      <c r="G930" s="23">
        <v>3890000</v>
      </c>
    </row>
    <row r="931" spans="2:7" x14ac:dyDescent="0.35">
      <c r="B931" s="11"/>
      <c r="C931" s="11"/>
      <c r="D931" s="11"/>
      <c r="E931" s="11" t="s">
        <v>28</v>
      </c>
      <c r="F931" s="11" t="s">
        <v>160</v>
      </c>
      <c r="G931" s="23">
        <v>2933100</v>
      </c>
    </row>
    <row r="932" spans="2:7" x14ac:dyDescent="0.35">
      <c r="B932" s="11"/>
      <c r="C932" s="11"/>
      <c r="D932" s="11"/>
      <c r="E932" s="11"/>
      <c r="F932" s="11" t="s">
        <v>465</v>
      </c>
      <c r="G932" s="23">
        <v>20271000</v>
      </c>
    </row>
    <row r="933" spans="2:7" x14ac:dyDescent="0.35">
      <c r="B933" s="11"/>
      <c r="C933" s="11"/>
      <c r="D933" s="11"/>
      <c r="E933" s="11" t="s">
        <v>58</v>
      </c>
      <c r="F933" s="11" t="s">
        <v>363</v>
      </c>
      <c r="G933" s="23">
        <v>4460000</v>
      </c>
    </row>
    <row r="934" spans="2:7" x14ac:dyDescent="0.35">
      <c r="B934" s="11"/>
      <c r="C934" s="11"/>
      <c r="D934" s="11" t="s">
        <v>37</v>
      </c>
      <c r="E934" s="11" t="s">
        <v>23</v>
      </c>
      <c r="F934" s="11" t="s">
        <v>160</v>
      </c>
      <c r="G934" s="23">
        <v>5720000</v>
      </c>
    </row>
    <row r="935" spans="2:7" x14ac:dyDescent="0.35">
      <c r="B935" s="11"/>
      <c r="C935" s="11"/>
      <c r="D935" s="11"/>
      <c r="E935" s="11"/>
      <c r="F935" s="11" t="s">
        <v>465</v>
      </c>
      <c r="G935" s="23">
        <v>4914000</v>
      </c>
    </row>
    <row r="936" spans="2:7" x14ac:dyDescent="0.35">
      <c r="B936" s="11"/>
      <c r="C936" s="11"/>
      <c r="D936" s="11"/>
      <c r="E936" s="11" t="s">
        <v>28</v>
      </c>
      <c r="F936" s="11" t="s">
        <v>160</v>
      </c>
      <c r="G936" s="23">
        <v>3726600</v>
      </c>
    </row>
    <row r="937" spans="2:7" x14ac:dyDescent="0.35">
      <c r="B937" s="11"/>
      <c r="C937" s="11"/>
      <c r="D937" s="11"/>
      <c r="E937" s="11" t="s">
        <v>58</v>
      </c>
      <c r="F937" s="11" t="s">
        <v>160</v>
      </c>
      <c r="G937" s="23">
        <v>2765000</v>
      </c>
    </row>
    <row r="938" spans="2:7" x14ac:dyDescent="0.35">
      <c r="B938" s="11"/>
      <c r="C938" s="11"/>
      <c r="D938" s="11" t="s">
        <v>42</v>
      </c>
      <c r="E938" s="11" t="s">
        <v>23</v>
      </c>
      <c r="F938" s="11" t="s">
        <v>754</v>
      </c>
      <c r="G938" s="23">
        <v>1342000</v>
      </c>
    </row>
    <row r="939" spans="2:7" x14ac:dyDescent="0.35">
      <c r="B939" s="11"/>
      <c r="C939" s="11"/>
      <c r="D939" s="11"/>
      <c r="E939" s="11"/>
      <c r="F939" s="11" t="s">
        <v>160</v>
      </c>
      <c r="G939" s="23">
        <v>10286000</v>
      </c>
    </row>
    <row r="940" spans="2:7" x14ac:dyDescent="0.35">
      <c r="B940" s="11"/>
      <c r="C940" s="11"/>
      <c r="D940" s="11"/>
      <c r="E940" s="11"/>
      <c r="F940" s="11" t="s">
        <v>465</v>
      </c>
      <c r="G940" s="23">
        <v>15329000</v>
      </c>
    </row>
    <row r="941" spans="2:7" x14ac:dyDescent="0.35">
      <c r="B941" s="11"/>
      <c r="C941" s="11"/>
      <c r="D941" s="11"/>
      <c r="E941" s="11" t="s">
        <v>58</v>
      </c>
      <c r="F941" s="11" t="s">
        <v>160</v>
      </c>
      <c r="G941" s="23">
        <v>14663250</v>
      </c>
    </row>
    <row r="942" spans="2:7" x14ac:dyDescent="0.35">
      <c r="B942" s="11"/>
      <c r="C942" s="11" t="s">
        <v>2022</v>
      </c>
      <c r="D942" s="11" t="s">
        <v>26</v>
      </c>
      <c r="E942" s="11" t="s">
        <v>23</v>
      </c>
      <c r="F942" s="11" t="s">
        <v>754</v>
      </c>
      <c r="G942" s="23">
        <v>76000</v>
      </c>
    </row>
    <row r="943" spans="2:7" x14ac:dyDescent="0.35">
      <c r="B943" s="11"/>
      <c r="C943" s="11"/>
      <c r="D943" s="11" t="s">
        <v>15</v>
      </c>
      <c r="E943" s="11" t="s">
        <v>23</v>
      </c>
      <c r="F943" s="11" t="s">
        <v>754</v>
      </c>
      <c r="G943" s="23">
        <v>477700</v>
      </c>
    </row>
    <row r="944" spans="2:7" x14ac:dyDescent="0.35">
      <c r="B944" s="11"/>
      <c r="C944" s="11"/>
      <c r="D944" s="11"/>
      <c r="E944" s="11"/>
      <c r="F944" s="11" t="s">
        <v>465</v>
      </c>
      <c r="G944" s="23">
        <v>32347500</v>
      </c>
    </row>
    <row r="945" spans="2:7" x14ac:dyDescent="0.35">
      <c r="B945" s="11"/>
      <c r="C945" s="11"/>
      <c r="D945" s="11"/>
      <c r="E945" s="11"/>
      <c r="F945" s="11" t="s">
        <v>20</v>
      </c>
      <c r="G945" s="23">
        <v>2205000</v>
      </c>
    </row>
    <row r="946" spans="2:7" x14ac:dyDescent="0.35">
      <c r="B946" s="11"/>
      <c r="C946" s="11"/>
      <c r="D946" s="11"/>
      <c r="E946" s="11" t="s">
        <v>17</v>
      </c>
      <c r="F946" s="11" t="s">
        <v>754</v>
      </c>
      <c r="G946" s="23">
        <v>210000</v>
      </c>
    </row>
    <row r="947" spans="2:7" x14ac:dyDescent="0.35">
      <c r="B947" s="11"/>
      <c r="C947" s="11"/>
      <c r="D947" s="11"/>
      <c r="E947" s="11"/>
      <c r="F947" s="11" t="s">
        <v>160</v>
      </c>
      <c r="G947" s="23">
        <v>6640000</v>
      </c>
    </row>
    <row r="948" spans="2:7" x14ac:dyDescent="0.35">
      <c r="B948" s="11"/>
      <c r="C948" s="11"/>
      <c r="D948" s="11"/>
      <c r="E948" s="11"/>
      <c r="F948" s="11" t="s">
        <v>465</v>
      </c>
      <c r="G948" s="23">
        <v>5123000</v>
      </c>
    </row>
    <row r="949" spans="2:7" x14ac:dyDescent="0.35">
      <c r="B949" s="11"/>
      <c r="C949" s="11"/>
      <c r="D949" s="11"/>
      <c r="E949" s="11"/>
      <c r="F949" s="11" t="s">
        <v>363</v>
      </c>
      <c r="G949" s="23">
        <v>375800</v>
      </c>
    </row>
    <row r="950" spans="2:7" x14ac:dyDescent="0.35">
      <c r="B950" s="11"/>
      <c r="C950" s="11"/>
      <c r="D950" s="11"/>
      <c r="E950" s="11" t="s">
        <v>58</v>
      </c>
      <c r="F950" s="11" t="s">
        <v>160</v>
      </c>
      <c r="G950" s="23">
        <v>9988000</v>
      </c>
    </row>
    <row r="951" spans="2:7" x14ac:dyDescent="0.35">
      <c r="B951" s="11"/>
      <c r="C951" s="11"/>
      <c r="D951" s="11" t="s">
        <v>50</v>
      </c>
      <c r="E951" s="11" t="s">
        <v>23</v>
      </c>
      <c r="F951" s="11" t="s">
        <v>754</v>
      </c>
      <c r="G951" s="23">
        <v>369000</v>
      </c>
    </row>
    <row r="952" spans="2:7" x14ac:dyDescent="0.35">
      <c r="B952" s="11"/>
      <c r="C952" s="11"/>
      <c r="D952" s="11"/>
      <c r="E952" s="11"/>
      <c r="F952" s="11" t="s">
        <v>160</v>
      </c>
      <c r="G952" s="23">
        <v>5910900</v>
      </c>
    </row>
    <row r="953" spans="2:7" x14ac:dyDescent="0.35">
      <c r="B953" s="11"/>
      <c r="C953" s="11"/>
      <c r="D953" s="11"/>
      <c r="E953" s="11"/>
      <c r="F953" s="11" t="s">
        <v>465</v>
      </c>
      <c r="G953" s="23">
        <v>5330000</v>
      </c>
    </row>
    <row r="954" spans="2:7" x14ac:dyDescent="0.35">
      <c r="B954" s="11"/>
      <c r="C954" s="11"/>
      <c r="D954" s="11"/>
      <c r="E954" s="11"/>
      <c r="F954" s="11" t="s">
        <v>20</v>
      </c>
      <c r="G954" s="23">
        <v>498087.71929824562</v>
      </c>
    </row>
    <row r="955" spans="2:7" x14ac:dyDescent="0.35">
      <c r="B955" s="11"/>
      <c r="C955" s="11"/>
      <c r="D955" s="11"/>
      <c r="E955" s="11" t="s">
        <v>17</v>
      </c>
      <c r="F955" s="11" t="s">
        <v>465</v>
      </c>
      <c r="G955" s="23">
        <v>6834000</v>
      </c>
    </row>
    <row r="956" spans="2:7" x14ac:dyDescent="0.35">
      <c r="B956" s="11"/>
      <c r="C956" s="11"/>
      <c r="D956" s="11"/>
      <c r="E956" s="11"/>
      <c r="F956" s="11" t="s">
        <v>363</v>
      </c>
      <c r="G956" s="23">
        <v>596000</v>
      </c>
    </row>
    <row r="957" spans="2:7" x14ac:dyDescent="0.35">
      <c r="B957" s="11"/>
      <c r="C957" s="11"/>
      <c r="D957" s="11"/>
      <c r="E957" s="11" t="s">
        <v>28</v>
      </c>
      <c r="F957" s="11" t="s">
        <v>20</v>
      </c>
      <c r="G957" s="23">
        <v>971000</v>
      </c>
    </row>
    <row r="958" spans="2:7" x14ac:dyDescent="0.35">
      <c r="B958" s="11"/>
      <c r="C958" s="11"/>
      <c r="D958" s="11" t="s">
        <v>37</v>
      </c>
      <c r="E958" s="11" t="s">
        <v>23</v>
      </c>
      <c r="F958" s="11" t="s">
        <v>20</v>
      </c>
      <c r="G958" s="23">
        <v>334000</v>
      </c>
    </row>
    <row r="959" spans="2:7" x14ac:dyDescent="0.35">
      <c r="B959" s="11"/>
      <c r="C959" s="11"/>
      <c r="D959" s="11"/>
      <c r="E959" s="11" t="s">
        <v>17</v>
      </c>
      <c r="F959" s="11" t="s">
        <v>465</v>
      </c>
      <c r="G959" s="23">
        <v>2684000</v>
      </c>
    </row>
    <row r="960" spans="2:7" x14ac:dyDescent="0.35">
      <c r="B960" s="11"/>
      <c r="C960" s="11"/>
      <c r="D960" s="11" t="s">
        <v>42</v>
      </c>
      <c r="E960" s="11" t="s">
        <v>23</v>
      </c>
      <c r="F960" s="11" t="s">
        <v>160</v>
      </c>
      <c r="G960" s="23">
        <v>9646000</v>
      </c>
    </row>
    <row r="961" spans="2:7" x14ac:dyDescent="0.35">
      <c r="B961" s="11"/>
      <c r="C961" s="11"/>
      <c r="D961" s="11"/>
      <c r="E961" s="11"/>
      <c r="F961" s="11" t="s">
        <v>465</v>
      </c>
      <c r="G961" s="23">
        <v>10223000</v>
      </c>
    </row>
    <row r="962" spans="2:7" x14ac:dyDescent="0.35">
      <c r="B962" s="11"/>
      <c r="C962" s="11"/>
      <c r="D962" s="11"/>
      <c r="E962" s="11"/>
      <c r="F962" s="11" t="s">
        <v>20</v>
      </c>
      <c r="G962" s="23">
        <v>480000</v>
      </c>
    </row>
    <row r="963" spans="2:7" x14ac:dyDescent="0.35">
      <c r="B963" s="11"/>
      <c r="C963" s="11"/>
      <c r="D963" s="11"/>
      <c r="E963" s="11"/>
      <c r="F963" s="11" t="s">
        <v>363</v>
      </c>
      <c r="G963" s="23">
        <v>886000</v>
      </c>
    </row>
    <row r="964" spans="2:7" x14ac:dyDescent="0.35">
      <c r="B964" s="11"/>
      <c r="C964" s="11"/>
      <c r="D964" s="11"/>
      <c r="E964" s="11" t="s">
        <v>17</v>
      </c>
      <c r="F964" s="11" t="s">
        <v>160</v>
      </c>
      <c r="G964" s="23">
        <v>6462000</v>
      </c>
    </row>
    <row r="965" spans="2:7" x14ac:dyDescent="0.35">
      <c r="B965" s="11"/>
      <c r="C965" s="11"/>
      <c r="D965" s="11"/>
      <c r="E965" s="11"/>
      <c r="F965" s="11" t="s">
        <v>20</v>
      </c>
      <c r="G965" s="23">
        <v>824000</v>
      </c>
    </row>
    <row r="966" spans="2:7" x14ac:dyDescent="0.35">
      <c r="B966" s="11"/>
      <c r="C966" s="11"/>
      <c r="D966" s="11"/>
      <c r="E966" s="11"/>
      <c r="F966" s="11" t="s">
        <v>363</v>
      </c>
      <c r="G966" s="23">
        <v>968000</v>
      </c>
    </row>
    <row r="967" spans="2:7" x14ac:dyDescent="0.35">
      <c r="B967" s="11"/>
      <c r="C967" s="11"/>
      <c r="D967" s="11"/>
      <c r="E967" s="11" t="s">
        <v>28</v>
      </c>
      <c r="F967" s="11" t="s">
        <v>160</v>
      </c>
      <c r="G967" s="23">
        <v>16314000</v>
      </c>
    </row>
    <row r="968" spans="2:7" x14ac:dyDescent="0.35">
      <c r="B968" s="11"/>
      <c r="C968" s="11" t="s">
        <v>2023</v>
      </c>
      <c r="D968" s="11" t="s">
        <v>26</v>
      </c>
      <c r="E968" s="11" t="s">
        <v>23</v>
      </c>
      <c r="F968" s="11" t="s">
        <v>20</v>
      </c>
      <c r="G968" s="23">
        <v>5872250</v>
      </c>
    </row>
    <row r="969" spans="2:7" x14ac:dyDescent="0.35">
      <c r="B969" s="11"/>
      <c r="C969" s="11"/>
      <c r="D969" s="11" t="s">
        <v>15</v>
      </c>
      <c r="E969" s="11" t="s">
        <v>23</v>
      </c>
      <c r="F969" s="11" t="s">
        <v>754</v>
      </c>
      <c r="G969" s="23">
        <v>1194300</v>
      </c>
    </row>
    <row r="970" spans="2:7" x14ac:dyDescent="0.35">
      <c r="B970" s="11"/>
      <c r="C970" s="11"/>
      <c r="D970" s="11"/>
      <c r="E970" s="11"/>
      <c r="F970" s="11" t="s">
        <v>160</v>
      </c>
      <c r="G970" s="23">
        <v>13787050</v>
      </c>
    </row>
    <row r="971" spans="2:7" x14ac:dyDescent="0.35">
      <c r="B971" s="11"/>
      <c r="C971" s="11"/>
      <c r="D971" s="11"/>
      <c r="E971" s="11"/>
      <c r="F971" s="11" t="s">
        <v>465</v>
      </c>
      <c r="G971" s="23">
        <v>5816000</v>
      </c>
    </row>
    <row r="972" spans="2:7" x14ac:dyDescent="0.35">
      <c r="B972" s="11"/>
      <c r="C972" s="11"/>
      <c r="D972" s="11"/>
      <c r="E972" s="11" t="s">
        <v>17</v>
      </c>
      <c r="F972" s="11" t="s">
        <v>363</v>
      </c>
      <c r="G972" s="23">
        <v>522000</v>
      </c>
    </row>
    <row r="973" spans="2:7" x14ac:dyDescent="0.35">
      <c r="B973" s="11"/>
      <c r="C973" s="11"/>
      <c r="D973" s="11"/>
      <c r="E973" s="11" t="s">
        <v>28</v>
      </c>
      <c r="F973" s="11" t="s">
        <v>160</v>
      </c>
      <c r="G973" s="23">
        <v>7356000</v>
      </c>
    </row>
    <row r="974" spans="2:7" x14ac:dyDescent="0.35">
      <c r="B974" s="11"/>
      <c r="C974" s="11"/>
      <c r="D974" s="11"/>
      <c r="E974" s="11"/>
      <c r="F974" s="11" t="s">
        <v>465</v>
      </c>
      <c r="G974" s="23">
        <v>6095000</v>
      </c>
    </row>
    <row r="975" spans="2:7" x14ac:dyDescent="0.35">
      <c r="B975" s="11"/>
      <c r="C975" s="11"/>
      <c r="D975" s="11"/>
      <c r="E975" s="11"/>
      <c r="F975" s="11" t="s">
        <v>20</v>
      </c>
      <c r="G975" s="23">
        <v>1029000</v>
      </c>
    </row>
    <row r="976" spans="2:7" x14ac:dyDescent="0.35">
      <c r="B976" s="11"/>
      <c r="C976" s="11"/>
      <c r="D976" s="11"/>
      <c r="E976" s="11" t="s">
        <v>58</v>
      </c>
      <c r="F976" s="11" t="s">
        <v>363</v>
      </c>
      <c r="G976" s="23">
        <v>684000</v>
      </c>
    </row>
    <row r="977" spans="2:7" x14ac:dyDescent="0.35">
      <c r="B977" s="11"/>
      <c r="C977" s="11"/>
      <c r="D977" s="11" t="s">
        <v>50</v>
      </c>
      <c r="E977" s="11" t="s">
        <v>23</v>
      </c>
      <c r="F977" s="11" t="s">
        <v>160</v>
      </c>
      <c r="G977" s="23">
        <v>3492303.0303030303</v>
      </c>
    </row>
    <row r="978" spans="2:7" x14ac:dyDescent="0.35">
      <c r="B978" s="11"/>
      <c r="C978" s="11"/>
      <c r="D978" s="11"/>
      <c r="E978" s="11"/>
      <c r="F978" s="11" t="s">
        <v>465</v>
      </c>
      <c r="G978" s="23">
        <v>3513000</v>
      </c>
    </row>
    <row r="979" spans="2:7" x14ac:dyDescent="0.35">
      <c r="B979" s="11"/>
      <c r="C979" s="11"/>
      <c r="D979" s="11"/>
      <c r="E979" s="11"/>
      <c r="F979" s="11" t="s">
        <v>20</v>
      </c>
      <c r="G979" s="23">
        <v>2087100</v>
      </c>
    </row>
    <row r="980" spans="2:7" x14ac:dyDescent="0.35">
      <c r="B980" s="11"/>
      <c r="C980" s="11"/>
      <c r="D980" s="11"/>
      <c r="E980" s="11" t="s">
        <v>17</v>
      </c>
      <c r="F980" s="11" t="s">
        <v>20</v>
      </c>
      <c r="G980" s="23">
        <v>779700</v>
      </c>
    </row>
    <row r="981" spans="2:7" x14ac:dyDescent="0.35">
      <c r="B981" s="11"/>
      <c r="C981" s="11"/>
      <c r="D981" s="11" t="s">
        <v>37</v>
      </c>
      <c r="E981" s="11" t="s">
        <v>23</v>
      </c>
      <c r="F981" s="11" t="s">
        <v>465</v>
      </c>
      <c r="G981" s="23">
        <v>2155550</v>
      </c>
    </row>
    <row r="982" spans="2:7" x14ac:dyDescent="0.35">
      <c r="B982" s="11"/>
      <c r="C982" s="11"/>
      <c r="D982" s="11"/>
      <c r="E982" s="11"/>
      <c r="F982" s="11" t="s">
        <v>20</v>
      </c>
      <c r="G982" s="23">
        <v>2232190.9836065574</v>
      </c>
    </row>
    <row r="983" spans="2:7" x14ac:dyDescent="0.35">
      <c r="B983" s="11"/>
      <c r="C983" s="11"/>
      <c r="D983" s="11"/>
      <c r="E983" s="11" t="s">
        <v>17</v>
      </c>
      <c r="F983" s="11" t="s">
        <v>754</v>
      </c>
      <c r="G983" s="23">
        <v>314000</v>
      </c>
    </row>
    <row r="984" spans="2:7" x14ac:dyDescent="0.35">
      <c r="B984" s="11"/>
      <c r="C984" s="11"/>
      <c r="D984" s="11"/>
      <c r="E984" s="11"/>
      <c r="F984" s="11" t="s">
        <v>160</v>
      </c>
      <c r="G984" s="23">
        <v>3717000</v>
      </c>
    </row>
    <row r="985" spans="2:7" x14ac:dyDescent="0.35">
      <c r="B985" s="11"/>
      <c r="C985" s="11"/>
      <c r="D985" s="11"/>
      <c r="E985" s="11" t="s">
        <v>28</v>
      </c>
      <c r="F985" s="11" t="s">
        <v>20</v>
      </c>
      <c r="G985" s="23">
        <v>375250</v>
      </c>
    </row>
    <row r="986" spans="2:7" x14ac:dyDescent="0.35">
      <c r="B986" s="11"/>
      <c r="C986" s="11"/>
      <c r="D986" s="11"/>
      <c r="E986" s="11" t="s">
        <v>58</v>
      </c>
      <c r="F986" s="11" t="s">
        <v>20</v>
      </c>
      <c r="G986" s="23">
        <v>997500</v>
      </c>
    </row>
    <row r="987" spans="2:7" x14ac:dyDescent="0.35">
      <c r="B987" s="11"/>
      <c r="C987" s="11"/>
      <c r="D987" s="11" t="s">
        <v>42</v>
      </c>
      <c r="E987" s="11" t="s">
        <v>23</v>
      </c>
      <c r="F987" s="11" t="s">
        <v>20</v>
      </c>
      <c r="G987" s="23">
        <v>774000</v>
      </c>
    </row>
    <row r="988" spans="2:7" x14ac:dyDescent="0.35">
      <c r="B988" s="11"/>
      <c r="C988" s="11"/>
      <c r="D988" s="11"/>
      <c r="E988" s="11"/>
      <c r="F988" s="11" t="s">
        <v>363</v>
      </c>
      <c r="G988" s="23">
        <v>750000</v>
      </c>
    </row>
    <row r="989" spans="2:7" x14ac:dyDescent="0.35">
      <c r="B989" s="11"/>
      <c r="C989" s="11"/>
      <c r="D989" s="11"/>
      <c r="E989" s="11" t="s">
        <v>17</v>
      </c>
      <c r="F989" s="11" t="s">
        <v>465</v>
      </c>
      <c r="G989" s="23">
        <v>2284000</v>
      </c>
    </row>
    <row r="990" spans="2:7" x14ac:dyDescent="0.35">
      <c r="B990" s="11"/>
      <c r="C990" s="11"/>
      <c r="D990" s="11"/>
      <c r="E990" s="11"/>
      <c r="F990" s="11" t="s">
        <v>363</v>
      </c>
      <c r="G990" s="23">
        <v>719777.77777777775</v>
      </c>
    </row>
    <row r="991" spans="2:7" x14ac:dyDescent="0.35">
      <c r="B991" s="11"/>
      <c r="C991" s="11"/>
      <c r="D991" s="11"/>
      <c r="E991" s="11" t="s">
        <v>28</v>
      </c>
      <c r="F991" s="11" t="s">
        <v>20</v>
      </c>
      <c r="G991" s="23">
        <v>468000</v>
      </c>
    </row>
    <row r="992" spans="2:7" x14ac:dyDescent="0.35">
      <c r="B992" s="11"/>
      <c r="C992" s="11" t="s">
        <v>2024</v>
      </c>
      <c r="D992" s="11" t="s">
        <v>26</v>
      </c>
      <c r="E992" s="11" t="s">
        <v>23</v>
      </c>
      <c r="F992" s="11" t="s">
        <v>465</v>
      </c>
      <c r="G992" s="23">
        <v>7910000</v>
      </c>
    </row>
    <row r="993" spans="2:7" x14ac:dyDescent="0.35">
      <c r="B993" s="11"/>
      <c r="C993" s="11"/>
      <c r="D993" s="11"/>
      <c r="E993" s="11"/>
      <c r="F993" s="11" t="s">
        <v>20</v>
      </c>
      <c r="G993" s="23">
        <v>1133885.2459016393</v>
      </c>
    </row>
    <row r="994" spans="2:7" x14ac:dyDescent="0.35">
      <c r="B994" s="11"/>
      <c r="C994" s="11"/>
      <c r="D994" s="11" t="s">
        <v>15</v>
      </c>
      <c r="E994" s="11" t="s">
        <v>23</v>
      </c>
      <c r="F994" s="11" t="s">
        <v>754</v>
      </c>
      <c r="G994" s="23">
        <v>1931384.6153846155</v>
      </c>
    </row>
    <row r="995" spans="2:7" x14ac:dyDescent="0.35">
      <c r="B995" s="11"/>
      <c r="C995" s="11"/>
      <c r="D995" s="11"/>
      <c r="E995" s="11"/>
      <c r="F995" s="11" t="s">
        <v>160</v>
      </c>
      <c r="G995" s="23">
        <v>30218000</v>
      </c>
    </row>
    <row r="996" spans="2:7" x14ac:dyDescent="0.35">
      <c r="B996" s="11"/>
      <c r="C996" s="11"/>
      <c r="D996" s="11"/>
      <c r="E996" s="11"/>
      <c r="F996" s="11" t="s">
        <v>465</v>
      </c>
      <c r="G996" s="23">
        <v>11680200</v>
      </c>
    </row>
    <row r="997" spans="2:7" x14ac:dyDescent="0.35">
      <c r="B997" s="11"/>
      <c r="C997" s="11"/>
      <c r="D997" s="11"/>
      <c r="E997" s="11"/>
      <c r="F997" s="11" t="s">
        <v>20</v>
      </c>
      <c r="G997" s="23">
        <v>406000</v>
      </c>
    </row>
    <row r="998" spans="2:7" x14ac:dyDescent="0.35">
      <c r="B998" s="11"/>
      <c r="C998" s="11"/>
      <c r="D998" s="11"/>
      <c r="E998" s="11"/>
      <c r="F998" s="11" t="s">
        <v>363</v>
      </c>
      <c r="G998" s="23">
        <v>1450000</v>
      </c>
    </row>
    <row r="999" spans="2:7" x14ac:dyDescent="0.35">
      <c r="B999" s="11"/>
      <c r="C999" s="11"/>
      <c r="D999" s="11"/>
      <c r="E999" s="11" t="s">
        <v>17</v>
      </c>
      <c r="F999" s="11" t="s">
        <v>465</v>
      </c>
      <c r="G999" s="23">
        <v>12327331.147540983</v>
      </c>
    </row>
    <row r="1000" spans="2:7" x14ac:dyDescent="0.35">
      <c r="B1000" s="11"/>
      <c r="C1000" s="11"/>
      <c r="D1000" s="11"/>
      <c r="E1000" s="11" t="s">
        <v>28</v>
      </c>
      <c r="F1000" s="11" t="s">
        <v>754</v>
      </c>
      <c r="G1000" s="23">
        <v>331000</v>
      </c>
    </row>
    <row r="1001" spans="2:7" x14ac:dyDescent="0.35">
      <c r="B1001" s="11"/>
      <c r="C1001" s="11"/>
      <c r="D1001" s="11"/>
      <c r="E1001" s="11" t="s">
        <v>58</v>
      </c>
      <c r="F1001" s="11" t="s">
        <v>160</v>
      </c>
      <c r="G1001" s="23">
        <v>2744000</v>
      </c>
    </row>
    <row r="1002" spans="2:7" x14ac:dyDescent="0.35">
      <c r="B1002" s="11"/>
      <c r="C1002" s="11"/>
      <c r="D1002" s="11" t="s">
        <v>50</v>
      </c>
      <c r="E1002" s="11" t="s">
        <v>23</v>
      </c>
      <c r="F1002" s="11" t="s">
        <v>754</v>
      </c>
      <c r="G1002" s="23">
        <v>310000</v>
      </c>
    </row>
    <row r="1003" spans="2:7" x14ac:dyDescent="0.35">
      <c r="B1003" s="11"/>
      <c r="C1003" s="11"/>
      <c r="D1003" s="11"/>
      <c r="E1003" s="11"/>
      <c r="F1003" s="11" t="s">
        <v>465</v>
      </c>
      <c r="G1003" s="23">
        <v>5605000</v>
      </c>
    </row>
    <row r="1004" spans="2:7" x14ac:dyDescent="0.35">
      <c r="B1004" s="11"/>
      <c r="C1004" s="11"/>
      <c r="D1004" s="11"/>
      <c r="E1004" s="11"/>
      <c r="F1004" s="11" t="s">
        <v>20</v>
      </c>
      <c r="G1004" s="23">
        <v>1212200</v>
      </c>
    </row>
    <row r="1005" spans="2:7" x14ac:dyDescent="0.35">
      <c r="B1005" s="11"/>
      <c r="C1005" s="11"/>
      <c r="D1005" s="11"/>
      <c r="E1005" s="11" t="s">
        <v>28</v>
      </c>
      <c r="F1005" s="11" t="s">
        <v>160</v>
      </c>
      <c r="G1005" s="23">
        <v>2419000</v>
      </c>
    </row>
    <row r="1006" spans="2:7" x14ac:dyDescent="0.35">
      <c r="B1006" s="11"/>
      <c r="C1006" s="11"/>
      <c r="D1006" s="11" t="s">
        <v>37</v>
      </c>
      <c r="E1006" s="11" t="s">
        <v>23</v>
      </c>
      <c r="F1006" s="11" t="s">
        <v>160</v>
      </c>
      <c r="G1006" s="23">
        <v>2511291.6666666665</v>
      </c>
    </row>
    <row r="1007" spans="2:7" x14ac:dyDescent="0.35">
      <c r="B1007" s="11"/>
      <c r="C1007" s="11"/>
      <c r="D1007" s="11"/>
      <c r="E1007" s="11"/>
      <c r="F1007" s="11" t="s">
        <v>465</v>
      </c>
      <c r="G1007" s="23">
        <v>4269000</v>
      </c>
    </row>
    <row r="1008" spans="2:7" x14ac:dyDescent="0.35">
      <c r="B1008" s="11"/>
      <c r="C1008" s="11"/>
      <c r="D1008" s="11"/>
      <c r="E1008" s="11" t="s">
        <v>28</v>
      </c>
      <c r="F1008" s="11" t="s">
        <v>754</v>
      </c>
      <c r="G1008" s="23">
        <v>296000</v>
      </c>
    </row>
    <row r="1009" spans="2:7" x14ac:dyDescent="0.35">
      <c r="B1009" s="11"/>
      <c r="C1009" s="11"/>
      <c r="D1009" s="11" t="s">
        <v>42</v>
      </c>
      <c r="E1009" s="11" t="s">
        <v>23</v>
      </c>
      <c r="F1009" s="11" t="s">
        <v>754</v>
      </c>
      <c r="G1009" s="23">
        <v>606100</v>
      </c>
    </row>
    <row r="1010" spans="2:7" x14ac:dyDescent="0.35">
      <c r="B1010" s="11"/>
      <c r="C1010" s="11"/>
      <c r="D1010" s="11"/>
      <c r="E1010" s="11"/>
      <c r="F1010" s="11" t="s">
        <v>160</v>
      </c>
      <c r="G1010" s="23">
        <v>8314200</v>
      </c>
    </row>
    <row r="1011" spans="2:7" x14ac:dyDescent="0.35">
      <c r="B1011" s="11"/>
      <c r="C1011" s="11"/>
      <c r="D1011" s="11"/>
      <c r="E1011" s="11"/>
      <c r="F1011" s="11" t="s">
        <v>363</v>
      </c>
      <c r="G1011" s="23">
        <v>742000</v>
      </c>
    </row>
    <row r="1012" spans="2:7" x14ac:dyDescent="0.35">
      <c r="B1012" s="11"/>
      <c r="C1012" s="11"/>
      <c r="D1012" s="11"/>
      <c r="E1012" s="11" t="s">
        <v>17</v>
      </c>
      <c r="F1012" s="11" t="s">
        <v>465</v>
      </c>
      <c r="G1012" s="23">
        <v>6334521.7391304346</v>
      </c>
    </row>
    <row r="1013" spans="2:7" x14ac:dyDescent="0.35">
      <c r="B1013" s="11">
        <v>2026</v>
      </c>
      <c r="C1013" s="11" t="s">
        <v>2013</v>
      </c>
      <c r="D1013" s="11" t="s">
        <v>15</v>
      </c>
      <c r="E1013" s="11" t="s">
        <v>23</v>
      </c>
      <c r="F1013" s="11" t="s">
        <v>754</v>
      </c>
      <c r="G1013" s="23">
        <v>1185000</v>
      </c>
    </row>
    <row r="1014" spans="2:7" x14ac:dyDescent="0.35">
      <c r="B1014" s="11"/>
      <c r="C1014" s="11"/>
      <c r="D1014" s="11"/>
      <c r="E1014" s="11"/>
      <c r="F1014" s="11" t="s">
        <v>160</v>
      </c>
      <c r="G1014" s="23">
        <v>19475000</v>
      </c>
    </row>
    <row r="1015" spans="2:7" x14ac:dyDescent="0.35">
      <c r="B1015" s="11"/>
      <c r="C1015" s="11"/>
      <c r="D1015" s="11"/>
      <c r="E1015" s="11"/>
      <c r="F1015" s="11" t="s">
        <v>465</v>
      </c>
      <c r="G1015" s="23">
        <v>4272000</v>
      </c>
    </row>
    <row r="1016" spans="2:7" x14ac:dyDescent="0.35">
      <c r="B1016" s="11"/>
      <c r="C1016" s="11"/>
      <c r="D1016" s="11"/>
      <c r="E1016" s="11"/>
      <c r="F1016" s="11" t="s">
        <v>20</v>
      </c>
      <c r="G1016" s="23">
        <v>1006000</v>
      </c>
    </row>
    <row r="1017" spans="2:7" x14ac:dyDescent="0.35">
      <c r="B1017" s="11"/>
      <c r="C1017" s="11"/>
      <c r="D1017" s="11"/>
      <c r="E1017" s="11"/>
      <c r="F1017" s="11" t="s">
        <v>363</v>
      </c>
      <c r="G1017" s="23">
        <v>853200</v>
      </c>
    </row>
    <row r="1018" spans="2:7" x14ac:dyDescent="0.35">
      <c r="B1018" s="11"/>
      <c r="C1018" s="11"/>
      <c r="D1018" s="11"/>
      <c r="E1018" s="11" t="s">
        <v>17</v>
      </c>
      <c r="F1018" s="11" t="s">
        <v>754</v>
      </c>
      <c r="G1018" s="23">
        <v>141000</v>
      </c>
    </row>
    <row r="1019" spans="2:7" x14ac:dyDescent="0.35">
      <c r="B1019" s="11"/>
      <c r="C1019" s="11"/>
      <c r="D1019" s="11"/>
      <c r="E1019" s="11"/>
      <c r="F1019" s="11" t="s">
        <v>20</v>
      </c>
      <c r="G1019" s="23">
        <v>868000</v>
      </c>
    </row>
    <row r="1020" spans="2:7" x14ac:dyDescent="0.35">
      <c r="B1020" s="11"/>
      <c r="C1020" s="11"/>
      <c r="D1020" s="11"/>
      <c r="E1020" s="11" t="s">
        <v>28</v>
      </c>
      <c r="F1020" s="11" t="s">
        <v>754</v>
      </c>
      <c r="G1020" s="23">
        <v>645000</v>
      </c>
    </row>
    <row r="1021" spans="2:7" x14ac:dyDescent="0.35">
      <c r="B1021" s="11"/>
      <c r="C1021" s="11"/>
      <c r="D1021" s="11"/>
      <c r="E1021" s="11"/>
      <c r="F1021" s="11" t="s">
        <v>20</v>
      </c>
      <c r="G1021" s="23">
        <v>1030000</v>
      </c>
    </row>
    <row r="1022" spans="2:7" x14ac:dyDescent="0.35">
      <c r="B1022" s="11"/>
      <c r="C1022" s="11"/>
      <c r="D1022" s="11"/>
      <c r="E1022" s="11" t="s">
        <v>58</v>
      </c>
      <c r="F1022" s="11" t="s">
        <v>160</v>
      </c>
      <c r="G1022" s="23">
        <v>3025750</v>
      </c>
    </row>
    <row r="1023" spans="2:7" x14ac:dyDescent="0.35">
      <c r="B1023" s="11"/>
      <c r="C1023" s="11"/>
      <c r="D1023" s="11"/>
      <c r="E1023" s="11"/>
      <c r="F1023" s="11" t="s">
        <v>465</v>
      </c>
      <c r="G1023" s="23">
        <v>7038995.6521739122</v>
      </c>
    </row>
    <row r="1024" spans="2:7" x14ac:dyDescent="0.35">
      <c r="B1024" s="11"/>
      <c r="C1024" s="11"/>
      <c r="D1024" s="11" t="s">
        <v>50</v>
      </c>
      <c r="E1024" s="11" t="s">
        <v>23</v>
      </c>
      <c r="F1024" s="11" t="s">
        <v>754</v>
      </c>
      <c r="G1024" s="23">
        <v>3265000</v>
      </c>
    </row>
    <row r="1025" spans="2:7" x14ac:dyDescent="0.35">
      <c r="B1025" s="11"/>
      <c r="C1025" s="11"/>
      <c r="D1025" s="11"/>
      <c r="E1025" s="11"/>
      <c r="F1025" s="11" t="s">
        <v>160</v>
      </c>
      <c r="G1025" s="23">
        <v>2636000</v>
      </c>
    </row>
    <row r="1026" spans="2:7" x14ac:dyDescent="0.35">
      <c r="B1026" s="11"/>
      <c r="C1026" s="11"/>
      <c r="D1026" s="11"/>
      <c r="E1026" s="11"/>
      <c r="F1026" s="11" t="s">
        <v>20</v>
      </c>
      <c r="G1026" s="23">
        <v>1084000</v>
      </c>
    </row>
    <row r="1027" spans="2:7" x14ac:dyDescent="0.35">
      <c r="B1027" s="11"/>
      <c r="C1027" s="11"/>
      <c r="D1027" s="11"/>
      <c r="E1027" s="11" t="s">
        <v>17</v>
      </c>
      <c r="F1027" s="11" t="s">
        <v>754</v>
      </c>
      <c r="G1027" s="23">
        <v>679000</v>
      </c>
    </row>
    <row r="1028" spans="2:7" x14ac:dyDescent="0.35">
      <c r="B1028" s="11"/>
      <c r="C1028" s="11"/>
      <c r="D1028" s="11"/>
      <c r="E1028" s="11" t="s">
        <v>58</v>
      </c>
      <c r="F1028" s="11" t="s">
        <v>754</v>
      </c>
      <c r="G1028" s="23">
        <v>164000</v>
      </c>
    </row>
    <row r="1029" spans="2:7" x14ac:dyDescent="0.35">
      <c r="B1029" s="11"/>
      <c r="C1029" s="11"/>
      <c r="D1029" s="11" t="s">
        <v>37</v>
      </c>
      <c r="E1029" s="11" t="s">
        <v>23</v>
      </c>
      <c r="F1029" s="11" t="s">
        <v>160</v>
      </c>
      <c r="G1029" s="23">
        <v>5476000</v>
      </c>
    </row>
    <row r="1030" spans="2:7" x14ac:dyDescent="0.35">
      <c r="B1030" s="11"/>
      <c r="C1030" s="11"/>
      <c r="D1030" s="11"/>
      <c r="E1030" s="11"/>
      <c r="F1030" s="11" t="s">
        <v>20</v>
      </c>
      <c r="G1030" s="23">
        <v>1224000</v>
      </c>
    </row>
    <row r="1031" spans="2:7" x14ac:dyDescent="0.35">
      <c r="B1031" s="11"/>
      <c r="C1031" s="11"/>
      <c r="D1031" s="11"/>
      <c r="E1031" s="11" t="s">
        <v>17</v>
      </c>
      <c r="F1031" s="11" t="s">
        <v>754</v>
      </c>
      <c r="G1031" s="23">
        <v>1328000</v>
      </c>
    </row>
    <row r="1032" spans="2:7" x14ac:dyDescent="0.35">
      <c r="B1032" s="11"/>
      <c r="C1032" s="11"/>
      <c r="D1032" s="11"/>
      <c r="E1032" s="11" t="s">
        <v>28</v>
      </c>
      <c r="F1032" s="11" t="s">
        <v>363</v>
      </c>
      <c r="G1032" s="23">
        <v>509000</v>
      </c>
    </row>
    <row r="1033" spans="2:7" x14ac:dyDescent="0.35">
      <c r="B1033" s="11"/>
      <c r="C1033" s="11"/>
      <c r="D1033" s="11" t="s">
        <v>42</v>
      </c>
      <c r="E1033" s="11" t="s">
        <v>23</v>
      </c>
      <c r="F1033" s="11" t="s">
        <v>465</v>
      </c>
      <c r="G1033" s="23">
        <v>3137000</v>
      </c>
    </row>
    <row r="1034" spans="2:7" x14ac:dyDescent="0.35">
      <c r="B1034" s="11"/>
      <c r="C1034" s="11"/>
      <c r="D1034" s="11"/>
      <c r="E1034" s="11"/>
      <c r="F1034" s="11" t="s">
        <v>20</v>
      </c>
      <c r="G1034" s="23">
        <v>1191300</v>
      </c>
    </row>
    <row r="1035" spans="2:7" x14ac:dyDescent="0.35">
      <c r="B1035" s="11"/>
      <c r="C1035" s="11"/>
      <c r="D1035" s="11"/>
      <c r="E1035" s="11"/>
      <c r="F1035" s="11" t="s">
        <v>363</v>
      </c>
      <c r="G1035" s="23">
        <v>3150200</v>
      </c>
    </row>
    <row r="1036" spans="2:7" x14ac:dyDescent="0.35">
      <c r="B1036" s="11"/>
      <c r="C1036" s="11"/>
      <c r="D1036" s="11"/>
      <c r="E1036" s="11" t="s">
        <v>17</v>
      </c>
      <c r="F1036" s="11" t="s">
        <v>160</v>
      </c>
      <c r="G1036" s="23">
        <v>1314000</v>
      </c>
    </row>
    <row r="1037" spans="2:7" x14ac:dyDescent="0.35">
      <c r="B1037" s="11"/>
      <c r="C1037" s="11"/>
      <c r="D1037" s="11"/>
      <c r="E1037" s="11" t="s">
        <v>28</v>
      </c>
      <c r="F1037" s="11" t="s">
        <v>754</v>
      </c>
      <c r="G1037" s="23">
        <v>624000</v>
      </c>
    </row>
    <row r="1038" spans="2:7" x14ac:dyDescent="0.35">
      <c r="B1038" s="11"/>
      <c r="C1038" s="11"/>
      <c r="D1038" s="11"/>
      <c r="E1038" s="11"/>
      <c r="F1038" s="11" t="s">
        <v>160</v>
      </c>
      <c r="G1038" s="23">
        <v>6889000</v>
      </c>
    </row>
    <row r="1039" spans="2:7" x14ac:dyDescent="0.35">
      <c r="B1039" s="11"/>
      <c r="C1039" s="11" t="s">
        <v>2014</v>
      </c>
      <c r="D1039" s="11" t="s">
        <v>26</v>
      </c>
      <c r="E1039" s="11" t="s">
        <v>23</v>
      </c>
      <c r="F1039" s="11" t="s">
        <v>465</v>
      </c>
      <c r="G1039" s="23">
        <v>7269000</v>
      </c>
    </row>
    <row r="1040" spans="2:7" x14ac:dyDescent="0.35">
      <c r="B1040" s="11"/>
      <c r="C1040" s="11"/>
      <c r="D1040" s="11"/>
      <c r="E1040" s="11" t="s">
        <v>28</v>
      </c>
      <c r="F1040" s="11" t="s">
        <v>160</v>
      </c>
      <c r="G1040" s="23">
        <v>7146000</v>
      </c>
    </row>
    <row r="1041" spans="2:7" x14ac:dyDescent="0.35">
      <c r="B1041" s="11"/>
      <c r="C1041" s="11"/>
      <c r="D1041" s="11"/>
      <c r="E1041" s="11"/>
      <c r="F1041" s="11" t="s">
        <v>465</v>
      </c>
      <c r="G1041" s="23">
        <v>4418000</v>
      </c>
    </row>
    <row r="1042" spans="2:7" x14ac:dyDescent="0.35">
      <c r="B1042" s="11"/>
      <c r="C1042" s="11"/>
      <c r="D1042" s="11" t="s">
        <v>15</v>
      </c>
      <c r="E1042" s="11" t="s">
        <v>23</v>
      </c>
      <c r="F1042" s="11" t="s">
        <v>754</v>
      </c>
      <c r="G1042" s="23">
        <v>1225200</v>
      </c>
    </row>
    <row r="1043" spans="2:7" x14ac:dyDescent="0.35">
      <c r="B1043" s="11"/>
      <c r="C1043" s="11"/>
      <c r="D1043" s="11"/>
      <c r="E1043" s="11"/>
      <c r="F1043" s="11" t="s">
        <v>160</v>
      </c>
      <c r="G1043" s="23">
        <v>3320000</v>
      </c>
    </row>
    <row r="1044" spans="2:7" x14ac:dyDescent="0.35">
      <c r="B1044" s="11"/>
      <c r="C1044" s="11"/>
      <c r="D1044" s="11"/>
      <c r="E1044" s="11"/>
      <c r="F1044" s="11" t="s">
        <v>465</v>
      </c>
      <c r="G1044" s="23">
        <v>18363500</v>
      </c>
    </row>
    <row r="1045" spans="2:7" x14ac:dyDescent="0.35">
      <c r="B1045" s="11"/>
      <c r="C1045" s="11"/>
      <c r="D1045" s="11"/>
      <c r="E1045" s="11"/>
      <c r="F1045" s="11" t="s">
        <v>363</v>
      </c>
      <c r="G1045" s="23">
        <v>2363000</v>
      </c>
    </row>
    <row r="1046" spans="2:7" x14ac:dyDescent="0.35">
      <c r="B1046" s="11"/>
      <c r="C1046" s="11"/>
      <c r="D1046" s="11"/>
      <c r="E1046" s="11" t="s">
        <v>17</v>
      </c>
      <c r="F1046" s="11" t="s">
        <v>160</v>
      </c>
      <c r="G1046" s="23">
        <v>10269200</v>
      </c>
    </row>
    <row r="1047" spans="2:7" x14ac:dyDescent="0.35">
      <c r="B1047" s="11"/>
      <c r="C1047" s="11"/>
      <c r="D1047" s="11"/>
      <c r="E1047" s="11" t="s">
        <v>28</v>
      </c>
      <c r="F1047" s="11" t="s">
        <v>160</v>
      </c>
      <c r="G1047" s="23">
        <v>3492303.0303030303</v>
      </c>
    </row>
    <row r="1048" spans="2:7" x14ac:dyDescent="0.35">
      <c r="B1048" s="11"/>
      <c r="C1048" s="11"/>
      <c r="D1048" s="11"/>
      <c r="E1048" s="11" t="s">
        <v>58</v>
      </c>
      <c r="F1048" s="11" t="s">
        <v>20</v>
      </c>
      <c r="G1048" s="23">
        <v>1395550</v>
      </c>
    </row>
    <row r="1049" spans="2:7" x14ac:dyDescent="0.35">
      <c r="B1049" s="11"/>
      <c r="C1049" s="11"/>
      <c r="D1049" s="11" t="s">
        <v>50</v>
      </c>
      <c r="E1049" s="11" t="s">
        <v>23</v>
      </c>
      <c r="F1049" s="11" t="s">
        <v>754</v>
      </c>
      <c r="G1049" s="23">
        <v>362900</v>
      </c>
    </row>
    <row r="1050" spans="2:7" x14ac:dyDescent="0.35">
      <c r="B1050" s="11"/>
      <c r="C1050" s="11"/>
      <c r="D1050" s="11"/>
      <c r="E1050" s="11"/>
      <c r="F1050" s="11" t="s">
        <v>465</v>
      </c>
      <c r="G1050" s="23">
        <v>6072000</v>
      </c>
    </row>
    <row r="1051" spans="2:7" x14ac:dyDescent="0.35">
      <c r="B1051" s="11"/>
      <c r="C1051" s="11"/>
      <c r="D1051" s="11"/>
      <c r="E1051" s="11"/>
      <c r="F1051" s="11" t="s">
        <v>20</v>
      </c>
      <c r="G1051" s="23">
        <v>5373000</v>
      </c>
    </row>
    <row r="1052" spans="2:7" x14ac:dyDescent="0.35">
      <c r="B1052" s="11"/>
      <c r="C1052" s="11"/>
      <c r="D1052" s="11"/>
      <c r="E1052" s="11"/>
      <c r="F1052" s="11" t="s">
        <v>363</v>
      </c>
      <c r="G1052" s="23">
        <v>516000</v>
      </c>
    </row>
    <row r="1053" spans="2:7" x14ac:dyDescent="0.35">
      <c r="B1053" s="11"/>
      <c r="C1053" s="11"/>
      <c r="D1053" s="11"/>
      <c r="E1053" s="11" t="s">
        <v>17</v>
      </c>
      <c r="F1053" s="11" t="s">
        <v>754</v>
      </c>
      <c r="G1053" s="23">
        <v>743000</v>
      </c>
    </row>
    <row r="1054" spans="2:7" x14ac:dyDescent="0.35">
      <c r="B1054" s="11"/>
      <c r="C1054" s="11"/>
      <c r="D1054" s="11"/>
      <c r="E1054" s="11"/>
      <c r="F1054" s="11" t="s">
        <v>20</v>
      </c>
      <c r="G1054" s="23">
        <v>1489000</v>
      </c>
    </row>
    <row r="1055" spans="2:7" x14ac:dyDescent="0.35">
      <c r="B1055" s="11"/>
      <c r="C1055" s="11"/>
      <c r="D1055" s="11"/>
      <c r="E1055" s="11"/>
      <c r="F1055" s="11" t="s">
        <v>363</v>
      </c>
      <c r="G1055" s="23">
        <v>594000</v>
      </c>
    </row>
    <row r="1056" spans="2:7" x14ac:dyDescent="0.35">
      <c r="B1056" s="11"/>
      <c r="C1056" s="11"/>
      <c r="D1056" s="11"/>
      <c r="E1056" s="11" t="s">
        <v>58</v>
      </c>
      <c r="F1056" s="11" t="s">
        <v>754</v>
      </c>
      <c r="G1056" s="23">
        <v>68000</v>
      </c>
    </row>
    <row r="1057" spans="2:7" x14ac:dyDescent="0.35">
      <c r="B1057" s="11"/>
      <c r="C1057" s="11"/>
      <c r="D1057" s="11"/>
      <c r="E1057" s="11"/>
      <c r="F1057" s="11" t="s">
        <v>20</v>
      </c>
      <c r="G1057" s="23">
        <v>936000</v>
      </c>
    </row>
    <row r="1058" spans="2:7" x14ac:dyDescent="0.35">
      <c r="B1058" s="11"/>
      <c r="C1058" s="11"/>
      <c r="D1058" s="11" t="s">
        <v>37</v>
      </c>
      <c r="E1058" s="11" t="s">
        <v>23</v>
      </c>
      <c r="F1058" s="11" t="s">
        <v>465</v>
      </c>
      <c r="G1058" s="23">
        <v>3807000</v>
      </c>
    </row>
    <row r="1059" spans="2:7" x14ac:dyDescent="0.35">
      <c r="B1059" s="11"/>
      <c r="C1059" s="11"/>
      <c r="D1059" s="11"/>
      <c r="E1059" s="11" t="s">
        <v>17</v>
      </c>
      <c r="F1059" s="11" t="s">
        <v>20</v>
      </c>
      <c r="G1059" s="23">
        <v>2888000</v>
      </c>
    </row>
    <row r="1060" spans="2:7" x14ac:dyDescent="0.35">
      <c r="B1060" s="11"/>
      <c r="C1060" s="11"/>
      <c r="D1060" s="11"/>
      <c r="E1060" s="11"/>
      <c r="F1060" s="11" t="s">
        <v>363</v>
      </c>
      <c r="G1060" s="23">
        <v>566000</v>
      </c>
    </row>
    <row r="1061" spans="2:7" x14ac:dyDescent="0.35">
      <c r="B1061" s="11"/>
      <c r="C1061" s="11"/>
      <c r="D1061" s="11"/>
      <c r="E1061" s="11" t="s">
        <v>28</v>
      </c>
      <c r="F1061" s="11" t="s">
        <v>20</v>
      </c>
      <c r="G1061" s="23">
        <v>8030000</v>
      </c>
    </row>
    <row r="1062" spans="2:7" x14ac:dyDescent="0.35">
      <c r="B1062" s="11"/>
      <c r="C1062" s="11"/>
      <c r="D1062" s="11" t="s">
        <v>42</v>
      </c>
      <c r="E1062" s="11" t="s">
        <v>23</v>
      </c>
      <c r="F1062" s="11" t="s">
        <v>754</v>
      </c>
      <c r="G1062" s="23">
        <v>142000</v>
      </c>
    </row>
    <row r="1063" spans="2:7" x14ac:dyDescent="0.35">
      <c r="B1063" s="11"/>
      <c r="C1063" s="11"/>
      <c r="D1063" s="11"/>
      <c r="E1063" s="11"/>
      <c r="F1063" s="11" t="s">
        <v>160</v>
      </c>
      <c r="G1063" s="23">
        <v>3077000</v>
      </c>
    </row>
    <row r="1064" spans="2:7" x14ac:dyDescent="0.35">
      <c r="B1064" s="11"/>
      <c r="C1064" s="11"/>
      <c r="D1064" s="11"/>
      <c r="E1064" s="11"/>
      <c r="F1064" s="11" t="s">
        <v>20</v>
      </c>
      <c r="G1064" s="23">
        <v>814366.66666666663</v>
      </c>
    </row>
    <row r="1065" spans="2:7" x14ac:dyDescent="0.35">
      <c r="B1065" s="11"/>
      <c r="C1065" s="11"/>
      <c r="D1065" s="11"/>
      <c r="E1065" s="11"/>
      <c r="F1065" s="11" t="s">
        <v>363</v>
      </c>
      <c r="G1065" s="23">
        <v>2218800</v>
      </c>
    </row>
    <row r="1066" spans="2:7" x14ac:dyDescent="0.35">
      <c r="B1066" s="11"/>
      <c r="C1066" s="11"/>
      <c r="D1066" s="11"/>
      <c r="E1066" s="11" t="s">
        <v>17</v>
      </c>
      <c r="F1066" s="11" t="s">
        <v>363</v>
      </c>
      <c r="G1066" s="23">
        <v>834000</v>
      </c>
    </row>
    <row r="1067" spans="2:7" x14ac:dyDescent="0.35">
      <c r="B1067" s="11"/>
      <c r="C1067" s="11"/>
      <c r="D1067" s="11"/>
      <c r="E1067" s="11" t="s">
        <v>28</v>
      </c>
      <c r="F1067" s="11" t="s">
        <v>754</v>
      </c>
      <c r="G1067" s="23">
        <v>191000</v>
      </c>
    </row>
    <row r="1068" spans="2:7" x14ac:dyDescent="0.35">
      <c r="B1068" s="11"/>
      <c r="C1068" s="11" t="s">
        <v>2015</v>
      </c>
      <c r="D1068" s="11" t="s">
        <v>26</v>
      </c>
      <c r="E1068" s="11" t="s">
        <v>23</v>
      </c>
      <c r="F1068" s="11" t="s">
        <v>363</v>
      </c>
      <c r="G1068" s="23">
        <v>3033000</v>
      </c>
    </row>
    <row r="1069" spans="2:7" x14ac:dyDescent="0.35">
      <c r="B1069" s="11"/>
      <c r="C1069" s="11"/>
      <c r="D1069" s="11" t="s">
        <v>15</v>
      </c>
      <c r="E1069" s="11" t="s">
        <v>23</v>
      </c>
      <c r="F1069" s="11" t="s">
        <v>754</v>
      </c>
      <c r="G1069" s="23">
        <v>554400</v>
      </c>
    </row>
    <row r="1070" spans="2:7" x14ac:dyDescent="0.35">
      <c r="B1070" s="11"/>
      <c r="C1070" s="11"/>
      <c r="D1070" s="11"/>
      <c r="E1070" s="11"/>
      <c r="F1070" s="11" t="s">
        <v>160</v>
      </c>
      <c r="G1070" s="23">
        <v>27348300</v>
      </c>
    </row>
    <row r="1071" spans="2:7" x14ac:dyDescent="0.35">
      <c r="B1071" s="11"/>
      <c r="C1071" s="11"/>
      <c r="D1071" s="11"/>
      <c r="E1071" s="11"/>
      <c r="F1071" s="11" t="s">
        <v>20</v>
      </c>
      <c r="G1071" s="23">
        <v>3071350</v>
      </c>
    </row>
    <row r="1072" spans="2:7" x14ac:dyDescent="0.35">
      <c r="B1072" s="11"/>
      <c r="C1072" s="11"/>
      <c r="D1072" s="11"/>
      <c r="E1072" s="11"/>
      <c r="F1072" s="11" t="s">
        <v>363</v>
      </c>
      <c r="G1072" s="23">
        <v>1802200</v>
      </c>
    </row>
    <row r="1073" spans="2:7" x14ac:dyDescent="0.35">
      <c r="B1073" s="11"/>
      <c r="C1073" s="11"/>
      <c r="D1073" s="11"/>
      <c r="E1073" s="11" t="s">
        <v>17</v>
      </c>
      <c r="F1073" s="11" t="s">
        <v>754</v>
      </c>
      <c r="G1073" s="23">
        <v>278250</v>
      </c>
    </row>
    <row r="1074" spans="2:7" x14ac:dyDescent="0.35">
      <c r="B1074" s="11"/>
      <c r="C1074" s="11"/>
      <c r="D1074" s="11"/>
      <c r="E1074" s="11"/>
      <c r="F1074" s="11" t="s">
        <v>465</v>
      </c>
      <c r="G1074" s="23">
        <v>1353000</v>
      </c>
    </row>
    <row r="1075" spans="2:7" x14ac:dyDescent="0.35">
      <c r="B1075" s="11"/>
      <c r="C1075" s="11"/>
      <c r="D1075" s="11"/>
      <c r="E1075" s="11"/>
      <c r="F1075" s="11" t="s">
        <v>363</v>
      </c>
      <c r="G1075" s="23">
        <v>1578000</v>
      </c>
    </row>
    <row r="1076" spans="2:7" x14ac:dyDescent="0.35">
      <c r="B1076" s="11"/>
      <c r="C1076" s="11"/>
      <c r="D1076" s="11"/>
      <c r="E1076" s="11" t="s">
        <v>28</v>
      </c>
      <c r="F1076" s="11" t="s">
        <v>160</v>
      </c>
      <c r="G1076" s="23">
        <v>6670800</v>
      </c>
    </row>
    <row r="1077" spans="2:7" x14ac:dyDescent="0.35">
      <c r="B1077" s="11"/>
      <c r="C1077" s="11"/>
      <c r="D1077" s="11"/>
      <c r="E1077" s="11"/>
      <c r="F1077" s="11" t="s">
        <v>20</v>
      </c>
      <c r="G1077" s="23">
        <v>2730000</v>
      </c>
    </row>
    <row r="1078" spans="2:7" x14ac:dyDescent="0.35">
      <c r="B1078" s="11"/>
      <c r="C1078" s="11"/>
      <c r="D1078" s="11"/>
      <c r="E1078" s="11" t="s">
        <v>58</v>
      </c>
      <c r="F1078" s="11" t="s">
        <v>160</v>
      </c>
      <c r="G1078" s="23">
        <v>9998500</v>
      </c>
    </row>
    <row r="1079" spans="2:7" x14ac:dyDescent="0.35">
      <c r="B1079" s="11"/>
      <c r="C1079" s="11"/>
      <c r="D1079" s="11" t="s">
        <v>50</v>
      </c>
      <c r="E1079" s="11" t="s">
        <v>23</v>
      </c>
      <c r="F1079" s="11" t="s">
        <v>754</v>
      </c>
      <c r="G1079" s="23">
        <v>195000</v>
      </c>
    </row>
    <row r="1080" spans="2:7" x14ac:dyDescent="0.35">
      <c r="B1080" s="11"/>
      <c r="C1080" s="11"/>
      <c r="D1080" s="11"/>
      <c r="E1080" s="11"/>
      <c r="F1080" s="11" t="s">
        <v>160</v>
      </c>
      <c r="G1080" s="23">
        <v>12721400</v>
      </c>
    </row>
    <row r="1081" spans="2:7" x14ac:dyDescent="0.35">
      <c r="B1081" s="11"/>
      <c r="C1081" s="11"/>
      <c r="D1081" s="11"/>
      <c r="E1081" s="11"/>
      <c r="F1081" s="11" t="s">
        <v>465</v>
      </c>
      <c r="G1081" s="23">
        <v>989100</v>
      </c>
    </row>
    <row r="1082" spans="2:7" x14ac:dyDescent="0.35">
      <c r="B1082" s="11"/>
      <c r="C1082" s="11"/>
      <c r="D1082" s="11"/>
      <c r="E1082" s="11" t="s">
        <v>17</v>
      </c>
      <c r="F1082" s="11" t="s">
        <v>20</v>
      </c>
      <c r="G1082" s="23">
        <v>1260000</v>
      </c>
    </row>
    <row r="1083" spans="2:7" x14ac:dyDescent="0.35">
      <c r="B1083" s="11"/>
      <c r="C1083" s="11"/>
      <c r="D1083" s="11"/>
      <c r="E1083" s="11"/>
      <c r="F1083" s="11" t="s">
        <v>363</v>
      </c>
      <c r="G1083" s="23">
        <v>286900</v>
      </c>
    </row>
    <row r="1084" spans="2:7" x14ac:dyDescent="0.35">
      <c r="B1084" s="11"/>
      <c r="C1084" s="11"/>
      <c r="D1084" s="11"/>
      <c r="E1084" s="11" t="s">
        <v>58</v>
      </c>
      <c r="F1084" s="11" t="s">
        <v>160</v>
      </c>
      <c r="G1084" s="23">
        <v>2625000</v>
      </c>
    </row>
    <row r="1085" spans="2:7" x14ac:dyDescent="0.35">
      <c r="B1085" s="11"/>
      <c r="C1085" s="11"/>
      <c r="D1085" s="11" t="s">
        <v>37</v>
      </c>
      <c r="E1085" s="11" t="s">
        <v>23</v>
      </c>
      <c r="F1085" s="11" t="s">
        <v>160</v>
      </c>
      <c r="G1085" s="23">
        <v>7491000</v>
      </c>
    </row>
    <row r="1086" spans="2:7" x14ac:dyDescent="0.35">
      <c r="B1086" s="11"/>
      <c r="C1086" s="11"/>
      <c r="D1086" s="11"/>
      <c r="E1086" s="11"/>
      <c r="F1086" s="11" t="s">
        <v>465</v>
      </c>
      <c r="G1086" s="23">
        <v>5631000</v>
      </c>
    </row>
    <row r="1087" spans="2:7" x14ac:dyDescent="0.35">
      <c r="B1087" s="11"/>
      <c r="C1087" s="11"/>
      <c r="D1087" s="11"/>
      <c r="E1087" s="11"/>
      <c r="F1087" s="11" t="s">
        <v>363</v>
      </c>
      <c r="G1087" s="23">
        <v>660000</v>
      </c>
    </row>
    <row r="1088" spans="2:7" x14ac:dyDescent="0.35">
      <c r="B1088" s="11"/>
      <c r="C1088" s="11"/>
      <c r="D1088" s="11"/>
      <c r="E1088" s="11" t="s">
        <v>17</v>
      </c>
      <c r="F1088" s="11" t="s">
        <v>20</v>
      </c>
      <c r="G1088" s="23">
        <v>503000</v>
      </c>
    </row>
    <row r="1089" spans="2:7" x14ac:dyDescent="0.35">
      <c r="B1089" s="11"/>
      <c r="C1089" s="11"/>
      <c r="D1089" s="11"/>
      <c r="E1089" s="11" t="s">
        <v>28</v>
      </c>
      <c r="F1089" s="11" t="s">
        <v>20</v>
      </c>
      <c r="G1089" s="23">
        <v>967500</v>
      </c>
    </row>
    <row r="1090" spans="2:7" x14ac:dyDescent="0.35">
      <c r="B1090" s="11"/>
      <c r="C1090" s="11"/>
      <c r="D1090" s="11"/>
      <c r="E1090" s="11" t="s">
        <v>58</v>
      </c>
      <c r="F1090" s="11" t="s">
        <v>465</v>
      </c>
      <c r="G1090" s="23">
        <v>1153000</v>
      </c>
    </row>
    <row r="1091" spans="2:7" x14ac:dyDescent="0.35">
      <c r="B1091" s="11"/>
      <c r="C1091" s="11"/>
      <c r="D1091" s="11" t="s">
        <v>42</v>
      </c>
      <c r="E1091" s="11" t="s">
        <v>23</v>
      </c>
      <c r="F1091" s="11" t="s">
        <v>465</v>
      </c>
      <c r="G1091" s="23">
        <v>8866000</v>
      </c>
    </row>
    <row r="1092" spans="2:7" x14ac:dyDescent="0.35">
      <c r="B1092" s="11"/>
      <c r="C1092" s="11" t="s">
        <v>2016</v>
      </c>
      <c r="D1092" s="11" t="s">
        <v>26</v>
      </c>
      <c r="E1092" s="11" t="s">
        <v>28</v>
      </c>
      <c r="F1092" s="11" t="s">
        <v>160</v>
      </c>
      <c r="G1092" s="23">
        <v>5104000</v>
      </c>
    </row>
    <row r="1093" spans="2:7" x14ac:dyDescent="0.35">
      <c r="B1093" s="11"/>
      <c r="C1093" s="11"/>
      <c r="D1093" s="11"/>
      <c r="E1093" s="11" t="s">
        <v>58</v>
      </c>
      <c r="F1093" s="11" t="s">
        <v>20</v>
      </c>
      <c r="G1093" s="23">
        <v>686000</v>
      </c>
    </row>
    <row r="1094" spans="2:7" x14ac:dyDescent="0.35">
      <c r="B1094" s="11"/>
      <c r="C1094" s="11"/>
      <c r="D1094" s="11" t="s">
        <v>15</v>
      </c>
      <c r="E1094" s="11" t="s">
        <v>23</v>
      </c>
      <c r="F1094" s="11" t="s">
        <v>754</v>
      </c>
      <c r="G1094" s="23">
        <v>574750</v>
      </c>
    </row>
    <row r="1095" spans="2:7" x14ac:dyDescent="0.35">
      <c r="B1095" s="11"/>
      <c r="C1095" s="11"/>
      <c r="D1095" s="11"/>
      <c r="E1095" s="11"/>
      <c r="F1095" s="11" t="s">
        <v>160</v>
      </c>
      <c r="G1095" s="23">
        <v>20664750</v>
      </c>
    </row>
    <row r="1096" spans="2:7" x14ac:dyDescent="0.35">
      <c r="B1096" s="11"/>
      <c r="C1096" s="11"/>
      <c r="D1096" s="11"/>
      <c r="E1096" s="11"/>
      <c r="F1096" s="11" t="s">
        <v>465</v>
      </c>
      <c r="G1096" s="23">
        <v>16993600</v>
      </c>
    </row>
    <row r="1097" spans="2:7" x14ac:dyDescent="0.35">
      <c r="B1097" s="11"/>
      <c r="C1097" s="11"/>
      <c r="D1097" s="11"/>
      <c r="E1097" s="11"/>
      <c r="F1097" s="11" t="s">
        <v>363</v>
      </c>
      <c r="G1097" s="23">
        <v>4940750</v>
      </c>
    </row>
    <row r="1098" spans="2:7" x14ac:dyDescent="0.35">
      <c r="B1098" s="11"/>
      <c r="C1098" s="11"/>
      <c r="D1098" s="11"/>
      <c r="E1098" s="11" t="s">
        <v>17</v>
      </c>
      <c r="F1098" s="11" t="s">
        <v>754</v>
      </c>
      <c r="G1098" s="23">
        <v>374384.61538461538</v>
      </c>
    </row>
    <row r="1099" spans="2:7" x14ac:dyDescent="0.35">
      <c r="B1099" s="11"/>
      <c r="C1099" s="11"/>
      <c r="D1099" s="11"/>
      <c r="E1099" s="11"/>
      <c r="F1099" s="11" t="s">
        <v>160</v>
      </c>
      <c r="G1099" s="23">
        <v>8747050</v>
      </c>
    </row>
    <row r="1100" spans="2:7" x14ac:dyDescent="0.35">
      <c r="B1100" s="11"/>
      <c r="C1100" s="11"/>
      <c r="D1100" s="11"/>
      <c r="E1100" s="11"/>
      <c r="F1100" s="11" t="s">
        <v>465</v>
      </c>
      <c r="G1100" s="23">
        <v>20750000</v>
      </c>
    </row>
    <row r="1101" spans="2:7" x14ac:dyDescent="0.35">
      <c r="B1101" s="11"/>
      <c r="C1101" s="11"/>
      <c r="D1101" s="11"/>
      <c r="E1101" s="11"/>
      <c r="F1101" s="11" t="s">
        <v>20</v>
      </c>
      <c r="G1101" s="23">
        <v>2104200</v>
      </c>
    </row>
    <row r="1102" spans="2:7" x14ac:dyDescent="0.35">
      <c r="B1102" s="11"/>
      <c r="C1102" s="11"/>
      <c r="D1102" s="11"/>
      <c r="E1102" s="11"/>
      <c r="F1102" s="11" t="s">
        <v>363</v>
      </c>
      <c r="G1102" s="23">
        <v>582000</v>
      </c>
    </row>
    <row r="1103" spans="2:7" x14ac:dyDescent="0.35">
      <c r="B1103" s="11"/>
      <c r="C1103" s="11"/>
      <c r="D1103" s="11"/>
      <c r="E1103" s="11" t="s">
        <v>58</v>
      </c>
      <c r="F1103" s="11" t="s">
        <v>465</v>
      </c>
      <c r="G1103" s="23">
        <v>3332600</v>
      </c>
    </row>
    <row r="1104" spans="2:7" x14ac:dyDescent="0.35">
      <c r="B1104" s="11"/>
      <c r="C1104" s="11"/>
      <c r="D1104" s="11" t="s">
        <v>50</v>
      </c>
      <c r="E1104" s="11" t="s">
        <v>23</v>
      </c>
      <c r="F1104" s="11" t="s">
        <v>754</v>
      </c>
      <c r="G1104" s="23">
        <v>372000</v>
      </c>
    </row>
    <row r="1105" spans="2:7" x14ac:dyDescent="0.35">
      <c r="B1105" s="11"/>
      <c r="C1105" s="11"/>
      <c r="D1105" s="11"/>
      <c r="E1105" s="11"/>
      <c r="F1105" s="11" t="s">
        <v>160</v>
      </c>
      <c r="G1105" s="23">
        <v>4346000</v>
      </c>
    </row>
    <row r="1106" spans="2:7" x14ac:dyDescent="0.35">
      <c r="B1106" s="11"/>
      <c r="C1106" s="11"/>
      <c r="D1106" s="11"/>
      <c r="E1106" s="11"/>
      <c r="F1106" s="11" t="s">
        <v>20</v>
      </c>
      <c r="G1106" s="23">
        <v>4491600</v>
      </c>
    </row>
    <row r="1107" spans="2:7" x14ac:dyDescent="0.35">
      <c r="B1107" s="11"/>
      <c r="C1107" s="11"/>
      <c r="D1107" s="11"/>
      <c r="E1107" s="11"/>
      <c r="F1107" s="11" t="s">
        <v>363</v>
      </c>
      <c r="G1107" s="23">
        <v>969000</v>
      </c>
    </row>
    <row r="1108" spans="2:7" x14ac:dyDescent="0.35">
      <c r="B1108" s="11"/>
      <c r="C1108" s="11"/>
      <c r="D1108" s="11"/>
      <c r="E1108" s="11" t="s">
        <v>17</v>
      </c>
      <c r="F1108" s="11" t="s">
        <v>465</v>
      </c>
      <c r="G1108" s="23">
        <v>2635200</v>
      </c>
    </row>
    <row r="1109" spans="2:7" x14ac:dyDescent="0.35">
      <c r="B1109" s="11"/>
      <c r="C1109" s="11"/>
      <c r="D1109" s="11"/>
      <c r="E1109" s="11" t="s">
        <v>28</v>
      </c>
      <c r="F1109" s="11" t="s">
        <v>465</v>
      </c>
      <c r="G1109" s="23">
        <v>2185000</v>
      </c>
    </row>
    <row r="1110" spans="2:7" x14ac:dyDescent="0.35">
      <c r="B1110" s="11"/>
      <c r="C1110" s="11"/>
      <c r="D1110" s="11" t="s">
        <v>37</v>
      </c>
      <c r="E1110" s="11" t="s">
        <v>23</v>
      </c>
      <c r="F1110" s="11" t="s">
        <v>465</v>
      </c>
      <c r="G1110" s="23">
        <v>5129150</v>
      </c>
    </row>
    <row r="1111" spans="2:7" x14ac:dyDescent="0.35">
      <c r="B1111" s="11"/>
      <c r="C1111" s="11"/>
      <c r="D1111" s="11"/>
      <c r="E1111" s="11" t="s">
        <v>17</v>
      </c>
      <c r="F1111" s="11" t="s">
        <v>20</v>
      </c>
      <c r="G1111" s="23">
        <v>558000</v>
      </c>
    </row>
    <row r="1112" spans="2:7" x14ac:dyDescent="0.35">
      <c r="B1112" s="11"/>
      <c r="C1112" s="11"/>
      <c r="D1112" s="11" t="s">
        <v>42</v>
      </c>
      <c r="E1112" s="11" t="s">
        <v>23</v>
      </c>
      <c r="F1112" s="11" t="s">
        <v>754</v>
      </c>
      <c r="G1112" s="23">
        <v>970900</v>
      </c>
    </row>
    <row r="1113" spans="2:7" x14ac:dyDescent="0.35">
      <c r="B1113" s="11"/>
      <c r="C1113" s="11"/>
      <c r="D1113" s="11"/>
      <c r="E1113" s="11"/>
      <c r="F1113" s="11" t="s">
        <v>160</v>
      </c>
      <c r="G1113" s="23">
        <v>7439000</v>
      </c>
    </row>
    <row r="1114" spans="2:7" x14ac:dyDescent="0.35">
      <c r="B1114" s="11"/>
      <c r="C1114" s="11"/>
      <c r="D1114" s="11"/>
      <c r="E1114" s="11" t="s">
        <v>17</v>
      </c>
      <c r="F1114" s="11" t="s">
        <v>754</v>
      </c>
      <c r="G1114" s="23">
        <v>500000</v>
      </c>
    </row>
    <row r="1115" spans="2:7" x14ac:dyDescent="0.35">
      <c r="B1115" s="11"/>
      <c r="C1115" s="11"/>
      <c r="D1115" s="11"/>
      <c r="E1115" s="11"/>
      <c r="F1115" s="11" t="s">
        <v>160</v>
      </c>
      <c r="G1115" s="23">
        <v>5253300</v>
      </c>
    </row>
    <row r="1116" spans="2:7" x14ac:dyDescent="0.35">
      <c r="B1116" s="11"/>
      <c r="C1116" s="11"/>
      <c r="D1116" s="11"/>
      <c r="E1116" s="11"/>
      <c r="F1116" s="11" t="s">
        <v>20</v>
      </c>
      <c r="G1116" s="23">
        <v>326000</v>
      </c>
    </row>
    <row r="1117" spans="2:7" x14ac:dyDescent="0.35">
      <c r="B1117" s="11"/>
      <c r="C1117" s="11"/>
      <c r="D1117" s="11"/>
      <c r="E1117" s="11" t="s">
        <v>28</v>
      </c>
      <c r="F1117" s="11" t="s">
        <v>465</v>
      </c>
      <c r="G1117" s="23">
        <v>17975000</v>
      </c>
    </row>
    <row r="1118" spans="2:7" x14ac:dyDescent="0.35">
      <c r="B1118" s="11"/>
      <c r="C1118" s="11"/>
      <c r="D1118" s="11"/>
      <c r="E1118" s="11"/>
      <c r="F1118" s="11" t="s">
        <v>20</v>
      </c>
      <c r="G1118" s="23">
        <v>752000</v>
      </c>
    </row>
    <row r="1119" spans="2:7" x14ac:dyDescent="0.35">
      <c r="B1119" s="11"/>
      <c r="C1119" s="11" t="s">
        <v>2017</v>
      </c>
      <c r="D1119" s="11" t="s">
        <v>26</v>
      </c>
      <c r="E1119" s="11" t="s">
        <v>23</v>
      </c>
      <c r="F1119" s="11" t="s">
        <v>754</v>
      </c>
      <c r="G1119" s="23">
        <v>573000</v>
      </c>
    </row>
    <row r="1120" spans="2:7" x14ac:dyDescent="0.35">
      <c r="B1120" s="11"/>
      <c r="C1120" s="11"/>
      <c r="D1120" s="11"/>
      <c r="E1120" s="11"/>
      <c r="F1120" s="11" t="s">
        <v>20</v>
      </c>
      <c r="G1120" s="23">
        <v>1280000</v>
      </c>
    </row>
    <row r="1121" spans="2:7" x14ac:dyDescent="0.35">
      <c r="B1121" s="11"/>
      <c r="C1121" s="11"/>
      <c r="D1121" s="11"/>
      <c r="E1121" s="11"/>
      <c r="F1121" s="11" t="s">
        <v>363</v>
      </c>
      <c r="G1121" s="23">
        <v>1419000</v>
      </c>
    </row>
    <row r="1122" spans="2:7" x14ac:dyDescent="0.35">
      <c r="B1122" s="11"/>
      <c r="C1122" s="11"/>
      <c r="D1122" s="11"/>
      <c r="E1122" s="11" t="s">
        <v>17</v>
      </c>
      <c r="F1122" s="11" t="s">
        <v>20</v>
      </c>
      <c r="G1122" s="23">
        <v>1414000</v>
      </c>
    </row>
    <row r="1123" spans="2:7" x14ac:dyDescent="0.35">
      <c r="B1123" s="11"/>
      <c r="C1123" s="11"/>
      <c r="D1123" s="11"/>
      <c r="E1123" s="11" t="s">
        <v>28</v>
      </c>
      <c r="F1123" s="11" t="s">
        <v>363</v>
      </c>
      <c r="G1123" s="23">
        <v>409500</v>
      </c>
    </row>
    <row r="1124" spans="2:7" x14ac:dyDescent="0.35">
      <c r="B1124" s="11"/>
      <c r="C1124" s="11"/>
      <c r="D1124" s="11"/>
      <c r="E1124" s="11" t="s">
        <v>58</v>
      </c>
      <c r="F1124" s="11" t="s">
        <v>20</v>
      </c>
      <c r="G1124" s="23">
        <v>1601700</v>
      </c>
    </row>
    <row r="1125" spans="2:7" x14ac:dyDescent="0.35">
      <c r="B1125" s="11"/>
      <c r="C1125" s="11"/>
      <c r="D1125" s="11" t="s">
        <v>15</v>
      </c>
      <c r="E1125" s="11" t="s">
        <v>23</v>
      </c>
      <c r="F1125" s="11" t="s">
        <v>754</v>
      </c>
      <c r="G1125" s="23">
        <v>767350</v>
      </c>
    </row>
    <row r="1126" spans="2:7" x14ac:dyDescent="0.35">
      <c r="B1126" s="11"/>
      <c r="C1126" s="11"/>
      <c r="D1126" s="11"/>
      <c r="E1126" s="11"/>
      <c r="F1126" s="11" t="s">
        <v>160</v>
      </c>
      <c r="G1126" s="23">
        <v>8466200</v>
      </c>
    </row>
    <row r="1127" spans="2:7" x14ac:dyDescent="0.35">
      <c r="B1127" s="11"/>
      <c r="C1127" s="11"/>
      <c r="D1127" s="11"/>
      <c r="E1127" s="11"/>
      <c r="F1127" s="11" t="s">
        <v>465</v>
      </c>
      <c r="G1127" s="23">
        <v>6180000</v>
      </c>
    </row>
    <row r="1128" spans="2:7" x14ac:dyDescent="0.35">
      <c r="B1128" s="11"/>
      <c r="C1128" s="11"/>
      <c r="D1128" s="11"/>
      <c r="E1128" s="11"/>
      <c r="F1128" s="11" t="s">
        <v>20</v>
      </c>
      <c r="G1128" s="23">
        <v>573000</v>
      </c>
    </row>
    <row r="1129" spans="2:7" x14ac:dyDescent="0.35">
      <c r="B1129" s="11"/>
      <c r="C1129" s="11"/>
      <c r="D1129" s="11"/>
      <c r="E1129" s="11"/>
      <c r="F1129" s="11" t="s">
        <v>363</v>
      </c>
      <c r="G1129" s="23">
        <v>3119550</v>
      </c>
    </row>
    <row r="1130" spans="2:7" x14ac:dyDescent="0.35">
      <c r="B1130" s="11"/>
      <c r="C1130" s="11"/>
      <c r="D1130" s="11"/>
      <c r="E1130" s="11" t="s">
        <v>17</v>
      </c>
      <c r="F1130" s="11" t="s">
        <v>754</v>
      </c>
      <c r="G1130" s="23">
        <v>469500</v>
      </c>
    </row>
    <row r="1131" spans="2:7" x14ac:dyDescent="0.35">
      <c r="B1131" s="11"/>
      <c r="C1131" s="11"/>
      <c r="D1131" s="11"/>
      <c r="E1131" s="11"/>
      <c r="F1131" s="11" t="s">
        <v>160</v>
      </c>
      <c r="G1131" s="23">
        <v>17935000</v>
      </c>
    </row>
    <row r="1132" spans="2:7" x14ac:dyDescent="0.35">
      <c r="B1132" s="11"/>
      <c r="C1132" s="11"/>
      <c r="D1132" s="11"/>
      <c r="E1132" s="11"/>
      <c r="F1132" s="11" t="s">
        <v>20</v>
      </c>
      <c r="G1132" s="23">
        <v>4143000</v>
      </c>
    </row>
    <row r="1133" spans="2:7" x14ac:dyDescent="0.35">
      <c r="B1133" s="11"/>
      <c r="C1133" s="11"/>
      <c r="D1133" s="11"/>
      <c r="E1133" s="11"/>
      <c r="F1133" s="11" t="s">
        <v>363</v>
      </c>
      <c r="G1133" s="23">
        <v>582000</v>
      </c>
    </row>
    <row r="1134" spans="2:7" x14ac:dyDescent="0.35">
      <c r="B1134" s="11"/>
      <c r="C1134" s="11"/>
      <c r="D1134" s="11"/>
      <c r="E1134" s="11" t="s">
        <v>28</v>
      </c>
      <c r="F1134" s="11" t="s">
        <v>754</v>
      </c>
      <c r="G1134" s="23">
        <v>454000</v>
      </c>
    </row>
    <row r="1135" spans="2:7" x14ac:dyDescent="0.35">
      <c r="B1135" s="11"/>
      <c r="C1135" s="11"/>
      <c r="D1135" s="11"/>
      <c r="E1135" s="11"/>
      <c r="F1135" s="11" t="s">
        <v>160</v>
      </c>
      <c r="G1135" s="23">
        <v>5532650</v>
      </c>
    </row>
    <row r="1136" spans="2:7" x14ac:dyDescent="0.35">
      <c r="B1136" s="11"/>
      <c r="C1136" s="11"/>
      <c r="D1136" s="11"/>
      <c r="E1136" s="11"/>
      <c r="F1136" s="11" t="s">
        <v>465</v>
      </c>
      <c r="G1136" s="23">
        <v>809000</v>
      </c>
    </row>
    <row r="1137" spans="2:7" x14ac:dyDescent="0.35">
      <c r="B1137" s="11"/>
      <c r="C1137" s="11"/>
      <c r="D1137" s="11"/>
      <c r="E1137" s="11" t="s">
        <v>58</v>
      </c>
      <c r="F1137" s="11" t="s">
        <v>754</v>
      </c>
      <c r="G1137" s="23">
        <v>1887000</v>
      </c>
    </row>
    <row r="1138" spans="2:7" x14ac:dyDescent="0.35">
      <c r="B1138" s="11"/>
      <c r="C1138" s="11"/>
      <c r="D1138" s="11"/>
      <c r="E1138" s="11"/>
      <c r="F1138" s="11" t="s">
        <v>465</v>
      </c>
      <c r="G1138" s="23">
        <v>5330521.7391304346</v>
      </c>
    </row>
    <row r="1139" spans="2:7" x14ac:dyDescent="0.35">
      <c r="B1139" s="11"/>
      <c r="C1139" s="11"/>
      <c r="D1139" s="11"/>
      <c r="E1139" s="11"/>
      <c r="F1139" s="11" t="s">
        <v>363</v>
      </c>
      <c r="G1139" s="23">
        <v>2300000</v>
      </c>
    </row>
    <row r="1140" spans="2:7" x14ac:dyDescent="0.35">
      <c r="B1140" s="11"/>
      <c r="C1140" s="11"/>
      <c r="D1140" s="11" t="s">
        <v>50</v>
      </c>
      <c r="E1140" s="11" t="s">
        <v>23</v>
      </c>
      <c r="F1140" s="11" t="s">
        <v>160</v>
      </c>
      <c r="G1140" s="23">
        <v>9479000</v>
      </c>
    </row>
    <row r="1141" spans="2:7" x14ac:dyDescent="0.35">
      <c r="B1141" s="11"/>
      <c r="C1141" s="11"/>
      <c r="D1141" s="11"/>
      <c r="E1141" s="11"/>
      <c r="F1141" s="11" t="s">
        <v>20</v>
      </c>
      <c r="G1141" s="23">
        <v>465300</v>
      </c>
    </row>
    <row r="1142" spans="2:7" x14ac:dyDescent="0.35">
      <c r="B1142" s="11"/>
      <c r="C1142" s="11"/>
      <c r="D1142" s="11"/>
      <c r="E1142" s="11"/>
      <c r="F1142" s="11" t="s">
        <v>363</v>
      </c>
      <c r="G1142" s="23">
        <v>10557000</v>
      </c>
    </row>
    <row r="1143" spans="2:7" x14ac:dyDescent="0.35">
      <c r="B1143" s="11"/>
      <c r="C1143" s="11"/>
      <c r="D1143" s="11"/>
      <c r="E1143" s="11" t="s">
        <v>28</v>
      </c>
      <c r="F1143" s="11" t="s">
        <v>465</v>
      </c>
      <c r="G1143" s="23">
        <v>1151400</v>
      </c>
    </row>
    <row r="1144" spans="2:7" x14ac:dyDescent="0.35">
      <c r="B1144" s="11"/>
      <c r="C1144" s="11"/>
      <c r="D1144" s="11" t="s">
        <v>37</v>
      </c>
      <c r="E1144" s="11" t="s">
        <v>23</v>
      </c>
      <c r="F1144" s="11" t="s">
        <v>160</v>
      </c>
      <c r="G1144" s="23">
        <v>4188000</v>
      </c>
    </row>
    <row r="1145" spans="2:7" x14ac:dyDescent="0.35">
      <c r="B1145" s="11"/>
      <c r="C1145" s="11"/>
      <c r="D1145" s="11"/>
      <c r="E1145" s="11"/>
      <c r="F1145" s="11" t="s">
        <v>465</v>
      </c>
      <c r="G1145" s="23">
        <v>27110000</v>
      </c>
    </row>
    <row r="1146" spans="2:7" x14ac:dyDescent="0.35">
      <c r="B1146" s="11"/>
      <c r="C1146" s="11"/>
      <c r="D1146" s="11"/>
      <c r="E1146" s="11"/>
      <c r="F1146" s="11" t="s">
        <v>20</v>
      </c>
      <c r="G1146" s="23">
        <v>1069000</v>
      </c>
    </row>
    <row r="1147" spans="2:7" x14ac:dyDescent="0.35">
      <c r="B1147" s="11"/>
      <c r="C1147" s="11"/>
      <c r="D1147" s="11"/>
      <c r="E1147" s="11" t="s">
        <v>17</v>
      </c>
      <c r="F1147" s="11" t="s">
        <v>754</v>
      </c>
      <c r="G1147" s="23">
        <v>127000</v>
      </c>
    </row>
    <row r="1148" spans="2:7" x14ac:dyDescent="0.35">
      <c r="B1148" s="11"/>
      <c r="C1148" s="11"/>
      <c r="D1148" s="11" t="s">
        <v>42</v>
      </c>
      <c r="E1148" s="11" t="s">
        <v>23</v>
      </c>
      <c r="F1148" s="11" t="s">
        <v>754</v>
      </c>
      <c r="G1148" s="23">
        <v>100000</v>
      </c>
    </row>
    <row r="1149" spans="2:7" x14ac:dyDescent="0.35">
      <c r="B1149" s="11"/>
      <c r="C1149" s="11"/>
      <c r="D1149" s="11"/>
      <c r="E1149" s="11"/>
      <c r="F1149" s="11" t="s">
        <v>160</v>
      </c>
      <c r="G1149" s="23">
        <v>11354000</v>
      </c>
    </row>
    <row r="1150" spans="2:7" x14ac:dyDescent="0.35">
      <c r="B1150" s="11"/>
      <c r="C1150" s="11"/>
      <c r="D1150" s="11"/>
      <c r="E1150" s="11"/>
      <c r="F1150" s="11" t="s">
        <v>20</v>
      </c>
      <c r="G1150" s="23">
        <v>346000</v>
      </c>
    </row>
    <row r="1151" spans="2:7" x14ac:dyDescent="0.35">
      <c r="B1151" s="11"/>
      <c r="C1151" s="11"/>
      <c r="D1151" s="11"/>
      <c r="E1151" s="11"/>
      <c r="F1151" s="11" t="s">
        <v>363</v>
      </c>
      <c r="G1151" s="23">
        <v>877600</v>
      </c>
    </row>
    <row r="1152" spans="2:7" x14ac:dyDescent="0.35">
      <c r="B1152" s="11"/>
      <c r="C1152" s="11"/>
      <c r="D1152" s="11"/>
      <c r="E1152" s="11" t="s">
        <v>17</v>
      </c>
      <c r="F1152" s="11" t="s">
        <v>754</v>
      </c>
      <c r="G1152" s="23">
        <v>270000</v>
      </c>
    </row>
    <row r="1153" spans="2:7" x14ac:dyDescent="0.35">
      <c r="B1153" s="11"/>
      <c r="C1153" s="11"/>
      <c r="D1153" s="11"/>
      <c r="E1153" s="11" t="s">
        <v>28</v>
      </c>
      <c r="F1153" s="11" t="s">
        <v>754</v>
      </c>
      <c r="G1153" s="23">
        <v>536000</v>
      </c>
    </row>
    <row r="1154" spans="2:7" x14ac:dyDescent="0.35">
      <c r="B1154" s="11"/>
      <c r="C1154" s="11"/>
      <c r="D1154" s="11"/>
      <c r="E1154" s="11"/>
      <c r="F1154" s="11" t="s">
        <v>160</v>
      </c>
      <c r="G1154" s="23">
        <v>19038000</v>
      </c>
    </row>
    <row r="1155" spans="2:7" x14ac:dyDescent="0.35">
      <c r="B1155" s="11"/>
      <c r="C1155" s="11"/>
      <c r="D1155" s="11"/>
      <c r="E1155" s="11"/>
      <c r="F1155" s="11" t="s">
        <v>465</v>
      </c>
      <c r="G1155" s="23">
        <v>1181000</v>
      </c>
    </row>
    <row r="1156" spans="2:7" x14ac:dyDescent="0.35">
      <c r="B1156" s="11"/>
      <c r="C1156" s="11"/>
      <c r="D1156" s="11"/>
      <c r="E1156" s="11"/>
      <c r="F1156" s="11" t="s">
        <v>363</v>
      </c>
      <c r="G1156" s="23">
        <v>605000</v>
      </c>
    </row>
    <row r="1157" spans="2:7" x14ac:dyDescent="0.35">
      <c r="B1157" s="11"/>
      <c r="C1157" s="11"/>
      <c r="D1157" s="11"/>
      <c r="E1157" s="11" t="s">
        <v>58</v>
      </c>
      <c r="F1157" s="11" t="s">
        <v>465</v>
      </c>
      <c r="G1157" s="23">
        <v>943000</v>
      </c>
    </row>
    <row r="1158" spans="2:7" x14ac:dyDescent="0.35">
      <c r="B1158" s="11"/>
      <c r="C1158" s="11" t="s">
        <v>2018</v>
      </c>
      <c r="D1158" s="11" t="s">
        <v>26</v>
      </c>
      <c r="E1158" s="11" t="s">
        <v>17</v>
      </c>
      <c r="F1158" s="11" t="s">
        <v>465</v>
      </c>
      <c r="G1158" s="23">
        <v>2981100</v>
      </c>
    </row>
    <row r="1159" spans="2:7" x14ac:dyDescent="0.35">
      <c r="B1159" s="11"/>
      <c r="C1159" s="11"/>
      <c r="D1159" s="11" t="s">
        <v>15</v>
      </c>
      <c r="E1159" s="11" t="s">
        <v>23</v>
      </c>
      <c r="F1159" s="11" t="s">
        <v>754</v>
      </c>
      <c r="G1159" s="23">
        <v>1589788.7323943663</v>
      </c>
    </row>
    <row r="1160" spans="2:7" x14ac:dyDescent="0.35">
      <c r="B1160" s="11"/>
      <c r="C1160" s="11"/>
      <c r="D1160" s="11"/>
      <c r="E1160" s="11"/>
      <c r="F1160" s="11" t="s">
        <v>160</v>
      </c>
      <c r="G1160" s="23">
        <v>50511636.363636367</v>
      </c>
    </row>
    <row r="1161" spans="2:7" x14ac:dyDescent="0.35">
      <c r="B1161" s="11"/>
      <c r="C1161" s="11"/>
      <c r="D1161" s="11"/>
      <c r="E1161" s="11"/>
      <c r="F1161" s="11" t="s">
        <v>465</v>
      </c>
      <c r="G1161" s="23">
        <v>17227000</v>
      </c>
    </row>
    <row r="1162" spans="2:7" x14ac:dyDescent="0.35">
      <c r="B1162" s="11"/>
      <c r="C1162" s="11"/>
      <c r="D1162" s="11"/>
      <c r="E1162" s="11"/>
      <c r="F1162" s="11" t="s">
        <v>20</v>
      </c>
      <c r="G1162" s="23">
        <v>1065000</v>
      </c>
    </row>
    <row r="1163" spans="2:7" x14ac:dyDescent="0.35">
      <c r="B1163" s="11"/>
      <c r="C1163" s="11"/>
      <c r="D1163" s="11"/>
      <c r="E1163" s="11"/>
      <c r="F1163" s="11" t="s">
        <v>363</v>
      </c>
      <c r="G1163" s="23">
        <v>2056350</v>
      </c>
    </row>
    <row r="1164" spans="2:7" x14ac:dyDescent="0.35">
      <c r="B1164" s="11"/>
      <c r="C1164" s="11"/>
      <c r="D1164" s="11"/>
      <c r="E1164" s="11" t="s">
        <v>17</v>
      </c>
      <c r="F1164" s="11" t="s">
        <v>160</v>
      </c>
      <c r="G1164" s="23">
        <v>13788000</v>
      </c>
    </row>
    <row r="1165" spans="2:7" x14ac:dyDescent="0.35">
      <c r="B1165" s="11"/>
      <c r="C1165" s="11"/>
      <c r="D1165" s="11"/>
      <c r="E1165" s="11"/>
      <c r="F1165" s="11" t="s">
        <v>465</v>
      </c>
      <c r="G1165" s="23">
        <v>5520331.1475409837</v>
      </c>
    </row>
    <row r="1166" spans="2:7" x14ac:dyDescent="0.35">
      <c r="B1166" s="11"/>
      <c r="C1166" s="11"/>
      <c r="D1166" s="11"/>
      <c r="E1166" s="11"/>
      <c r="F1166" s="11" t="s">
        <v>20</v>
      </c>
      <c r="G1166" s="23">
        <v>2251500</v>
      </c>
    </row>
    <row r="1167" spans="2:7" x14ac:dyDescent="0.35">
      <c r="B1167" s="11"/>
      <c r="C1167" s="11"/>
      <c r="D1167" s="11"/>
      <c r="E1167" s="11" t="s">
        <v>28</v>
      </c>
      <c r="F1167" s="11" t="s">
        <v>160</v>
      </c>
      <c r="G1167" s="23">
        <v>18893000</v>
      </c>
    </row>
    <row r="1168" spans="2:7" x14ac:dyDescent="0.35">
      <c r="B1168" s="11"/>
      <c r="C1168" s="11"/>
      <c r="D1168" s="11"/>
      <c r="E1168" s="11"/>
      <c r="F1168" s="11" t="s">
        <v>20</v>
      </c>
      <c r="G1168" s="23">
        <v>3345900</v>
      </c>
    </row>
    <row r="1169" spans="2:7" x14ac:dyDescent="0.35">
      <c r="B1169" s="11"/>
      <c r="C1169" s="11"/>
      <c r="D1169" s="11"/>
      <c r="E1169" s="11"/>
      <c r="F1169" s="11" t="s">
        <v>363</v>
      </c>
      <c r="G1169" s="23">
        <v>993000</v>
      </c>
    </row>
    <row r="1170" spans="2:7" x14ac:dyDescent="0.35">
      <c r="B1170" s="11"/>
      <c r="C1170" s="11"/>
      <c r="D1170" s="11"/>
      <c r="E1170" s="11" t="s">
        <v>58</v>
      </c>
      <c r="F1170" s="11" t="s">
        <v>20</v>
      </c>
      <c r="G1170" s="23">
        <v>331000</v>
      </c>
    </row>
    <row r="1171" spans="2:7" x14ac:dyDescent="0.35">
      <c r="B1171" s="11"/>
      <c r="C1171" s="11"/>
      <c r="D1171" s="11"/>
      <c r="E1171" s="11"/>
      <c r="F1171" s="11" t="s">
        <v>363</v>
      </c>
      <c r="G1171" s="23">
        <v>336300</v>
      </c>
    </row>
    <row r="1172" spans="2:7" x14ac:dyDescent="0.35">
      <c r="B1172" s="11"/>
      <c r="C1172" s="11"/>
      <c r="D1172" s="11" t="s">
        <v>50</v>
      </c>
      <c r="E1172" s="11" t="s">
        <v>23</v>
      </c>
      <c r="F1172" s="11" t="s">
        <v>465</v>
      </c>
      <c r="G1172" s="23">
        <v>2201500</v>
      </c>
    </row>
    <row r="1173" spans="2:7" x14ac:dyDescent="0.35">
      <c r="B1173" s="11"/>
      <c r="C1173" s="11"/>
      <c r="D1173" s="11"/>
      <c r="E1173" s="11"/>
      <c r="F1173" s="11" t="s">
        <v>20</v>
      </c>
      <c r="G1173" s="23">
        <v>987000</v>
      </c>
    </row>
    <row r="1174" spans="2:7" x14ac:dyDescent="0.35">
      <c r="B1174" s="11"/>
      <c r="C1174" s="11"/>
      <c r="D1174" s="11"/>
      <c r="E1174" s="11"/>
      <c r="F1174" s="11" t="s">
        <v>363</v>
      </c>
      <c r="G1174" s="23">
        <v>2626000</v>
      </c>
    </row>
    <row r="1175" spans="2:7" x14ac:dyDescent="0.35">
      <c r="B1175" s="11"/>
      <c r="C1175" s="11"/>
      <c r="D1175" s="11"/>
      <c r="E1175" s="11" t="s">
        <v>17</v>
      </c>
      <c r="F1175" s="11" t="s">
        <v>754</v>
      </c>
      <c r="G1175" s="23">
        <v>236000</v>
      </c>
    </row>
    <row r="1176" spans="2:7" x14ac:dyDescent="0.35">
      <c r="B1176" s="11"/>
      <c r="C1176" s="11"/>
      <c r="D1176" s="11"/>
      <c r="E1176" s="11" t="s">
        <v>28</v>
      </c>
      <c r="F1176" s="11" t="s">
        <v>754</v>
      </c>
      <c r="G1176" s="23">
        <v>189000</v>
      </c>
    </row>
    <row r="1177" spans="2:7" x14ac:dyDescent="0.35">
      <c r="B1177" s="11"/>
      <c r="C1177" s="11"/>
      <c r="D1177" s="11"/>
      <c r="E1177" s="11"/>
      <c r="F1177" s="11" t="s">
        <v>160</v>
      </c>
      <c r="G1177" s="23">
        <v>4759000</v>
      </c>
    </row>
    <row r="1178" spans="2:7" x14ac:dyDescent="0.35">
      <c r="B1178" s="11"/>
      <c r="C1178" s="11"/>
      <c r="D1178" s="11" t="s">
        <v>37</v>
      </c>
      <c r="E1178" s="11" t="s">
        <v>23</v>
      </c>
      <c r="F1178" s="11" t="s">
        <v>754</v>
      </c>
      <c r="G1178" s="23">
        <v>474000</v>
      </c>
    </row>
    <row r="1179" spans="2:7" x14ac:dyDescent="0.35">
      <c r="B1179" s="11"/>
      <c r="C1179" s="11"/>
      <c r="D1179" s="11"/>
      <c r="E1179" s="11"/>
      <c r="F1179" s="11" t="s">
        <v>160</v>
      </c>
      <c r="G1179" s="23">
        <v>2552650</v>
      </c>
    </row>
    <row r="1180" spans="2:7" x14ac:dyDescent="0.35">
      <c r="B1180" s="11"/>
      <c r="C1180" s="11"/>
      <c r="D1180" s="11"/>
      <c r="E1180" s="11"/>
      <c r="F1180" s="11" t="s">
        <v>465</v>
      </c>
      <c r="G1180" s="23">
        <v>6158000</v>
      </c>
    </row>
    <row r="1181" spans="2:7" x14ac:dyDescent="0.35">
      <c r="B1181" s="11"/>
      <c r="C1181" s="11"/>
      <c r="D1181" s="11"/>
      <c r="E1181" s="11" t="s">
        <v>17</v>
      </c>
      <c r="F1181" s="11" t="s">
        <v>754</v>
      </c>
      <c r="G1181" s="23">
        <v>74000</v>
      </c>
    </row>
    <row r="1182" spans="2:7" x14ac:dyDescent="0.35">
      <c r="B1182" s="11"/>
      <c r="C1182" s="11"/>
      <c r="D1182" s="11" t="s">
        <v>42</v>
      </c>
      <c r="E1182" s="11" t="s">
        <v>23</v>
      </c>
      <c r="F1182" s="11" t="s">
        <v>160</v>
      </c>
      <c r="G1182" s="23">
        <v>28389666.666666668</v>
      </c>
    </row>
    <row r="1183" spans="2:7" x14ac:dyDescent="0.35">
      <c r="B1183" s="11"/>
      <c r="C1183" s="11"/>
      <c r="D1183" s="11"/>
      <c r="E1183" s="11"/>
      <c r="F1183" s="11" t="s">
        <v>465</v>
      </c>
      <c r="G1183" s="23">
        <v>3438000</v>
      </c>
    </row>
    <row r="1184" spans="2:7" x14ac:dyDescent="0.35">
      <c r="B1184" s="11"/>
      <c r="C1184" s="11"/>
      <c r="D1184" s="11"/>
      <c r="E1184" s="11"/>
      <c r="F1184" s="11" t="s">
        <v>20</v>
      </c>
      <c r="G1184" s="23">
        <v>4263000</v>
      </c>
    </row>
    <row r="1185" spans="2:7" x14ac:dyDescent="0.35">
      <c r="B1185" s="11"/>
      <c r="C1185" s="11"/>
      <c r="D1185" s="11"/>
      <c r="E1185" s="11"/>
      <c r="F1185" s="11" t="s">
        <v>363</v>
      </c>
      <c r="G1185" s="23">
        <v>2053800</v>
      </c>
    </row>
    <row r="1186" spans="2:7" x14ac:dyDescent="0.35">
      <c r="B1186" s="11"/>
      <c r="C1186" s="11"/>
      <c r="D1186" s="11"/>
      <c r="E1186" s="11" t="s">
        <v>17</v>
      </c>
      <c r="F1186" s="11" t="s">
        <v>754</v>
      </c>
      <c r="G1186" s="23">
        <v>69000</v>
      </c>
    </row>
    <row r="1187" spans="2:7" x14ac:dyDescent="0.35">
      <c r="B1187" s="11"/>
      <c r="C1187" s="11"/>
      <c r="D1187" s="11"/>
      <c r="E1187" s="11"/>
      <c r="F1187" s="11" t="s">
        <v>465</v>
      </c>
      <c r="G1187" s="23">
        <v>5858100</v>
      </c>
    </row>
    <row r="1188" spans="2:7" x14ac:dyDescent="0.35">
      <c r="B1188" s="11"/>
      <c r="C1188" s="11"/>
      <c r="D1188" s="11"/>
      <c r="E1188" s="11"/>
      <c r="F1188" s="11" t="s">
        <v>363</v>
      </c>
      <c r="G1188" s="23">
        <v>430000</v>
      </c>
    </row>
    <row r="1189" spans="2:7" x14ac:dyDescent="0.35">
      <c r="B1189" s="11"/>
      <c r="C1189" s="11"/>
      <c r="D1189" s="11"/>
      <c r="E1189" s="11" t="s">
        <v>28</v>
      </c>
      <c r="F1189" s="11" t="s">
        <v>160</v>
      </c>
      <c r="G1189" s="23">
        <v>8400000</v>
      </c>
    </row>
  </sheetData>
  <sheetProtection sheet="1" objects="1" scenarios="1" pivotTables="0"/>
  <phoneticPr fontId="3" type="noConversion"/>
  <conditionalFormatting sqref="Q9">
    <cfRule type="expression" dxfId="26439" priority="15">
      <formula>$P$9&lt;0</formula>
    </cfRule>
    <cfRule type="expression" dxfId="26438" priority="16">
      <formula>$P$9&gt;0</formula>
    </cfRule>
  </conditionalFormatting>
  <conditionalFormatting sqref="S9">
    <cfRule type="expression" dxfId="26437" priority="7">
      <formula>$P$9&lt;0</formula>
    </cfRule>
    <cfRule type="expression" dxfId="26436" priority="8">
      <formula>$P$9&gt;0</formula>
    </cfRule>
  </conditionalFormatting>
  <conditionalFormatting sqref="U9">
    <cfRule type="expression" dxfId="26435" priority="1">
      <formula>$T$9&lt;0</formula>
    </cfRule>
    <cfRule type="expression" dxfId="26434" priority="2">
      <formula>$T$9&gt;0</formula>
    </cfRule>
  </conditionalFormatting>
  <conditionalFormatting sqref="W9">
    <cfRule type="expression" dxfId="26433" priority="3">
      <formula>$P$9&lt;0</formula>
    </cfRule>
    <cfRule type="expression" dxfId="26432" priority="4">
      <formula>$P$9&gt;0</formula>
    </cfRule>
  </conditionalFormatting>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3BB1-7899-468D-AB1E-5728DD244E9A}">
  <sheetPr>
    <tabColor theme="7"/>
  </sheetPr>
  <dimension ref="A1"/>
  <sheetViews>
    <sheetView showGridLines="0" showRowColHeaders="0" tabSelected="1" zoomScaleNormal="100" workbookViewId="0">
      <selection activeCell="V6" sqref="V6"/>
    </sheetView>
  </sheetViews>
  <sheetFormatPr defaultRowHeight="14.5" x14ac:dyDescent="0.35"/>
  <sheetData/>
  <sheetProtection sheet="1" objects="1" scenarios="1" selectLockedCells="1" pivotTables="0"/>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B7CC68-92E6-43CC-B08C-04F921113E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group by avg product_name</vt:lpstr>
      <vt:lpstr>Median quantity</vt:lpstr>
      <vt:lpstr>count after remove duplicate</vt:lpstr>
      <vt:lpstr>count before remove duplicate</vt:lpstr>
      <vt:lpstr>data</vt:lpstr>
      <vt:lpstr>calculation_KPI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glazer</dc:creator>
  <cp:lastModifiedBy>acer glazer</cp:lastModifiedBy>
  <dcterms:created xsi:type="dcterms:W3CDTF">2026-07-15T10:48:48Z</dcterms:created>
  <dcterms:modified xsi:type="dcterms:W3CDTF">2026-07-21T15:12:58Z</dcterms:modified>
</cp:coreProperties>
</file>